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ov 2024" sheetId="1" r:id="rId5"/>
    <sheet state="hidden" name="Dashboard" sheetId="2" r:id="rId6"/>
    <sheet state="visible" name="Calculator" sheetId="3" r:id="rId7"/>
    <sheet state="visible" name="PaymentSchedule" sheetId="4" r:id="rId8"/>
    <sheet state="hidden" name="Jan 2025" sheetId="5" r:id="rId9"/>
    <sheet state="hidden" name="Feb 2025" sheetId="6" r:id="rId10"/>
    <sheet state="hidden" name="March 2025" sheetId="7" r:id="rId11"/>
    <sheet state="hidden" name="April 2025" sheetId="8" r:id="rId12"/>
    <sheet state="hidden" name="Dec 2024" sheetId="9" r:id="rId13"/>
    <sheet state="hidden" name="May 2025" sheetId="10" r:id="rId14"/>
    <sheet state="hidden" name="June 2025 " sheetId="11" r:id="rId15"/>
    <sheet state="hidden" name="July 2025" sheetId="12" r:id="rId16"/>
    <sheet state="hidden" name="August 2025" sheetId="13" r:id="rId17"/>
    <sheet state="hidden" name="September 2025" sheetId="14" r:id="rId18"/>
    <sheet state="hidden" name="October 2025" sheetId="15" r:id="rId19"/>
    <sheet state="hidden" name="November 2025" sheetId="16" r:id="rId20"/>
    <sheet state="hidden" name="December 2025" sheetId="17" r:id="rId21"/>
    <sheet state="hidden" name="January 2026" sheetId="18" r:id="rId22"/>
    <sheet state="hidden" name="February 2026" sheetId="19" r:id="rId23"/>
    <sheet state="visible" name="March 2026" sheetId="20" r:id="rId24"/>
    <sheet state="visible" name="April 2026" sheetId="21" r:id="rId25"/>
    <sheet state="visible" name="May 2026" sheetId="22" r:id="rId26"/>
    <sheet state="visible" name="June 2026" sheetId="23" r:id="rId27"/>
    <sheet state="visible" name="July 2026" sheetId="24" r:id="rId28"/>
    <sheet state="visible" name="August 2026" sheetId="25" r:id="rId29"/>
    <sheet state="visible" name="September 2026" sheetId="26" r:id="rId30"/>
    <sheet state="visible" name="October 2026" sheetId="27" r:id="rId31"/>
    <sheet state="visible" name="November 2026" sheetId="28" r:id="rId32"/>
    <sheet state="visible" name="December 2026" sheetId="29" r:id="rId33"/>
    <sheet state="visible" name="January 2027" sheetId="30" r:id="rId34"/>
    <sheet state="visible" name="February 2027" sheetId="31" r:id="rId35"/>
    <sheet state="visible" name="March 2027" sheetId="32" r:id="rId36"/>
    <sheet state="hidden" name="Order" sheetId="33" r:id="rId37"/>
  </sheets>
  <definedNames>
    <definedName localSheetId="2" name="valuevx">Calculator!$A$1</definedName>
    <definedName localSheetId="2" name="strategy">Calculator!$F$52</definedName>
    <definedName localSheetId="2" name="creditor_table">Calculator!$B$7:$E$30</definedName>
    <definedName localSheetId="2" name="snowball">Calculator!$F$53</definedName>
    <definedName hidden="1" localSheetId="0" name="_xlnm._FilterDatabase">'Nov 2024'!$P$11:$T$47</definedName>
    <definedName hidden="1" localSheetId="4" name="_xlnm._FilterDatabase">'Jan 2025'!$P$11:$T$60</definedName>
    <definedName hidden="1" localSheetId="5" name="_xlnm._FilterDatabase">'Feb 2025'!$P$11:$T$58</definedName>
    <definedName hidden="1" localSheetId="6" name="_xlnm._FilterDatabase">'March 2025'!$P$11:$T$58</definedName>
    <definedName hidden="1" localSheetId="7" name="_xlnm._FilterDatabase">'April 2025'!$P$11:$T$57</definedName>
    <definedName hidden="1" localSheetId="8" name="_xlnm._FilterDatabase">'Dec 2024'!$P$11:$T$50</definedName>
    <definedName hidden="1" localSheetId="9" name="_xlnm._FilterDatabase">'May 2025'!$P$11:$T$57</definedName>
    <definedName hidden="1" localSheetId="10" name="_xlnm._FilterDatabase">'June 2025 '!$P$11:$T$56</definedName>
    <definedName hidden="1" localSheetId="11" name="_xlnm._FilterDatabase">'July 2025'!$P$11:$T$57</definedName>
    <definedName hidden="1" localSheetId="12" name="_xlnm._FilterDatabase">'August 2025'!$P$11:$T$58</definedName>
    <definedName hidden="1" localSheetId="13" name="_xlnm._FilterDatabase">'September 2025'!$P$11:$T$56</definedName>
    <definedName hidden="1" localSheetId="14" name="_xlnm._FilterDatabase">'October 2025'!$P$11:$T$58</definedName>
    <definedName hidden="1" localSheetId="15" name="_xlnm._FilterDatabase">'November 2025'!$P$11:$T$56</definedName>
    <definedName hidden="1" localSheetId="16" name="_xlnm._FilterDatabase">'December 2025'!$P$11:$T$56</definedName>
    <definedName hidden="1" localSheetId="17" name="_xlnm._FilterDatabase">'January 2026'!$P$11:$T$54</definedName>
    <definedName hidden="1" localSheetId="18" name="_xlnm._FilterDatabase">'February 2026'!$P$11:$T$54</definedName>
    <definedName hidden="1" localSheetId="19" name="_xlnm._FilterDatabase">'March 2026'!$P$11:$T$54</definedName>
    <definedName hidden="1" localSheetId="20" name="_xlnm._FilterDatabase">'April 2026'!$P$11:$T$56</definedName>
    <definedName hidden="1" localSheetId="21" name="_xlnm._FilterDatabase">'May 2026'!$P$11:$T$57</definedName>
    <definedName hidden="1" localSheetId="22" name="_xlnm._FilterDatabase">'June 2026'!$P$11:$T$58</definedName>
    <definedName hidden="1" localSheetId="23" name="_xlnm._FilterDatabase">'July 2026'!$P$11:$T$56</definedName>
    <definedName hidden="1" localSheetId="24" name="_xlnm._FilterDatabase">'August 2026'!$P$11:$T$58</definedName>
    <definedName hidden="1" localSheetId="25" name="_xlnm._FilterDatabase">'September 2026'!$P$11:$T$56</definedName>
    <definedName hidden="1" localSheetId="26" name="_xlnm._FilterDatabase">'October 2026'!$P$11:$T$56</definedName>
    <definedName hidden="1" localSheetId="27" name="_xlnm._FilterDatabase">'November 2026'!$P$11:$T$56</definedName>
    <definedName hidden="1" localSheetId="28" name="_xlnm._FilterDatabase">'December 2026'!$P$11:$T$56</definedName>
    <definedName hidden="1" localSheetId="29" name="_xlnm._FilterDatabase">'January 2027'!$P$11:$T$56</definedName>
    <definedName hidden="1" localSheetId="30" name="_xlnm._FilterDatabase">'February 2027'!$P$11:$T$56</definedName>
    <definedName hidden="1" localSheetId="31" name="_xlnm._FilterDatabase">'March 2027'!$P$11:$T$56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Date:
Record the date that you entered your creditor information. This is for your own information, and the first payment in the Payment Schedule will be the 1st of the following month.  The Payment Schedule assumes that all payments are made on the first day of the month. This is probably not really the case, because many creditors bill at different times of the month.</t>
      </text>
    </comment>
    <comment authorId="0" ref="B7">
      <text>
        <t xml:space="preserve">Creditor:
Enter an abbreviated name for the creditor.</t>
      </text>
    </comment>
    <comment authorId="0" ref="C7">
      <text>
        <t xml:space="preserve">Current Balance
This is the amount you currently need to pay off.</t>
      </text>
    </comment>
    <comment authorId="0" ref="D7">
      <text>
        <t xml:space="preserve">Annual Interest Rate:
Unless you know otherwise, enter the APR (Annual Percentage Rate). Most credit card rates will fluxuate over time, and can be affected by late payments and other factors, but this calculator just assumes a fixed rate.</t>
      </text>
    </comment>
    <comment authorId="0" ref="E7">
      <text>
        <t xml:space="preserve">Payment:
This is either your current minimum payment, or the amount you want to pay each month. You should verify your balance and minimum payment with your lending institution. It is possible that your rate and your minimum payment will change over time. This calculator assumes that the rate does not change.
Red Error Indication: If the cell shows a RED background, then that means that the Payment is less than the interest-only payment, and you need to increase the Payment. If the payment is less than the minimum required payment, you could end up paying extra fees and your interest rate might increase as a penalty. If the payment is not enough to cover the interest, then the interest is added to the balance (negative amortization) in the payment schedule. This may or may not be how your actual loan works.</t>
      </text>
    </comment>
    <comment authorId="0" ref="F7">
      <text>
        <t xml:space="preserve">Custom Criteria:
You can enter formulas or values in this column to control the order in which the debts are paid (e.g. the Term, or the numeric order you wish to pay the debts, etc.) In the STRATEGY dropdown box, you would then choose "Custom - Highest First", or "Custom - Lowest First".</t>
      </text>
    </comment>
    <comment authorId="0" ref="G7">
      <text>
        <t xml:space="preserve">Current Interest-Only Payment:
For your info, this column calculates the interest-only payment, based on the current balance and interest rate. Anything less than this amount will result in negative amortization in the payment schedule (interest added to the balance).</t>
      </text>
    </comment>
    <comment authorId="0" ref="A49">
      <text>
        <t xml:space="preserve">Monthly Payment:
Enter the amount that you can set aside each month to pay off your debt. The amount should be greater than the sum of the individual payments. This calculator assumes fixed payments (except for the snowball), fixed rates, no late fees, no additional charges, and no other fees. Part of the monthly payment will go towards paying the interest due, and the other part will go towards reducing the balance(s).
Check Your Budget - To pay off your debts as soon as possible, choose the largest monthly payment that fits within your budget.</t>
      </text>
    </comment>
    <comment authorId="0" ref="A50">
      <text>
        <t xml:space="preserve">Initial Snowball, Extra Payment, or Accelerator Margin:
This is the amount of money you have left over after making all the other necessary payments. It is calculated as the Monthly Payment minus the total monthly payments from the creditor table.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Snowball:
This column represents the extra payment above and beyond your normal monthly payments. When a loan is fully paid, that loan's monthly payment is added the snowball and used to pay off the next loan, and so on.</t>
      </text>
    </comment>
    <comment authorId="0" ref="D19">
      <text>
        <t xml:space="preserve">Additional Snowball Amount:
To pay more than just the Snowball amount for a specific month, include the amount in this column. It will be added to the normal Snowball amount for just that month.</t>
      </text>
    </comment>
    <comment authorId="0" ref="EB22">
      <text>
        <t xml:space="preserve">Different formula than previous column</t>
      </text>
    </comment>
  </commentList>
</comments>
</file>

<file path=xl/sharedStrings.xml><?xml version="1.0" encoding="utf-8"?>
<sst xmlns="http://schemas.openxmlformats.org/spreadsheetml/2006/main" count="2296" uniqueCount="275">
  <si>
    <t>Budget Calendar with Daily Balance</t>
  </si>
  <si>
    <t>Year:</t>
  </si>
  <si>
    <t>Month:</t>
  </si>
  <si>
    <t>Start Day:</t>
  </si>
  <si>
    <t>1=Sun, 2=Mon …</t>
  </si>
  <si>
    <t>© 2020 Vertex42 LLC</t>
  </si>
  <si>
    <t>https://www.vertex42.com/calendars/budget-calendar.html</t>
  </si>
  <si>
    <t xml:space="preserve">Start Balance </t>
  </si>
  <si>
    <t xml:space="preserve">Cash In </t>
  </si>
  <si>
    <t xml:space="preserve">End Balance </t>
  </si>
  <si>
    <t xml:space="preserve">Cash Out </t>
  </si>
  <si>
    <t>Date:</t>
  </si>
  <si>
    <t>MONTHLY BUDGET (EVERYDOLLAR)</t>
  </si>
  <si>
    <t>BILL</t>
  </si>
  <si>
    <t>✔</t>
  </si>
  <si>
    <t>DAY</t>
  </si>
  <si>
    <t>AMOUNT</t>
  </si>
  <si>
    <t>DUE DATE</t>
  </si>
  <si>
    <t>Check # 1</t>
  </si>
  <si>
    <t>Check #2</t>
  </si>
  <si>
    <t>Mortgage</t>
  </si>
  <si>
    <t>Pay Off Mats</t>
  </si>
  <si>
    <t>BAL:</t>
  </si>
  <si>
    <t>Pay off Phone</t>
  </si>
  <si>
    <t>YMCA</t>
  </si>
  <si>
    <t>Emergency Loan</t>
  </si>
  <si>
    <t>YMCA After School</t>
  </si>
  <si>
    <t>Pest Control</t>
  </si>
  <si>
    <t>Vegas</t>
  </si>
  <si>
    <t>Amazon Prime</t>
  </si>
  <si>
    <t>Car Insurance</t>
  </si>
  <si>
    <t>AA</t>
  </si>
  <si>
    <t>Account Adjustment</t>
  </si>
  <si>
    <t xml:space="preserve">John Cap One </t>
  </si>
  <si>
    <t>Greenlight</t>
  </si>
  <si>
    <t>Kia Car Payment</t>
  </si>
  <si>
    <t>Upgrade Loan</t>
  </si>
  <si>
    <t>Tia Cap One</t>
  </si>
  <si>
    <t>Tidal Wave</t>
  </si>
  <si>
    <t>Cheer</t>
  </si>
  <si>
    <t>Google</t>
  </si>
  <si>
    <t>Check # 3</t>
  </si>
  <si>
    <t>Plane Ticket</t>
  </si>
  <si>
    <t>Apple</t>
  </si>
  <si>
    <t>Dribble Up</t>
  </si>
  <si>
    <t>Apl</t>
  </si>
  <si>
    <t>Disney/Hulu</t>
  </si>
  <si>
    <t>Check #1</t>
  </si>
  <si>
    <t>Check #4</t>
  </si>
  <si>
    <t>HOC</t>
  </si>
  <si>
    <t>NOTES</t>
  </si>
  <si>
    <t>Netflix</t>
  </si>
  <si>
    <t>Remember to make copies of the worksheet before entering daily expenses.</t>
  </si>
  <si>
    <t>Peacock</t>
  </si>
  <si>
    <t>Apple Music</t>
  </si>
  <si>
    <t xml:space="preserve">Amazon Music </t>
  </si>
  <si>
    <t xml:space="preserve">Cap One </t>
  </si>
  <si>
    <t>Utilities</t>
  </si>
  <si>
    <t>Vegas Payment Cap one</t>
  </si>
  <si>
    <t>Vegas Transfer</t>
  </si>
  <si>
    <t xml:space="preserve">  </t>
  </si>
  <si>
    <t>© 2007-2019 Vertex42 LLC</t>
  </si>
  <si>
    <t>Strategies</t>
  </si>
  <si>
    <t>Snowball (Lowest Balance First)</t>
  </si>
  <si>
    <t>Avalanche (Highest Interest First)</t>
  </si>
  <si>
    <t>Balance Date:</t>
  </si>
  <si>
    <t>Stair-Stepper</t>
  </si>
  <si>
    <t>Order Entered In Table</t>
  </si>
  <si>
    <t>Creditor Information Table</t>
  </si>
  <si>
    <t>No Snowball</t>
  </si>
  <si>
    <t>Row</t>
  </si>
  <si>
    <t>Creditor</t>
  </si>
  <si>
    <t>Balance</t>
  </si>
  <si>
    <t>Interest</t>
  </si>
  <si>
    <t>Payment</t>
  </si>
  <si>
    <t>Custom</t>
  </si>
  <si>
    <t>Interest-only</t>
  </si>
  <si>
    <t>Custom - Highest First</t>
  </si>
  <si>
    <t xml:space="preserve">Christmas Affirm </t>
  </si>
  <si>
    <t>Custom - Lowest First</t>
  </si>
  <si>
    <t>Christmas Affirm 1</t>
  </si>
  <si>
    <t>Christmas Affirm 2</t>
  </si>
  <si>
    <t>Christmas Affirm 3</t>
  </si>
  <si>
    <t>Christmas Affirm 4</t>
  </si>
  <si>
    <t>Christmas Affirm 5</t>
  </si>
  <si>
    <t>John Cap One</t>
  </si>
  <si>
    <t>La'Kia</t>
  </si>
  <si>
    <t>Tesla</t>
  </si>
  <si>
    <t xml:space="preserve">Black Tesla </t>
  </si>
  <si>
    <t>James Braces</t>
  </si>
  <si>
    <t>Total:</t>
  </si>
  <si>
    <t xml:space="preserve">Monthly Payment </t>
  </si>
  <si>
    <t>Initial Snowball</t>
  </si>
  <si>
    <t>Strategy:</t>
  </si>
  <si>
    <t>Results are only estimates</t>
  </si>
  <si>
    <t>Creditors in</t>
  </si>
  <si>
    <t>Original</t>
  </si>
  <si>
    <t>Total Interest</t>
  </si>
  <si>
    <t>Years to</t>
  </si>
  <si>
    <t>Month Paid</t>
  </si>
  <si>
    <t>Chosen Order</t>
  </si>
  <si>
    <t>Paid</t>
  </si>
  <si>
    <t>Pay Off</t>
  </si>
  <si>
    <t>Off</t>
  </si>
  <si>
    <t xml:space="preserve"> . </t>
  </si>
  <si>
    <t/>
  </si>
  <si>
    <t xml:space="preserve">Total Interest Paid: </t>
  </si>
  <si>
    <t>(Lower is Better)</t>
  </si>
  <si>
    <t>[42]</t>
  </si>
  <si>
    <t>Debt Snowball Payment Schedule</t>
  </si>
  <si>
    <t>Results are only estimates. Only edit the yellow cells.</t>
  </si>
  <si>
    <t>Monthly Payment:</t>
  </si>
  <si>
    <t>row</t>
  </si>
  <si>
    <t>col</t>
  </si>
  <si>
    <t>Creditor:</t>
  </si>
  <si>
    <t>Balance:</t>
  </si>
  <si>
    <t>Rate:</t>
  </si>
  <si>
    <t>Base Payment:</t>
  </si>
  <si>
    <t>Months to Pay Off:</t>
  </si>
  <si>
    <t>Month Paid Off:</t>
  </si>
  <si>
    <t>Total Interest:</t>
  </si>
  <si>
    <t>Error Code:</t>
  </si>
  <si>
    <t>Monthly Payments</t>
  </si>
  <si>
    <t>Balance AFTER Payment</t>
  </si>
  <si>
    <t>Payment Before Snowball</t>
  </si>
  <si>
    <t>No.</t>
  </si>
  <si>
    <t>Month</t>
  </si>
  <si>
    <t>Snowball</t>
  </si>
  <si>
    <t>Additional</t>
  </si>
  <si>
    <t>Total Balance</t>
  </si>
  <si>
    <t>TOTAL</t>
  </si>
  <si>
    <t>Extra Payment</t>
  </si>
  <si>
    <t>Bill</t>
  </si>
  <si>
    <t>Column 2</t>
  </si>
  <si>
    <t>Day</t>
  </si>
  <si>
    <t>Amount</t>
  </si>
  <si>
    <t>Column 5</t>
  </si>
  <si>
    <t>Ladder</t>
  </si>
  <si>
    <t>Tia</t>
  </si>
  <si>
    <t>Mint</t>
  </si>
  <si>
    <t xml:space="preserve"> Doordash</t>
  </si>
  <si>
    <t>Flow</t>
  </si>
  <si>
    <t>Daddy</t>
  </si>
  <si>
    <t>Column 1</t>
  </si>
  <si>
    <t>Monday</t>
  </si>
  <si>
    <t>Date</t>
  </si>
  <si>
    <t>Dentist</t>
  </si>
  <si>
    <t>Jai Party</t>
  </si>
  <si>
    <t>Icon</t>
  </si>
  <si>
    <t>Food</t>
  </si>
  <si>
    <t>Use my credit card to pay for his braces and pay off card on the 10th</t>
  </si>
  <si>
    <t>Check #3</t>
  </si>
  <si>
    <t>aPPLE Music</t>
  </si>
  <si>
    <t>Beats Final Payment</t>
  </si>
  <si>
    <t>Soccer</t>
  </si>
  <si>
    <t>Cap one</t>
  </si>
  <si>
    <t>LP</t>
  </si>
  <si>
    <t>License Plate</t>
  </si>
  <si>
    <t>Walmart Affirm</t>
  </si>
  <si>
    <t>Kia</t>
  </si>
  <si>
    <t>Target Affirm</t>
  </si>
  <si>
    <t>Dicks Affirm</t>
  </si>
  <si>
    <t>Util</t>
  </si>
  <si>
    <t>Affirm</t>
  </si>
  <si>
    <t>Sinking Account</t>
  </si>
  <si>
    <t>Walmart</t>
  </si>
  <si>
    <t>Amazon</t>
  </si>
  <si>
    <t>Back Market</t>
  </si>
  <si>
    <t>Target</t>
  </si>
  <si>
    <t xml:space="preserve">Jai Ipad  </t>
  </si>
  <si>
    <t xml:space="preserve">V bucks </t>
  </si>
  <si>
    <t xml:space="preserve">Baby Alive </t>
  </si>
  <si>
    <t xml:space="preserve">Diapers </t>
  </si>
  <si>
    <t>Christmas</t>
  </si>
  <si>
    <t xml:space="preserve">Controller  </t>
  </si>
  <si>
    <t xml:space="preserve">SLeeve </t>
  </si>
  <si>
    <t>Christmas PJs</t>
  </si>
  <si>
    <t xml:space="preserve">3 way-Chargers </t>
  </si>
  <si>
    <t xml:space="preserve">JAmes Chair </t>
  </si>
  <si>
    <t xml:space="preserve">Jai CHair </t>
  </si>
  <si>
    <t xml:space="preserve">Tre Chair </t>
  </si>
  <si>
    <t xml:space="preserve">Lanky Box </t>
  </si>
  <si>
    <t xml:space="preserve">Silent Basketball </t>
  </si>
  <si>
    <t xml:space="preserve">Hover Soccer </t>
  </si>
  <si>
    <t>Screen Protector ipad</t>
  </si>
  <si>
    <t>Target Affirm Payoff</t>
  </si>
  <si>
    <t>Sinking Account Transfer)</t>
  </si>
  <si>
    <t>La'kia</t>
  </si>
  <si>
    <t>Taxes</t>
  </si>
  <si>
    <t>Grad</t>
  </si>
  <si>
    <t>Roxy Taxes</t>
  </si>
  <si>
    <t>Check #5</t>
  </si>
  <si>
    <t>Order Tesla</t>
  </si>
  <si>
    <t>Tre Basketball</t>
  </si>
  <si>
    <t>James Baseball</t>
  </si>
  <si>
    <t>Oil change</t>
  </si>
  <si>
    <t>Cancel Old Car Insurance</t>
  </si>
  <si>
    <t>School Supplies</t>
  </si>
  <si>
    <t>Affirm loan</t>
  </si>
  <si>
    <t>Investfest</t>
  </si>
  <si>
    <t>Mantle Conference</t>
  </si>
  <si>
    <t xml:space="preserve">Wedding </t>
  </si>
  <si>
    <t>Jiffy</t>
  </si>
  <si>
    <t>affirm</t>
  </si>
  <si>
    <t>tesla</t>
  </si>
  <si>
    <t>Charger</t>
  </si>
  <si>
    <t>apple</t>
  </si>
  <si>
    <t>School Supplies (Transfer)</t>
  </si>
  <si>
    <t xml:space="preserve">Tia tint </t>
  </si>
  <si>
    <t>John Tint</t>
  </si>
  <si>
    <t>Tesla Charge (ATL)</t>
  </si>
  <si>
    <t>Credit Card</t>
  </si>
  <si>
    <t>Tint</t>
  </si>
  <si>
    <t xml:space="preserve">Garage door spring </t>
  </si>
  <si>
    <t>Tia ChatGPT</t>
  </si>
  <si>
    <t>Jai skates</t>
  </si>
  <si>
    <t>SAI</t>
  </si>
  <si>
    <t>Discovery ( Tesla Taxes)</t>
  </si>
  <si>
    <t>`</t>
  </si>
  <si>
    <t xml:space="preserve">Oil change </t>
  </si>
  <si>
    <t>Taco Bell</t>
  </si>
  <si>
    <t xml:space="preserve"> </t>
  </si>
  <si>
    <t>APple</t>
  </si>
  <si>
    <t>KNO</t>
  </si>
  <si>
    <t>Xfer for Duo</t>
  </si>
  <si>
    <t>Hardees</t>
  </si>
  <si>
    <t>Basketball</t>
  </si>
  <si>
    <t>Christmas (Affirm)</t>
  </si>
  <si>
    <t xml:space="preserve">Christmas </t>
  </si>
  <si>
    <t>Nike</t>
  </si>
  <si>
    <t>Camera</t>
  </si>
  <si>
    <t>James Bball</t>
  </si>
  <si>
    <t>Check # 2</t>
  </si>
  <si>
    <t>WM</t>
  </si>
  <si>
    <t>Discover CC</t>
  </si>
  <si>
    <t>Hamiltion</t>
  </si>
  <si>
    <t>Jai Bday</t>
  </si>
  <si>
    <t>James Bday</t>
  </si>
  <si>
    <t>Discover</t>
  </si>
  <si>
    <t>Hamilton</t>
  </si>
  <si>
    <t xml:space="preserve">Tia Orlando Trip </t>
  </si>
  <si>
    <t>Family Reunion</t>
  </si>
  <si>
    <t>James bday</t>
  </si>
  <si>
    <t>Order of Payments</t>
  </si>
  <si>
    <t>© 2007 Vertex42.com</t>
  </si>
  <si>
    <t>This worksheet is used to rank and order the debts according to either minimum balance or highest interest rate.</t>
  </si>
  <si>
    <t>The purpose for using this method is to avoid VBA macros and allow the use of the drop-down boxes for the strategy.</t>
  </si>
  <si>
    <t>Original List</t>
  </si>
  <si>
    <t>Column</t>
  </si>
  <si>
    <t>Percent</t>
  </si>
  <si>
    <t>Include</t>
  </si>
  <si>
    <t>Length of Array:</t>
  </si>
  <si>
    <t>Truncated List</t>
  </si>
  <si>
    <t>RANK Min Bal</t>
  </si>
  <si>
    <t>RANK High Perc</t>
  </si>
  <si>
    <t>RANK Custom-Highest1st</t>
  </si>
  <si>
    <t>RANK Custom-Lowest1st</t>
  </si>
  <si>
    <t>Minimum BALANCE First</t>
  </si>
  <si>
    <t>Order</t>
  </si>
  <si>
    <t>Rank</t>
  </si>
  <si>
    <t>Sorted Trunc Columns:</t>
  </si>
  <si>
    <t>Sorted Orig Columns:</t>
  </si>
  <si>
    <t>Sorted Ranks</t>
  </si>
  <si>
    <t># of Same Rank</t>
  </si>
  <si>
    <t>First</t>
  </si>
  <si>
    <t>Position of First</t>
  </si>
  <si>
    <t>Relative %Rank</t>
  </si>
  <si>
    <t>Relative Sorted Column</t>
  </si>
  <si>
    <t>Highest INTEREST First</t>
  </si>
  <si>
    <t>Column Index</t>
  </si>
  <si>
    <t>Category</t>
  </si>
  <si>
    <t>Rank Within</t>
  </si>
  <si>
    <t>Rank Step 1</t>
  </si>
  <si>
    <t>Rank Step 2</t>
  </si>
  <si>
    <t>Sorted Columns:</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</si>
</sst>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mmmm\ yyyy"/>
    <numFmt numFmtId="165" formatCode="&quot;$&quot;* #,##0.00_);[Red]&quot;$&quot;* \-#,##0.00_);&quot;$&quot;* &quot;-&quot;??_);@_)"/>
    <numFmt numFmtId="166" formatCode="dddd"/>
    <numFmt numFmtId="167" formatCode="d"/>
    <numFmt numFmtId="168" formatCode="$#,##0.00_);(-$#,##0.00)"/>
    <numFmt numFmtId="169" formatCode="#,##0.00;[Red]\-#,##0.00;&quot;-&quot;"/>
    <numFmt numFmtId="170" formatCode="m/d/yy"/>
    <numFmt numFmtId="171" formatCode="&quot;$&quot;#,##0.00"/>
    <numFmt numFmtId="172" formatCode="M/d/yyyy"/>
    <numFmt numFmtId="173" formatCode="0.000%"/>
    <numFmt numFmtId="174" formatCode="#,##0.00;(#,##0.00)"/>
    <numFmt numFmtId="175" formatCode="#  #/12;-#  #/12;&quot;-&quot;;@"/>
    <numFmt numFmtId="176" formatCode="MMM yyyy"/>
    <numFmt numFmtId="177" formatCode="0.00%;-0.00%"/>
    <numFmt numFmtId="178" formatCode="0;-0"/>
    <numFmt numFmtId="179" formatCode="0.00;-0.00"/>
    <numFmt numFmtId="180" formatCode="MMM-yy"/>
    <numFmt numFmtId="181" formatCode="&quot;$&quot;#,##0.00;&quot;$&quot;(#,##0.00)"/>
    <numFmt numFmtId="182" formatCode=" #,##0.00 ;(#,##0.00)"/>
    <numFmt numFmtId="183" formatCode="mmm&quot;-&quot;yy"/>
    <numFmt numFmtId="184" formatCode="m/d/yyyy"/>
    <numFmt numFmtId="185" formatCode="_(* #,##0.00_);_(* \(#,##0.00\);_(* &quot;-&quot;??_);_(@_)"/>
  </numFmts>
  <fonts count="117">
    <font>
      <sz val="10.0"/>
      <color rgb="FF000000"/>
      <name val="Roboto"/>
      <scheme val="minor"/>
    </font>
    <font>
      <b/>
      <sz val="14.0"/>
      <color theme="4"/>
      <name val="Arial"/>
    </font>
    <font>
      <sz val="8.0"/>
      <color rgb="FF6B0C00"/>
      <name val="Arial"/>
    </font>
    <font>
      <sz val="10.0"/>
      <color theme="1"/>
      <name val="Arial"/>
    </font>
    <font>
      <sz val="8.0"/>
      <color theme="1"/>
      <name val="Arial"/>
    </font>
    <font>
      <sz val="10.0"/>
      <color rgb="FF2B4575"/>
      <name val="Arial"/>
    </font>
    <font>
      <b/>
      <sz val="10.0"/>
      <color rgb="FF2B4575"/>
      <name val="Arial"/>
    </font>
    <font>
      <i/>
      <sz val="8.0"/>
      <color rgb="FF2B4575"/>
      <name val="Arial"/>
    </font>
    <font>
      <i/>
      <sz val="8.0"/>
      <color theme="1"/>
      <name val="Arial"/>
    </font>
    <font>
      <sz val="8.0"/>
      <color rgb="FF595959"/>
      <name val="Arial"/>
    </font>
    <font>
      <sz val="8.0"/>
      <color rgb="FF7F7F7F"/>
      <name val="Arial"/>
    </font>
    <font>
      <color theme="1"/>
      <name val="Roboto"/>
      <scheme val="minor"/>
    </font>
    <font>
      <sz val="24.0"/>
      <color theme="4"/>
      <name val="Arial"/>
    </font>
    <font>
      <sz val="26.0"/>
      <color theme="4"/>
      <name val="Arial"/>
    </font>
    <font>
      <b/>
      <sz val="12.0"/>
      <color theme="4"/>
      <name val="Arial"/>
    </font>
    <font>
      <b/>
      <sz val="11.0"/>
      <color rgb="FF3A5D9C"/>
      <name val="Arial"/>
    </font>
    <font/>
    <font>
      <b/>
      <sz val="11.0"/>
      <color theme="4"/>
      <name val="Arial"/>
    </font>
    <font>
      <sz val="8.0"/>
      <color theme="4"/>
      <name val="Arial"/>
    </font>
    <font>
      <sz val="10.0"/>
      <color theme="4"/>
      <name val="Arial"/>
    </font>
    <font>
      <b/>
      <sz val="10.0"/>
      <color theme="4"/>
      <name val="Arial"/>
    </font>
    <font>
      <b/>
      <sz val="12.0"/>
      <color theme="0"/>
      <name val="Arial"/>
    </font>
    <font>
      <sz val="9.0"/>
      <color rgb="FFFFFFFF"/>
      <name val="Arial"/>
    </font>
    <font>
      <sz val="9.0"/>
      <color theme="0"/>
      <name val="Arial"/>
    </font>
    <font>
      <sz val="10.0"/>
      <color theme="0"/>
      <name val="Arial"/>
    </font>
    <font>
      <sz val="9.0"/>
      <color rgb="FF000000"/>
      <name val="Arial"/>
    </font>
    <font>
      <b/>
      <sz val="8.0"/>
      <color theme="1"/>
      <name val="Arial"/>
    </font>
    <font>
      <sz val="9.0"/>
      <color theme="1"/>
      <name val="Arial"/>
    </font>
    <font>
      <strike/>
      <sz val="9.0"/>
      <color theme="1"/>
      <name val="Arial"/>
    </font>
    <font>
      <sz val="9.0"/>
      <color rgb="FF2B4575"/>
      <name val="Arial"/>
    </font>
    <font>
      <strike/>
      <sz val="9.0"/>
      <color rgb="FF2C2C4D"/>
      <name val="Arial"/>
    </font>
    <font>
      <strike/>
      <color theme="1"/>
      <name val="Arial"/>
    </font>
    <font>
      <strike/>
      <sz val="9.0"/>
      <color rgb="FFFF0000"/>
      <name val="Arial"/>
    </font>
    <font>
      <b/>
      <sz val="8.0"/>
      <color theme="4"/>
      <name val="Arial"/>
    </font>
    <font>
      <sz val="9.0"/>
      <color rgb="FF2C2C4D"/>
      <name val="Arial"/>
    </font>
    <font>
      <color theme="1"/>
      <name val="Arial"/>
    </font>
    <font>
      <sz val="9.0"/>
      <color rgb="FFFF0000"/>
      <name val="Arial"/>
    </font>
    <font>
      <b/>
      <sz val="18.0"/>
      <color rgb="FF000000"/>
      <name val="Roboto"/>
    </font>
    <font>
      <sz val="8.0"/>
      <color rgb="FF000000"/>
      <name val="Roboto"/>
    </font>
    <font>
      <color theme="1"/>
      <name val="Roboto"/>
    </font>
    <font>
      <b/>
      <sz val="10.0"/>
      <color rgb="FF27592B"/>
      <name val="Roboto"/>
    </font>
    <font>
      <sz val="10.0"/>
      <color rgb="FF0000FF"/>
      <name val="Roboto"/>
    </font>
    <font>
      <sz val="10.0"/>
      <color rgb="FF000000"/>
      <name val="Roboto"/>
    </font>
    <font>
      <u/>
      <sz val="10.0"/>
      <color rgb="FF0000FF"/>
      <name val="Roboto"/>
    </font>
    <font>
      <i/>
      <sz val="10.0"/>
      <color rgb="FF000000"/>
      <name val="Roboto"/>
    </font>
    <font>
      <b/>
      <sz val="10.0"/>
      <color rgb="FF000000"/>
      <name val="Roboto"/>
    </font>
    <font>
      <b/>
      <sz val="10.0"/>
      <color rgb="FFFFFFFF"/>
      <name val="Roboto"/>
    </font>
    <font>
      <i/>
      <sz val="8.0"/>
      <color rgb="FF000000"/>
      <name val="Roboto"/>
    </font>
    <font>
      <color rgb="FF000000"/>
      <name val="Roboto"/>
    </font>
    <font>
      <b/>
      <sz val="12.0"/>
      <color rgb="FF000000"/>
      <name val="Roboto"/>
    </font>
    <font>
      <b/>
      <sz val="11.0"/>
      <color rgb="FF000000"/>
      <name val="Roboto"/>
    </font>
    <font>
      <i/>
      <sz val="10.0"/>
      <color rgb="FFFF0000"/>
      <name val="Roboto"/>
    </font>
    <font>
      <sz val="11.0"/>
      <color rgb="FF000000"/>
      <name val="Roboto"/>
    </font>
    <font>
      <sz val="10.0"/>
      <color rgb="FFDDDDDD"/>
      <name val="Roboto"/>
    </font>
    <font>
      <sz val="10.0"/>
      <color rgb="FFD6F4D9"/>
      <name val="Roboto"/>
    </font>
    <font>
      <sz val="8.0"/>
      <color rgb="FFFFFFFF"/>
      <name val="Roboto"/>
    </font>
    <font>
      <sz val="8.0"/>
      <color rgb="FFFF0000"/>
      <name val="Roboto"/>
    </font>
    <font>
      <sz val="10.0"/>
      <color rgb="FFFFFFFF"/>
      <name val="Roboto"/>
    </font>
    <font>
      <b/>
      <sz val="14.0"/>
      <color rgb="FF000000"/>
      <name val="Roboto"/>
    </font>
    <font>
      <i/>
      <sz val="9.0"/>
      <color rgb="FF000000"/>
      <name val="Roboto"/>
    </font>
    <font>
      <u/>
      <sz val="9.0"/>
      <color rgb="FF0000FF"/>
      <name val="Roboto"/>
    </font>
    <font>
      <sz val="12.0"/>
      <color rgb="FF000000"/>
      <name val="Roboto"/>
    </font>
    <font>
      <sz val="9.0"/>
      <color rgb="FF000000"/>
      <name val="Roboto"/>
    </font>
    <font>
      <b/>
      <sz val="8.0"/>
      <color rgb="FFDE3018"/>
      <name val="Roboto"/>
    </font>
    <font>
      <b/>
      <color rgb="FF000000"/>
      <name val="Roboto"/>
    </font>
    <font>
      <b/>
      <sz val="8.0"/>
      <color rgb="FF000000"/>
      <name val="Roboto"/>
    </font>
    <font>
      <strike/>
      <sz val="9.0"/>
      <color rgb="FF434343"/>
      <name val="Arial"/>
    </font>
    <font>
      <strike/>
      <color theme="1"/>
      <name val="Georgia"/>
    </font>
    <font>
      <strike/>
      <sz val="10.0"/>
      <color theme="1"/>
      <name val="Arial"/>
    </font>
    <font>
      <b/>
      <sz val="8.0"/>
      <color rgb="FF1D2384"/>
      <name val="Arial"/>
    </font>
    <font>
      <b/>
      <sz val="9.0"/>
      <color rgb="FFFFFFFF"/>
      <name val="Arial"/>
    </font>
    <font>
      <strike/>
      <color theme="1"/>
      <name val="Roboto"/>
    </font>
    <font>
      <strike/>
      <color rgb="FF434343"/>
      <name val="Arial"/>
    </font>
    <font>
      <sz val="9.0"/>
      <color rgb="FF434343"/>
      <name val="Arial"/>
    </font>
    <font>
      <color rgb="FF434343"/>
      <name val="Arial"/>
    </font>
    <font>
      <color theme="1"/>
      <name val="Georgia"/>
    </font>
    <font>
      <b/>
      <sz val="14.0"/>
      <color theme="4"/>
      <name val="Roboto"/>
      <scheme val="minor"/>
    </font>
    <font>
      <sz val="8.0"/>
      <color rgb="FF6B0C00"/>
      <name val="Roboto"/>
      <scheme val="minor"/>
    </font>
    <font>
      <sz val="10.0"/>
      <color theme="1"/>
      <name val="Roboto"/>
      <scheme val="minor"/>
    </font>
    <font>
      <sz val="8.0"/>
      <color theme="1"/>
      <name val="Roboto"/>
      <scheme val="minor"/>
    </font>
    <font>
      <sz val="10.0"/>
      <color rgb="FF2B4575"/>
      <name val="Roboto"/>
      <scheme val="minor"/>
    </font>
    <font>
      <b/>
      <sz val="10.0"/>
      <color rgb="FF2B4575"/>
      <name val="Roboto"/>
      <scheme val="minor"/>
    </font>
    <font>
      <i/>
      <sz val="8.0"/>
      <color rgb="FF2B4575"/>
      <name val="Roboto"/>
      <scheme val="minor"/>
    </font>
    <font>
      <i/>
      <sz val="8.0"/>
      <color theme="1"/>
      <name val="Roboto"/>
      <scheme val="minor"/>
    </font>
    <font>
      <sz val="8.0"/>
      <color rgb="FF595959"/>
      <name val="Roboto"/>
      <scheme val="minor"/>
    </font>
    <font>
      <sz val="8.0"/>
      <color rgb="FF7F7F7F"/>
    </font>
    <font>
      <sz val="24.0"/>
      <color theme="4"/>
      <name val="Roboto"/>
      <scheme val="minor"/>
    </font>
    <font>
      <sz val="26.0"/>
      <color theme="4"/>
      <name val="Roboto"/>
      <scheme val="minor"/>
    </font>
    <font>
      <b/>
      <sz val="12.0"/>
      <color theme="4"/>
      <name val="Roboto"/>
      <scheme val="minor"/>
    </font>
    <font>
      <b/>
      <sz val="11.0"/>
      <color rgb="FF3A5D9C"/>
      <name val="Roboto"/>
      <scheme val="minor"/>
    </font>
    <font>
      <b/>
      <sz val="11.0"/>
      <color theme="4"/>
      <name val="Roboto"/>
      <scheme val="minor"/>
    </font>
    <font>
      <sz val="8.0"/>
      <color theme="4"/>
      <name val="Roboto"/>
      <scheme val="minor"/>
    </font>
    <font>
      <sz val="10.0"/>
      <color theme="4"/>
      <name val="Roboto"/>
      <scheme val="minor"/>
    </font>
    <font>
      <b/>
      <sz val="10.0"/>
      <color theme="4"/>
      <name val="Roboto"/>
      <scheme val="minor"/>
    </font>
    <font>
      <b/>
      <sz val="12.0"/>
      <color theme="0"/>
      <name val="Roboto"/>
      <scheme val="minor"/>
    </font>
    <font>
      <sz val="9.0"/>
      <color rgb="FFFFFFFF"/>
      <name val="Roboto"/>
      <scheme val="minor"/>
    </font>
    <font>
      <sz val="9.0"/>
      <color theme="0"/>
      <name val="Roboto"/>
      <scheme val="minor"/>
    </font>
    <font>
      <sz val="10.0"/>
      <color theme="0"/>
      <name val="Roboto"/>
      <scheme val="minor"/>
    </font>
    <font>
      <sz val="9.0"/>
      <color rgb="FF000000"/>
      <name val="Roboto"/>
      <scheme val="minor"/>
    </font>
    <font>
      <b/>
      <sz val="8.0"/>
      <color theme="1"/>
      <name val="Roboto"/>
      <scheme val="minor"/>
    </font>
    <font>
      <sz val="9.0"/>
      <color theme="1"/>
      <name val="Roboto"/>
      <scheme val="minor"/>
    </font>
    <font>
      <strike/>
      <sz val="9.0"/>
      <color theme="1"/>
      <name val="Roboto"/>
      <scheme val="minor"/>
    </font>
    <font>
      <strike/>
      <sz val="9.0"/>
      <color rgb="FF434343"/>
      <name val="Roboto"/>
      <scheme val="minor"/>
    </font>
    <font>
      <strike/>
      <color theme="1"/>
      <name val="Roboto"/>
      <scheme val="minor"/>
    </font>
    <font>
      <sz val="9.0"/>
      <color rgb="FF2B4575"/>
      <name val="Roboto"/>
      <scheme val="minor"/>
    </font>
    <font>
      <sz val="9.0"/>
      <color rgb="FFFF0000"/>
      <name val="Roboto"/>
      <scheme val="minor"/>
    </font>
    <font>
      <strike/>
      <sz val="9.0"/>
      <color rgb="FF2C2C4D"/>
      <name val="Roboto"/>
      <scheme val="minor"/>
    </font>
    <font>
      <strike/>
      <sz val="9.0"/>
      <color rgb="FFFF0000"/>
      <name val="Roboto"/>
      <scheme val="minor"/>
    </font>
    <font>
      <b/>
      <sz val="8.0"/>
      <color theme="4"/>
      <name val="Roboto"/>
      <scheme val="minor"/>
    </font>
    <font>
      <sz val="9.0"/>
      <color rgb="FF434343"/>
      <name val="Roboto"/>
      <scheme val="minor"/>
    </font>
    <font>
      <strike/>
      <sz val="9.0"/>
      <color rgb="FF434343"/>
      <name val="Roboto"/>
    </font>
    <font>
      <strike/>
      <sz val="9.0"/>
      <color rgb="FF000000"/>
      <name val="Arial"/>
    </font>
    <font>
      <b/>
      <sz val="11.0"/>
      <color rgb="FF1D2384"/>
      <name val="Arial"/>
    </font>
    <font>
      <b/>
      <sz val="14.0"/>
      <color rgb="FF1D2384"/>
      <name val="Arial"/>
    </font>
    <font>
      <sz val="9.0"/>
      <color rgb="FF434343"/>
      <name val="Roboto"/>
    </font>
    <font>
      <color rgb="FF434343"/>
      <name val="Georgia"/>
    </font>
    <font>
      <color rgb="FFFF0000"/>
      <name val="Georgia"/>
    </font>
  </fonts>
  <fills count="18">
    <fill>
      <patternFill patternType="none"/>
    </fill>
    <fill>
      <patternFill patternType="lightGray"/>
    </fill>
    <fill>
      <patternFill patternType="solid">
        <fgColor rgb="FFF2F2F2"/>
        <bgColor rgb="FFF2F2F2"/>
      </patternFill>
    </fill>
    <fill>
      <patternFill patternType="solid">
        <fgColor theme="4"/>
        <bgColor theme="4"/>
      </patternFill>
    </fill>
    <fill>
      <patternFill patternType="solid">
        <fgColor rgb="FFD3DDEE"/>
        <bgColor rgb="FFD3DDEE"/>
      </patternFill>
    </fill>
    <fill>
      <patternFill patternType="solid">
        <fgColor rgb="FFCCE7FF"/>
        <bgColor rgb="FFCCE7FF"/>
      </patternFill>
    </fill>
    <fill>
      <patternFill patternType="solid">
        <fgColor rgb="FFBCE1BF"/>
        <bgColor rgb="FFBCE1BF"/>
      </patternFill>
    </fill>
    <fill>
      <patternFill patternType="solid">
        <fgColor rgb="FFE4F3E6"/>
        <bgColor rgb="FFE4F3E6"/>
      </patternFill>
    </fill>
    <fill>
      <patternFill patternType="solid">
        <fgColor rgb="FF27592B"/>
        <bgColor rgb="FF27592B"/>
      </patternFill>
    </fill>
    <fill>
      <patternFill patternType="solid">
        <fgColor rgb="FFEAEAEA"/>
        <bgColor rgb="FFEAEAEA"/>
      </patternFill>
    </fill>
    <fill>
      <patternFill patternType="solid">
        <fgColor rgb="FFEFEFEF"/>
        <bgColor rgb="FFEFEFEF"/>
      </patternFill>
    </fill>
    <fill>
      <patternFill patternType="solid">
        <fgColor rgb="FFD9D9D9"/>
        <bgColor rgb="FFD9D9D9"/>
      </patternFill>
    </fill>
    <fill>
      <patternFill patternType="solid">
        <fgColor rgb="FF90EE90"/>
        <bgColor rgb="FF90EE90"/>
      </patternFill>
    </fill>
    <fill>
      <patternFill patternType="solid">
        <fgColor rgb="FFFFFFFF"/>
        <bgColor rgb="FFFFFFFF"/>
      </patternFill>
    </fill>
    <fill>
      <patternFill patternType="solid">
        <fgColor rgb="FFF3E4F2"/>
        <bgColor rgb="FFF3E4F2"/>
      </patternFill>
    </fill>
    <fill>
      <patternFill patternType="solid">
        <fgColor rgb="FFD6F4D9"/>
        <bgColor rgb="FFD6F4D9"/>
      </patternFill>
    </fill>
    <fill>
      <patternFill patternType="solid">
        <fgColor rgb="FFDFE9FD"/>
        <bgColor rgb="FFDFE9FD"/>
      </patternFill>
    </fill>
    <fill>
      <patternFill patternType="solid">
        <fgColor rgb="FFFAC8D7"/>
        <bgColor rgb="FFFAC8D7"/>
      </patternFill>
    </fill>
  </fills>
  <borders count="38">
    <border/>
    <border>
      <left/>
      <right/>
      <top/>
      <bottom/>
    </border>
    <border>
      <left style="thin">
        <color rgb="FFBFBFBF"/>
      </left>
      <right style="thin">
        <color rgb="FFBFBFBF"/>
      </right>
      <top style="thin">
        <color rgb="FFBFBFBF"/>
      </top>
      <bottom style="thin">
        <color rgb="FFBFBFBF"/>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2B4575"/>
      </left>
      <top style="thin">
        <color rgb="FF2B4575"/>
      </top>
      <bottom style="thin">
        <color rgb="FF2B4575"/>
      </bottom>
    </border>
    <border>
      <right style="thin">
        <color rgb="FF2B4575"/>
      </right>
      <top style="thin">
        <color rgb="FF2B4575"/>
      </top>
      <bottom style="thin">
        <color rgb="FF2B4575"/>
      </bottom>
    </border>
    <border>
      <left style="thin">
        <color rgb="FF2B4575"/>
      </left>
      <top style="thin">
        <color rgb="FF2B4575"/>
      </top>
    </border>
    <border>
      <right style="thin">
        <color rgb="FF2B4575"/>
      </right>
      <top style="thin">
        <color rgb="FF2B4575"/>
      </top>
    </border>
    <border>
      <left style="thin">
        <color rgb="FF2B4575"/>
      </left>
      <right/>
      <top style="thin">
        <color rgb="FF2B4575"/>
      </top>
      <bottom/>
    </border>
    <border>
      <left/>
      <right style="thin">
        <color rgb="FF2B4575"/>
      </right>
      <top style="thin">
        <color rgb="FF2B4575"/>
      </top>
      <bottom/>
    </border>
    <border>
      <left style="thin">
        <color rgb="FF2B4575"/>
      </left>
    </border>
    <border>
      <right style="thin">
        <color rgb="FF2B4575"/>
      </right>
    </border>
    <border>
      <left style="hair">
        <color rgb="FF7D9ACE"/>
      </left>
      <right style="hair">
        <color rgb="FF7D9ACE"/>
      </right>
      <top style="hair">
        <color rgb="FF7D9ACE"/>
      </top>
      <bottom style="hair">
        <color rgb="FF7D9ACE"/>
      </bottom>
    </border>
    <border>
      <left style="thin">
        <color rgb="FF2B4575"/>
      </left>
      <right/>
      <top/>
      <bottom style="thin">
        <color rgb="FF2B4575"/>
      </bottom>
    </border>
    <border>
      <left/>
      <right style="thin">
        <color rgb="FF2B4575"/>
      </right>
      <top/>
      <bottom style="thin">
        <color rgb="FF2B4575"/>
      </bottom>
    </border>
    <border>
      <bottom style="thin">
        <color rgb="FF346228"/>
      </bottom>
    </border>
    <border>
      <bottom style="thin">
        <color rgb="FF999999"/>
      </bottom>
    </border>
    <border>
      <right style="thin">
        <color rgb="FF999999"/>
      </right>
    </border>
    <border>
      <left style="thin">
        <color rgb="FF999999"/>
      </left>
      <right style="thin">
        <color rgb="FF999999"/>
      </right>
      <top style="thin">
        <color rgb="FF999999"/>
      </top>
      <bottom style="thin">
        <color rgb="FF999999"/>
      </bottom>
    </border>
    <border>
      <left style="thin">
        <color rgb="FF999999"/>
      </left>
    </border>
    <border>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bottom style="thin">
        <color rgb="FFCCCCCC"/>
      </bottom>
    </border>
    <border>
      <right style="thin">
        <color rgb="FFCCCCCC"/>
      </right>
    </border>
    <border>
      <left style="thin">
        <color rgb="FFCCCCCC"/>
      </left>
      <right style="thin">
        <color rgb="FFCCCCCC"/>
      </right>
      <top style="thin">
        <color rgb="FFCCCCCC"/>
      </top>
      <bottom style="thin">
        <color rgb="FFCCCCCC"/>
      </bottom>
    </border>
    <border>
      <left style="thin">
        <color rgb="FFCCCCCC"/>
      </left>
    </border>
    <border>
      <top style="thin">
        <color rgb="FFCCCCCC"/>
      </top>
    </border>
    <border>
      <bottom style="thin">
        <color rgb="FF000000"/>
      </bottom>
    </border>
    <border>
      <top style="thin">
        <color rgb="FF000000"/>
      </top>
    </border>
    <border>
      <left style="hair">
        <color rgb="FF7D9ACE"/>
      </left>
      <right style="hair">
        <color rgb="FF7D9ACE"/>
      </right>
      <top style="hair">
        <color rgb="FF7D9ACE"/>
      </top>
    </border>
    <border>
      <left/>
      <right/>
      <top/>
    </border>
    <border>
      <left style="thin">
        <color rgb="FF000000"/>
      </left>
      <right style="thin">
        <color rgb="FF000000"/>
      </right>
      <top style="thin">
        <color rgb="FF000000"/>
      </top>
      <bottom style="thin">
        <color rgb="FF000000"/>
      </bottom>
    </border>
    <border>
      <left style="hair">
        <color rgb="FF7D9ACE"/>
      </left>
      <right style="hair">
        <color rgb="FF7D9ACE"/>
      </right>
      <top style="hair">
        <color rgb="FF7D9ACE"/>
      </top>
      <bottom style="thin">
        <color rgb="FF284E3F"/>
      </bottom>
    </border>
    <border>
      <left/>
      <right/>
      <top/>
      <bottom style="thin">
        <color rgb="FF284E3F"/>
      </bottom>
    </border>
    <border>
      <top style="thin">
        <color rgb="FF000000"/>
      </top>
      <bottom style="thin">
        <color rgb="FF000000"/>
      </bottom>
    </border>
  </borders>
  <cellStyleXfs count="1">
    <xf borderId="0" fillId="0" fontId="0" numFmtId="0" applyAlignment="1" applyFont="1"/>
  </cellStyleXfs>
  <cellXfs count="660">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1" fillId="2" fontId="2" numFmtId="0" xfId="0" applyBorder="1" applyFont="1"/>
    <xf borderId="1" fillId="2" fontId="3" numFmtId="0" xfId="0" applyBorder="1" applyFont="1"/>
    <xf borderId="1" fillId="2" fontId="4" numFmtId="0" xfId="0" applyBorder="1" applyFont="1"/>
    <xf borderId="1" fillId="2" fontId="4" numFmtId="0" xfId="0" applyAlignment="1" applyBorder="1" applyFont="1">
      <alignment horizontal="right"/>
    </xf>
    <xf borderId="1" fillId="0" fontId="4" numFmtId="0" xfId="0" applyBorder="1" applyFont="1"/>
    <xf borderId="1" fillId="0" fontId="4" numFmtId="0" xfId="0" applyAlignment="1" applyBorder="1" applyFont="1">
      <alignment horizontal="right"/>
    </xf>
    <xf borderId="1" fillId="0" fontId="4" numFmtId="0" xfId="0" applyAlignment="1" applyBorder="1" applyFont="1">
      <alignment horizontal="right" vertical="center"/>
    </xf>
    <xf borderId="1" fillId="2" fontId="5" numFmtId="0" xfId="0" applyAlignment="1" applyBorder="1" applyFont="1">
      <alignment horizontal="right" vertical="center"/>
    </xf>
    <xf borderId="2" fillId="0" fontId="6" numFmtId="0" xfId="0" applyAlignment="1" applyBorder="1" applyFont="1">
      <alignment horizontal="center" readingOrder="0" vertical="center"/>
    </xf>
    <xf borderId="2" fillId="0" fontId="5" numFmtId="0" xfId="0" applyAlignment="1" applyBorder="1" applyFont="1">
      <alignment horizontal="center" readingOrder="0" vertical="center"/>
    </xf>
    <xf borderId="1" fillId="2" fontId="7" numFmtId="0" xfId="0" applyAlignment="1" applyBorder="1" applyFont="1">
      <alignment horizontal="left" vertical="center"/>
    </xf>
    <xf borderId="1" fillId="2" fontId="8" numFmtId="0" xfId="0" applyAlignment="1" applyBorder="1" applyFont="1">
      <alignment vertical="center"/>
    </xf>
    <xf borderId="1" fillId="0" fontId="8" numFmtId="0" xfId="0" applyAlignment="1" applyBorder="1" applyFont="1">
      <alignment vertical="center"/>
    </xf>
    <xf borderId="1" fillId="0" fontId="8" numFmtId="0" xfId="0" applyAlignment="1" applyBorder="1" applyFont="1">
      <alignment horizontal="right" vertical="center"/>
    </xf>
    <xf borderId="1" fillId="0" fontId="9" numFmtId="0" xfId="0" applyAlignment="1" applyBorder="1" applyFont="1">
      <alignment horizontal="right" vertical="center"/>
    </xf>
    <xf borderId="1" fillId="0" fontId="10" numFmtId="0" xfId="0" applyAlignment="1" applyBorder="1" applyFont="1">
      <alignment horizontal="right" vertical="center"/>
    </xf>
    <xf borderId="0" fillId="0" fontId="4" numFmtId="0" xfId="0" applyAlignment="1" applyFont="1">
      <alignment horizontal="right" vertical="center"/>
    </xf>
    <xf borderId="0" fillId="0" fontId="11" numFmtId="0" xfId="0" applyFont="1"/>
    <xf borderId="0" fillId="0" fontId="11" numFmtId="0" xfId="0" applyAlignment="1" applyFont="1">
      <alignment horizontal="right"/>
    </xf>
    <xf borderId="0" fillId="0" fontId="12" numFmtId="164" xfId="0" applyAlignment="1" applyFont="1" applyNumberFormat="1">
      <alignment vertical="center"/>
    </xf>
    <xf borderId="0" fillId="0" fontId="13" numFmtId="164" xfId="0" applyAlignment="1" applyFont="1" applyNumberFormat="1">
      <alignment vertical="center"/>
    </xf>
    <xf borderId="0" fillId="0" fontId="3" numFmtId="0" xfId="0" applyAlignment="1" applyFont="1">
      <alignment vertical="center"/>
    </xf>
    <xf borderId="0" fillId="0" fontId="14" numFmtId="0" xfId="0" applyAlignment="1" applyFont="1">
      <alignment horizontal="right" vertical="center"/>
    </xf>
    <xf borderId="3" fillId="0" fontId="15" numFmtId="165" xfId="0" applyAlignment="1" applyBorder="1" applyFont="1" applyNumberFormat="1">
      <alignment horizontal="center" readingOrder="0" vertical="center"/>
    </xf>
    <xf borderId="4" fillId="0" fontId="16" numFmtId="0" xfId="0" applyBorder="1" applyFont="1"/>
    <xf borderId="0" fillId="0" fontId="3" numFmtId="0" xfId="0" applyAlignment="1" applyFont="1">
      <alignment vertical="center"/>
    </xf>
    <xf borderId="0" fillId="0" fontId="14" numFmtId="0" xfId="0" applyAlignment="1" applyFont="1">
      <alignment horizontal="right" vertical="center"/>
    </xf>
    <xf borderId="0" fillId="0" fontId="17" numFmtId="165" xfId="0" applyAlignment="1" applyFont="1" applyNumberFormat="1">
      <alignment horizontal="center" vertical="center"/>
    </xf>
    <xf borderId="0" fillId="0" fontId="3" numFmtId="165" xfId="0" applyAlignment="1" applyFont="1" applyNumberFormat="1">
      <alignment vertical="center"/>
    </xf>
    <xf borderId="0" fillId="0" fontId="18" numFmtId="0" xfId="0" applyFont="1"/>
    <xf borderId="0" fillId="0" fontId="19" numFmtId="0" xfId="0" applyFont="1"/>
    <xf borderId="0" fillId="0" fontId="20" numFmtId="0" xfId="0" applyFont="1"/>
    <xf borderId="0" fillId="0" fontId="4" numFmtId="0" xfId="0" applyFont="1"/>
    <xf borderId="0" fillId="0" fontId="17" numFmtId="165" xfId="0" applyAlignment="1" applyFont="1" applyNumberFormat="1">
      <alignment horizontal="center" vertical="center"/>
    </xf>
    <xf borderId="0" fillId="0" fontId="4" numFmtId="0" xfId="0" applyFont="1"/>
    <xf borderId="0" fillId="0" fontId="4" numFmtId="0" xfId="0" applyAlignment="1" applyFont="1">
      <alignment horizontal="right"/>
    </xf>
    <xf borderId="0" fillId="0" fontId="4" numFmtId="14" xfId="0" applyAlignment="1" applyFont="1" applyNumberFormat="1">
      <alignment horizontal="center"/>
    </xf>
    <xf borderId="5" fillId="3" fontId="21" numFmtId="166" xfId="0" applyAlignment="1" applyBorder="1" applyFill="1" applyFont="1" applyNumberFormat="1">
      <alignment horizontal="center" shrinkToFit="1" vertical="center" wrapText="0"/>
    </xf>
    <xf borderId="6" fillId="0" fontId="16" numFmtId="0" xfId="0" applyBorder="1" applyFont="1"/>
    <xf borderId="1" fillId="0" fontId="22" numFmtId="0" xfId="0" applyAlignment="1" applyBorder="1" applyFont="1">
      <alignment horizontal="left" readingOrder="0" vertical="center"/>
    </xf>
    <xf borderId="1" fillId="0" fontId="23" numFmtId="0" xfId="0" applyAlignment="1" applyBorder="1" applyFont="1">
      <alignment horizontal="left" vertical="center"/>
    </xf>
    <xf borderId="1" fillId="0" fontId="24" numFmtId="0" xfId="0" applyAlignment="1" applyBorder="1" applyFont="1">
      <alignment horizontal="right" vertical="center"/>
    </xf>
    <xf borderId="1" fillId="0" fontId="24" numFmtId="0" xfId="0" applyAlignment="1" applyBorder="1" applyFont="1">
      <alignment vertical="center"/>
    </xf>
    <xf borderId="7" fillId="4" fontId="1" numFmtId="167" xfId="0" applyAlignment="1" applyBorder="1" applyFill="1" applyFont="1" applyNumberFormat="1">
      <alignment horizontal="left" shrinkToFit="1" vertical="center" wrapText="0"/>
    </xf>
    <xf borderId="8" fillId="4" fontId="25" numFmtId="168" xfId="0" applyAlignment="1" applyBorder="1" applyFont="1" applyNumberFormat="1">
      <alignment horizontal="right" shrinkToFit="1" vertical="center" wrapText="0"/>
    </xf>
    <xf borderId="0" fillId="0" fontId="26" numFmtId="0" xfId="0" applyAlignment="1" applyFont="1">
      <alignment horizontal="left" readingOrder="0" shrinkToFit="1" vertical="center" wrapText="0"/>
    </xf>
    <xf borderId="0" fillId="0" fontId="26" numFmtId="166" xfId="0" applyAlignment="1" applyFont="1" applyNumberFormat="1">
      <alignment horizontal="center" readingOrder="0" shrinkToFit="1" vertical="center" wrapText="0"/>
    </xf>
    <xf borderId="0" fillId="0" fontId="26" numFmtId="166" xfId="0" applyAlignment="1" applyFont="1" applyNumberFormat="1">
      <alignment horizontal="right" readingOrder="0" shrinkToFit="1" vertical="center" wrapText="0"/>
    </xf>
    <xf borderId="9" fillId="4" fontId="1" numFmtId="167" xfId="0" applyAlignment="1" applyBorder="1" applyFont="1" applyNumberFormat="1">
      <alignment horizontal="left" shrinkToFit="1" vertical="center" wrapText="0"/>
    </xf>
    <xf borderId="10" fillId="4" fontId="25" numFmtId="168" xfId="0" applyAlignment="1" applyBorder="1" applyFont="1" applyNumberFormat="1">
      <alignment horizontal="right" shrinkToFit="1" vertical="center" wrapText="0"/>
    </xf>
    <xf borderId="0" fillId="0" fontId="26" numFmtId="0" xfId="0" applyAlignment="1" applyFont="1">
      <alignment horizontal="left" readingOrder="0" shrinkToFit="1" vertical="center" wrapText="0"/>
    </xf>
    <xf borderId="0" fillId="0" fontId="26" numFmtId="166" xfId="0" applyAlignment="1" applyFont="1" applyNumberFormat="1">
      <alignment horizontal="center" readingOrder="0" shrinkToFit="1" vertical="center" wrapText="0"/>
    </xf>
    <xf borderId="0" fillId="0" fontId="26" numFmtId="166" xfId="0" applyAlignment="1" applyFont="1" applyNumberFormat="1">
      <alignment horizontal="right" readingOrder="0" shrinkToFit="1" vertical="center" wrapText="0"/>
    </xf>
    <xf borderId="11" fillId="0" fontId="27" numFmtId="0" xfId="0" applyAlignment="1" applyBorder="1" applyFont="1">
      <alignment horizontal="left" vertical="center"/>
    </xf>
    <xf borderId="12" fillId="0" fontId="27" numFmtId="169" xfId="0" applyAlignment="1" applyBorder="1" applyFont="1" applyNumberFormat="1">
      <alignment horizontal="right" shrinkToFit="1" vertical="center" wrapText="0"/>
    </xf>
    <xf borderId="12" fillId="0" fontId="27" numFmtId="169" xfId="0" applyAlignment="1" applyBorder="1" applyFont="1" applyNumberFormat="1">
      <alignment horizontal="right" readingOrder="0" shrinkToFit="1" vertical="center" wrapText="0"/>
    </xf>
    <xf borderId="11" fillId="0" fontId="27" numFmtId="0" xfId="0" applyAlignment="1" applyBorder="1" applyFont="1">
      <alignment horizontal="left" readingOrder="0" vertical="center"/>
    </xf>
    <xf borderId="13" fillId="5" fontId="28" numFmtId="0" xfId="0" applyAlignment="1" applyBorder="1" applyFill="1" applyFont="1">
      <alignment readingOrder="0" shrinkToFit="0" vertical="center" wrapText="0"/>
    </xf>
    <xf borderId="13" fillId="5" fontId="28" numFmtId="0" xfId="0" applyAlignment="1" applyBorder="1" applyFont="1">
      <alignment horizontal="center" shrinkToFit="0" vertical="center" wrapText="0"/>
    </xf>
    <xf borderId="13" fillId="5" fontId="28" numFmtId="0" xfId="0" applyAlignment="1" applyBorder="1" applyFont="1">
      <alignment horizontal="right" readingOrder="0" shrinkToFit="0" vertical="center" wrapText="0"/>
    </xf>
    <xf borderId="13" fillId="5" fontId="28" numFmtId="169" xfId="0" applyAlignment="1" applyBorder="1" applyFont="1" applyNumberFormat="1">
      <alignment readingOrder="0" shrinkToFit="0" vertical="center" wrapText="0"/>
    </xf>
    <xf borderId="1" fillId="5" fontId="28" numFmtId="170" xfId="0" applyAlignment="1" applyBorder="1" applyFont="1" applyNumberFormat="1">
      <alignment horizontal="center" shrinkToFit="0" vertical="center" wrapText="0"/>
    </xf>
    <xf borderId="0" fillId="0" fontId="3" numFmtId="0" xfId="0" applyAlignment="1" applyFont="1">
      <alignment readingOrder="0" vertical="center"/>
    </xf>
    <xf borderId="13" fillId="5" fontId="28" numFmtId="171" xfId="0" applyAlignment="1" applyBorder="1" applyFont="1" applyNumberFormat="1">
      <alignment readingOrder="0" shrinkToFit="0" vertical="center" wrapText="0"/>
    </xf>
    <xf borderId="14" fillId="2" fontId="29" numFmtId="0" xfId="0" applyAlignment="1" applyBorder="1" applyFont="1">
      <alignment horizontal="left" vertical="center"/>
    </xf>
    <xf borderId="15" fillId="2" fontId="29" numFmtId="169" xfId="0" applyAlignment="1" applyBorder="1" applyFont="1" applyNumberFormat="1">
      <alignment horizontal="right" shrinkToFit="1" vertical="center" wrapText="0"/>
    </xf>
    <xf borderId="0" fillId="0" fontId="4" numFmtId="0" xfId="0" applyAlignment="1" applyFont="1">
      <alignment horizontal="center" vertical="center"/>
    </xf>
    <xf borderId="0" fillId="0" fontId="4" numFmtId="0" xfId="0" applyAlignment="1" applyFont="1">
      <alignment vertical="center"/>
    </xf>
    <xf borderId="13" fillId="5" fontId="28" numFmtId="169" xfId="0" applyAlignment="1" applyBorder="1" applyFont="1" applyNumberFormat="1">
      <alignment horizontal="right" readingOrder="0" shrinkToFit="0" vertical="center" wrapText="0"/>
    </xf>
    <xf borderId="0" fillId="0" fontId="4" numFmtId="0" xfId="0" applyAlignment="1" applyFont="1">
      <alignment readingOrder="0" vertical="center"/>
    </xf>
    <xf borderId="13" fillId="5" fontId="30" numFmtId="0" xfId="0" applyAlignment="1" applyBorder="1" applyFont="1">
      <alignment shrinkToFit="0" vertical="center" wrapText="0"/>
    </xf>
    <xf borderId="13" fillId="5" fontId="31" numFmtId="0" xfId="0" applyAlignment="1" applyBorder="1" applyFont="1">
      <alignment shrinkToFit="0" vertical="center" wrapText="0"/>
    </xf>
    <xf borderId="13" fillId="5" fontId="30" numFmtId="0" xfId="0" applyAlignment="1" applyBorder="1" applyFont="1">
      <alignment horizontal="right" readingOrder="0" shrinkToFit="0" vertical="center" wrapText="0"/>
    </xf>
    <xf borderId="13" fillId="5" fontId="32" numFmtId="169" xfId="0" applyAlignment="1" applyBorder="1" applyFont="1" applyNumberFormat="1">
      <alignment horizontal="right" shrinkToFit="0" vertical="center" wrapText="0"/>
    </xf>
    <xf borderId="13" fillId="5" fontId="28" numFmtId="0" xfId="0" applyAlignment="1" applyBorder="1" applyFont="1">
      <alignment horizontal="right" readingOrder="0" shrinkToFit="0" vertical="center" wrapText="0"/>
    </xf>
    <xf borderId="0" fillId="0" fontId="33" numFmtId="0" xfId="0" applyAlignment="1" applyFont="1">
      <alignment vertical="center"/>
    </xf>
    <xf borderId="13" fillId="0" fontId="27" numFmtId="0" xfId="0" applyAlignment="1" applyBorder="1" applyFont="1">
      <alignment readingOrder="0" shrinkToFit="0" vertical="center" wrapText="0"/>
    </xf>
    <xf borderId="13" fillId="0" fontId="27" numFmtId="0" xfId="0" applyAlignment="1" applyBorder="1" applyFont="1">
      <alignment horizontal="center" shrinkToFit="0" vertical="center" wrapText="0"/>
    </xf>
    <xf borderId="13" fillId="0" fontId="27" numFmtId="0" xfId="0" applyAlignment="1" applyBorder="1" applyFont="1">
      <alignment horizontal="right" readingOrder="0" shrinkToFit="0" vertical="center" wrapText="0"/>
    </xf>
    <xf borderId="13" fillId="0" fontId="27" numFmtId="169" xfId="0" applyAlignment="1" applyBorder="1" applyFont="1" applyNumberFormat="1">
      <alignment readingOrder="0" shrinkToFit="0" vertical="center" wrapText="0"/>
    </xf>
    <xf borderId="1" fillId="0" fontId="27" numFmtId="170" xfId="0" applyAlignment="1" applyBorder="1" applyFont="1" applyNumberFormat="1">
      <alignment horizontal="center" shrinkToFit="0" vertical="center" wrapText="0"/>
    </xf>
    <xf borderId="13" fillId="5" fontId="28" numFmtId="0" xfId="0" applyAlignment="1" applyBorder="1" applyFont="1">
      <alignment horizontal="center" shrinkToFit="0" vertical="center" wrapText="0"/>
    </xf>
    <xf borderId="0" fillId="0" fontId="27" numFmtId="0" xfId="0" applyAlignment="1" applyFont="1">
      <alignment readingOrder="0" shrinkToFit="0" vertical="center" wrapText="0"/>
    </xf>
    <xf borderId="0" fillId="0" fontId="27" numFmtId="0" xfId="0" applyAlignment="1" applyFont="1">
      <alignment horizontal="center" shrinkToFit="0" vertical="center" wrapText="0"/>
    </xf>
    <xf borderId="0" fillId="0" fontId="27" numFmtId="0" xfId="0" applyAlignment="1" applyFont="1">
      <alignment horizontal="right" readingOrder="0" shrinkToFit="0" vertical="center" wrapText="0"/>
    </xf>
    <xf borderId="0" fillId="0" fontId="27" numFmtId="169" xfId="0" applyAlignment="1" applyFont="1" applyNumberFormat="1">
      <alignment readingOrder="0" shrinkToFit="0" vertical="center" wrapText="0"/>
    </xf>
    <xf borderId="0" fillId="0" fontId="27" numFmtId="170" xfId="0" applyAlignment="1" applyFont="1" applyNumberFormat="1">
      <alignment horizontal="center" shrinkToFit="0" vertical="center" wrapText="0"/>
    </xf>
    <xf borderId="0" fillId="5" fontId="28" numFmtId="0" xfId="0" applyAlignment="1" applyFont="1">
      <alignment readingOrder="0" shrinkToFit="0" vertical="center" wrapText="0"/>
    </xf>
    <xf borderId="0" fillId="5" fontId="28" numFmtId="0" xfId="0" applyAlignment="1" applyFont="1">
      <alignment horizontal="center" shrinkToFit="0" vertical="center" wrapText="0"/>
    </xf>
    <xf borderId="0" fillId="5" fontId="28" numFmtId="0" xfId="0" applyAlignment="1" applyFont="1">
      <alignment horizontal="right" readingOrder="0" shrinkToFit="0" vertical="center" wrapText="0"/>
    </xf>
    <xf borderId="0" fillId="5" fontId="28" numFmtId="169" xfId="0" applyAlignment="1" applyFont="1" applyNumberFormat="1">
      <alignment readingOrder="0" shrinkToFit="0" vertical="center" wrapText="0"/>
    </xf>
    <xf borderId="0" fillId="5" fontId="28" numFmtId="170" xfId="0" applyAlignment="1" applyFont="1" applyNumberFormat="1">
      <alignment horizontal="center" shrinkToFit="0" vertical="center" wrapText="0"/>
    </xf>
    <xf borderId="0" fillId="0" fontId="11" numFmtId="0" xfId="0" applyAlignment="1" applyFont="1">
      <alignment horizontal="right"/>
    </xf>
    <xf borderId="0" fillId="0" fontId="26" numFmtId="171" xfId="0" applyAlignment="1" applyFont="1" applyNumberFormat="1">
      <alignment horizontal="center" readingOrder="0" shrinkToFit="1" vertical="center" wrapText="0"/>
    </xf>
    <xf borderId="0" fillId="0" fontId="26" numFmtId="171" xfId="0" applyAlignment="1" applyFont="1" applyNumberFormat="1">
      <alignment horizontal="center" readingOrder="0" shrinkToFit="1" vertical="center" wrapText="0"/>
    </xf>
    <xf borderId="13" fillId="0" fontId="34" numFmtId="0" xfId="0" applyAlignment="1" applyBorder="1" applyFont="1">
      <alignment shrinkToFit="0" vertical="center" wrapText="0"/>
    </xf>
    <xf borderId="13" fillId="0" fontId="35" numFmtId="0" xfId="0" applyAlignment="1" applyBorder="1" applyFont="1">
      <alignment shrinkToFit="0" vertical="center" wrapText="0"/>
    </xf>
    <xf borderId="13" fillId="0" fontId="34" numFmtId="0" xfId="0" applyAlignment="1" applyBorder="1" applyFont="1">
      <alignment horizontal="right" readingOrder="0" shrinkToFit="0" vertical="center" wrapText="0"/>
    </xf>
    <xf borderId="13" fillId="0" fontId="36" numFmtId="169" xfId="0" applyAlignment="1" applyBorder="1" applyFont="1" applyNumberFormat="1">
      <alignment horizontal="right" shrinkToFit="0" vertical="center" wrapText="0"/>
    </xf>
    <xf borderId="1" fillId="0" fontId="27" numFmtId="170" xfId="0" applyAlignment="1" applyBorder="1" applyFont="1" applyNumberFormat="1">
      <alignment horizontal="center" shrinkToFit="0" vertical="center" wrapText="0"/>
    </xf>
    <xf borderId="13" fillId="0" fontId="27" numFmtId="0" xfId="0" applyAlignment="1" applyBorder="1" applyFont="1">
      <alignment readingOrder="0" shrinkToFit="0" vertical="center" wrapText="0"/>
    </xf>
    <xf borderId="13" fillId="0" fontId="27" numFmtId="0" xfId="0" applyAlignment="1" applyBorder="1" applyFont="1">
      <alignment horizontal="center" shrinkToFit="0" vertical="center" wrapText="0"/>
    </xf>
    <xf borderId="13" fillId="0" fontId="27" numFmtId="0" xfId="0" applyAlignment="1" applyBorder="1" applyFont="1">
      <alignment horizontal="right" readingOrder="0" shrinkToFit="0" vertical="center" wrapText="0"/>
    </xf>
    <xf borderId="13" fillId="0" fontId="27" numFmtId="169" xfId="0" applyAlignment="1" applyBorder="1" applyFont="1" applyNumberFormat="1">
      <alignment horizontal="right" readingOrder="0" shrinkToFit="0" vertical="center" wrapText="0"/>
    </xf>
    <xf borderId="13" fillId="0" fontId="27" numFmtId="0" xfId="0" applyAlignment="1" applyBorder="1" applyFont="1">
      <alignment horizontal="center" readingOrder="0" shrinkToFit="0" vertical="center" wrapText="0"/>
    </xf>
    <xf borderId="13" fillId="0" fontId="27" numFmtId="171" xfId="0" applyAlignment="1" applyBorder="1" applyFont="1" applyNumberFormat="1">
      <alignment horizontal="right" readingOrder="0" shrinkToFit="0" vertical="center" wrapText="0"/>
    </xf>
    <xf borderId="0" fillId="0" fontId="11" numFmtId="0" xfId="0" applyAlignment="1" applyFont="1">
      <alignment readingOrder="0"/>
    </xf>
    <xf borderId="0" fillId="0" fontId="11" numFmtId="0" xfId="0" applyAlignment="1" applyFont="1">
      <alignment readingOrder="0"/>
    </xf>
    <xf borderId="0" fillId="0" fontId="11" numFmtId="0" xfId="0" applyAlignment="1" applyFont="1">
      <alignment readingOrder="0"/>
    </xf>
    <xf borderId="13" fillId="0" fontId="34" numFmtId="0" xfId="0" applyAlignment="1" applyBorder="1" applyFont="1">
      <alignment horizontal="right" shrinkToFit="0" vertical="center" wrapText="0"/>
    </xf>
    <xf borderId="13" fillId="0" fontId="27" numFmtId="0" xfId="0" applyAlignment="1" applyBorder="1" applyFont="1">
      <alignment horizontal="center" shrinkToFit="0" vertical="center" wrapText="0"/>
    </xf>
    <xf borderId="13" fillId="0" fontId="27" numFmtId="169" xfId="0" applyAlignment="1" applyBorder="1" applyFont="1" applyNumberFormat="1">
      <alignment horizontal="right" readingOrder="0" shrinkToFit="0" vertical="center" wrapText="0"/>
    </xf>
    <xf borderId="13" fillId="0" fontId="27" numFmtId="171" xfId="0" applyAlignment="1" applyBorder="1" applyFont="1" applyNumberFormat="1">
      <alignment horizontal="right" readingOrder="0" shrinkToFit="0" vertical="center" wrapText="0"/>
    </xf>
    <xf borderId="0" fillId="0" fontId="27" numFmtId="0" xfId="0" applyAlignment="1" applyFont="1">
      <alignment readingOrder="0" shrinkToFit="0" vertical="center" wrapText="0"/>
    </xf>
    <xf borderId="0" fillId="0" fontId="27" numFmtId="0" xfId="0" applyAlignment="1" applyFont="1">
      <alignment horizontal="center" shrinkToFit="0" vertical="center" wrapText="0"/>
    </xf>
    <xf borderId="0" fillId="0" fontId="27" numFmtId="0" xfId="0" applyAlignment="1" applyFont="1">
      <alignment horizontal="right" readingOrder="0" shrinkToFit="0" vertical="center" wrapText="0"/>
    </xf>
    <xf borderId="0" fillId="0" fontId="27" numFmtId="171" xfId="0" applyAlignment="1" applyFont="1" applyNumberFormat="1">
      <alignment horizontal="right" readingOrder="0" shrinkToFit="0" vertical="center" wrapText="0"/>
    </xf>
    <xf borderId="0" fillId="0" fontId="27" numFmtId="170" xfId="0" applyAlignment="1" applyFont="1" applyNumberFormat="1">
      <alignment horizontal="center" shrinkToFit="0" vertical="center" wrapText="0"/>
    </xf>
    <xf borderId="0" fillId="0" fontId="37" numFmtId="0" xfId="0" applyAlignment="1" applyFont="1">
      <alignment horizontal="left" readingOrder="0" shrinkToFit="0" vertical="center" wrapText="0"/>
    </xf>
    <xf borderId="0" fillId="0" fontId="37" numFmtId="0" xfId="0" applyAlignment="1" applyFont="1">
      <alignment horizontal="left" readingOrder="0" shrinkToFit="0" vertical="center" wrapText="0"/>
    </xf>
    <xf borderId="0" fillId="6" fontId="37" numFmtId="0" xfId="0" applyAlignment="1" applyFill="1" applyFont="1">
      <alignment horizontal="left" readingOrder="0" shrinkToFit="0" vertical="center" wrapText="0"/>
    </xf>
    <xf borderId="0" fillId="6" fontId="38" numFmtId="0" xfId="0" applyAlignment="1" applyFont="1">
      <alignment horizontal="right" readingOrder="0" shrinkToFit="0" vertical="center" wrapText="0"/>
    </xf>
    <xf borderId="0" fillId="0" fontId="39" numFmtId="0" xfId="0" applyFont="1"/>
    <xf borderId="16" fillId="0" fontId="40" numFmtId="0" xfId="0" applyAlignment="1" applyBorder="1" applyFont="1">
      <alignment readingOrder="0" shrinkToFit="0" vertical="bottom" wrapText="0"/>
    </xf>
    <xf borderId="0" fillId="0" fontId="39" numFmtId="0" xfId="0" applyFont="1"/>
    <xf borderId="0" fillId="0" fontId="41" numFmtId="0" xfId="0" applyAlignment="1" applyFont="1">
      <alignment horizontal="left" shrinkToFit="0" vertical="bottom" wrapText="0"/>
    </xf>
    <xf borderId="0" fillId="0" fontId="42" numFmtId="0" xfId="0" applyAlignment="1" applyFont="1">
      <alignment shrinkToFit="0" vertical="bottom" wrapText="0"/>
    </xf>
    <xf borderId="0" fillId="7" fontId="42" numFmtId="0" xfId="0" applyAlignment="1" applyFill="1" applyFont="1">
      <alignment shrinkToFit="0" vertical="bottom" wrapText="0"/>
    </xf>
    <xf borderId="0" fillId="7" fontId="43" numFmtId="0" xfId="0" applyAlignment="1" applyFont="1">
      <alignment horizontal="center" shrinkToFit="0" vertical="bottom" wrapText="0"/>
    </xf>
    <xf borderId="0" fillId="0" fontId="44" numFmtId="0" xfId="0" applyAlignment="1" applyFont="1">
      <alignment readingOrder="0" shrinkToFit="0" vertical="bottom" wrapText="0"/>
    </xf>
    <xf borderId="17" fillId="0" fontId="42" numFmtId="0" xfId="0" applyAlignment="1" applyBorder="1" applyFont="1">
      <alignment shrinkToFit="0" vertical="bottom" wrapText="0"/>
    </xf>
    <xf borderId="18" fillId="0" fontId="45" numFmtId="0" xfId="0" applyAlignment="1" applyBorder="1" applyFont="1">
      <alignment horizontal="right" readingOrder="0" shrinkToFit="0" vertical="center" wrapText="0"/>
    </xf>
    <xf borderId="19" fillId="0" fontId="45" numFmtId="172" xfId="0" applyAlignment="1" applyBorder="1" applyFont="1" applyNumberFormat="1">
      <alignment horizontal="center" readingOrder="0" shrinkToFit="0" vertical="center" wrapText="0"/>
    </xf>
    <xf borderId="20" fillId="0" fontId="42" numFmtId="0" xfId="0" applyAlignment="1" applyBorder="1" applyFont="1">
      <alignment shrinkToFit="0" vertical="bottom" wrapText="0"/>
    </xf>
    <xf borderId="0" fillId="7" fontId="42" numFmtId="0" xfId="0" applyAlignment="1" applyFont="1">
      <alignment horizontal="right" shrinkToFit="0" vertical="bottom" wrapText="0"/>
    </xf>
    <xf borderId="0" fillId="0" fontId="44" numFmtId="0" xfId="0" applyAlignment="1" applyFont="1">
      <alignment readingOrder="0" shrinkToFit="0" vertical="bottom" wrapText="0"/>
    </xf>
    <xf borderId="21" fillId="0" fontId="42" numFmtId="0" xfId="0" applyAlignment="1" applyBorder="1" applyFont="1">
      <alignment shrinkToFit="0" vertical="bottom" wrapText="0"/>
    </xf>
    <xf borderId="0" fillId="0" fontId="45" numFmtId="0" xfId="0" applyAlignment="1" applyFont="1">
      <alignment horizontal="left" readingOrder="0" shrinkToFit="0" vertical="bottom" wrapText="0"/>
    </xf>
    <xf borderId="0" fillId="0" fontId="42" numFmtId="0" xfId="0" applyAlignment="1" applyFont="1">
      <alignment horizontal="right" readingOrder="0" shrinkToFit="0" vertical="bottom" wrapText="0"/>
    </xf>
    <xf borderId="17" fillId="8" fontId="46" numFmtId="0" xfId="0" applyAlignment="1" applyBorder="1" applyFill="1" applyFont="1">
      <alignment horizontal="center" readingOrder="0" vertical="bottom"/>
    </xf>
    <xf borderId="17" fillId="8" fontId="46" numFmtId="0" xfId="0" applyAlignment="1" applyBorder="1" applyFont="1">
      <alignment horizontal="center" readingOrder="0" vertical="bottom"/>
    </xf>
    <xf borderId="0" fillId="7" fontId="47" numFmtId="0" xfId="0" applyAlignment="1" applyFont="1">
      <alignment horizontal="right" readingOrder="0" shrinkToFit="0" vertical="bottom" wrapText="0"/>
    </xf>
    <xf borderId="18" fillId="0" fontId="42" numFmtId="0" xfId="0" applyAlignment="1" applyBorder="1" applyFont="1">
      <alignment readingOrder="0" shrinkToFit="0" vertical="bottom" wrapText="0"/>
    </xf>
    <xf borderId="19" fillId="0" fontId="48" numFmtId="0" xfId="0" applyAlignment="1" applyBorder="1" applyFont="1">
      <alignment readingOrder="0" shrinkToFit="0" vertical="bottom" wrapText="0"/>
    </xf>
    <xf borderId="19" fillId="0" fontId="48" numFmtId="171" xfId="0" applyAlignment="1" applyBorder="1" applyFont="1" applyNumberFormat="1">
      <alignment horizontal="right" readingOrder="0" shrinkToFit="0" vertical="bottom" wrapText="0"/>
    </xf>
    <xf borderId="19" fillId="0" fontId="48" numFmtId="173" xfId="0" applyAlignment="1" applyBorder="1" applyFont="1" applyNumberFormat="1">
      <alignment horizontal="right" shrinkToFit="0" vertical="bottom" wrapText="0"/>
    </xf>
    <xf borderId="19" fillId="0" fontId="48" numFmtId="171" xfId="0" applyAlignment="1" applyBorder="1" applyFont="1" applyNumberFormat="1">
      <alignment horizontal="right" shrinkToFit="0" vertical="bottom" wrapText="0"/>
    </xf>
    <xf borderId="19" fillId="0" fontId="42" numFmtId="0" xfId="0" applyAlignment="1" applyBorder="1" applyFont="1">
      <alignment horizontal="center" readingOrder="0" shrinkToFit="0" vertical="bottom" wrapText="0"/>
    </xf>
    <xf borderId="20" fillId="7" fontId="38" numFmtId="174" xfId="0" applyAlignment="1" applyBorder="1" applyFont="1" applyNumberFormat="1">
      <alignment shrinkToFit="0" vertical="bottom" wrapText="0"/>
    </xf>
    <xf borderId="18" fillId="0" fontId="42" numFmtId="0" xfId="0" applyAlignment="1" applyBorder="1" applyFont="1">
      <alignment shrinkToFit="0" vertical="bottom" wrapText="0"/>
    </xf>
    <xf borderId="19" fillId="0" fontId="48" numFmtId="171" xfId="0" applyAlignment="1" applyBorder="1" applyFont="1" applyNumberFormat="1">
      <alignment horizontal="right" readingOrder="0" shrinkToFit="0" vertical="bottom" wrapText="0"/>
    </xf>
    <xf borderId="16" fillId="0" fontId="40" numFmtId="0" xfId="0" applyAlignment="1" applyBorder="1" applyFont="1">
      <alignment readingOrder="0" shrinkToFit="0" vertical="bottom" wrapText="0"/>
    </xf>
    <xf borderId="19" fillId="0" fontId="42" numFmtId="171" xfId="0" applyAlignment="1" applyBorder="1" applyFont="1" applyNumberFormat="1">
      <alignment readingOrder="0" shrinkToFit="0" vertical="bottom" wrapText="0"/>
    </xf>
    <xf borderId="19" fillId="0" fontId="42" numFmtId="173" xfId="0" applyAlignment="1" applyBorder="1" applyFont="1" applyNumberFormat="1">
      <alignment readingOrder="0" shrinkToFit="0" vertical="bottom" wrapText="0"/>
    </xf>
    <xf borderId="19" fillId="0" fontId="42" numFmtId="171" xfId="0" applyAlignment="1" applyBorder="1" applyFont="1" applyNumberFormat="1">
      <alignment readingOrder="0" shrinkToFit="0" vertical="bottom" wrapText="0"/>
    </xf>
    <xf borderId="19" fillId="0" fontId="42" numFmtId="0" xfId="0" applyAlignment="1" applyBorder="1" applyFont="1">
      <alignment horizontal="center" shrinkToFit="0" vertical="bottom" wrapText="0"/>
    </xf>
    <xf borderId="0" fillId="0" fontId="39" numFmtId="0" xfId="0" applyAlignment="1" applyFont="1">
      <alignment readingOrder="0"/>
    </xf>
    <xf borderId="19" fillId="0" fontId="42" numFmtId="0" xfId="0" applyAlignment="1" applyBorder="1" applyFont="1">
      <alignment readingOrder="0" shrinkToFit="0" vertical="bottom" wrapText="0"/>
    </xf>
    <xf borderId="19" fillId="0" fontId="42" numFmtId="0" xfId="0" applyAlignment="1" applyBorder="1" applyFont="1">
      <alignment horizontal="center" readingOrder="0" shrinkToFit="0" vertical="bottom" wrapText="0"/>
    </xf>
    <xf borderId="0" fillId="0" fontId="42" numFmtId="0" xfId="0" applyAlignment="1" applyFont="1">
      <alignment readingOrder="0" shrinkToFit="0" vertical="bottom" wrapText="0"/>
    </xf>
    <xf borderId="0" fillId="0" fontId="39" numFmtId="3" xfId="0" applyAlignment="1" applyFont="1" applyNumberFormat="1">
      <alignment readingOrder="0"/>
    </xf>
    <xf borderId="19" fillId="0" fontId="48" numFmtId="0" xfId="0" applyAlignment="1" applyBorder="1" applyFont="1">
      <alignment shrinkToFit="0" vertical="bottom" wrapText="0"/>
    </xf>
    <xf borderId="19" fillId="0" fontId="48" numFmtId="173" xfId="0" applyAlignment="1" applyBorder="1" applyFont="1" applyNumberFormat="1">
      <alignment horizontal="right" readingOrder="0" shrinkToFit="0" vertical="bottom" wrapText="0"/>
    </xf>
    <xf borderId="19" fillId="0" fontId="48" numFmtId="171" xfId="0" applyAlignment="1" applyBorder="1" applyFont="1" applyNumberFormat="1">
      <alignment horizontal="right" shrinkToFit="0" vertical="bottom" wrapText="0"/>
    </xf>
    <xf borderId="0" fillId="0" fontId="42" numFmtId="0" xfId="0" applyAlignment="1" applyFont="1">
      <alignment readingOrder="0" shrinkToFit="0" vertical="bottom" wrapText="0"/>
    </xf>
    <xf borderId="21" fillId="0" fontId="42" numFmtId="0" xfId="0" applyAlignment="1" applyBorder="1" applyFont="1">
      <alignment horizontal="right" readingOrder="0" shrinkToFit="0" vertical="bottom" wrapText="0"/>
    </xf>
    <xf borderId="21" fillId="0" fontId="42" numFmtId="174" xfId="0" applyAlignment="1" applyBorder="1" applyFont="1" applyNumberFormat="1">
      <alignment horizontal="center" shrinkToFit="0" vertical="bottom" wrapText="0"/>
    </xf>
    <xf borderId="21" fillId="6" fontId="42" numFmtId="174" xfId="0" applyAlignment="1" applyBorder="1" applyFont="1" applyNumberFormat="1">
      <alignment horizontal="center" shrinkToFit="0" vertical="bottom" wrapText="0"/>
    </xf>
    <xf borderId="21" fillId="7" fontId="42" numFmtId="0" xfId="0" applyAlignment="1" applyBorder="1" applyFont="1">
      <alignment horizontal="right" shrinkToFit="0" vertical="bottom" wrapText="0"/>
    </xf>
    <xf borderId="0" fillId="7" fontId="38" numFmtId="2" xfId="0" applyAlignment="1" applyFont="1" applyNumberFormat="1">
      <alignment shrinkToFit="0" vertical="bottom" wrapText="0"/>
    </xf>
    <xf borderId="17" fillId="0" fontId="49" numFmtId="0" xfId="0" applyAlignment="1" applyBorder="1" applyFont="1">
      <alignment horizontal="right" shrinkToFit="0" vertical="bottom" wrapText="0"/>
    </xf>
    <xf borderId="0" fillId="0" fontId="45" numFmtId="0" xfId="0" applyAlignment="1" applyFont="1">
      <alignment horizontal="right" shrinkToFit="0" vertical="bottom" wrapText="0"/>
    </xf>
    <xf borderId="0" fillId="7" fontId="45" numFmtId="0" xfId="0" applyAlignment="1" applyFont="1">
      <alignment horizontal="right" shrinkToFit="0" vertical="bottom" wrapText="0"/>
    </xf>
    <xf borderId="0" fillId="0" fontId="49" numFmtId="0" xfId="0" applyAlignment="1" applyFont="1">
      <alignment horizontal="right" readingOrder="0" shrinkToFit="0" vertical="center" wrapText="0"/>
    </xf>
    <xf borderId="18" fillId="0" fontId="16" numFmtId="0" xfId="0" applyBorder="1" applyFont="1"/>
    <xf borderId="19" fillId="0" fontId="50" numFmtId="4" xfId="0" applyAlignment="1" applyBorder="1" applyFont="1" applyNumberFormat="1">
      <alignment horizontal="right" readingOrder="0" shrinkToFit="0" vertical="center" wrapText="0"/>
    </xf>
    <xf borderId="20" fillId="0" fontId="51" numFmtId="0" xfId="0" applyAlignment="1" applyBorder="1" applyFont="1">
      <alignment shrinkToFit="0" vertical="bottom" wrapText="0"/>
    </xf>
    <xf borderId="0" fillId="0" fontId="49" numFmtId="0" xfId="0" applyAlignment="1" applyFont="1">
      <alignment horizontal="right" readingOrder="0" shrinkToFit="0" vertical="bottom" wrapText="0"/>
    </xf>
    <xf borderId="21" fillId="0" fontId="50" numFmtId="4" xfId="0" applyAlignment="1" applyBorder="1" applyFont="1" applyNumberFormat="1">
      <alignment horizontal="right" readingOrder="0" shrinkToFit="0" vertical="center" wrapText="0"/>
    </xf>
    <xf borderId="17" fillId="7" fontId="42" numFmtId="0" xfId="0" applyAlignment="1" applyBorder="1" applyFont="1">
      <alignment shrinkToFit="0" vertical="bottom" wrapText="0"/>
    </xf>
    <xf borderId="18" fillId="0" fontId="49" numFmtId="0" xfId="0" applyAlignment="1" applyBorder="1" applyFont="1">
      <alignment horizontal="right" readingOrder="0" shrinkToFit="0" vertical="bottom" wrapText="0"/>
    </xf>
    <xf borderId="22" fillId="0" fontId="52" numFmtId="0" xfId="0" applyAlignment="1" applyBorder="1" applyFont="1">
      <alignment horizontal="left" readingOrder="0" shrinkToFit="0" vertical="center" wrapText="0"/>
    </xf>
    <xf borderId="23" fillId="0" fontId="16" numFmtId="0" xfId="0" applyBorder="1" applyFont="1"/>
    <xf borderId="24" fillId="0" fontId="16" numFmtId="0" xfId="0" applyBorder="1" applyFont="1"/>
    <xf borderId="20" fillId="7" fontId="53" numFmtId="0" xfId="0" applyAlignment="1" applyBorder="1" applyFont="1">
      <alignment shrinkToFit="0" vertical="bottom" wrapText="0"/>
    </xf>
    <xf borderId="21" fillId="7" fontId="42" numFmtId="0" xfId="0" applyAlignment="1" applyBorder="1" applyFont="1">
      <alignment shrinkToFit="0" vertical="bottom" wrapText="0"/>
    </xf>
    <xf borderId="0" fillId="7" fontId="54" numFmtId="0" xfId="0" applyAlignment="1" applyFont="1">
      <alignment shrinkToFit="0" vertical="bottom" wrapText="0"/>
    </xf>
    <xf borderId="0" fillId="0" fontId="47" numFmtId="0" xfId="0" applyAlignment="1" applyFont="1">
      <alignment horizontal="left" readingOrder="0" shrinkToFit="0" vertical="bottom" wrapText="0"/>
    </xf>
    <xf borderId="0" fillId="7" fontId="55" numFmtId="0" xfId="0" applyAlignment="1" applyFont="1">
      <alignment horizontal="center" shrinkToFit="0" vertical="bottom" wrapText="0"/>
    </xf>
    <xf borderId="0" fillId="0" fontId="46" numFmtId="0" xfId="0" applyAlignment="1" applyFont="1">
      <alignment horizontal="center" readingOrder="0" vertical="bottom"/>
    </xf>
    <xf borderId="0" fillId="8" fontId="46" numFmtId="0" xfId="0" applyAlignment="1" applyFont="1">
      <alignment horizontal="center" readingOrder="0" vertical="bottom"/>
    </xf>
    <xf borderId="0" fillId="8" fontId="46" numFmtId="0" xfId="0" applyAlignment="1" applyFont="1">
      <alignment horizontal="center" readingOrder="0" vertical="bottom"/>
    </xf>
    <xf borderId="25" fillId="0" fontId="46" numFmtId="0" xfId="0" applyAlignment="1" applyBorder="1" applyFont="1">
      <alignment horizontal="center" readingOrder="0" vertical="bottom"/>
    </xf>
    <xf borderId="25" fillId="8" fontId="46" numFmtId="0" xfId="0" applyAlignment="1" applyBorder="1" applyFont="1">
      <alignment horizontal="center" readingOrder="0" vertical="bottom"/>
    </xf>
    <xf borderId="0" fillId="7" fontId="38" numFmtId="0" xfId="0" applyAlignment="1" applyFont="1">
      <alignment shrinkToFit="0" vertical="bottom" wrapText="0"/>
    </xf>
    <xf borderId="26" fillId="0" fontId="42" numFmtId="0" xfId="0" applyAlignment="1" applyBorder="1" applyFont="1">
      <alignment shrinkToFit="0" vertical="bottom" wrapText="0"/>
    </xf>
    <xf borderId="27" fillId="0" fontId="42" numFmtId="0" xfId="0" applyAlignment="1" applyBorder="1" applyFont="1">
      <alignment readingOrder="0" shrinkToFit="0" vertical="bottom" wrapText="0"/>
    </xf>
    <xf borderId="27" fillId="0" fontId="42" numFmtId="174" xfId="0" applyAlignment="1" applyBorder="1" applyFont="1" applyNumberFormat="1">
      <alignment shrinkToFit="0" vertical="bottom" wrapText="0"/>
    </xf>
    <xf borderId="27" fillId="9" fontId="42" numFmtId="175" xfId="0" applyAlignment="1" applyBorder="1" applyFill="1" applyFont="1" applyNumberFormat="1">
      <alignment horizontal="center" shrinkToFit="0" vertical="bottom" wrapText="0"/>
    </xf>
    <xf borderId="27" fillId="9" fontId="42" numFmtId="176" xfId="0" applyAlignment="1" applyBorder="1" applyFont="1" applyNumberFormat="1">
      <alignment horizontal="center" shrinkToFit="0" vertical="bottom" wrapText="0"/>
    </xf>
    <xf borderId="28" fillId="7" fontId="56" numFmtId="0" xfId="0" applyAlignment="1" applyBorder="1" applyFont="1">
      <alignment shrinkToFit="0" vertical="bottom" wrapText="0"/>
    </xf>
    <xf borderId="27" fillId="0" fontId="42" numFmtId="0" xfId="0" applyAlignment="1" applyBorder="1" applyFont="1">
      <alignment shrinkToFit="0" vertical="bottom" wrapText="0"/>
    </xf>
    <xf borderId="0" fillId="0" fontId="42" numFmtId="0" xfId="0" applyAlignment="1" applyFont="1">
      <alignment shrinkToFit="0" vertical="bottom" wrapText="0"/>
    </xf>
    <xf borderId="29" fillId="0" fontId="42" numFmtId="0" xfId="0" applyAlignment="1" applyBorder="1" applyFont="1">
      <alignment shrinkToFit="0" vertical="bottom" wrapText="0"/>
    </xf>
    <xf borderId="29" fillId="0" fontId="50" numFmtId="0" xfId="0" applyAlignment="1" applyBorder="1" applyFont="1">
      <alignment horizontal="right" readingOrder="0" shrinkToFit="0" vertical="center" wrapText="0"/>
    </xf>
    <xf borderId="29" fillId="0" fontId="50" numFmtId="4" xfId="0" applyAlignment="1" applyBorder="1" applyFont="1" applyNumberFormat="1">
      <alignment horizontal="right" shrinkToFit="0" vertical="center" wrapText="0"/>
    </xf>
    <xf borderId="29" fillId="7" fontId="42" numFmtId="0" xfId="0" applyAlignment="1" applyBorder="1" applyFont="1">
      <alignment readingOrder="0" shrinkToFit="0" vertical="center" wrapText="0"/>
    </xf>
    <xf borderId="29" fillId="0" fontId="16" numFmtId="0" xfId="0" applyBorder="1" applyFont="1"/>
    <xf borderId="0" fillId="0" fontId="38" numFmtId="0" xfId="0" applyAlignment="1" applyFont="1">
      <alignment shrinkToFit="0" vertical="bottom" wrapText="0"/>
    </xf>
    <xf borderId="0" fillId="0" fontId="57" numFmtId="0" xfId="0" applyAlignment="1" applyFont="1">
      <alignment readingOrder="0" shrinkToFit="0" vertical="bottom" wrapText="0"/>
    </xf>
    <xf borderId="0" fillId="0" fontId="58" numFmtId="0" xfId="0" applyAlignment="1" applyFont="1">
      <alignment horizontal="center"/>
    </xf>
    <xf borderId="0" fillId="10" fontId="39" numFmtId="0" xfId="0" applyFill="1" applyFont="1"/>
    <xf borderId="0" fillId="10" fontId="38" numFmtId="0" xfId="0" applyAlignment="1" applyFont="1">
      <alignment horizontal="center"/>
    </xf>
    <xf borderId="0" fillId="0" fontId="39" numFmtId="0" xfId="0" applyAlignment="1" applyFont="1">
      <alignment vertical="bottom"/>
    </xf>
    <xf borderId="0" fillId="0" fontId="39" numFmtId="0" xfId="0" applyAlignment="1" applyFont="1">
      <alignment vertical="bottom"/>
    </xf>
    <xf borderId="0" fillId="0" fontId="59" numFmtId="0" xfId="0" applyAlignment="1" applyFont="1">
      <alignment horizontal="center" vertical="bottom"/>
    </xf>
    <xf borderId="0" fillId="10" fontId="39" numFmtId="0" xfId="0" applyAlignment="1" applyFont="1">
      <alignment vertical="bottom"/>
    </xf>
    <xf borderId="0" fillId="10" fontId="60" numFmtId="0" xfId="0" applyAlignment="1" applyFont="1">
      <alignment horizontal="center" vertical="bottom"/>
    </xf>
    <xf borderId="0" fillId="0" fontId="39" numFmtId="0" xfId="0" applyAlignment="1" applyFont="1">
      <alignment vertical="bottom"/>
    </xf>
    <xf borderId="0" fillId="0" fontId="61" numFmtId="0" xfId="0" applyAlignment="1" applyFont="1">
      <alignment horizontal="center" vertical="bottom"/>
    </xf>
    <xf borderId="0" fillId="0" fontId="49" numFmtId="0" xfId="0" applyAlignment="1" applyFont="1">
      <alignment horizontal="center" vertical="bottom"/>
    </xf>
    <xf borderId="0" fillId="0" fontId="49" numFmtId="2" xfId="0" applyAlignment="1" applyFont="1" applyNumberFormat="1">
      <alignment horizontal="center" vertical="bottom"/>
    </xf>
    <xf borderId="0" fillId="0" fontId="39" numFmtId="0" xfId="0" applyAlignment="1" applyFont="1">
      <alignment horizontal="center" vertical="bottom"/>
    </xf>
    <xf borderId="0" fillId="0" fontId="62" numFmtId="0" xfId="0" applyAlignment="1" applyFont="1">
      <alignment horizontal="center"/>
    </xf>
    <xf borderId="0" fillId="9" fontId="62" numFmtId="0" xfId="0" applyAlignment="1" applyFont="1">
      <alignment horizontal="center"/>
    </xf>
    <xf borderId="0" fillId="0" fontId="62" numFmtId="0" xfId="0" applyAlignment="1" applyFont="1">
      <alignment horizontal="center"/>
    </xf>
    <xf borderId="0" fillId="9" fontId="39" numFmtId="0" xfId="0" applyFont="1"/>
    <xf borderId="0" fillId="0" fontId="35" numFmtId="0" xfId="0" applyAlignment="1" applyFont="1">
      <alignment horizontal="right"/>
    </xf>
    <xf borderId="0" fillId="0" fontId="39" numFmtId="0" xfId="0" applyAlignment="1" applyFont="1">
      <alignment horizontal="center" vertical="bottom"/>
    </xf>
    <xf borderId="0" fillId="0" fontId="38" numFmtId="0" xfId="0" applyAlignment="1" applyFont="1">
      <alignment horizontal="center" vertical="bottom"/>
    </xf>
    <xf borderId="0" fillId="0" fontId="38" numFmtId="174" xfId="0" applyAlignment="1" applyFont="1" applyNumberFormat="1">
      <alignment horizontal="center" vertical="bottom"/>
    </xf>
    <xf borderId="0" fillId="0" fontId="38" numFmtId="174" xfId="0" applyAlignment="1" applyFont="1" applyNumberFormat="1">
      <alignment horizontal="center" vertical="bottom"/>
    </xf>
    <xf borderId="0" fillId="0" fontId="39" numFmtId="174" xfId="0" applyAlignment="1" applyFont="1" applyNumberFormat="1">
      <alignment vertical="bottom"/>
    </xf>
    <xf borderId="0" fillId="0" fontId="38" numFmtId="177" xfId="0" applyAlignment="1" applyFont="1" applyNumberFormat="1">
      <alignment horizontal="center" vertical="bottom"/>
    </xf>
    <xf borderId="0" fillId="0" fontId="38" numFmtId="177" xfId="0" applyAlignment="1" applyFont="1" applyNumberFormat="1">
      <alignment horizontal="center" vertical="bottom"/>
    </xf>
    <xf borderId="0" fillId="0" fontId="39" numFmtId="177" xfId="0" applyAlignment="1" applyFont="1" applyNumberFormat="1">
      <alignment vertical="bottom"/>
    </xf>
    <xf borderId="0" fillId="0" fontId="38" numFmtId="178" xfId="0" applyAlignment="1" applyFont="1" applyNumberFormat="1">
      <alignment horizontal="center" vertical="bottom"/>
    </xf>
    <xf borderId="0" fillId="0" fontId="38" numFmtId="178" xfId="0" applyAlignment="1" applyFont="1" applyNumberFormat="1">
      <alignment horizontal="center" vertical="bottom"/>
    </xf>
    <xf borderId="0" fillId="0" fontId="39" numFmtId="179" xfId="0" applyAlignment="1" applyFont="1" applyNumberFormat="1">
      <alignment horizontal="center" vertical="bottom"/>
    </xf>
    <xf borderId="0" fillId="0" fontId="38" numFmtId="180" xfId="0" applyAlignment="1" applyFont="1" applyNumberFormat="1">
      <alignment horizontal="center" vertical="bottom"/>
    </xf>
    <xf borderId="0" fillId="0" fontId="38" numFmtId="180" xfId="0" applyAlignment="1" applyFont="1" applyNumberFormat="1">
      <alignment horizontal="center" vertical="bottom"/>
    </xf>
    <xf borderId="0" fillId="0" fontId="39" numFmtId="180" xfId="0" applyAlignment="1" applyFont="1" applyNumberFormat="1">
      <alignment vertical="bottom"/>
    </xf>
    <xf borderId="0" fillId="0" fontId="39" numFmtId="180" xfId="0" applyAlignment="1" applyFont="1" applyNumberFormat="1">
      <alignment vertical="bottom"/>
    </xf>
    <xf borderId="0" fillId="0" fontId="63" numFmtId="0" xfId="0" applyAlignment="1" applyFont="1">
      <alignment horizontal="center" vertical="bottom"/>
    </xf>
    <xf borderId="0" fillId="0" fontId="63" numFmtId="0" xfId="0" applyAlignment="1" applyFont="1">
      <alignment horizontal="center" vertical="bottom"/>
    </xf>
    <xf borderId="0" fillId="0" fontId="49" numFmtId="181" xfId="0" applyAlignment="1" applyFont="1" applyNumberFormat="1">
      <alignment horizontal="center" vertical="bottom"/>
    </xf>
    <xf borderId="0" fillId="0" fontId="64" numFmtId="0" xfId="0" applyAlignment="1" applyFont="1">
      <alignment horizontal="center" vertical="bottom"/>
    </xf>
    <xf borderId="30" fillId="0" fontId="62" numFmtId="0" xfId="0" applyAlignment="1" applyBorder="1" applyFont="1">
      <alignment horizontal="center"/>
    </xf>
    <xf borderId="30" fillId="7" fontId="62" numFmtId="0" xfId="0" applyAlignment="1" applyBorder="1" applyFont="1">
      <alignment horizontal="center"/>
    </xf>
    <xf borderId="30" fillId="0" fontId="62" numFmtId="0" xfId="0" applyAlignment="1" applyBorder="1" applyFont="1">
      <alignment horizontal="center"/>
    </xf>
    <xf borderId="30" fillId="0" fontId="39" numFmtId="0" xfId="0" applyBorder="1" applyFont="1"/>
    <xf borderId="30" fillId="7" fontId="39" numFmtId="0" xfId="0" applyBorder="1" applyFont="1"/>
    <xf borderId="30" fillId="7" fontId="38" numFmtId="0" xfId="0" applyAlignment="1" applyBorder="1" applyFont="1">
      <alignment horizontal="center" vertical="bottom"/>
    </xf>
    <xf borderId="30" fillId="7" fontId="39" numFmtId="0" xfId="0" applyAlignment="1" applyBorder="1" applyFont="1">
      <alignment vertical="bottom"/>
    </xf>
    <xf borderId="0" fillId="7" fontId="65" numFmtId="0" xfId="0" applyAlignment="1" applyFont="1">
      <alignment horizontal="center" shrinkToFit="0" vertical="bottom" wrapText="1"/>
    </xf>
    <xf borderId="30" fillId="7" fontId="65" numFmtId="0" xfId="0" applyAlignment="1" applyBorder="1" applyFont="1">
      <alignment horizontal="center" vertical="bottom"/>
    </xf>
    <xf borderId="31" fillId="0" fontId="39" numFmtId="0" xfId="0" applyAlignment="1" applyBorder="1" applyFont="1">
      <alignment vertical="bottom"/>
    </xf>
    <xf borderId="31" fillId="0" fontId="39" numFmtId="180" xfId="0" applyAlignment="1" applyBorder="1" applyFont="1" applyNumberFormat="1">
      <alignment vertical="bottom"/>
    </xf>
    <xf borderId="31" fillId="0" fontId="39" numFmtId="182" xfId="0" applyAlignment="1" applyBorder="1" applyFont="1" applyNumberFormat="1">
      <alignment vertical="bottom"/>
    </xf>
    <xf borderId="31" fillId="9" fontId="39" numFmtId="0" xfId="0" applyAlignment="1" applyBorder="1" applyFont="1">
      <alignment vertical="bottom"/>
    </xf>
    <xf borderId="31" fillId="9" fontId="39" numFmtId="182" xfId="0" applyAlignment="1" applyBorder="1" applyFont="1" applyNumberFormat="1">
      <alignment vertical="bottom"/>
    </xf>
    <xf borderId="31" fillId="0" fontId="39" numFmtId="182" xfId="0" applyAlignment="1" applyBorder="1" applyFont="1" applyNumberFormat="1">
      <alignment vertical="bottom"/>
    </xf>
    <xf borderId="31" fillId="0" fontId="39" numFmtId="0" xfId="0" applyAlignment="1" applyBorder="1" applyFont="1">
      <alignment vertical="bottom"/>
    </xf>
    <xf borderId="31" fillId="9" fontId="38" numFmtId="4" xfId="0" applyAlignment="1" applyBorder="1" applyFont="1" applyNumberFormat="1">
      <alignment horizontal="center" vertical="bottom"/>
    </xf>
    <xf borderId="31" fillId="9" fontId="38" numFmtId="2" xfId="0" applyAlignment="1" applyBorder="1" applyFont="1" applyNumberFormat="1">
      <alignment horizontal="center" vertical="bottom"/>
    </xf>
    <xf borderId="31" fillId="9" fontId="39" numFmtId="2" xfId="0" applyAlignment="1" applyBorder="1" applyFont="1" applyNumberFormat="1">
      <alignment vertical="bottom"/>
    </xf>
    <xf borderId="0" fillId="7" fontId="39" numFmtId="0" xfId="0" applyAlignment="1" applyFont="1">
      <alignment vertical="bottom"/>
    </xf>
    <xf borderId="0" fillId="0" fontId="38" numFmtId="183" xfId="0" applyAlignment="1" applyFont="1" applyNumberFormat="1">
      <alignment horizontal="center" vertical="bottom"/>
    </xf>
    <xf borderId="0" fillId="0" fontId="38" numFmtId="179" xfId="0" applyAlignment="1" applyFont="1" applyNumberFormat="1">
      <alignment horizontal="center" vertical="bottom"/>
    </xf>
    <xf borderId="0" fillId="0" fontId="39" numFmtId="179" xfId="0" applyAlignment="1" applyFont="1" applyNumberFormat="1">
      <alignment vertical="bottom"/>
    </xf>
    <xf borderId="0" fillId="0" fontId="38" numFmtId="179" xfId="0" applyAlignment="1" applyFont="1" applyNumberFormat="1">
      <alignment horizontal="center" vertical="bottom"/>
    </xf>
    <xf borderId="0" fillId="9" fontId="39" numFmtId="2" xfId="0" applyAlignment="1" applyFont="1" applyNumberFormat="1">
      <alignment vertical="bottom"/>
    </xf>
    <xf borderId="0" fillId="9" fontId="39" numFmtId="179" xfId="0" applyAlignment="1" applyFont="1" applyNumberFormat="1">
      <alignment vertical="bottom"/>
    </xf>
    <xf borderId="0" fillId="9" fontId="38" numFmtId="179" xfId="0" applyAlignment="1" applyFont="1" applyNumberFormat="1">
      <alignment horizontal="center" vertical="bottom"/>
    </xf>
    <xf borderId="0" fillId="0" fontId="38" numFmtId="179" xfId="0" applyAlignment="1" applyFont="1" applyNumberFormat="1">
      <alignment horizontal="center" readingOrder="0" vertical="bottom"/>
    </xf>
    <xf borderId="0" fillId="0" fontId="38" numFmtId="179" xfId="0" applyAlignment="1" applyFont="1" applyNumberFormat="1">
      <alignment horizontal="center" readingOrder="0" vertical="bottom"/>
    </xf>
    <xf borderId="31" fillId="0" fontId="38" numFmtId="4" xfId="0" applyAlignment="1" applyBorder="1" applyFont="1" applyNumberFormat="1">
      <alignment horizontal="center" vertical="bottom"/>
    </xf>
    <xf borderId="0" fillId="0" fontId="38" numFmtId="4" xfId="0" applyAlignment="1" applyFont="1" applyNumberFormat="1">
      <alignment horizontal="center" vertical="bottom"/>
    </xf>
    <xf borderId="1" fillId="0" fontId="4" numFmtId="0" xfId="0" applyAlignment="1" applyBorder="1" applyFont="1">
      <alignment horizontal="center"/>
    </xf>
    <xf borderId="1" fillId="0" fontId="4" numFmtId="171" xfId="0" applyBorder="1" applyFont="1" applyNumberFormat="1"/>
    <xf borderId="1" fillId="0" fontId="8" numFmtId="0" xfId="0" applyAlignment="1" applyBorder="1" applyFont="1">
      <alignment horizontal="center" vertical="center"/>
    </xf>
    <xf borderId="1" fillId="0" fontId="8" numFmtId="171" xfId="0" applyAlignment="1" applyBorder="1" applyFont="1" applyNumberFormat="1">
      <alignment vertical="center"/>
    </xf>
    <xf borderId="1" fillId="0" fontId="10" numFmtId="0" xfId="0" applyAlignment="1" applyBorder="1" applyFont="1">
      <alignment horizontal="right" readingOrder="0" vertical="center"/>
    </xf>
    <xf borderId="0" fillId="0" fontId="11" numFmtId="0" xfId="0" applyAlignment="1" applyFont="1">
      <alignment horizontal="center"/>
    </xf>
    <xf borderId="0" fillId="0" fontId="11" numFmtId="171" xfId="0" applyFont="1" applyNumberFormat="1"/>
    <xf borderId="0" fillId="0" fontId="14" numFmtId="0" xfId="0" applyAlignment="1" applyFont="1">
      <alignment horizontal="center" vertical="center"/>
    </xf>
    <xf borderId="0" fillId="0" fontId="17" numFmtId="171" xfId="0" applyAlignment="1" applyFont="1" applyNumberFormat="1">
      <alignment horizontal="center" vertical="center"/>
    </xf>
    <xf borderId="0" fillId="0" fontId="3" numFmtId="171" xfId="0" applyAlignment="1" applyFont="1" applyNumberFormat="1">
      <alignment vertical="center"/>
    </xf>
    <xf borderId="0" fillId="0" fontId="4" numFmtId="0" xfId="0" applyAlignment="1" applyFont="1">
      <alignment horizontal="center"/>
    </xf>
    <xf borderId="0" fillId="0" fontId="4" numFmtId="171" xfId="0" applyFont="1" applyNumberFormat="1"/>
    <xf borderId="1" fillId="0" fontId="24" numFmtId="0" xfId="0" applyAlignment="1" applyBorder="1" applyFont="1">
      <alignment horizontal="center" vertical="center"/>
    </xf>
    <xf borderId="1" fillId="0" fontId="24" numFmtId="171" xfId="0" applyAlignment="1" applyBorder="1" applyFont="1" applyNumberFormat="1">
      <alignment vertical="center"/>
    </xf>
    <xf borderId="32" fillId="0" fontId="27" numFmtId="49" xfId="0" applyAlignment="1" applyBorder="1" applyFont="1" applyNumberFormat="1">
      <alignment horizontal="left" readingOrder="0" shrinkToFit="0" vertical="center" wrapText="0"/>
    </xf>
    <xf borderId="32" fillId="0" fontId="27" numFmtId="49" xfId="0" applyAlignment="1" applyBorder="1" applyFont="1" applyNumberFormat="1">
      <alignment horizontal="center" readingOrder="0" shrinkToFit="0" vertical="center" wrapText="0"/>
    </xf>
    <xf borderId="32" fillId="0" fontId="27" numFmtId="49" xfId="0" applyAlignment="1" applyBorder="1" applyFont="1" applyNumberFormat="1">
      <alignment horizontal="right" readingOrder="0" shrinkToFit="0" vertical="center" wrapText="0"/>
    </xf>
    <xf borderId="33" fillId="0" fontId="27" numFmtId="49" xfId="0" applyAlignment="1" applyBorder="1" applyFont="1" applyNumberFormat="1">
      <alignment horizontal="center" readingOrder="0" shrinkToFit="0" vertical="center" wrapText="0"/>
    </xf>
    <xf borderId="34" fillId="5" fontId="28" numFmtId="0" xfId="0" applyAlignment="1" applyBorder="1" applyFont="1">
      <alignment readingOrder="0" shrinkToFit="0" vertical="center" wrapText="0"/>
    </xf>
    <xf borderId="34" fillId="5" fontId="28" numFmtId="0" xfId="0" applyAlignment="1" applyBorder="1" applyFont="1">
      <alignment horizontal="center" shrinkToFit="0" vertical="center" wrapText="0"/>
    </xf>
    <xf borderId="34" fillId="5" fontId="28" numFmtId="0" xfId="0" applyAlignment="1" applyBorder="1" applyFont="1">
      <alignment horizontal="center" readingOrder="0" shrinkToFit="0" vertical="center" wrapText="0"/>
    </xf>
    <xf borderId="34" fillId="5" fontId="28" numFmtId="169" xfId="0" applyAlignment="1" applyBorder="1" applyFont="1" applyNumberFormat="1">
      <alignment horizontal="right" readingOrder="0" shrinkToFit="0" vertical="center" wrapText="0"/>
    </xf>
    <xf borderId="34" fillId="5" fontId="28" numFmtId="170" xfId="0" applyAlignment="1" applyBorder="1" applyFont="1" applyNumberFormat="1">
      <alignment horizontal="center" shrinkToFit="0" vertical="center" wrapText="0"/>
    </xf>
    <xf borderId="0" fillId="0" fontId="3" numFmtId="169" xfId="0" applyAlignment="1" applyFont="1" applyNumberFormat="1">
      <alignment readingOrder="0" vertical="center"/>
    </xf>
    <xf borderId="34" fillId="5" fontId="66" numFmtId="0" xfId="0" applyAlignment="1" applyBorder="1" applyFont="1">
      <alignment shrinkToFit="0" vertical="center" wrapText="0"/>
    </xf>
    <xf borderId="34" fillId="5" fontId="67" numFmtId="0" xfId="0" applyAlignment="1" applyBorder="1" applyFont="1">
      <alignment shrinkToFit="0" vertical="center" wrapText="0"/>
    </xf>
    <xf borderId="34" fillId="5" fontId="66" numFmtId="0" xfId="0" applyAlignment="1" applyBorder="1" applyFont="1">
      <alignment horizontal="center" readingOrder="0" shrinkToFit="0" vertical="center" wrapText="0"/>
    </xf>
    <xf borderId="34" fillId="5" fontId="68" numFmtId="179" xfId="0" applyAlignment="1" applyBorder="1" applyFont="1" applyNumberFormat="1">
      <alignment readingOrder="0" shrinkToFit="0" vertical="center" wrapText="0"/>
    </xf>
    <xf borderId="34" fillId="5" fontId="66" numFmtId="0" xfId="0" applyAlignment="1" applyBorder="1" applyFont="1">
      <alignment readingOrder="0" shrinkToFit="0" vertical="center" wrapText="0"/>
    </xf>
    <xf borderId="0" fillId="0" fontId="4" numFmtId="169" xfId="0" applyAlignment="1" applyFont="1" applyNumberFormat="1">
      <alignment readingOrder="0" vertical="center"/>
    </xf>
    <xf borderId="12" fillId="0" fontId="22" numFmtId="169" xfId="0" applyAlignment="1" applyBorder="1" applyFont="1" applyNumberFormat="1">
      <alignment horizontal="right" readingOrder="0" shrinkToFit="1" vertical="center" wrapText="0"/>
    </xf>
    <xf borderId="34" fillId="5" fontId="68" numFmtId="0" xfId="0" applyAlignment="1" applyBorder="1" applyFont="1">
      <alignment readingOrder="0" shrinkToFit="0" vertical="center" wrapText="0"/>
    </xf>
    <xf borderId="34" fillId="5" fontId="28" numFmtId="171" xfId="0" applyAlignment="1" applyBorder="1" applyFont="1" applyNumberFormat="1">
      <alignment horizontal="right" readingOrder="0" shrinkToFit="0" vertical="center" wrapText="0"/>
    </xf>
    <xf borderId="0" fillId="0" fontId="11" numFmtId="0" xfId="0" applyFont="1"/>
    <xf borderId="0" fillId="0" fontId="11" numFmtId="169" xfId="0" applyAlignment="1" applyFont="1" applyNumberFormat="1">
      <alignment readingOrder="0"/>
    </xf>
    <xf borderId="34" fillId="5" fontId="30" numFmtId="0" xfId="0" applyAlignment="1" applyBorder="1" applyFont="1">
      <alignment shrinkToFit="0" vertical="center" wrapText="0"/>
    </xf>
    <xf borderId="34" fillId="5" fontId="31" numFmtId="0" xfId="0" applyAlignment="1" applyBorder="1" applyFont="1">
      <alignment shrinkToFit="0" vertical="center" wrapText="0"/>
    </xf>
    <xf borderId="34" fillId="5" fontId="30" numFmtId="0" xfId="0" applyAlignment="1" applyBorder="1" applyFont="1">
      <alignment horizontal="center" readingOrder="0" shrinkToFit="0" vertical="center" wrapText="0"/>
    </xf>
    <xf borderId="34" fillId="5" fontId="32" numFmtId="169" xfId="0" applyAlignment="1" applyBorder="1" applyFont="1" applyNumberFormat="1">
      <alignment horizontal="right" shrinkToFit="0" vertical="center" wrapText="0"/>
    </xf>
    <xf borderId="34" fillId="0" fontId="27" numFmtId="0" xfId="0" applyAlignment="1" applyBorder="1" applyFont="1">
      <alignment readingOrder="0" shrinkToFit="0" vertical="center" wrapText="0"/>
    </xf>
    <xf borderId="34" fillId="0" fontId="27" numFmtId="0" xfId="0" applyAlignment="1" applyBorder="1" applyFont="1">
      <alignment horizontal="center" shrinkToFit="0" vertical="center" wrapText="0"/>
    </xf>
    <xf borderId="34" fillId="0" fontId="27" numFmtId="0" xfId="0" applyAlignment="1" applyBorder="1" applyFont="1">
      <alignment horizontal="center" readingOrder="0" shrinkToFit="0" vertical="center" wrapText="0"/>
    </xf>
    <xf borderId="34" fillId="0" fontId="27" numFmtId="169" xfId="0" applyAlignment="1" applyBorder="1" applyFont="1" applyNumberFormat="1">
      <alignment horizontal="right" readingOrder="0" shrinkToFit="0" vertical="center" wrapText="0"/>
    </xf>
    <xf borderId="34" fillId="0" fontId="27" numFmtId="170" xfId="0" applyAlignment="1" applyBorder="1" applyFont="1" applyNumberFormat="1">
      <alignment horizontal="center" shrinkToFit="0" vertical="center" wrapText="0"/>
    </xf>
    <xf borderId="0" fillId="0" fontId="69" numFmtId="183" xfId="0" applyAlignment="1" applyFont="1" applyNumberFormat="1">
      <alignment readingOrder="0" vertical="center"/>
    </xf>
    <xf borderId="0" fillId="0" fontId="33" numFmtId="184" xfId="0" applyAlignment="1" applyFont="1" applyNumberFormat="1">
      <alignment readingOrder="0" vertical="center"/>
    </xf>
    <xf borderId="0" fillId="0" fontId="69" numFmtId="0" xfId="0" applyAlignment="1" applyFont="1">
      <alignment readingOrder="0" vertical="center"/>
    </xf>
    <xf borderId="0" fillId="0" fontId="27" numFmtId="0" xfId="0" applyAlignment="1" applyFont="1">
      <alignment horizontal="left" shrinkToFit="1" vertical="center" wrapText="0"/>
    </xf>
    <xf borderId="0" fillId="0" fontId="27" numFmtId="185" xfId="0" applyAlignment="1" applyFont="1" applyNumberFormat="1">
      <alignment horizontal="right" shrinkToFit="1" vertical="center" wrapText="0"/>
    </xf>
    <xf borderId="0" fillId="0" fontId="33" numFmtId="0" xfId="0" applyFont="1"/>
    <xf borderId="0" fillId="0" fontId="3" numFmtId="0" xfId="0" applyFont="1"/>
    <xf borderId="34" fillId="0" fontId="27" numFmtId="171" xfId="0" applyAlignment="1" applyBorder="1" applyFont="1" applyNumberFormat="1">
      <alignment horizontal="right" readingOrder="0" shrinkToFit="0" vertical="center" wrapText="0"/>
    </xf>
    <xf borderId="34" fillId="0" fontId="27" numFmtId="0" xfId="0" applyAlignment="1" applyBorder="1" applyFont="1">
      <alignment readingOrder="0" shrinkToFit="0" vertical="center" wrapText="0"/>
    </xf>
    <xf borderId="34" fillId="0" fontId="27" numFmtId="0" xfId="0" applyAlignment="1" applyBorder="1" applyFont="1">
      <alignment horizontal="center" shrinkToFit="0" vertical="center" wrapText="0"/>
    </xf>
    <xf borderId="34" fillId="0" fontId="27" numFmtId="0" xfId="0" applyAlignment="1" applyBorder="1" applyFont="1">
      <alignment horizontal="center" readingOrder="0" shrinkToFit="0" vertical="center" wrapText="0"/>
    </xf>
    <xf borderId="34" fillId="0" fontId="27" numFmtId="171" xfId="0" applyAlignment="1" applyBorder="1" applyFont="1" applyNumberFormat="1">
      <alignment horizontal="right" readingOrder="0" shrinkToFit="0" vertical="center" wrapText="0"/>
    </xf>
    <xf borderId="0" fillId="0" fontId="11" numFmtId="0" xfId="0" applyAlignment="1" applyFont="1">
      <alignment horizontal="center"/>
    </xf>
    <xf borderId="0" fillId="0" fontId="11" numFmtId="171" xfId="0" applyFont="1" applyNumberFormat="1"/>
    <xf borderId="0" fillId="0" fontId="39" numFmtId="0" xfId="0" applyFont="1"/>
    <xf borderId="0" fillId="0" fontId="39" numFmtId="166" xfId="0" applyFont="1" applyNumberFormat="1"/>
    <xf borderId="0" fillId="0" fontId="39" numFmtId="171" xfId="0" applyFont="1" applyNumberFormat="1"/>
    <xf borderId="35" fillId="0" fontId="70" numFmtId="49" xfId="0" applyAlignment="1" applyBorder="1" applyFont="1" applyNumberFormat="1">
      <alignment shrinkToFit="0" wrapText="0"/>
    </xf>
    <xf borderId="35" fillId="0" fontId="70" numFmtId="49" xfId="0" applyAlignment="1" applyBorder="1" applyFont="1" applyNumberFormat="1">
      <alignment horizontal="center" shrinkToFit="0" wrapText="0"/>
    </xf>
    <xf borderId="35" fillId="0" fontId="70" numFmtId="49" xfId="0" applyAlignment="1" applyBorder="1" applyFont="1" applyNumberFormat="1">
      <alignment horizontal="right" shrinkToFit="0" wrapText="0"/>
    </xf>
    <xf borderId="36" fillId="0" fontId="70" numFmtId="49" xfId="0" applyAlignment="1" applyBorder="1" applyFont="1" applyNumberFormat="1">
      <alignment horizontal="center" shrinkToFit="0" wrapText="0"/>
    </xf>
    <xf borderId="34" fillId="0" fontId="27" numFmtId="0" xfId="0" applyAlignment="1" applyBorder="1" applyFont="1">
      <alignment horizontal="left" readingOrder="0" shrinkToFit="0" vertical="center" wrapText="0"/>
    </xf>
    <xf borderId="34" fillId="0" fontId="39" numFmtId="166" xfId="0" applyAlignment="1" applyBorder="1" applyFont="1" applyNumberFormat="1">
      <alignment horizontal="left" readingOrder="0" shrinkToFit="0" vertical="center" wrapText="0"/>
    </xf>
    <xf borderId="34" fillId="0" fontId="27" numFmtId="166" xfId="0" applyAlignment="1" applyBorder="1" applyFont="1" applyNumberFormat="1">
      <alignment horizontal="center" readingOrder="0" shrinkToFit="0" vertical="center" wrapText="0"/>
    </xf>
    <xf borderId="34" fillId="0" fontId="22" numFmtId="169" xfId="0" applyAlignment="1" applyBorder="1" applyFont="1" applyNumberFormat="1">
      <alignment horizontal="right" readingOrder="0" shrinkToFit="0" vertical="center" wrapText="0"/>
    </xf>
    <xf borderId="34" fillId="0" fontId="22" numFmtId="170" xfId="0" applyAlignment="1" applyBorder="1" applyFont="1" applyNumberFormat="1">
      <alignment horizontal="center" readingOrder="0" shrinkToFit="0" vertical="center" wrapText="0"/>
    </xf>
    <xf borderId="34" fillId="5" fontId="71" numFmtId="0" xfId="0" applyAlignment="1" applyBorder="1" applyFont="1">
      <alignment shrinkToFit="0" vertical="center" wrapText="0"/>
    </xf>
    <xf borderId="34" fillId="5" fontId="66" numFmtId="170" xfId="0" applyAlignment="1" applyBorder="1" applyFont="1" applyNumberFormat="1">
      <alignment horizontal="center" shrinkToFit="0" vertical="center" wrapText="0"/>
    </xf>
    <xf borderId="34" fillId="5" fontId="71" numFmtId="0" xfId="0" applyAlignment="1" applyBorder="1" applyFont="1">
      <alignment readingOrder="0" shrinkToFit="0" vertical="center" wrapText="0"/>
    </xf>
    <xf borderId="34" fillId="5" fontId="71" numFmtId="169" xfId="0" applyAlignment="1" applyBorder="1" applyFont="1" applyNumberFormat="1">
      <alignment readingOrder="0" shrinkToFit="0" vertical="center" wrapText="0"/>
    </xf>
    <xf borderId="34" fillId="5" fontId="72" numFmtId="179" xfId="0" applyAlignment="1" applyBorder="1" applyFont="1" applyNumberFormat="1">
      <alignment horizontal="right" shrinkToFit="0" vertical="center" wrapText="0"/>
    </xf>
    <xf borderId="15" fillId="2" fontId="29" numFmtId="169" xfId="0" applyAlignment="1" applyBorder="1" applyFont="1" applyNumberFormat="1">
      <alignment horizontal="right" readingOrder="0" shrinkToFit="1" vertical="center" wrapText="0"/>
    </xf>
    <xf borderId="34" fillId="5" fontId="32" numFmtId="169" xfId="0" applyAlignment="1" applyBorder="1" applyFont="1" applyNumberFormat="1">
      <alignment horizontal="right" readingOrder="0" shrinkToFit="0" vertical="center" wrapText="0"/>
    </xf>
    <xf borderId="34" fillId="5" fontId="72" numFmtId="179" xfId="0" applyAlignment="1" applyBorder="1" applyFont="1" applyNumberFormat="1">
      <alignment horizontal="right" readingOrder="0" shrinkToFit="0" vertical="center" wrapText="0"/>
    </xf>
    <xf borderId="0" fillId="0" fontId="11" numFmtId="0" xfId="0" applyAlignment="1" applyFont="1">
      <alignment readingOrder="0" shrinkToFit="0" wrapText="1"/>
    </xf>
    <xf borderId="34" fillId="5" fontId="66" numFmtId="0" xfId="0" applyAlignment="1" applyBorder="1" applyFont="1">
      <alignment horizontal="center" shrinkToFit="0" vertical="center" wrapText="0"/>
    </xf>
    <xf borderId="34" fillId="5" fontId="71" numFmtId="171" xfId="0" applyAlignment="1" applyBorder="1" applyFont="1" applyNumberFormat="1">
      <alignment shrinkToFit="0" vertical="center" wrapText="0"/>
    </xf>
    <xf borderId="34" fillId="5" fontId="28" numFmtId="0" xfId="0" applyAlignment="1" applyBorder="1" applyFont="1">
      <alignment shrinkToFit="0" vertical="center" wrapText="0"/>
    </xf>
    <xf borderId="34" fillId="0" fontId="73" numFmtId="0" xfId="0" applyAlignment="1" applyBorder="1" applyFont="1">
      <alignment shrinkToFit="0" vertical="center" wrapText="0"/>
    </xf>
    <xf borderId="34" fillId="0" fontId="39" numFmtId="0" xfId="0" applyAlignment="1" applyBorder="1" applyFont="1">
      <alignment shrinkToFit="0" vertical="center" wrapText="0"/>
    </xf>
    <xf borderId="34" fillId="0" fontId="73" numFmtId="0" xfId="0" applyAlignment="1" applyBorder="1" applyFont="1">
      <alignment horizontal="center" readingOrder="0" shrinkToFit="0" vertical="center" wrapText="0"/>
    </xf>
    <xf borderId="34" fillId="0" fontId="36" numFmtId="169" xfId="0" applyAlignment="1" applyBorder="1" applyFont="1" applyNumberFormat="1">
      <alignment horizontal="right" shrinkToFit="0" vertical="center" wrapText="0"/>
    </xf>
    <xf borderId="34" fillId="0" fontId="73" numFmtId="170" xfId="0" applyAlignment="1" applyBorder="1" applyFont="1" applyNumberFormat="1">
      <alignment horizontal="center" shrinkToFit="0" vertical="center" wrapText="0"/>
    </xf>
    <xf borderId="34" fillId="0" fontId="73" numFmtId="0" xfId="0" applyAlignment="1" applyBorder="1" applyFont="1">
      <alignment shrinkToFit="0" vertical="center" wrapText="0"/>
    </xf>
    <xf borderId="34" fillId="0" fontId="39" numFmtId="0" xfId="0" applyAlignment="1" applyBorder="1" applyFont="1">
      <alignment shrinkToFit="0" vertical="center" wrapText="0"/>
    </xf>
    <xf borderId="34" fillId="0" fontId="73" numFmtId="0" xfId="0" applyAlignment="1" applyBorder="1" applyFont="1">
      <alignment horizontal="center" shrinkToFit="0" vertical="center" wrapText="0"/>
    </xf>
    <xf borderId="34" fillId="0" fontId="36" numFmtId="169" xfId="0" applyAlignment="1" applyBorder="1" applyFont="1" applyNumberFormat="1">
      <alignment horizontal="right" shrinkToFit="0" vertical="center" wrapText="0"/>
    </xf>
    <xf borderId="34" fillId="0" fontId="74" numFmtId="179" xfId="0" applyAlignment="1" applyBorder="1" applyFont="1" applyNumberFormat="1">
      <alignment horizontal="right" shrinkToFit="0" vertical="center" wrapText="0"/>
    </xf>
    <xf borderId="34" fillId="0" fontId="73" numFmtId="0" xfId="0" applyAlignment="1" applyBorder="1" applyFont="1">
      <alignment horizontal="center" shrinkToFit="0" vertical="center" wrapText="0"/>
    </xf>
    <xf borderId="34" fillId="0" fontId="36" numFmtId="169" xfId="0" applyAlignment="1" applyBorder="1" applyFont="1" applyNumberFormat="1">
      <alignment horizontal="right" readingOrder="0" shrinkToFit="0" vertical="center" wrapText="0"/>
    </xf>
    <xf borderId="34" fillId="0" fontId="39" numFmtId="0" xfId="0" applyAlignment="1" applyBorder="1" applyFont="1">
      <alignment shrinkToFit="0" vertical="center" wrapText="0"/>
    </xf>
    <xf borderId="34" fillId="0" fontId="39" numFmtId="171" xfId="0" applyAlignment="1" applyBorder="1" applyFont="1" applyNumberFormat="1">
      <alignment shrinkToFit="0" vertical="center" wrapText="0"/>
    </xf>
    <xf borderId="34" fillId="0" fontId="73" numFmtId="170" xfId="0" applyAlignment="1" applyBorder="1" applyFont="1" applyNumberFormat="1">
      <alignment horizontal="center" shrinkToFit="0" vertical="center" wrapText="0"/>
    </xf>
    <xf borderId="34" fillId="0" fontId="39" numFmtId="0" xfId="0" applyBorder="1" applyFont="1"/>
    <xf borderId="34" fillId="0" fontId="39" numFmtId="171" xfId="0" applyBorder="1" applyFont="1" applyNumberFormat="1"/>
    <xf borderId="34" fillId="0" fontId="73" numFmtId="170" xfId="0" applyAlignment="1" applyBorder="1" applyFont="1" applyNumberFormat="1">
      <alignment horizontal="center" shrinkToFit="0" wrapText="0"/>
    </xf>
    <xf borderId="34" fillId="11" fontId="30" numFmtId="0" xfId="0" applyAlignment="1" applyBorder="1" applyFill="1" applyFont="1">
      <alignment shrinkToFit="0" vertical="center" wrapText="0"/>
    </xf>
    <xf borderId="34" fillId="11" fontId="31" numFmtId="0" xfId="0" applyAlignment="1" applyBorder="1" applyFont="1">
      <alignment shrinkToFit="0" vertical="center" wrapText="0"/>
    </xf>
    <xf borderId="34" fillId="11" fontId="30" numFmtId="0" xfId="0" applyAlignment="1" applyBorder="1" applyFont="1">
      <alignment horizontal="center" readingOrder="0" shrinkToFit="0" vertical="center" wrapText="0"/>
    </xf>
    <xf borderId="34" fillId="11" fontId="32" numFmtId="169" xfId="0" applyAlignment="1" applyBorder="1" applyFont="1" applyNumberFormat="1">
      <alignment horizontal="right" readingOrder="0" shrinkToFit="0" vertical="center" wrapText="0"/>
    </xf>
    <xf borderId="34" fillId="11" fontId="28" numFmtId="170" xfId="0" applyAlignment="1" applyBorder="1" applyFont="1" applyNumberFormat="1">
      <alignment horizontal="center" shrinkToFit="0" vertical="center" wrapText="0"/>
    </xf>
    <xf borderId="34" fillId="11" fontId="28" numFmtId="0" xfId="0" applyAlignment="1" applyBorder="1" applyFont="1">
      <alignment readingOrder="0" shrinkToFit="0" vertical="center" wrapText="0"/>
    </xf>
    <xf borderId="34" fillId="11" fontId="28" numFmtId="0" xfId="0" applyAlignment="1" applyBorder="1" applyFont="1">
      <alignment horizontal="center" shrinkToFit="0" vertical="center" wrapText="0"/>
    </xf>
    <xf borderId="34" fillId="11" fontId="28" numFmtId="0" xfId="0" applyAlignment="1" applyBorder="1" applyFont="1">
      <alignment horizontal="center" readingOrder="0" shrinkToFit="0" vertical="center" wrapText="0"/>
    </xf>
    <xf borderId="34" fillId="11" fontId="28" numFmtId="169" xfId="0" applyAlignment="1" applyBorder="1" applyFont="1" applyNumberFormat="1">
      <alignment horizontal="right" readingOrder="0" shrinkToFit="0" vertical="center" wrapText="0"/>
    </xf>
    <xf borderId="34" fillId="11" fontId="28" numFmtId="171" xfId="0" applyAlignment="1" applyBorder="1" applyFont="1" applyNumberFormat="1">
      <alignment horizontal="right" readingOrder="0" shrinkToFit="0" vertical="center" wrapText="0"/>
    </xf>
    <xf borderId="34" fillId="12" fontId="66" numFmtId="0" xfId="0" applyAlignment="1" applyBorder="1" applyFill="1" applyFont="1">
      <alignment shrinkToFit="0" vertical="center" wrapText="0"/>
    </xf>
    <xf borderId="34" fillId="12" fontId="67" numFmtId="0" xfId="0" applyAlignment="1" applyBorder="1" applyFont="1">
      <alignment shrinkToFit="0" vertical="center" wrapText="0"/>
    </xf>
    <xf borderId="34" fillId="12" fontId="66" numFmtId="0" xfId="0" applyAlignment="1" applyBorder="1" applyFont="1">
      <alignment horizontal="center" readingOrder="0" shrinkToFit="0" vertical="center" wrapText="0"/>
    </xf>
    <xf borderId="34" fillId="12" fontId="28" numFmtId="169" xfId="0" applyAlignment="1" applyBorder="1" applyFont="1" applyNumberFormat="1">
      <alignment horizontal="right" readingOrder="0" shrinkToFit="0" vertical="center" wrapText="0"/>
    </xf>
    <xf borderId="34" fillId="12" fontId="28" numFmtId="170" xfId="0" applyAlignment="1" applyBorder="1" applyFont="1" applyNumberFormat="1">
      <alignment horizontal="center" shrinkToFit="0" vertical="center" wrapText="0"/>
    </xf>
    <xf borderId="34" fillId="12" fontId="66" numFmtId="0" xfId="0" applyAlignment="1" applyBorder="1" applyFont="1">
      <alignment readingOrder="0" shrinkToFit="0" vertical="center" wrapText="0"/>
    </xf>
    <xf borderId="34" fillId="12" fontId="72" numFmtId="179" xfId="0" applyAlignment="1" applyBorder="1" applyFont="1" applyNumberFormat="1">
      <alignment horizontal="right" shrinkToFit="0" vertical="center" wrapText="0"/>
    </xf>
    <xf borderId="34" fillId="11" fontId="32" numFmtId="169" xfId="0" applyAlignment="1" applyBorder="1" applyFont="1" applyNumberFormat="1">
      <alignment horizontal="right" shrinkToFit="0" vertical="center" wrapText="0"/>
    </xf>
    <xf borderId="34" fillId="12" fontId="28" numFmtId="0" xfId="0" applyAlignment="1" applyBorder="1" applyFont="1">
      <alignment readingOrder="0" shrinkToFit="0" vertical="center" wrapText="0"/>
    </xf>
    <xf borderId="34" fillId="12" fontId="28" numFmtId="0" xfId="0" applyAlignment="1" applyBorder="1" applyFont="1">
      <alignment horizontal="center" shrinkToFit="0" vertical="center" wrapText="0"/>
    </xf>
    <xf borderId="34" fillId="12" fontId="28" numFmtId="0" xfId="0" applyAlignment="1" applyBorder="1" applyFont="1">
      <alignment horizontal="center" readingOrder="0" shrinkToFit="0" vertical="center" wrapText="0"/>
    </xf>
    <xf borderId="34" fillId="12" fontId="28" numFmtId="171" xfId="0" applyAlignment="1" applyBorder="1" applyFont="1" applyNumberFormat="1">
      <alignment horizontal="right" readingOrder="0" shrinkToFit="0" vertical="center" wrapText="0"/>
    </xf>
    <xf borderId="34" fillId="12" fontId="71" numFmtId="0" xfId="0" applyAlignment="1" applyBorder="1" applyFont="1">
      <alignment shrinkToFit="0" vertical="center" wrapText="0"/>
    </xf>
    <xf borderId="14" fillId="2" fontId="29" numFmtId="0" xfId="0" applyAlignment="1" applyBorder="1" applyFont="1">
      <alignment horizontal="left" readingOrder="0" vertical="center"/>
    </xf>
    <xf borderId="34" fillId="12" fontId="72" numFmtId="179" xfId="0" applyAlignment="1" applyBorder="1" applyFont="1" applyNumberFormat="1">
      <alignment horizontal="right" readingOrder="0" shrinkToFit="0" vertical="center" wrapText="0"/>
    </xf>
    <xf borderId="34" fillId="0" fontId="73" numFmtId="0" xfId="0" applyAlignment="1" applyBorder="1" applyFont="1">
      <alignment horizontal="center" shrinkToFit="0" vertical="center" wrapText="0"/>
    </xf>
    <xf borderId="34" fillId="0" fontId="73" numFmtId="0" xfId="0" applyAlignment="1" applyBorder="1" applyFont="1">
      <alignment readingOrder="0" shrinkToFit="0" vertical="center" wrapText="0"/>
    </xf>
    <xf borderId="34" fillId="0" fontId="75" numFmtId="0" xfId="0" applyAlignment="1" applyBorder="1" applyFont="1">
      <alignment shrinkToFit="0" vertical="center" wrapText="0"/>
    </xf>
    <xf borderId="34" fillId="0" fontId="73" numFmtId="0" xfId="0" applyAlignment="1" applyBorder="1" applyFont="1">
      <alignment horizontal="center" readingOrder="0" shrinkToFit="0" vertical="center" wrapText="0"/>
    </xf>
    <xf borderId="34" fillId="0" fontId="36" numFmtId="169" xfId="0" applyAlignment="1" applyBorder="1" applyFont="1" applyNumberFormat="1">
      <alignment horizontal="right" readingOrder="0" shrinkToFit="0" vertical="center" wrapText="0"/>
    </xf>
    <xf borderId="11" fillId="0" fontId="27" numFmtId="0" xfId="0" applyAlignment="1" applyBorder="1" applyFont="1">
      <alignment readingOrder="0"/>
    </xf>
    <xf borderId="12" fillId="0" fontId="36" numFmtId="169" xfId="0" applyAlignment="1" applyBorder="1" applyFont="1" applyNumberFormat="1">
      <alignment horizontal="right" readingOrder="0"/>
    </xf>
    <xf borderId="34" fillId="12" fontId="66" numFmtId="0" xfId="0" applyAlignment="1" applyBorder="1" applyFont="1">
      <alignment horizontal="center" shrinkToFit="0" vertical="center" wrapText="0"/>
    </xf>
    <xf borderId="11" fillId="0" fontId="27" numFmtId="0" xfId="0" applyBorder="1" applyFont="1"/>
    <xf borderId="34" fillId="11" fontId="66" numFmtId="0" xfId="0" applyAlignment="1" applyBorder="1" applyFont="1">
      <alignment readingOrder="0" shrinkToFit="0" vertical="center" wrapText="0"/>
    </xf>
    <xf borderId="34" fillId="11" fontId="67" numFmtId="0" xfId="0" applyAlignment="1" applyBorder="1" applyFont="1">
      <alignment shrinkToFit="0" vertical="center" wrapText="0"/>
    </xf>
    <xf borderId="34" fillId="11" fontId="66" numFmtId="0" xfId="0" applyAlignment="1" applyBorder="1" applyFont="1">
      <alignment horizontal="center" readingOrder="0" shrinkToFit="0" vertical="center" wrapText="0"/>
    </xf>
    <xf borderId="1" fillId="2" fontId="4" numFmtId="0" xfId="0" applyAlignment="1" applyBorder="1" applyFont="1">
      <alignment readingOrder="0"/>
    </xf>
    <xf borderId="1" fillId="0" fontId="4" numFmtId="0" xfId="0" applyAlignment="1" applyBorder="1" applyFont="1">
      <alignment readingOrder="0"/>
    </xf>
    <xf borderId="1" fillId="0" fontId="4" numFmtId="0" xfId="0" applyAlignment="1" applyBorder="1" applyFont="1">
      <alignment horizontal="center" readingOrder="0"/>
    </xf>
    <xf borderId="0" fillId="0" fontId="4" numFmtId="0" xfId="0" applyAlignment="1" applyFont="1">
      <alignment readingOrder="0"/>
    </xf>
    <xf borderId="13" fillId="5" fontId="31" numFmtId="0" xfId="0" applyAlignment="1" applyBorder="1" applyFont="1">
      <alignment shrinkToFit="0" vertical="center" wrapText="0"/>
    </xf>
    <xf borderId="13" fillId="5" fontId="30" numFmtId="0" xfId="0" applyAlignment="1" applyBorder="1" applyFont="1">
      <alignment horizontal="center" readingOrder="0" shrinkToFit="0" vertical="center" wrapText="0"/>
    </xf>
    <xf borderId="13" fillId="5" fontId="28" numFmtId="0" xfId="0" applyAlignment="1" applyBorder="1" applyFont="1">
      <alignment horizontal="center" shrinkToFit="0" vertical="center" wrapText="0"/>
    </xf>
    <xf borderId="13" fillId="5" fontId="28" numFmtId="0" xfId="0" applyAlignment="1" applyBorder="1" applyFont="1">
      <alignment horizontal="center" readingOrder="0" shrinkToFit="0" vertical="center" wrapText="0"/>
    </xf>
    <xf borderId="11" fillId="0" fontId="22" numFmtId="0" xfId="0" applyAlignment="1" applyBorder="1" applyFont="1">
      <alignment horizontal="left" readingOrder="0" vertical="center"/>
    </xf>
    <xf borderId="13" fillId="5" fontId="28" numFmtId="171" xfId="0" applyAlignment="1" applyBorder="1" applyFont="1" applyNumberFormat="1">
      <alignment horizontal="right" readingOrder="0" shrinkToFit="0" vertical="center" wrapText="0"/>
    </xf>
    <xf borderId="13" fillId="0" fontId="27" numFmtId="0" xfId="0" applyAlignment="1" applyBorder="1" applyFont="1">
      <alignment horizontal="center" readingOrder="0" shrinkToFit="0" vertical="center" wrapText="0"/>
    </xf>
    <xf borderId="0" fillId="0" fontId="27" numFmtId="0" xfId="0" applyAlignment="1" applyFont="1">
      <alignment horizontal="center" readingOrder="0" shrinkToFit="0" vertical="center" wrapText="0"/>
    </xf>
    <xf borderId="1" fillId="2" fontId="76" numFmtId="0" xfId="0" applyAlignment="1" applyBorder="1" applyFont="1">
      <alignment horizontal="left" vertical="center"/>
    </xf>
    <xf borderId="1" fillId="2" fontId="77" numFmtId="0" xfId="0" applyBorder="1" applyFont="1"/>
    <xf borderId="1" fillId="2" fontId="78" numFmtId="0" xfId="0" applyBorder="1" applyFont="1"/>
    <xf borderId="1" fillId="2" fontId="79" numFmtId="0" xfId="0" applyBorder="1" applyFont="1"/>
    <xf borderId="1" fillId="2" fontId="79" numFmtId="0" xfId="0" applyAlignment="1" applyBorder="1" applyFont="1">
      <alignment horizontal="right"/>
    </xf>
    <xf borderId="1" fillId="0" fontId="79" numFmtId="0" xfId="0" applyBorder="1" applyFont="1"/>
    <xf borderId="1" fillId="0" fontId="79" numFmtId="0" xfId="0" applyAlignment="1" applyBorder="1" applyFont="1">
      <alignment horizontal="center"/>
    </xf>
    <xf borderId="1" fillId="0" fontId="79" numFmtId="171" xfId="0" applyBorder="1" applyFont="1" applyNumberFormat="1"/>
    <xf borderId="1" fillId="0" fontId="79" numFmtId="0" xfId="0" applyAlignment="1" applyBorder="1" applyFont="1">
      <alignment horizontal="right" vertical="center"/>
    </xf>
    <xf borderId="1" fillId="2" fontId="80" numFmtId="0" xfId="0" applyAlignment="1" applyBorder="1" applyFont="1">
      <alignment horizontal="right" vertical="center"/>
    </xf>
    <xf borderId="2" fillId="0" fontId="81" numFmtId="0" xfId="0" applyAlignment="1" applyBorder="1" applyFont="1">
      <alignment horizontal="center" readingOrder="0" vertical="center"/>
    </xf>
    <xf borderId="2" fillId="0" fontId="80" numFmtId="0" xfId="0" applyAlignment="1" applyBorder="1" applyFont="1">
      <alignment horizontal="center" readingOrder="0" vertical="center"/>
    </xf>
    <xf borderId="1" fillId="2" fontId="82" numFmtId="0" xfId="0" applyAlignment="1" applyBorder="1" applyFont="1">
      <alignment horizontal="left" vertical="center"/>
    </xf>
    <xf borderId="1" fillId="2" fontId="83" numFmtId="0" xfId="0" applyAlignment="1" applyBorder="1" applyFont="1">
      <alignment vertical="center"/>
    </xf>
    <xf borderId="1" fillId="0" fontId="83" numFmtId="0" xfId="0" applyAlignment="1" applyBorder="1" applyFont="1">
      <alignment vertical="center"/>
    </xf>
    <xf borderId="1" fillId="0" fontId="83" numFmtId="0" xfId="0" applyAlignment="1" applyBorder="1" applyFont="1">
      <alignment horizontal="center" vertical="center"/>
    </xf>
    <xf borderId="1" fillId="0" fontId="83" numFmtId="171" xfId="0" applyAlignment="1" applyBorder="1" applyFont="1" applyNumberFormat="1">
      <alignment vertical="center"/>
    </xf>
    <xf borderId="1" fillId="0" fontId="84" numFmtId="0" xfId="0" applyAlignment="1" applyBorder="1" applyFont="1">
      <alignment horizontal="right" vertical="center"/>
    </xf>
    <xf borderId="1" fillId="0" fontId="85" numFmtId="0" xfId="0" applyAlignment="1" applyBorder="1" applyFont="1">
      <alignment horizontal="right" vertical="center"/>
    </xf>
    <xf borderId="0" fillId="0" fontId="79" numFmtId="0" xfId="0" applyAlignment="1" applyFont="1">
      <alignment horizontal="right" vertical="center"/>
    </xf>
    <xf borderId="0" fillId="0" fontId="86" numFmtId="164" xfId="0" applyAlignment="1" applyFont="1" applyNumberFormat="1">
      <alignment vertical="center"/>
    </xf>
    <xf borderId="0" fillId="0" fontId="87" numFmtId="164" xfId="0" applyAlignment="1" applyFont="1" applyNumberFormat="1">
      <alignment vertical="center"/>
    </xf>
    <xf borderId="0" fillId="0" fontId="78" numFmtId="0" xfId="0" applyAlignment="1" applyFont="1">
      <alignment vertical="center"/>
    </xf>
    <xf borderId="0" fillId="0" fontId="88" numFmtId="0" xfId="0" applyAlignment="1" applyFont="1">
      <alignment horizontal="right" vertical="center"/>
    </xf>
    <xf borderId="3" fillId="0" fontId="89" numFmtId="165" xfId="0" applyAlignment="1" applyBorder="1" applyFont="1" applyNumberFormat="1">
      <alignment horizontal="center" readingOrder="0" vertical="center"/>
    </xf>
    <xf borderId="0" fillId="0" fontId="78" numFmtId="0" xfId="0" applyAlignment="1" applyFont="1">
      <alignment vertical="center"/>
    </xf>
    <xf borderId="0" fillId="0" fontId="88" numFmtId="0" xfId="0" applyAlignment="1" applyFont="1">
      <alignment horizontal="center" vertical="center"/>
    </xf>
    <xf borderId="0" fillId="0" fontId="90" numFmtId="171" xfId="0" applyAlignment="1" applyFont="1" applyNumberFormat="1">
      <alignment horizontal="center" vertical="center"/>
    </xf>
    <xf borderId="0" fillId="0" fontId="78" numFmtId="171" xfId="0" applyAlignment="1" applyFont="1" applyNumberFormat="1">
      <alignment vertical="center"/>
    </xf>
    <xf borderId="0" fillId="0" fontId="91" numFmtId="0" xfId="0" applyFont="1"/>
    <xf borderId="0" fillId="0" fontId="92" numFmtId="0" xfId="0" applyFont="1"/>
    <xf borderId="0" fillId="0" fontId="93" numFmtId="0" xfId="0" applyFont="1"/>
    <xf borderId="0" fillId="0" fontId="79" numFmtId="0" xfId="0" applyFont="1"/>
    <xf borderId="0" fillId="0" fontId="90" numFmtId="165" xfId="0" applyAlignment="1" applyFont="1" applyNumberFormat="1">
      <alignment horizontal="center" vertical="center"/>
    </xf>
    <xf borderId="0" fillId="0" fontId="79" numFmtId="0" xfId="0" applyFont="1"/>
    <xf borderId="0" fillId="0" fontId="79" numFmtId="0" xfId="0" applyAlignment="1" applyFont="1">
      <alignment horizontal="center"/>
    </xf>
    <xf borderId="0" fillId="0" fontId="79" numFmtId="171" xfId="0" applyFont="1" applyNumberFormat="1"/>
    <xf borderId="0" fillId="0" fontId="79" numFmtId="14" xfId="0" applyAlignment="1" applyFont="1" applyNumberFormat="1">
      <alignment horizontal="center"/>
    </xf>
    <xf borderId="5" fillId="3" fontId="94" numFmtId="166" xfId="0" applyAlignment="1" applyBorder="1" applyFont="1" applyNumberFormat="1">
      <alignment horizontal="center" shrinkToFit="1" vertical="center" wrapText="0"/>
    </xf>
    <xf borderId="1" fillId="0" fontId="95" numFmtId="0" xfId="0" applyAlignment="1" applyBorder="1" applyFont="1">
      <alignment horizontal="left" readingOrder="0" vertical="center"/>
    </xf>
    <xf borderId="1" fillId="0" fontId="96" numFmtId="0" xfId="0" applyAlignment="1" applyBorder="1" applyFont="1">
      <alignment horizontal="left" vertical="center"/>
    </xf>
    <xf borderId="1" fillId="0" fontId="97" numFmtId="0" xfId="0" applyAlignment="1" applyBorder="1" applyFont="1">
      <alignment horizontal="center" vertical="center"/>
    </xf>
    <xf borderId="1" fillId="0" fontId="97" numFmtId="171" xfId="0" applyAlignment="1" applyBorder="1" applyFont="1" applyNumberFormat="1">
      <alignment vertical="center"/>
    </xf>
    <xf borderId="1" fillId="0" fontId="97" numFmtId="0" xfId="0" applyAlignment="1" applyBorder="1" applyFont="1">
      <alignment vertical="center"/>
    </xf>
    <xf borderId="7" fillId="4" fontId="76" numFmtId="167" xfId="0" applyAlignment="1" applyBorder="1" applyFont="1" applyNumberFormat="1">
      <alignment horizontal="left" shrinkToFit="1" vertical="center" wrapText="0"/>
    </xf>
    <xf borderId="8" fillId="4" fontId="98" numFmtId="168" xfId="0" applyAlignment="1" applyBorder="1" applyFont="1" applyNumberFormat="1">
      <alignment horizontal="right" shrinkToFit="1" vertical="center" wrapText="0"/>
    </xf>
    <xf borderId="0" fillId="0" fontId="99" numFmtId="0" xfId="0" applyAlignment="1" applyFont="1">
      <alignment horizontal="left" readingOrder="0" shrinkToFit="1" vertical="center" wrapText="0"/>
    </xf>
    <xf borderId="0" fillId="0" fontId="99" numFmtId="166" xfId="0" applyAlignment="1" applyFont="1" applyNumberFormat="1">
      <alignment horizontal="center" readingOrder="0" shrinkToFit="1" vertical="center" wrapText="0"/>
    </xf>
    <xf borderId="0" fillId="0" fontId="99" numFmtId="171" xfId="0" applyAlignment="1" applyFont="1" applyNumberFormat="1">
      <alignment horizontal="center" readingOrder="0" shrinkToFit="1" vertical="center" wrapText="0"/>
    </xf>
    <xf borderId="9" fillId="4" fontId="76" numFmtId="167" xfId="0" applyAlignment="1" applyBorder="1" applyFont="1" applyNumberFormat="1">
      <alignment horizontal="left" shrinkToFit="1" vertical="center" wrapText="0"/>
    </xf>
    <xf borderId="10" fillId="4" fontId="98" numFmtId="168" xfId="0" applyAlignment="1" applyBorder="1" applyFont="1" applyNumberFormat="1">
      <alignment horizontal="right" shrinkToFit="1" vertical="center" wrapText="0"/>
    </xf>
    <xf borderId="0" fillId="0" fontId="99" numFmtId="0" xfId="0" applyAlignment="1" applyFont="1">
      <alignment horizontal="left" readingOrder="0" shrinkToFit="1" vertical="center" wrapText="0"/>
    </xf>
    <xf borderId="0" fillId="0" fontId="99" numFmtId="166" xfId="0" applyAlignment="1" applyFont="1" applyNumberFormat="1">
      <alignment horizontal="center" readingOrder="0" shrinkToFit="1" vertical="center" wrapText="0"/>
    </xf>
    <xf borderId="0" fillId="0" fontId="99" numFmtId="171" xfId="0" applyAlignment="1" applyFont="1" applyNumberFormat="1">
      <alignment horizontal="center" readingOrder="0" shrinkToFit="1" vertical="center" wrapText="0"/>
    </xf>
    <xf borderId="11" fillId="0" fontId="100" numFmtId="0" xfId="0" applyAlignment="1" applyBorder="1" applyFont="1">
      <alignment horizontal="left" vertical="center"/>
    </xf>
    <xf borderId="12" fillId="0" fontId="100" numFmtId="169" xfId="0" applyAlignment="1" applyBorder="1" applyFont="1" applyNumberFormat="1">
      <alignment horizontal="right" shrinkToFit="1" vertical="center" wrapText="0"/>
    </xf>
    <xf borderId="11" fillId="0" fontId="100" numFmtId="0" xfId="0" applyAlignment="1" applyBorder="1" applyFont="1">
      <alignment horizontal="left" readingOrder="0" vertical="center"/>
    </xf>
    <xf borderId="12" fillId="0" fontId="100" numFmtId="169" xfId="0" applyAlignment="1" applyBorder="1" applyFont="1" applyNumberFormat="1">
      <alignment horizontal="right" readingOrder="0" shrinkToFit="1" vertical="center" wrapText="0"/>
    </xf>
    <xf borderId="34" fillId="11" fontId="101" numFmtId="0" xfId="0" applyAlignment="1" applyBorder="1" applyFont="1">
      <alignment readingOrder="0" shrinkToFit="0" vertical="center" wrapText="0"/>
    </xf>
    <xf borderId="34" fillId="11" fontId="101" numFmtId="0" xfId="0" applyAlignment="1" applyBorder="1" applyFont="1">
      <alignment horizontal="center" shrinkToFit="0" vertical="center" wrapText="0"/>
    </xf>
    <xf borderId="34" fillId="11" fontId="101" numFmtId="0" xfId="0" applyAlignment="1" applyBorder="1" applyFont="1">
      <alignment horizontal="center" readingOrder="0" shrinkToFit="0" vertical="center" wrapText="0"/>
    </xf>
    <xf borderId="34" fillId="11" fontId="101" numFmtId="171" xfId="0" applyAlignment="1" applyBorder="1" applyFont="1" applyNumberFormat="1">
      <alignment horizontal="right" readingOrder="0" shrinkToFit="0" vertical="center" wrapText="0"/>
    </xf>
    <xf borderId="34" fillId="11" fontId="101" numFmtId="170" xfId="0" applyAlignment="1" applyBorder="1" applyFont="1" applyNumberFormat="1">
      <alignment horizontal="center" shrinkToFit="0" vertical="center" wrapText="0"/>
    </xf>
    <xf borderId="0" fillId="0" fontId="78" numFmtId="0" xfId="0" applyAlignment="1" applyFont="1">
      <alignment readingOrder="0" vertical="center"/>
    </xf>
    <xf borderId="0" fillId="0" fontId="78" numFmtId="169" xfId="0" applyAlignment="1" applyFont="1" applyNumberFormat="1">
      <alignment readingOrder="0" vertical="center"/>
    </xf>
    <xf borderId="34" fillId="11" fontId="101" numFmtId="169" xfId="0" applyAlignment="1" applyBorder="1" applyFont="1" applyNumberFormat="1">
      <alignment horizontal="right" readingOrder="0" shrinkToFit="0" vertical="center" wrapText="0"/>
    </xf>
    <xf borderId="34" fillId="12" fontId="102" numFmtId="0" xfId="0" applyAlignment="1" applyBorder="1" applyFont="1">
      <alignment shrinkToFit="0" vertical="center" wrapText="0"/>
    </xf>
    <xf borderId="34" fillId="12" fontId="103" numFmtId="0" xfId="0" applyAlignment="1" applyBorder="1" applyFont="1">
      <alignment shrinkToFit="0" vertical="center" wrapText="0"/>
    </xf>
    <xf borderId="34" fillId="12" fontId="102" numFmtId="0" xfId="0" applyAlignment="1" applyBorder="1" applyFont="1">
      <alignment horizontal="center" readingOrder="0" shrinkToFit="0" vertical="center" wrapText="0"/>
    </xf>
    <xf borderId="34" fillId="12" fontId="101" numFmtId="170" xfId="0" applyAlignment="1" applyBorder="1" applyFont="1" applyNumberFormat="1">
      <alignment horizontal="center" shrinkToFit="0" vertical="center" wrapText="0"/>
    </xf>
    <xf borderId="34" fillId="12" fontId="66" numFmtId="170" xfId="0" applyAlignment="1" applyBorder="1" applyFont="1" applyNumberFormat="1">
      <alignment horizontal="center" shrinkToFit="0" vertical="center" wrapText="0"/>
    </xf>
    <xf borderId="14" fillId="2" fontId="104" numFmtId="0" xfId="0" applyAlignment="1" applyBorder="1" applyFont="1">
      <alignment horizontal="left" vertical="center"/>
    </xf>
    <xf borderId="15" fillId="2" fontId="104" numFmtId="169" xfId="0" applyAlignment="1" applyBorder="1" applyFont="1" applyNumberFormat="1">
      <alignment horizontal="right" shrinkToFit="1" vertical="center" wrapText="0"/>
    </xf>
    <xf borderId="0" fillId="0" fontId="79" numFmtId="0" xfId="0" applyAlignment="1" applyFont="1">
      <alignment horizontal="center" vertical="center"/>
    </xf>
    <xf borderId="0" fillId="0" fontId="79" numFmtId="0" xfId="0" applyAlignment="1" applyFont="1">
      <alignment readingOrder="0" vertical="center"/>
    </xf>
    <xf borderId="0" fillId="0" fontId="79" numFmtId="0" xfId="0" applyAlignment="1" applyFont="1">
      <alignment vertical="center"/>
    </xf>
    <xf borderId="0" fillId="0" fontId="79" numFmtId="169" xfId="0" applyAlignment="1" applyFont="1" applyNumberFormat="1">
      <alignment readingOrder="0" vertical="center"/>
    </xf>
    <xf borderId="34" fillId="12" fontId="101" numFmtId="0" xfId="0" applyAlignment="1" applyBorder="1" applyFont="1">
      <alignment readingOrder="0" shrinkToFit="0" vertical="center" wrapText="0"/>
    </xf>
    <xf borderId="34" fillId="12" fontId="101" numFmtId="0" xfId="0" applyAlignment="1" applyBorder="1" applyFont="1">
      <alignment horizontal="center" shrinkToFit="0" vertical="center" wrapText="0"/>
    </xf>
    <xf borderId="34" fillId="12" fontId="101" numFmtId="0" xfId="0" applyAlignment="1" applyBorder="1" applyFont="1">
      <alignment horizontal="center" readingOrder="0" shrinkToFit="0" vertical="center" wrapText="0"/>
    </xf>
    <xf borderId="11" fillId="0" fontId="100" numFmtId="0" xfId="0" applyBorder="1" applyFont="1"/>
    <xf borderId="12" fillId="0" fontId="105" numFmtId="169" xfId="0" applyAlignment="1" applyBorder="1" applyFont="1" applyNumberFormat="1">
      <alignment horizontal="right"/>
    </xf>
    <xf borderId="34" fillId="11" fontId="71" numFmtId="0" xfId="0" applyAlignment="1" applyBorder="1" applyFont="1">
      <alignment shrinkToFit="0" vertical="center" wrapText="0"/>
    </xf>
    <xf borderId="15" fillId="2" fontId="104" numFmtId="169" xfId="0" applyAlignment="1" applyBorder="1" applyFont="1" applyNumberFormat="1">
      <alignment horizontal="right" readingOrder="0" shrinkToFit="1" vertical="center" wrapText="0"/>
    </xf>
    <xf borderId="34" fillId="11" fontId="106" numFmtId="0" xfId="0" applyAlignment="1" applyBorder="1" applyFont="1">
      <alignment shrinkToFit="0" vertical="center" wrapText="0"/>
    </xf>
    <xf borderId="34" fillId="11" fontId="103" numFmtId="0" xfId="0" applyAlignment="1" applyBorder="1" applyFont="1">
      <alignment shrinkToFit="0" vertical="center" wrapText="0"/>
    </xf>
    <xf borderId="34" fillId="11" fontId="106" numFmtId="0" xfId="0" applyAlignment="1" applyBorder="1" applyFont="1">
      <alignment horizontal="center" readingOrder="0" shrinkToFit="0" vertical="center" wrapText="0"/>
    </xf>
    <xf borderId="34" fillId="11" fontId="107" numFmtId="169" xfId="0" applyAlignment="1" applyBorder="1" applyFont="1" applyNumberFormat="1">
      <alignment horizontal="right" shrinkToFit="0" vertical="center" wrapText="0"/>
    </xf>
    <xf borderId="0" fillId="0" fontId="108" numFmtId="0" xfId="0" applyAlignment="1" applyFont="1">
      <alignment vertical="center"/>
    </xf>
    <xf borderId="0" fillId="0" fontId="108" numFmtId="0" xfId="0" applyAlignment="1" applyFont="1">
      <alignment readingOrder="0" vertical="center"/>
    </xf>
    <xf borderId="34" fillId="11" fontId="66" numFmtId="0" xfId="0" applyAlignment="1" applyBorder="1" applyFont="1">
      <alignment shrinkToFit="0" vertical="center" wrapText="0"/>
    </xf>
    <xf borderId="34" fillId="0" fontId="100" numFmtId="0" xfId="0" applyAlignment="1" applyBorder="1" applyFont="1">
      <alignment readingOrder="0" shrinkToFit="0" vertical="center" wrapText="0"/>
    </xf>
    <xf borderId="34" fillId="0" fontId="100" numFmtId="0" xfId="0" applyAlignment="1" applyBorder="1" applyFont="1">
      <alignment horizontal="center" shrinkToFit="0" vertical="center" wrapText="0"/>
    </xf>
    <xf borderId="34" fillId="0" fontId="100" numFmtId="0" xfId="0" applyAlignment="1" applyBorder="1" applyFont="1">
      <alignment horizontal="center" readingOrder="0" shrinkToFit="0" vertical="center" wrapText="0"/>
    </xf>
    <xf borderId="34" fillId="0" fontId="100" numFmtId="169" xfId="0" applyAlignment="1" applyBorder="1" applyFont="1" applyNumberFormat="1">
      <alignment horizontal="right" readingOrder="0" shrinkToFit="0" vertical="center" wrapText="0"/>
    </xf>
    <xf borderId="34" fillId="0" fontId="100" numFmtId="170" xfId="0" applyAlignment="1" applyBorder="1" applyFont="1" applyNumberFormat="1">
      <alignment horizontal="center" shrinkToFit="0" vertical="center" wrapText="0"/>
    </xf>
    <xf borderId="34" fillId="0" fontId="11" numFmtId="0" xfId="0" applyAlignment="1" applyBorder="1" applyFont="1">
      <alignment shrinkToFit="0" vertical="center" wrapText="0"/>
    </xf>
    <xf borderId="34" fillId="0" fontId="11" numFmtId="0" xfId="0" applyAlignment="1" applyBorder="1" applyFont="1">
      <alignment shrinkToFit="0" vertical="center" wrapText="0"/>
    </xf>
    <xf borderId="34" fillId="0" fontId="11" numFmtId="0" xfId="0" applyAlignment="1" applyBorder="1" applyFont="1">
      <alignment horizontal="center" shrinkToFit="0" vertical="center" wrapText="0"/>
    </xf>
    <xf borderId="34" fillId="0" fontId="11" numFmtId="171" xfId="0" applyAlignment="1" applyBorder="1" applyFont="1" applyNumberFormat="1">
      <alignment shrinkToFit="0" vertical="center" wrapText="0"/>
    </xf>
    <xf borderId="34" fillId="0" fontId="109" numFmtId="170" xfId="0" applyAlignment="1" applyBorder="1" applyFont="1" applyNumberFormat="1">
      <alignment horizontal="center" shrinkToFit="0" vertical="center" wrapText="0"/>
    </xf>
    <xf borderId="34" fillId="0" fontId="27" numFmtId="169" xfId="0" applyAlignment="1" applyBorder="1" applyFont="1" applyNumberFormat="1">
      <alignment horizontal="right" readingOrder="0" vertical="center"/>
    </xf>
    <xf borderId="34" fillId="12" fontId="110" numFmtId="0" xfId="0" applyAlignment="1" applyBorder="1" applyFont="1">
      <alignment shrinkToFit="0" vertical="center" wrapText="0"/>
    </xf>
    <xf borderId="34" fillId="12" fontId="110" numFmtId="0" xfId="0" applyAlignment="1" applyBorder="1" applyFont="1">
      <alignment horizontal="center" shrinkToFit="0" vertical="center" wrapText="0"/>
    </xf>
    <xf borderId="34" fillId="12" fontId="110" numFmtId="170" xfId="0" applyAlignment="1" applyBorder="1" applyFont="1" applyNumberFormat="1">
      <alignment horizontal="center" shrinkToFit="0" vertical="center" wrapText="0"/>
    </xf>
    <xf borderId="11" fillId="0" fontId="27" numFmtId="0" xfId="0" applyBorder="1" applyFont="1"/>
    <xf borderId="12" fillId="0" fontId="36" numFmtId="169" xfId="0" applyAlignment="1" applyBorder="1" applyFont="1" applyNumberFormat="1">
      <alignment horizontal="right"/>
    </xf>
    <xf borderId="34" fillId="11" fontId="66" numFmtId="170" xfId="0" applyAlignment="1" applyBorder="1" applyFont="1" applyNumberFormat="1">
      <alignment horizontal="center" shrinkToFit="0" vertical="center" wrapText="0"/>
    </xf>
    <xf borderId="34" fillId="11" fontId="111" numFmtId="169" xfId="0" applyAlignment="1" applyBorder="1" applyFont="1" applyNumberFormat="1">
      <alignment horizontal="right" readingOrder="0" shrinkToFit="0" vertical="center" wrapText="0"/>
    </xf>
    <xf borderId="34" fillId="0" fontId="34" numFmtId="0" xfId="0" applyAlignment="1" applyBorder="1" applyFont="1">
      <alignment shrinkToFit="0" vertical="center" wrapText="0"/>
    </xf>
    <xf borderId="34" fillId="0" fontId="35" numFmtId="0" xfId="0" applyAlignment="1" applyBorder="1" applyFont="1">
      <alignment shrinkToFit="0" vertical="center" wrapText="0"/>
    </xf>
    <xf borderId="34" fillId="0" fontId="34" numFmtId="0" xfId="0" applyAlignment="1" applyBorder="1" applyFont="1">
      <alignment horizontal="center" shrinkToFit="0" vertical="center" wrapText="0"/>
    </xf>
    <xf borderId="34" fillId="0" fontId="36" numFmtId="171" xfId="0" applyAlignment="1" applyBorder="1" applyFont="1" applyNumberFormat="1">
      <alignment horizontal="right" readingOrder="0" shrinkToFit="0" vertical="center" wrapText="0"/>
    </xf>
    <xf borderId="34" fillId="0" fontId="75" numFmtId="0" xfId="0" applyAlignment="1" applyBorder="1" applyFont="1">
      <alignment shrinkToFit="0" vertical="center" wrapText="0"/>
    </xf>
    <xf borderId="34" fillId="0" fontId="75" numFmtId="0" xfId="0" applyAlignment="1" applyBorder="1" applyFont="1">
      <alignment horizontal="center" shrinkToFit="0" vertical="center" wrapText="0"/>
    </xf>
    <xf borderId="34" fillId="0" fontId="75" numFmtId="171" xfId="0" applyAlignment="1" applyBorder="1" applyFont="1" applyNumberFormat="1">
      <alignment shrinkToFit="0" vertical="center" wrapText="0"/>
    </xf>
    <xf borderId="12" fillId="0" fontId="27" numFmtId="0" xfId="0" applyAlignment="1" applyBorder="1" applyFont="1">
      <alignment horizontal="left" readingOrder="0" vertical="center"/>
    </xf>
    <xf borderId="34" fillId="12" fontId="73" numFmtId="0" xfId="0" applyAlignment="1" applyBorder="1" applyFont="1">
      <alignment shrinkToFit="0" vertical="center" wrapText="0"/>
    </xf>
    <xf borderId="34" fillId="12" fontId="39" numFmtId="0" xfId="0" applyAlignment="1" applyBorder="1" applyFont="1">
      <alignment shrinkToFit="0" vertical="center" wrapText="0"/>
    </xf>
    <xf borderId="34" fillId="12" fontId="73" numFmtId="0" xfId="0" applyAlignment="1" applyBorder="1" applyFont="1">
      <alignment horizontal="center" readingOrder="0" shrinkToFit="0" vertical="center" wrapText="0"/>
    </xf>
    <xf borderId="34" fillId="12" fontId="27" numFmtId="169" xfId="0" applyAlignment="1" applyBorder="1" applyFont="1" applyNumberFormat="1">
      <alignment horizontal="right" readingOrder="0" shrinkToFit="0" vertical="center" wrapText="0"/>
    </xf>
    <xf borderId="34" fillId="12" fontId="27" numFmtId="170" xfId="0" applyAlignment="1" applyBorder="1" applyFont="1" applyNumberFormat="1">
      <alignment horizontal="center" shrinkToFit="0" vertical="center" wrapText="0"/>
    </xf>
    <xf borderId="34" fillId="12" fontId="27" numFmtId="0" xfId="0" applyAlignment="1" applyBorder="1" applyFont="1">
      <alignment readingOrder="0" shrinkToFit="0" vertical="center" wrapText="0"/>
    </xf>
    <xf borderId="34" fillId="12" fontId="27" numFmtId="0" xfId="0" applyAlignment="1" applyBorder="1" applyFont="1">
      <alignment horizontal="center" shrinkToFit="0" vertical="center" wrapText="0"/>
    </xf>
    <xf borderId="34" fillId="12" fontId="27" numFmtId="0" xfId="0" applyAlignment="1" applyBorder="1" applyFont="1">
      <alignment horizontal="center" readingOrder="0" shrinkToFit="0" vertical="center" wrapText="0"/>
    </xf>
    <xf borderId="34" fillId="0" fontId="34" numFmtId="0" xfId="0" applyAlignment="1" applyBorder="1" applyFont="1">
      <alignment horizontal="center" readingOrder="0" shrinkToFit="0" vertical="center" wrapText="0"/>
    </xf>
    <xf borderId="34" fillId="0" fontId="36" numFmtId="171" xfId="0" applyAlignment="1" applyBorder="1" applyFont="1" applyNumberFormat="1">
      <alignment horizontal="right" shrinkToFit="0" vertical="center" wrapText="0"/>
    </xf>
    <xf borderId="34" fillId="11" fontId="66" numFmtId="0" xfId="0" applyAlignment="1" applyBorder="1" applyFont="1">
      <alignment horizontal="center" shrinkToFit="0" vertical="center" wrapText="0"/>
    </xf>
    <xf borderId="34" fillId="11" fontId="30" numFmtId="0" xfId="0" applyAlignment="1" applyBorder="1" applyFont="1">
      <alignment horizontal="center" shrinkToFit="0" vertical="center" wrapText="0"/>
    </xf>
    <xf borderId="1" fillId="2" fontId="5" numFmtId="0" xfId="0" applyAlignment="1" applyBorder="1" applyFont="1">
      <alignment horizontal="right" readingOrder="0" vertical="center"/>
    </xf>
    <xf borderId="2" fillId="13" fontId="6" numFmtId="0" xfId="0" applyAlignment="1" applyBorder="1" applyFill="1" applyFont="1">
      <alignment horizontal="center" readingOrder="0" vertical="center"/>
    </xf>
    <xf borderId="2" fillId="13" fontId="5" numFmtId="0" xfId="0" applyAlignment="1" applyBorder="1" applyFont="1">
      <alignment horizontal="center" readingOrder="0" vertical="center"/>
    </xf>
    <xf borderId="1" fillId="2" fontId="7" numFmtId="0" xfId="0" applyAlignment="1" applyBorder="1" applyFont="1">
      <alignment horizontal="left" readingOrder="0" vertical="center"/>
    </xf>
    <xf borderId="1" fillId="13" fontId="8" numFmtId="0" xfId="0" applyAlignment="1" applyBorder="1" applyFont="1">
      <alignment vertical="center"/>
    </xf>
    <xf borderId="1" fillId="13" fontId="8" numFmtId="0" xfId="0" applyAlignment="1" applyBorder="1" applyFont="1">
      <alignment horizontal="center" vertical="center"/>
    </xf>
    <xf borderId="1" fillId="13" fontId="8" numFmtId="171" xfId="0" applyAlignment="1" applyBorder="1" applyFont="1" applyNumberFormat="1">
      <alignment vertical="center"/>
    </xf>
    <xf borderId="1" fillId="13" fontId="9" numFmtId="0" xfId="0" applyAlignment="1" applyBorder="1" applyFont="1">
      <alignment horizontal="right" readingOrder="0" vertical="center"/>
    </xf>
    <xf borderId="0" fillId="13" fontId="11" numFmtId="0" xfId="0" applyFont="1"/>
    <xf borderId="1" fillId="13" fontId="4" numFmtId="0" xfId="0" applyBorder="1" applyFont="1"/>
    <xf borderId="1" fillId="13" fontId="4" numFmtId="0" xfId="0" applyAlignment="1" applyBorder="1" applyFont="1">
      <alignment horizontal="center"/>
    </xf>
    <xf borderId="1" fillId="13" fontId="4" numFmtId="171" xfId="0" applyBorder="1" applyFont="1" applyNumberFormat="1"/>
    <xf borderId="1" fillId="13" fontId="10" numFmtId="0" xfId="0" applyAlignment="1" applyBorder="1" applyFont="1">
      <alignment horizontal="right" readingOrder="0" vertical="center"/>
    </xf>
    <xf borderId="0" fillId="13" fontId="4" numFmtId="0" xfId="0" applyAlignment="1" applyFont="1">
      <alignment horizontal="right" vertical="center"/>
    </xf>
    <xf borderId="0" fillId="13" fontId="11" numFmtId="0" xfId="0" applyFont="1"/>
    <xf borderId="0" fillId="13" fontId="11" numFmtId="0" xfId="0" applyAlignment="1" applyFont="1">
      <alignment horizontal="center"/>
    </xf>
    <xf borderId="0" fillId="13" fontId="11" numFmtId="171" xfId="0" applyFont="1" applyNumberFormat="1"/>
    <xf borderId="0" fillId="13" fontId="12" numFmtId="164" xfId="0" applyAlignment="1" applyFont="1" applyNumberFormat="1">
      <alignment readingOrder="0" vertical="center"/>
    </xf>
    <xf borderId="0" fillId="13" fontId="13" numFmtId="164" xfId="0" applyAlignment="1" applyFont="1" applyNumberFormat="1">
      <alignment vertical="center"/>
    </xf>
    <xf borderId="0" fillId="13" fontId="3" numFmtId="0" xfId="0" applyAlignment="1" applyFont="1">
      <alignment vertical="center"/>
    </xf>
    <xf borderId="0" fillId="13" fontId="14" numFmtId="0" xfId="0" applyAlignment="1" applyFont="1">
      <alignment horizontal="right" readingOrder="0" vertical="center"/>
    </xf>
    <xf borderId="3" fillId="13" fontId="15" numFmtId="165" xfId="0" applyAlignment="1" applyBorder="1" applyFont="1" applyNumberFormat="1">
      <alignment horizontal="center" readingOrder="0" vertical="center"/>
    </xf>
    <xf borderId="0" fillId="13" fontId="3" numFmtId="0" xfId="0" applyAlignment="1" applyFont="1">
      <alignment vertical="center"/>
    </xf>
    <xf borderId="0" fillId="13" fontId="14" numFmtId="0" xfId="0" applyAlignment="1" applyFont="1">
      <alignment horizontal="center" readingOrder="0" vertical="center"/>
    </xf>
    <xf borderId="0" fillId="13" fontId="17" numFmtId="171" xfId="0" applyAlignment="1" applyFont="1" applyNumberFormat="1">
      <alignment horizontal="center" readingOrder="0" vertical="center"/>
    </xf>
    <xf borderId="0" fillId="13" fontId="3" numFmtId="0" xfId="0" applyAlignment="1" applyFont="1">
      <alignment readingOrder="0" vertical="center"/>
    </xf>
    <xf borderId="0" fillId="0" fontId="112" numFmtId="171" xfId="0" applyAlignment="1" applyFont="1" applyNumberFormat="1">
      <alignment horizontal="center" readingOrder="0" vertical="center"/>
    </xf>
    <xf borderId="1" fillId="2" fontId="113" numFmtId="0" xfId="0" applyAlignment="1" applyBorder="1" applyFont="1">
      <alignment horizontal="left" readingOrder="0" vertical="center"/>
    </xf>
    <xf borderId="12" fillId="0" fontId="111" numFmtId="169" xfId="0" applyAlignment="1" applyBorder="1" applyFont="1" applyNumberFormat="1">
      <alignment horizontal="right" readingOrder="0" shrinkToFit="1" vertical="center" wrapText="0"/>
    </xf>
    <xf borderId="12" fillId="0" fontId="25" numFmtId="169" xfId="0" applyAlignment="1" applyBorder="1" applyFont="1" applyNumberFormat="1">
      <alignment horizontal="right" readingOrder="0"/>
    </xf>
    <xf borderId="15" fillId="0" fontId="29" numFmtId="169" xfId="0" applyAlignment="1" applyBorder="1" applyFont="1" applyNumberFormat="1">
      <alignment horizontal="right" shrinkToFit="1" vertical="center" wrapText="0"/>
    </xf>
    <xf borderId="14" fillId="0" fontId="29" numFmtId="0" xfId="0" applyAlignment="1" applyBorder="1" applyFont="1">
      <alignment horizontal="left" vertical="center"/>
    </xf>
    <xf borderId="0" fillId="0" fontId="11" numFmtId="171" xfId="0" applyAlignment="1" applyFont="1" applyNumberFormat="1">
      <alignment readingOrder="0"/>
    </xf>
    <xf borderId="34" fillId="12" fontId="71" numFmtId="0" xfId="0" applyAlignment="1" applyBorder="1" applyFont="1">
      <alignment readingOrder="0" shrinkToFit="0" vertical="center" wrapText="0"/>
    </xf>
    <xf borderId="34" fillId="12" fontId="32" numFmtId="169" xfId="0" applyAlignment="1" applyBorder="1" applyFont="1" applyNumberFormat="1">
      <alignment horizontal="right" shrinkToFit="0" vertical="center" wrapText="0"/>
    </xf>
    <xf borderId="34" fillId="11" fontId="67" numFmtId="0" xfId="0" applyAlignment="1" applyBorder="1" applyFont="1">
      <alignment readingOrder="0" shrinkToFit="0" vertical="center" wrapText="0"/>
    </xf>
    <xf borderId="34" fillId="11" fontId="67" numFmtId="0" xfId="0" applyAlignment="1" applyBorder="1" applyFont="1">
      <alignment horizontal="center" readingOrder="0" shrinkToFit="0" vertical="center" wrapText="0"/>
    </xf>
    <xf borderId="34" fillId="11" fontId="67" numFmtId="171" xfId="0" applyAlignment="1" applyBorder="1" applyFont="1" applyNumberFormat="1">
      <alignment readingOrder="0" shrinkToFit="0" vertical="center" wrapText="0"/>
    </xf>
    <xf borderId="34" fillId="0" fontId="73" numFmtId="0" xfId="0" applyAlignment="1" applyBorder="1" applyFont="1">
      <alignment readingOrder="0" shrinkToFit="0" vertical="center" wrapText="0"/>
    </xf>
    <xf borderId="34" fillId="0" fontId="75" numFmtId="0" xfId="0" applyAlignment="1" applyBorder="1" applyFont="1">
      <alignment shrinkToFit="0" vertical="center" wrapText="0"/>
    </xf>
    <xf borderId="34" fillId="12" fontId="36" numFmtId="169" xfId="0" applyAlignment="1" applyBorder="1" applyFont="1" applyNumberFormat="1">
      <alignment horizontal="right" shrinkToFit="0" vertical="center" wrapText="0"/>
    </xf>
    <xf borderId="34" fillId="12" fontId="73" numFmtId="170" xfId="0" applyAlignment="1" applyBorder="1" applyFont="1" applyNumberFormat="1">
      <alignment horizontal="center" shrinkToFit="0" vertical="center" wrapText="0"/>
    </xf>
    <xf borderId="34" fillId="0" fontId="27" numFmtId="169" xfId="0" applyAlignment="1" applyBorder="1" applyFont="1" applyNumberFormat="1">
      <alignment horizontal="right" readingOrder="0" shrinkToFit="0" vertical="center" wrapText="0"/>
    </xf>
    <xf borderId="34" fillId="0" fontId="75" numFmtId="0" xfId="0" applyAlignment="1" applyBorder="1" applyFont="1">
      <alignment readingOrder="0" shrinkToFit="0" vertical="center" wrapText="0"/>
    </xf>
    <xf borderId="34" fillId="0" fontId="75" numFmtId="0" xfId="0" applyAlignment="1" applyBorder="1" applyFont="1">
      <alignment horizontal="center" readingOrder="0" shrinkToFit="0" vertical="center" wrapText="0"/>
    </xf>
    <xf borderId="34" fillId="0" fontId="75" numFmtId="171" xfId="0" applyAlignment="1" applyBorder="1" applyFont="1" applyNumberFormat="1">
      <alignment readingOrder="0" shrinkToFit="0" vertical="center" wrapText="0"/>
    </xf>
    <xf borderId="34" fillId="12" fontId="114" numFmtId="0" xfId="0" applyAlignment="1" applyBorder="1" applyFont="1">
      <alignment shrinkToFit="0" vertical="center" wrapText="0"/>
    </xf>
    <xf borderId="34" fillId="12" fontId="114" numFmtId="0" xfId="0" applyAlignment="1" applyBorder="1" applyFont="1">
      <alignment horizontal="center" shrinkToFit="0" vertical="center" wrapText="0"/>
    </xf>
    <xf borderId="34" fillId="12" fontId="114" numFmtId="170" xfId="0" applyAlignment="1" applyBorder="1" applyFont="1" applyNumberFormat="1">
      <alignment horizontal="center" shrinkToFit="0" vertical="center" wrapText="0"/>
    </xf>
    <xf borderId="34" fillId="12" fontId="73" numFmtId="0" xfId="0" applyAlignment="1" applyBorder="1" applyFont="1">
      <alignment horizontal="center" shrinkToFit="0" vertical="center" wrapText="0"/>
    </xf>
    <xf borderId="34" fillId="0" fontId="100" numFmtId="171" xfId="0" applyAlignment="1" applyBorder="1" applyFont="1" applyNumberFormat="1">
      <alignment horizontal="right" readingOrder="0" shrinkToFit="0" vertical="center" wrapText="0"/>
    </xf>
    <xf borderId="34" fillId="0" fontId="75" numFmtId="0" xfId="0" applyAlignment="1" applyBorder="1" applyFont="1">
      <alignment readingOrder="0" shrinkToFit="0" vertical="center" wrapText="0"/>
    </xf>
    <xf borderId="34" fillId="0" fontId="75" numFmtId="0" xfId="0" applyAlignment="1" applyBorder="1" applyFont="1">
      <alignment horizontal="center" readingOrder="0" shrinkToFit="0" vertical="center" wrapText="0"/>
    </xf>
    <xf borderId="34" fillId="0" fontId="75" numFmtId="171" xfId="0" applyAlignment="1" applyBorder="1" applyFont="1" applyNumberFormat="1">
      <alignment readingOrder="0" shrinkToFit="0" vertical="center" wrapText="0"/>
    </xf>
    <xf borderId="12" fillId="0" fontId="25" numFmtId="169" xfId="0" applyAlignment="1" applyBorder="1" applyFont="1" applyNumberFormat="1">
      <alignment horizontal="right" readingOrder="0" shrinkToFit="1" vertical="center" wrapText="0"/>
    </xf>
    <xf borderId="34" fillId="0" fontId="115" numFmtId="0" xfId="0" applyAlignment="1" applyBorder="1" applyFont="1">
      <alignment shrinkToFit="0" vertical="center" wrapText="0"/>
    </xf>
    <xf borderId="34" fillId="0" fontId="115" numFmtId="0" xfId="0" applyAlignment="1" applyBorder="1" applyFont="1">
      <alignment horizontal="center" shrinkToFit="0" vertical="center" wrapText="0"/>
    </xf>
    <xf borderId="34" fillId="0" fontId="116" numFmtId="171" xfId="0" applyAlignment="1" applyBorder="1" applyFont="1" applyNumberFormat="1">
      <alignment horizontal="right" shrinkToFit="0" vertical="center" wrapText="0"/>
    </xf>
    <xf borderId="10" fillId="4" fontId="25" numFmtId="168" xfId="0" applyAlignment="1" applyBorder="1" applyFont="1" applyNumberFormat="1">
      <alignment horizontal="right" readingOrder="0" shrinkToFit="1" vertical="center" wrapText="0"/>
    </xf>
    <xf borderId="0" fillId="0" fontId="49" numFmtId="0" xfId="0" applyAlignment="1" applyFont="1">
      <alignment readingOrder="0" shrinkToFit="0" vertical="bottom" wrapText="0"/>
    </xf>
    <xf borderId="0" fillId="0" fontId="42" numFmtId="0" xfId="0" applyAlignment="1" applyFont="1">
      <alignment horizontal="right" readingOrder="0" shrinkToFit="0" vertical="bottom" wrapText="0"/>
    </xf>
    <xf borderId="0" fillId="0" fontId="44" numFmtId="0" xfId="0" applyAlignment="1" applyFont="1">
      <alignment readingOrder="0" shrinkToFit="0" vertical="bottom" wrapText="0"/>
    </xf>
    <xf borderId="0" fillId="0" fontId="45" numFmtId="0" xfId="0" applyAlignment="1" applyFont="1">
      <alignment readingOrder="0" shrinkToFit="0" vertical="bottom" wrapText="0"/>
    </xf>
    <xf borderId="0" fillId="0" fontId="42" numFmtId="0" xfId="0" applyAlignment="1" applyFont="1">
      <alignment readingOrder="0" shrinkToFit="0" vertical="bottom" wrapText="0"/>
    </xf>
    <xf borderId="30" fillId="0" fontId="42" numFmtId="0" xfId="0" applyAlignment="1" applyBorder="1" applyFont="1">
      <alignment readingOrder="0" shrinkToFit="0" vertical="bottom" wrapText="0"/>
    </xf>
    <xf borderId="30" fillId="0" fontId="42" numFmtId="0" xfId="0" applyAlignment="1" applyBorder="1" applyFont="1">
      <alignment shrinkToFit="0" vertical="bottom" wrapText="0"/>
    </xf>
    <xf borderId="30" fillId="0" fontId="42" numFmtId="0" xfId="0" applyAlignment="1" applyBorder="1" applyFont="1">
      <alignment shrinkToFit="0" vertical="bottom" wrapText="0"/>
    </xf>
    <xf borderId="31" fillId="0" fontId="42" numFmtId="0" xfId="0" applyAlignment="1" applyBorder="1" applyFont="1">
      <alignment shrinkToFit="0" vertical="bottom" wrapText="0"/>
    </xf>
    <xf borderId="31" fillId="0" fontId="42" numFmtId="0" xfId="0" applyAlignment="1" applyBorder="1" applyFont="1">
      <alignment shrinkToFit="0" vertical="bottom" wrapText="0"/>
    </xf>
    <xf borderId="0" fillId="0" fontId="42" numFmtId="171" xfId="0" applyAlignment="1" applyFont="1" applyNumberFormat="1">
      <alignment shrinkToFit="0" vertical="bottom" wrapText="0"/>
    </xf>
    <xf borderId="0" fillId="0" fontId="42" numFmtId="171" xfId="0" applyAlignment="1" applyFont="1" applyNumberFormat="1">
      <alignment shrinkToFit="0" vertical="bottom" wrapText="0"/>
    </xf>
    <xf borderId="0" fillId="0" fontId="42" numFmtId="174" xfId="0" applyAlignment="1" applyFont="1" applyNumberFormat="1">
      <alignment shrinkToFit="0" vertical="bottom" wrapText="0"/>
    </xf>
    <xf borderId="0" fillId="0" fontId="42" numFmtId="174" xfId="0" applyAlignment="1" applyFont="1" applyNumberFormat="1">
      <alignment shrinkToFit="0" vertical="bottom" wrapText="0"/>
    </xf>
    <xf borderId="30" fillId="0" fontId="42" numFmtId="10" xfId="0" applyAlignment="1" applyBorder="1" applyFont="1" applyNumberFormat="1">
      <alignment shrinkToFit="0" vertical="bottom" wrapText="0"/>
    </xf>
    <xf borderId="30" fillId="0" fontId="42" numFmtId="10" xfId="0" applyAlignment="1" applyBorder="1" applyFont="1" applyNumberFormat="1">
      <alignment shrinkToFit="0" vertical="bottom" wrapText="0"/>
    </xf>
    <xf borderId="30" fillId="0" fontId="42" numFmtId="10" xfId="0" applyAlignment="1" applyBorder="1" applyFont="1" applyNumberFormat="1">
      <alignment shrinkToFit="0" vertical="bottom" wrapText="0"/>
    </xf>
    <xf borderId="30" fillId="0" fontId="42" numFmtId="10" xfId="0" applyAlignment="1" applyBorder="1" applyFont="1" applyNumberFormat="1">
      <alignment shrinkToFit="0" vertical="bottom" wrapText="0"/>
    </xf>
    <xf borderId="37" fillId="0" fontId="42" numFmtId="0" xfId="0" applyAlignment="1" applyBorder="1" applyFont="1">
      <alignment shrinkToFit="0" vertical="bottom" wrapText="0"/>
    </xf>
    <xf borderId="37" fillId="0" fontId="42" numFmtId="0" xfId="0" applyAlignment="1" applyBorder="1" applyFont="1">
      <alignment shrinkToFit="0" vertical="bottom" wrapText="0"/>
    </xf>
    <xf borderId="0" fillId="0" fontId="42" numFmtId="0" xfId="0" applyAlignment="1" applyFont="1">
      <alignment readingOrder="0" shrinkToFit="0" vertical="bottom" wrapText="0"/>
    </xf>
    <xf borderId="30" fillId="0" fontId="45" numFmtId="0" xfId="0" applyAlignment="1" applyBorder="1" applyFont="1">
      <alignment shrinkToFit="0" vertical="bottom" wrapText="0"/>
    </xf>
    <xf borderId="31" fillId="0" fontId="42" numFmtId="0" xfId="0" applyAlignment="1" applyBorder="1" applyFont="1">
      <alignment readingOrder="0" shrinkToFit="0" vertical="bottom" wrapText="0"/>
    </xf>
    <xf borderId="31" fillId="0" fontId="39" numFmtId="0" xfId="0" applyBorder="1" applyFont="1"/>
    <xf borderId="31" fillId="0" fontId="39" numFmtId="0" xfId="0" applyBorder="1" applyFont="1"/>
    <xf borderId="0" fillId="0" fontId="45" numFmtId="0" xfId="0" applyAlignment="1" applyFont="1">
      <alignment shrinkToFit="0" vertical="bottom" wrapText="0"/>
    </xf>
    <xf borderId="0" fillId="14" fontId="45" numFmtId="0" xfId="0" applyAlignment="1" applyFill="1" applyFont="1">
      <alignment shrinkToFit="0" vertical="bottom" wrapText="0"/>
    </xf>
    <xf borderId="0" fillId="0" fontId="42" numFmtId="0" xfId="0" applyAlignment="1" applyFont="1">
      <alignment horizontal="right" shrinkToFit="0" vertical="bottom" wrapText="0"/>
    </xf>
    <xf borderId="0" fillId="15" fontId="42" numFmtId="0" xfId="0" applyAlignment="1" applyFill="1" applyFont="1">
      <alignment horizontal="right" shrinkToFit="0" vertical="bottom" wrapText="0"/>
    </xf>
    <xf borderId="0" fillId="16" fontId="42" numFmtId="0" xfId="0" applyAlignment="1" applyFill="1" applyFont="1">
      <alignment horizontal="right" shrinkToFit="0" vertical="bottom" wrapText="0"/>
    </xf>
    <xf borderId="0" fillId="0" fontId="42" numFmtId="0" xfId="0" applyAlignment="1" applyFont="1">
      <alignment horizontal="right" shrinkToFit="0" vertical="bottom" wrapText="0"/>
    </xf>
    <xf borderId="0" fillId="0" fontId="42" numFmtId="10" xfId="0" applyAlignment="1" applyFont="1" applyNumberFormat="1">
      <alignment horizontal="right" shrinkToFit="0" vertical="bottom" wrapText="0"/>
    </xf>
    <xf borderId="0" fillId="0" fontId="42" numFmtId="10" xfId="0" applyAlignment="1" applyFont="1" applyNumberFormat="1">
      <alignment horizontal="right" shrinkToFit="0" vertical="bottom" wrapText="0"/>
    </xf>
    <xf borderId="0" fillId="15" fontId="45" numFmtId="0" xfId="0" applyAlignment="1" applyFont="1">
      <alignment horizontal="right" shrinkToFit="0" vertical="bottom" wrapText="0"/>
    </xf>
    <xf borderId="0" fillId="16" fontId="42" numFmtId="0" xfId="0" applyAlignment="1" applyFont="1">
      <alignment shrinkToFit="0" vertical="bottom" wrapText="0"/>
    </xf>
    <xf borderId="0" fillId="0" fontId="39" numFmtId="0" xfId="0" applyAlignment="1" applyFont="1">
      <alignment shrinkToFit="0" vertical="bottom" wrapText="0"/>
    </xf>
    <xf borderId="0" fillId="0" fontId="39" numFmtId="0" xfId="0" applyAlignment="1" applyFont="1">
      <alignment shrinkToFit="0" vertical="bottom" wrapText="0"/>
    </xf>
    <xf borderId="0" fillId="0" fontId="39" numFmtId="0" xfId="0" applyAlignment="1" applyFont="1">
      <alignment horizontal="right" readingOrder="0" shrinkToFit="0" vertical="bottom" wrapText="0"/>
    </xf>
    <xf borderId="0" fillId="0" fontId="39" numFmtId="0" xfId="0" applyAlignment="1" applyFont="1">
      <alignment horizontal="right" readingOrder="0" shrinkToFit="0" vertical="bottom" wrapText="0"/>
    </xf>
    <xf borderId="0" fillId="0" fontId="39" numFmtId="0" xfId="0" applyAlignment="1" applyFont="1">
      <alignment readingOrder="0" shrinkToFit="0" vertical="bottom" wrapText="0"/>
    </xf>
    <xf borderId="0" fillId="16" fontId="39" numFmtId="0" xfId="0" applyAlignment="1" applyFont="1">
      <alignment horizontal="right" readingOrder="0" shrinkToFit="0" vertical="bottom" wrapText="0"/>
    </xf>
    <xf borderId="0" fillId="0" fontId="45" numFmtId="0" xfId="0" applyAlignment="1" applyFont="1">
      <alignment horizontal="right" readingOrder="0" shrinkToFit="0" vertical="bottom" wrapText="0"/>
    </xf>
    <xf borderId="0" fillId="17" fontId="42" numFmtId="0" xfId="0" applyAlignment="1" applyFill="1" applyFont="1">
      <alignment shrinkToFit="0" vertical="bottom" wrapText="0"/>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FF0000"/>
      </font>
      <fill>
        <patternFill patternType="none"/>
      </fill>
      <border/>
    </dxf>
    <dxf>
      <font>
        <color rgb="FFFF0000"/>
      </font>
      <fill>
        <patternFill patternType="solid">
          <fgColor rgb="FFFFFFFF"/>
          <bgColor rgb="FFFFFFFF"/>
        </patternFill>
      </fill>
      <border/>
    </dxf>
    <dxf>
      <font/>
      <fill>
        <patternFill patternType="none"/>
      </fill>
      <border/>
    </dxf>
    <dxf>
      <font/>
      <fill>
        <patternFill patternType="solid">
          <fgColor rgb="FF90EE90"/>
          <bgColor rgb="FF90EE90"/>
        </patternFill>
      </fill>
      <border/>
    </dxf>
  </dxfs>
  <tableStyles count="33">
    <tableStyle count="4" pivot="0" name="Nov 2024-style">
      <tableStyleElement dxfId="1" type="headerRow"/>
      <tableStyleElement dxfId="2" type="firstRowStripe"/>
      <tableStyleElement dxfId="3" type="secondRowStripe"/>
      <tableStyleElement dxfId="4" size="0" type="wholeTable"/>
    </tableStyle>
    <tableStyle count="4" pivot="0" name="Dashboard-style">
      <tableStyleElement dxfId="1" type="headerRow"/>
      <tableStyleElement dxfId="2" type="firstRowStripe"/>
      <tableStyleElement dxfId="3" type="secondRowStripe"/>
      <tableStyleElement dxfId="4" size="0" type="wholeTable"/>
    </tableStyle>
    <tableStyle count="4" pivot="0" name="Jan 2025-style">
      <tableStyleElement dxfId="1" type="headerRow"/>
      <tableStyleElement dxfId="2" type="firstRowStripe"/>
      <tableStyleElement dxfId="3" type="secondRowStripe"/>
      <tableStyleElement dxfId="4" size="0" type="wholeTable"/>
    </tableStyle>
    <tableStyle count="4" pivot="0" name="Feb 2025-style">
      <tableStyleElement dxfId="1" type="headerRow"/>
      <tableStyleElement dxfId="2" type="firstRowStripe"/>
      <tableStyleElement dxfId="3" type="secondRowStripe"/>
      <tableStyleElement dxfId="4" size="0" type="wholeTable"/>
    </tableStyle>
    <tableStyle count="2" pivot="0" name="Feb 2025-style 2">
      <tableStyleElement dxfId="3" type="firstRowStripe"/>
      <tableStyleElement dxfId="2" type="secondRowStripe"/>
    </tableStyle>
    <tableStyle count="4" pivot="0" name="March 2025-style">
      <tableStyleElement dxfId="1" type="headerRow"/>
      <tableStyleElement dxfId="2" type="firstRowStripe"/>
      <tableStyleElement dxfId="3" type="secondRowStripe"/>
      <tableStyleElement dxfId="4" size="0" type="wholeTable"/>
    </tableStyle>
    <tableStyle count="4" pivot="0" name="April 2025-style">
      <tableStyleElement dxfId="1" type="headerRow"/>
      <tableStyleElement dxfId="2" type="firstRowStripe"/>
      <tableStyleElement dxfId="3" type="secondRowStripe"/>
      <tableStyleElement dxfId="4" size="0" type="wholeTable"/>
    </tableStyle>
    <tableStyle count="4" pivot="0" name="Dec 2024-style">
      <tableStyleElement dxfId="1" type="headerRow"/>
      <tableStyleElement dxfId="2" type="firstRowStripe"/>
      <tableStyleElement dxfId="3" type="secondRowStripe"/>
      <tableStyleElement dxfId="4" size="0" type="wholeTable"/>
    </tableStyle>
    <tableStyle count="4" pivot="0" name="May 2025-style">
      <tableStyleElement dxfId="1" type="headerRow"/>
      <tableStyleElement dxfId="2" type="firstRowStripe"/>
      <tableStyleElement dxfId="3" type="secondRowStripe"/>
      <tableStyleElement dxfId="4" size="0" type="wholeTable"/>
    </tableStyle>
    <tableStyle count="2" pivot="0" name="June 2025 -style">
      <tableStyleElement dxfId="2" type="firstRowStripe"/>
      <tableStyleElement dxfId="3" type="secondRowStripe"/>
    </tableStyle>
    <tableStyle count="4" pivot="0" name="June 2025 -style 2">
      <tableStyleElement dxfId="1" type="headerRow"/>
      <tableStyleElement dxfId="2" type="firstRowStripe"/>
      <tableStyleElement dxfId="3" type="secondRowStripe"/>
      <tableStyleElement dxfId="4" size="0" type="wholeTable"/>
    </tableStyle>
    <tableStyle count="4" pivot="0" name="July 2025-style">
      <tableStyleElement dxfId="1" type="headerRow"/>
      <tableStyleElement dxfId="2" type="firstRowStripe"/>
      <tableStyleElement dxfId="3" type="secondRowStripe"/>
      <tableStyleElement dxfId="4" size="0" type="wholeTable"/>
    </tableStyle>
    <tableStyle count="4" pivot="0" name="August 2025-style">
      <tableStyleElement dxfId="1" type="headerRow"/>
      <tableStyleElement dxfId="2" type="firstRowStripe"/>
      <tableStyleElement dxfId="3" type="secondRowStripe"/>
      <tableStyleElement dxfId="4" size="0" type="wholeTable"/>
    </tableStyle>
    <tableStyle count="4" pivot="0" name="September 2025-style">
      <tableStyleElement dxfId="1" type="headerRow"/>
      <tableStyleElement dxfId="2" type="firstRowStripe"/>
      <tableStyleElement dxfId="3" type="secondRowStripe"/>
      <tableStyleElement dxfId="4" size="0" type="wholeTable"/>
    </tableStyle>
    <tableStyle count="4" pivot="0" name="October 2025-style">
      <tableStyleElement dxfId="1" type="headerRow"/>
      <tableStyleElement dxfId="2" type="firstRowStripe"/>
      <tableStyleElement dxfId="3" type="secondRowStripe"/>
      <tableStyleElement dxfId="4" size="0" type="wholeTable"/>
    </tableStyle>
    <tableStyle count="4" pivot="0" name="November 2025-style">
      <tableStyleElement dxfId="1" type="headerRow"/>
      <tableStyleElement dxfId="2" type="firstRowStripe"/>
      <tableStyleElement dxfId="3" type="secondRowStripe"/>
      <tableStyleElement dxfId="4" size="0" type="wholeTable"/>
    </tableStyle>
    <tableStyle count="4" pivot="0" name="December 2025-style">
      <tableStyleElement dxfId="1" type="headerRow"/>
      <tableStyleElement dxfId="2" type="firstRowStripe"/>
      <tableStyleElement dxfId="3" type="secondRowStripe"/>
      <tableStyleElement dxfId="4" size="0" type="wholeTable"/>
    </tableStyle>
    <tableStyle count="4" pivot="0" name="January 2026-style">
      <tableStyleElement dxfId="1" type="headerRow"/>
      <tableStyleElement dxfId="2" type="firstRowStripe"/>
      <tableStyleElement dxfId="3" type="secondRowStripe"/>
      <tableStyleElement dxfId="4" size="0" type="wholeTable"/>
    </tableStyle>
    <tableStyle count="4" pivot="0" name="February 2026-style">
      <tableStyleElement dxfId="1" type="headerRow"/>
      <tableStyleElement dxfId="2" type="firstRowStripe"/>
      <tableStyleElement dxfId="3" type="secondRowStripe"/>
      <tableStyleElement dxfId="4" size="0" type="wholeTable"/>
    </tableStyle>
    <tableStyle count="4" pivot="0" name="March 2026-style">
      <tableStyleElement dxfId="1" type="headerRow"/>
      <tableStyleElement dxfId="2" type="firstRowStripe"/>
      <tableStyleElement dxfId="3" type="secondRowStripe"/>
      <tableStyleElement dxfId="4" size="0" type="wholeTable"/>
    </tableStyle>
    <tableStyle count="2" pivot="0" name="April 2026-style">
      <tableStyleElement dxfId="2" type="firstRowStripe"/>
      <tableStyleElement dxfId="3" type="secondRowStripe"/>
    </tableStyle>
    <tableStyle count="4" pivot="0" name="April 2026-style 2">
      <tableStyleElement dxfId="1" type="headerRow"/>
      <tableStyleElement dxfId="2" type="firstRowStripe"/>
      <tableStyleElement dxfId="3" type="secondRowStripe"/>
      <tableStyleElement dxfId="4" size="0" type="wholeTable"/>
    </tableStyle>
    <tableStyle count="4" pivot="0" name="May 2026-style">
      <tableStyleElement dxfId="1" type="headerRow"/>
      <tableStyleElement dxfId="2" type="firstRowStripe"/>
      <tableStyleElement dxfId="3" type="secondRowStripe"/>
      <tableStyleElement dxfId="4" size="0" type="wholeTable"/>
    </tableStyle>
    <tableStyle count="4" pivot="0" name="June 2026-style">
      <tableStyleElement dxfId="1" type="headerRow"/>
      <tableStyleElement dxfId="2" type="firstRowStripe"/>
      <tableStyleElement dxfId="3" type="secondRowStripe"/>
      <tableStyleElement dxfId="4" size="0" type="wholeTable"/>
    </tableStyle>
    <tableStyle count="4" pivot="0" name="July 2026-style">
      <tableStyleElement dxfId="1" type="headerRow"/>
      <tableStyleElement dxfId="2" type="firstRowStripe"/>
      <tableStyleElement dxfId="3" type="secondRowStripe"/>
      <tableStyleElement dxfId="4" size="0" type="wholeTable"/>
    </tableStyle>
    <tableStyle count="4" pivot="0" name="August 2026-style">
      <tableStyleElement dxfId="1" type="headerRow"/>
      <tableStyleElement dxfId="2" type="firstRowStripe"/>
      <tableStyleElement dxfId="3" type="secondRowStripe"/>
      <tableStyleElement dxfId="4" size="0" type="wholeTable"/>
    </tableStyle>
    <tableStyle count="4" pivot="0" name="September 2026-style">
      <tableStyleElement dxfId="1" type="headerRow"/>
      <tableStyleElement dxfId="2" type="firstRowStripe"/>
      <tableStyleElement dxfId="3" type="secondRowStripe"/>
      <tableStyleElement dxfId="4" size="0" type="wholeTable"/>
    </tableStyle>
    <tableStyle count="4" pivot="0" name="October 2026-style">
      <tableStyleElement dxfId="1" type="headerRow"/>
      <tableStyleElement dxfId="2" type="firstRowStripe"/>
      <tableStyleElement dxfId="3" type="secondRowStripe"/>
      <tableStyleElement dxfId="4" size="0" type="wholeTable"/>
    </tableStyle>
    <tableStyle count="4" pivot="0" name="November 2026-style">
      <tableStyleElement dxfId="1" type="headerRow"/>
      <tableStyleElement dxfId="2" type="firstRowStripe"/>
      <tableStyleElement dxfId="3" type="secondRowStripe"/>
      <tableStyleElement dxfId="4" size="0" type="wholeTable"/>
    </tableStyle>
    <tableStyle count="4" pivot="0" name="December 2026-style">
      <tableStyleElement dxfId="1" type="headerRow"/>
      <tableStyleElement dxfId="2" type="firstRowStripe"/>
      <tableStyleElement dxfId="3" type="secondRowStripe"/>
      <tableStyleElement dxfId="4" size="0" type="wholeTable"/>
    </tableStyle>
    <tableStyle count="4" pivot="0" name="January 2027-style">
      <tableStyleElement dxfId="1" type="headerRow"/>
      <tableStyleElement dxfId="2" type="firstRowStripe"/>
      <tableStyleElement dxfId="3" type="secondRowStripe"/>
      <tableStyleElement dxfId="4" size="0" type="wholeTable"/>
    </tableStyle>
    <tableStyle count="4" pivot="0" name="February 2027-style">
      <tableStyleElement dxfId="1" type="headerRow"/>
      <tableStyleElement dxfId="2" type="firstRowStripe"/>
      <tableStyleElement dxfId="3" type="secondRowStripe"/>
      <tableStyleElement dxfId="4" size="0" type="wholeTable"/>
    </tableStyle>
    <tableStyle count="4" pivot="0" name="March 2027-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P11:T47" displayName="Table1" name="Table1" id="1">
  <autoFilter ref="$P$11:$T$47"/>
  <tableColumns count="5">
    <tableColumn name="BILL" id="1"/>
    <tableColumn name="✔" id="2"/>
    <tableColumn name="DAY" id="3"/>
    <tableColumn name="AMOUNT" id="4"/>
    <tableColumn name="DUE DATE" id="5"/>
  </tableColumns>
  <tableStyleInfo name="Nov 2024-style" showColumnStripes="0" showFirstColumn="1" showLastColumn="1" showRowStripes="1"/>
</table>
</file>

<file path=xl/tables/table2.xml><?xml version="1.0" encoding="utf-8"?>
<table xmlns="http://schemas.openxmlformats.org/spreadsheetml/2006/main" ref="A2:E43" displayName="Table15" name="Table15" id="2">
  <tableColumns count="5">
    <tableColumn name="BILL" id="1"/>
    <tableColumn name="✔" id="2"/>
    <tableColumn name="DAY" id="3"/>
    <tableColumn name="AMOUNT" id="4"/>
    <tableColumn name="DUE DATE" id="5"/>
  </tableColumns>
  <tableStyleInfo name="Dashboard-style" showColumnStripes="0" showFirstColumn="1" showLastColumn="1" showRowStripes="1"/>
</table>
</file>

<file path=xl/tables/table3.xml><?xml version="1.0" encoding="utf-8"?>
<table xmlns="http://schemas.openxmlformats.org/spreadsheetml/2006/main" ref="P11:T60" displayName="Table3" name="Table3" id="3">
  <autoFilter ref="$P$11:$T$60"/>
  <tableColumns count="5">
    <tableColumn name="Bill" id="1"/>
    <tableColumn name="Column 2" id="2"/>
    <tableColumn name="Day" id="3"/>
    <tableColumn name="Amount" id="4"/>
    <tableColumn name="Column 5" id="5"/>
  </tableColumns>
  <tableStyleInfo name="Jan 2025-style" showColumnStripes="0" showFirstColumn="1" showLastColumn="1" showRowStripes="1"/>
</table>
</file>

<file path=xl/tables/table4.xml><?xml version="1.0" encoding="utf-8"?>
<table xmlns="http://schemas.openxmlformats.org/spreadsheetml/2006/main" ref="P11:T58" displayName="Table4" name="Table4" id="4">
  <autoFilter ref="$P$11:$T$58"/>
  <tableColumns count="5">
    <tableColumn name="Bill" id="1"/>
    <tableColumn name="Column 1" id="2"/>
    <tableColumn name="Monday" id="3"/>
    <tableColumn name="Amount" id="4"/>
    <tableColumn name="Date" id="5"/>
  </tableColumns>
  <tableStyleInfo name="Feb 2025-style" showColumnStripes="0" showFirstColumn="1" showLastColumn="1" showRowStripes="1"/>
</table>
</file>

<file path=xl/tables/table5.xml><?xml version="1.0" encoding="utf-8"?>
<table xmlns="http://schemas.openxmlformats.org/spreadsheetml/2006/main" headerRowCount="0" ref="J18:J21" displayName="Table_1" name="Table_1" id="5">
  <tableColumns count="1">
    <tableColumn name="Column1" id="1"/>
  </tableColumns>
  <tableStyleInfo name="Feb 2025-style 2" showColumnStripes="0" showFirstColumn="1" showLastColumn="1" showRowStripes="1"/>
</table>
</file>

<file path=xl/tables/table6.xml><?xml version="1.0" encoding="utf-8"?>
<table xmlns="http://schemas.openxmlformats.org/spreadsheetml/2006/main" ref="P11:T58" displayName="Table5" name="Table5" id="6">
  <autoFilter ref="$P$11:$T$58"/>
  <tableColumns count="5">
    <tableColumn name="BILL" id="1"/>
    <tableColumn name="✔" id="2"/>
    <tableColumn name="DAY" id="3"/>
    <tableColumn name="AMOUNT" id="4"/>
    <tableColumn name="DUE DATE" id="5"/>
  </tableColumns>
  <tableStyleInfo name="March 2025-style" showColumnStripes="0" showFirstColumn="1" showLastColumn="1" showRowStripes="1"/>
</table>
</file>

<file path=xl/tables/table7.xml><?xml version="1.0" encoding="utf-8"?>
<table xmlns="http://schemas.openxmlformats.org/spreadsheetml/2006/main" ref="P11:T57" displayName="Table6" name="Table6" id="7">
  <autoFilter ref="$P$11:$T$57"/>
  <tableColumns count="5">
    <tableColumn name="BILL" id="1"/>
    <tableColumn name="✔" id="2"/>
    <tableColumn name="DAY" id="3"/>
    <tableColumn name="AMOUNT" id="4"/>
    <tableColumn name="DUE DATE" id="5"/>
  </tableColumns>
  <tableStyleInfo name="April 2025-style" showColumnStripes="0" showFirstColumn="1" showLastColumn="1" showRowStripes="1"/>
</table>
</file>

<file path=xl/tables/table8.xml><?xml version="1.0" encoding="utf-8"?>
<table xmlns="http://schemas.openxmlformats.org/spreadsheetml/2006/main" ref="P11:T50" displayName="Table2" name="Table2" id="8">
  <autoFilter ref="$P$11:$T$50"/>
  <tableColumns count="5">
    <tableColumn name="BILL" id="1"/>
    <tableColumn name="✔" id="2"/>
    <tableColumn name="DAY" id="3"/>
    <tableColumn name="AMOUNT" id="4"/>
    <tableColumn name="DUE DATE" id="5"/>
  </tableColumns>
  <tableStyleInfo name="Dec 2024-style" showColumnStripes="0" showFirstColumn="1" showLastColumn="1" showRowStripes="1"/>
</table>
</file>

<file path=xl/tables/table9.xml><?xml version="1.0" encoding="utf-8"?>
<table xmlns="http://schemas.openxmlformats.org/spreadsheetml/2006/main" ref="P11:T57" displayName="Table7" name="Table7" id="9">
  <autoFilter ref="$P$11:$T$57"/>
  <tableColumns count="5">
    <tableColumn name="BILL" id="1"/>
    <tableColumn name="✔" id="2"/>
    <tableColumn name="DAY" id="3"/>
    <tableColumn name="AMOUNT" id="4"/>
    <tableColumn name="DUE DATE" id="5"/>
  </tableColumns>
  <tableStyleInfo name="May 2025-style" showColumnStripes="0" showFirstColumn="1" showLastColumn="1" showRowStripes="1"/>
</table>
</file>

<file path=xl/tables/table10.xml><?xml version="1.0" encoding="utf-8"?>
<table xmlns="http://schemas.openxmlformats.org/spreadsheetml/2006/main" headerRowCount="0" ref="A1:A2" displayName="Table_2" name="Table_2" id="10">
  <tableColumns count="1">
    <tableColumn name="Column1" id="1"/>
  </tableColumns>
  <tableStyleInfo name="June 2025 -style" showColumnStripes="0" showFirstColumn="1" showLastColumn="1" showRowStripes="1"/>
</table>
</file>

<file path=xl/tables/table11.xml><?xml version="1.0" encoding="utf-8"?>
<table xmlns="http://schemas.openxmlformats.org/spreadsheetml/2006/main" ref="P11:T56" displayName="Table8" name="Table8" id="11">
  <autoFilter ref="$P$11:$T$56"/>
  <tableColumns count="5">
    <tableColumn name="BILL" id="1"/>
    <tableColumn name="✔" id="2"/>
    <tableColumn name="DAY" id="3"/>
    <tableColumn name="AMOUNT" id="4"/>
    <tableColumn name="DUE DATE" id="5"/>
  </tableColumns>
  <tableStyleInfo name="June 2025 -style 2" showColumnStripes="0" showFirstColumn="1" showLastColumn="1" showRowStripes="1"/>
</table>
</file>

<file path=xl/tables/table12.xml><?xml version="1.0" encoding="utf-8"?>
<table xmlns="http://schemas.openxmlformats.org/spreadsheetml/2006/main" ref="P11:T57" displayName="Table9" name="Table9" id="12">
  <autoFilter ref="$P$11:$T$57"/>
  <tableColumns count="5">
    <tableColumn name="BILL" id="1"/>
    <tableColumn name="✔" id="2"/>
    <tableColumn name="DAY" id="3"/>
    <tableColumn name="AMOUNT" id="4"/>
    <tableColumn name="DUE DATE" id="5"/>
  </tableColumns>
  <tableStyleInfo name="July 2025-style" showColumnStripes="0" showFirstColumn="1" showLastColumn="1" showRowStripes="1"/>
</table>
</file>

<file path=xl/tables/table13.xml><?xml version="1.0" encoding="utf-8"?>
<table xmlns="http://schemas.openxmlformats.org/spreadsheetml/2006/main" ref="P11:T58" displayName="Table10" name="Table10" id="13">
  <autoFilter ref="$P$11:$T$58"/>
  <tableColumns count="5">
    <tableColumn name="BILL" id="1"/>
    <tableColumn name="✔" id="2"/>
    <tableColumn name="DAY" id="3"/>
    <tableColumn name="AMOUNT" id="4"/>
    <tableColumn name="DUE DATE" id="5"/>
  </tableColumns>
  <tableStyleInfo name="August 2025-style" showColumnStripes="0" showFirstColumn="1" showLastColumn="1" showRowStripes="1"/>
</table>
</file>

<file path=xl/tables/table14.xml><?xml version="1.0" encoding="utf-8"?>
<table xmlns="http://schemas.openxmlformats.org/spreadsheetml/2006/main" ref="P11:T56" displayName="Table11" name="Table11" id="14">
  <autoFilter ref="$P$11:$T$56"/>
  <tableColumns count="5">
    <tableColumn name="BILL" id="1"/>
    <tableColumn name="✔" id="2"/>
    <tableColumn name="DAY" id="3"/>
    <tableColumn name="AMOUNT" id="4"/>
    <tableColumn name="DUE DATE" id="5"/>
  </tableColumns>
  <tableStyleInfo name="September 2025-style" showColumnStripes="0" showFirstColumn="1" showLastColumn="1" showRowStripes="1"/>
</table>
</file>

<file path=xl/tables/table15.xml><?xml version="1.0" encoding="utf-8"?>
<table xmlns="http://schemas.openxmlformats.org/spreadsheetml/2006/main" ref="P11:T58" displayName="Table12" name="Table12" id="15">
  <autoFilter ref="$P$11:$T$58"/>
  <tableColumns count="5">
    <tableColumn name="BILL" id="1"/>
    <tableColumn name="✔" id="2"/>
    <tableColumn name="DAY" id="3"/>
    <tableColumn name="AMOUNT" id="4"/>
    <tableColumn name="DUE DATE" id="5"/>
  </tableColumns>
  <tableStyleInfo name="October 2025-style" showColumnStripes="0" showFirstColumn="1" showLastColumn="1" showRowStripes="1"/>
</table>
</file>

<file path=xl/tables/table16.xml><?xml version="1.0" encoding="utf-8"?>
<table xmlns="http://schemas.openxmlformats.org/spreadsheetml/2006/main" ref="P11:T56" displayName="Table13" name="Table13" id="16">
  <autoFilter ref="$P$11:$T$56"/>
  <tableColumns count="5">
    <tableColumn name="BILL" id="1"/>
    <tableColumn name="✔" id="2"/>
    <tableColumn name="DAY" id="3"/>
    <tableColumn name="AMOUNT" id="4"/>
    <tableColumn name="DUE DATE" id="5"/>
  </tableColumns>
  <tableStyleInfo name="November 2025-style" showColumnStripes="0" showFirstColumn="1" showLastColumn="1" showRowStripes="1"/>
</table>
</file>

<file path=xl/tables/table17.xml><?xml version="1.0" encoding="utf-8"?>
<table xmlns="http://schemas.openxmlformats.org/spreadsheetml/2006/main" ref="P11:T56" displayName="Table14" name="Table14" id="17">
  <autoFilter ref="$P$11:$T$56"/>
  <tableColumns count="5">
    <tableColumn name="BILL" id="1"/>
    <tableColumn name="✔" id="2"/>
    <tableColumn name="DAY" id="3"/>
    <tableColumn name="AMOUNT" id="4"/>
    <tableColumn name="DUE DATE" id="5"/>
  </tableColumns>
  <tableStyleInfo name="December 2025-style" showColumnStripes="0" showFirstColumn="1" showLastColumn="1" showRowStripes="1"/>
</table>
</file>

<file path=xl/tables/table18.xml><?xml version="1.0" encoding="utf-8"?>
<table xmlns="http://schemas.openxmlformats.org/spreadsheetml/2006/main" ref="P11:T54" displayName="Table14_2" name="Table14_2" id="18">
  <autoFilter ref="$P$11:$T$54"/>
  <tableColumns count="5">
    <tableColumn name="BILL" id="1"/>
    <tableColumn name="✔" id="2"/>
    <tableColumn name="DAY" id="3"/>
    <tableColumn name="AMOUNT" id="4"/>
    <tableColumn name="DUE DATE" id="5"/>
  </tableColumns>
  <tableStyleInfo name="January 2026-style" showColumnStripes="0" showFirstColumn="1" showLastColumn="1" showRowStripes="1"/>
</table>
</file>

<file path=xl/tables/table19.xml><?xml version="1.0" encoding="utf-8"?>
<table xmlns="http://schemas.openxmlformats.org/spreadsheetml/2006/main" ref="P11:T54" displayName="Table14_3" name="Table14_3" id="19">
  <autoFilter ref="$P$11:$T$54"/>
  <tableColumns count="5">
    <tableColumn name="BILL" id="1"/>
    <tableColumn name="✔" id="2"/>
    <tableColumn name="DAY" id="3"/>
    <tableColumn name="AMOUNT" id="4"/>
    <tableColumn name="DUE DATE" id="5"/>
  </tableColumns>
  <tableStyleInfo name="February 2026-style" showColumnStripes="0" showFirstColumn="1" showLastColumn="1" showRowStripes="1"/>
</table>
</file>

<file path=xl/tables/table20.xml><?xml version="1.0" encoding="utf-8"?>
<table xmlns="http://schemas.openxmlformats.org/spreadsheetml/2006/main" ref="P11:T54" displayName="Table14_4" name="Table14_4" id="20">
  <autoFilter ref="$P$11:$T$54"/>
  <tableColumns count="5">
    <tableColumn name="BILL" id="1"/>
    <tableColumn name="✔" id="2"/>
    <tableColumn name="DAY" id="3"/>
    <tableColumn name="AMOUNT" id="4"/>
    <tableColumn name="DUE DATE" id="5"/>
  </tableColumns>
  <tableStyleInfo name="March 2026-style" showColumnStripes="0" showFirstColumn="1" showLastColumn="1" showRowStripes="1"/>
</table>
</file>

<file path=xl/tables/table21.xml><?xml version="1.0" encoding="utf-8"?>
<table xmlns="http://schemas.openxmlformats.org/spreadsheetml/2006/main" headerRowCount="0" ref="A1:A2" displayName="Table_3" name="Table_3" id="21">
  <tableColumns count="1">
    <tableColumn name="Column1" id="1"/>
  </tableColumns>
  <tableStyleInfo name="April 2026-style" showColumnStripes="0" showFirstColumn="1" showLastColumn="1" showRowStripes="1"/>
</table>
</file>

<file path=xl/tables/table22.xml><?xml version="1.0" encoding="utf-8"?>
<table xmlns="http://schemas.openxmlformats.org/spreadsheetml/2006/main" ref="P11:T56" displayName="Table8_2" name="Table8_2" id="22">
  <autoFilter ref="$P$11:$T$56"/>
  <tableColumns count="5">
    <tableColumn name="BILL" id="1"/>
    <tableColumn name="✔" id="2"/>
    <tableColumn name="DAY" id="3"/>
    <tableColumn name="AMOUNT" id="4"/>
    <tableColumn name="DUE DATE" id="5"/>
  </tableColumns>
  <tableStyleInfo name="April 2026-style 2" showColumnStripes="0" showFirstColumn="1" showLastColumn="1" showRowStripes="1"/>
</table>
</file>

<file path=xl/tables/table23.xml><?xml version="1.0" encoding="utf-8"?>
<table xmlns="http://schemas.openxmlformats.org/spreadsheetml/2006/main" ref="P11:T57" displayName="Table9_2" name="Table9_2" id="23">
  <autoFilter ref="$P$11:$T$57"/>
  <tableColumns count="5">
    <tableColumn name="BILL" id="1"/>
    <tableColumn name="✔" id="2"/>
    <tableColumn name="DAY" id="3"/>
    <tableColumn name="AMOUNT" id="4"/>
    <tableColumn name="DUE DATE" id="5"/>
  </tableColumns>
  <tableStyleInfo name="May 2026-style" showColumnStripes="0" showFirstColumn="1" showLastColumn="1" showRowStripes="1"/>
</table>
</file>

<file path=xl/tables/table24.xml><?xml version="1.0" encoding="utf-8"?>
<table xmlns="http://schemas.openxmlformats.org/spreadsheetml/2006/main" ref="P11:T58" displayName="Table10_2" name="Table10_2" id="24">
  <autoFilter ref="$P$11:$T$58"/>
  <tableColumns count="5">
    <tableColumn name="BILL" id="1"/>
    <tableColumn name="✔" id="2"/>
    <tableColumn name="DAY" id="3"/>
    <tableColumn name="AMOUNT" id="4"/>
    <tableColumn name="DUE DATE" id="5"/>
  </tableColumns>
  <tableStyleInfo name="June 2026-style" showColumnStripes="0" showFirstColumn="1" showLastColumn="1" showRowStripes="1"/>
</table>
</file>

<file path=xl/tables/table25.xml><?xml version="1.0" encoding="utf-8"?>
<table xmlns="http://schemas.openxmlformats.org/spreadsheetml/2006/main" ref="P11:T56" displayName="Table11_2" name="Table11_2" id="25">
  <autoFilter ref="$P$11:$T$56"/>
  <tableColumns count="5">
    <tableColumn name="BILL" id="1"/>
    <tableColumn name="✔" id="2"/>
    <tableColumn name="DAY" id="3"/>
    <tableColumn name="AMOUNT" id="4"/>
    <tableColumn name="DUE DATE" id="5"/>
  </tableColumns>
  <tableStyleInfo name="July 2026-style" showColumnStripes="0" showFirstColumn="1" showLastColumn="1" showRowStripes="1"/>
</table>
</file>

<file path=xl/tables/table26.xml><?xml version="1.0" encoding="utf-8"?>
<table xmlns="http://schemas.openxmlformats.org/spreadsheetml/2006/main" ref="P11:T58" displayName="Table12_2" name="Table12_2" id="26">
  <autoFilter ref="$P$11:$T$58"/>
  <tableColumns count="5">
    <tableColumn name="BILL" id="1"/>
    <tableColumn name="✔" id="2"/>
    <tableColumn name="DAY" id="3"/>
    <tableColumn name="AMOUNT" id="4"/>
    <tableColumn name="DUE DATE" id="5"/>
  </tableColumns>
  <tableStyleInfo name="August 2026-style" showColumnStripes="0" showFirstColumn="1" showLastColumn="1" showRowStripes="1"/>
</table>
</file>

<file path=xl/tables/table27.xml><?xml version="1.0" encoding="utf-8"?>
<table xmlns="http://schemas.openxmlformats.org/spreadsheetml/2006/main" ref="P11:T56" displayName="Table13_2" name="Table13_2" id="27">
  <autoFilter ref="$P$11:$T$56"/>
  <tableColumns count="5">
    <tableColumn name="BILL" id="1"/>
    <tableColumn name="✔" id="2"/>
    <tableColumn name="DAY" id="3"/>
    <tableColumn name="AMOUNT" id="4"/>
    <tableColumn name="DUE DATE" id="5"/>
  </tableColumns>
  <tableStyleInfo name="September 2026-style" showColumnStripes="0" showFirstColumn="1" showLastColumn="1" showRowStripes="1"/>
</table>
</file>

<file path=xl/tables/table28.xml><?xml version="1.0" encoding="utf-8"?>
<table xmlns="http://schemas.openxmlformats.org/spreadsheetml/2006/main" ref="P11:T56" displayName="Table14_5" name="Table14_5" id="28">
  <autoFilter ref="$P$11:$T$56"/>
  <tableColumns count="5">
    <tableColumn name="BILL" id="1"/>
    <tableColumn name="✔" id="2"/>
    <tableColumn name="DAY" id="3"/>
    <tableColumn name="AMOUNT" id="4"/>
    <tableColumn name="DUE DATE" id="5"/>
  </tableColumns>
  <tableStyleInfo name="October 2026-style" showColumnStripes="0" showFirstColumn="1" showLastColumn="1" showRowStripes="1"/>
</table>
</file>

<file path=xl/tables/table29.xml><?xml version="1.0" encoding="utf-8"?>
<table xmlns="http://schemas.openxmlformats.org/spreadsheetml/2006/main" ref="P11:T56" displayName="Table13_3" name="Table13_3" id="29">
  <autoFilter ref="$P$11:$T$56"/>
  <tableColumns count="5">
    <tableColumn name="BILL" id="1"/>
    <tableColumn name="✔" id="2"/>
    <tableColumn name="DAY" id="3"/>
    <tableColumn name="AMOUNT" id="4"/>
    <tableColumn name="DUE DATE" id="5"/>
  </tableColumns>
  <tableStyleInfo name="November 2026-style" showColumnStripes="0" showFirstColumn="1" showLastColumn="1" showRowStripes="1"/>
</table>
</file>

<file path=xl/tables/table30.xml><?xml version="1.0" encoding="utf-8"?>
<table xmlns="http://schemas.openxmlformats.org/spreadsheetml/2006/main" ref="P11:T56" displayName="Table14_7" name="Table14_7" id="30">
  <autoFilter ref="$P$11:$T$56"/>
  <tableColumns count="5">
    <tableColumn name="BILL" id="1"/>
    <tableColumn name="✔" id="2"/>
    <tableColumn name="DAY" id="3"/>
    <tableColumn name="AMOUNT" id="4"/>
    <tableColumn name="DUE DATE" id="5"/>
  </tableColumns>
  <tableStyleInfo name="December 2026-style" showColumnStripes="0" showFirstColumn="1" showLastColumn="1" showRowStripes="1"/>
</table>
</file>

<file path=xl/tables/table31.xml><?xml version="1.0" encoding="utf-8"?>
<table xmlns="http://schemas.openxmlformats.org/spreadsheetml/2006/main" ref="P11:T56" displayName="Table14_6" name="Table14_6" id="31">
  <autoFilter ref="$P$11:$T$56"/>
  <tableColumns count="5">
    <tableColumn name="BILL" id="1"/>
    <tableColumn name="✔" id="2"/>
    <tableColumn name="DAY" id="3"/>
    <tableColumn name="AMOUNT" id="4"/>
    <tableColumn name="DUE DATE" id="5"/>
  </tableColumns>
  <tableStyleInfo name="January 2027-style" showColumnStripes="0" showFirstColumn="1" showLastColumn="1" showRowStripes="1"/>
</table>
</file>

<file path=xl/tables/table32.xml><?xml version="1.0" encoding="utf-8"?>
<table xmlns="http://schemas.openxmlformats.org/spreadsheetml/2006/main" ref="P11:T56" displayName="Table14_9" name="Table14_9" id="32">
  <autoFilter ref="$P$11:$T$56"/>
  <tableColumns count="5">
    <tableColumn name="BILL" id="1"/>
    <tableColumn name="✔" id="2"/>
    <tableColumn name="DAY" id="3"/>
    <tableColumn name="AMOUNT" id="4"/>
    <tableColumn name="DUE DATE" id="5"/>
  </tableColumns>
  <tableStyleInfo name="February 2027-style" showColumnStripes="0" showFirstColumn="1" showLastColumn="1" showRowStripes="1"/>
</table>
</file>

<file path=xl/tables/table33.xml><?xml version="1.0" encoding="utf-8"?>
<table xmlns="http://schemas.openxmlformats.org/spreadsheetml/2006/main" ref="P11:T56" displayName="Table14_8" name="Table14_8" id="33">
  <autoFilter ref="$P$11:$T$56"/>
  <tableColumns count="5">
    <tableColumn name="BILL" id="1"/>
    <tableColumn name="✔" id="2"/>
    <tableColumn name="DAY" id="3"/>
    <tableColumn name="AMOUNT" id="4"/>
    <tableColumn name="DUE DATE" id="5"/>
  </tableColumns>
  <tableStyleInfo name="March 2027-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2C2C4D"/>
      </a:dk1>
      <a:lt1>
        <a:srgbClr val="FFFFFF"/>
      </a:lt1>
      <a:dk2>
        <a:srgbClr val="2C2C4D"/>
      </a:dk2>
      <a:lt2>
        <a:srgbClr val="FFFFFF"/>
      </a:lt2>
      <a:accent1>
        <a:srgbClr val="1D2384"/>
      </a:accent1>
      <a:accent2>
        <a:srgbClr val="FF0000"/>
      </a:accent2>
      <a:accent3>
        <a:srgbClr val="F5A69B"/>
      </a:accent3>
      <a:accent4>
        <a:srgbClr val="A68057"/>
      </a:accent4>
      <a:accent5>
        <a:srgbClr val="F4AA11"/>
      </a:accent5>
      <a:accent6>
        <a:srgbClr val="D1EB60"/>
      </a:accent6>
      <a:hlink>
        <a:srgbClr val="19A86A"/>
      </a:hlink>
      <a:folHlink>
        <a:srgbClr val="19A86A"/>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5.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6.xml"/><Relationship Id="rId5" Type="http://schemas.openxmlformats.org/officeDocument/2006/relationships/table" Target="../tables/table4.xml"/><Relationship Id="rId6"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7.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8.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10.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11.xml"/><Relationship Id="rId5" Type="http://schemas.openxmlformats.org/officeDocument/2006/relationships/table" Target="../tables/table10.xml"/><Relationship Id="rId6"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12.xml"/><Relationship Id="rId4"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13.xml"/><Relationship Id="rId4"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14.xml"/><Relationship Id="rId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15.xml"/><Relationship Id="rId4"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16.xml"/><Relationship Id="rId4"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17.xml"/><Relationship Id="rId4"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18.xml"/><Relationship Id="rId4"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19.xml"/><Relationship Id="rId4"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20.xml"/><Relationship Id="rId4"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21.xml"/><Relationship Id="rId5" Type="http://schemas.openxmlformats.org/officeDocument/2006/relationships/table" Target="../tables/table21.xml"/><Relationship Id="rId6"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22.xml"/><Relationship Id="rId4"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23.xml"/><Relationship Id="rId4" Type="http://schemas.openxmlformats.org/officeDocument/2006/relationships/table" Target="../tables/table24.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24.xml"/><Relationship Id="rId4" Type="http://schemas.openxmlformats.org/officeDocument/2006/relationships/table" Target="../tables/table25.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25.xml"/><Relationship Id="rId4" Type="http://schemas.openxmlformats.org/officeDocument/2006/relationships/table" Target="../tables/table26.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26.xml"/><Relationship Id="rId4" Type="http://schemas.openxmlformats.org/officeDocument/2006/relationships/table" Target="../tables/table27.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27.xml"/><Relationship Id="rId4" Type="http://schemas.openxmlformats.org/officeDocument/2006/relationships/table" Target="../tables/table28.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28.xml"/><Relationship Id="rId4" Type="http://schemas.openxmlformats.org/officeDocument/2006/relationships/table" Target="../tables/table29.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29.xml"/><Relationship Id="rId4" Type="http://schemas.openxmlformats.org/officeDocument/2006/relationships/table" Target="../tables/table30.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30.xml"/><Relationship Id="rId4" Type="http://schemas.openxmlformats.org/officeDocument/2006/relationships/table" Target="../tables/table31.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31.xml"/><Relationship Id="rId4" Type="http://schemas.openxmlformats.org/officeDocument/2006/relationships/table" Target="../tables/table32.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vertex42.com/calendars/budget-calendar.html" TargetMode="External"/><Relationship Id="rId2" Type="http://schemas.openxmlformats.org/officeDocument/2006/relationships/drawing" Target="../drawings/drawing32.xml"/><Relationship Id="rId4" Type="http://schemas.openxmlformats.org/officeDocument/2006/relationships/table" Target="../tables/table3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16" width="15.5"/>
    <col customWidth="1" min="17" max="17" width="3.63"/>
    <col customWidth="1" min="18" max="18" width="9.13"/>
    <col customWidth="1" min="19" max="19" width="9.63"/>
    <col customWidth="1" min="20" max="20" width="9.38"/>
    <col customWidth="1" min="21" max="22" width="8.63"/>
    <col customWidth="1" min="23" max="23" width="12.88"/>
    <col customWidth="1" min="24" max="26" width="8.63"/>
  </cols>
  <sheetData>
    <row r="1" ht="24.75" customHeight="1">
      <c r="A1" s="1" t="s">
        <v>0</v>
      </c>
      <c r="B1" s="2"/>
      <c r="C1" s="2"/>
      <c r="D1" s="3"/>
      <c r="E1" s="3"/>
      <c r="F1" s="2"/>
      <c r="G1" s="2"/>
      <c r="H1" s="2"/>
      <c r="I1" s="2"/>
      <c r="J1" s="4"/>
      <c r="K1" s="5"/>
      <c r="L1" s="4"/>
      <c r="M1" s="4"/>
      <c r="N1" s="4"/>
      <c r="O1" s="4"/>
      <c r="P1" s="6"/>
      <c r="Q1" s="6"/>
      <c r="R1" s="7"/>
      <c r="S1" s="6"/>
      <c r="T1" s="8"/>
    </row>
    <row r="2" ht="12.75" customHeight="1">
      <c r="A2" s="9" t="s">
        <v>1</v>
      </c>
      <c r="B2" s="10">
        <v>2024.0</v>
      </c>
      <c r="C2" s="3"/>
      <c r="D2" s="9" t="s">
        <v>2</v>
      </c>
      <c r="E2" s="10">
        <v>11.0</v>
      </c>
      <c r="F2" s="3"/>
      <c r="G2" s="9" t="s">
        <v>3</v>
      </c>
      <c r="H2" s="11">
        <v>1.0</v>
      </c>
      <c r="I2" s="12" t="s">
        <v>4</v>
      </c>
      <c r="J2" s="4"/>
      <c r="K2" s="5"/>
      <c r="L2" s="13"/>
      <c r="M2" s="13"/>
      <c r="N2" s="13"/>
      <c r="O2" s="13"/>
      <c r="P2" s="14"/>
      <c r="Q2" s="14"/>
      <c r="R2" s="15"/>
      <c r="S2" s="14"/>
      <c r="T2" s="16" t="s">
        <v>5</v>
      </c>
    </row>
    <row r="3" ht="12.75" customHeight="1">
      <c r="A3" s="3"/>
      <c r="B3" s="3"/>
      <c r="C3" s="3"/>
      <c r="D3" s="3"/>
      <c r="E3" s="3"/>
      <c r="F3" s="3"/>
      <c r="G3" s="3"/>
      <c r="H3" s="3"/>
      <c r="I3" s="4"/>
      <c r="J3" s="4"/>
      <c r="K3" s="4"/>
      <c r="L3" s="4"/>
      <c r="M3" s="4"/>
      <c r="N3" s="4"/>
      <c r="O3" s="4"/>
      <c r="P3" s="6"/>
      <c r="Q3" s="6"/>
      <c r="R3" s="7"/>
      <c r="S3" s="6"/>
      <c r="T3" s="17" t="s">
        <v>6</v>
      </c>
    </row>
    <row r="4" ht="12.75" customHeight="1">
      <c r="N4" s="18"/>
      <c r="P4" s="19"/>
      <c r="Q4" s="19"/>
      <c r="R4" s="20"/>
      <c r="S4" s="19"/>
      <c r="T4" s="19"/>
    </row>
    <row r="5" ht="25.5" customHeight="1">
      <c r="A5" s="21" t="str">
        <f>UPPER(TEXT(B8,"mmmm yyyy"))</f>
        <v>NOVEMBER 2024</v>
      </c>
      <c r="B5" s="22"/>
      <c r="C5" s="22"/>
      <c r="D5" s="22"/>
      <c r="E5" s="22"/>
      <c r="F5" s="22"/>
      <c r="G5" s="22"/>
      <c r="H5" s="23"/>
      <c r="I5" s="23"/>
      <c r="J5" s="23"/>
      <c r="K5" s="22"/>
      <c r="L5" s="24" t="s">
        <v>7</v>
      </c>
      <c r="M5" s="25">
        <v>2147.0</v>
      </c>
      <c r="N5" s="26"/>
      <c r="O5" s="23"/>
      <c r="P5" s="27"/>
      <c r="Q5" s="27"/>
      <c r="R5" s="28" t="s">
        <v>8</v>
      </c>
      <c r="S5" s="29">
        <f>SUMIF(A18:N21,"&gt;0")+SUMIF(A24:N27,"&gt;0")+SUMIF(A30:N33,"&gt;0")+SUMIF(A36:N39,"&gt;0")+SUMIF(A42:D45,"&gt;0")+SUMIF(S12:S45,"&gt;0")+SUMIF(A12:N15,"&gt;0")</f>
        <v>7638.25</v>
      </c>
      <c r="U5" s="23"/>
      <c r="V5" s="30">
        <f>sum(S5+S6)</f>
        <v>2595.997</v>
      </c>
      <c r="W5" s="23"/>
      <c r="X5" s="23"/>
      <c r="Y5" s="23"/>
      <c r="Z5" s="23"/>
    </row>
    <row r="6" ht="25.5" customHeight="1">
      <c r="A6" s="31"/>
      <c r="B6" s="31"/>
      <c r="C6" s="31"/>
      <c r="D6" s="31"/>
      <c r="E6" s="31"/>
      <c r="F6" s="32"/>
      <c r="G6" s="33"/>
      <c r="H6" s="34"/>
      <c r="I6" s="34"/>
      <c r="J6" s="34"/>
      <c r="K6" s="31"/>
      <c r="L6" s="24" t="s">
        <v>9</v>
      </c>
      <c r="M6" s="35">
        <f>D46</f>
        <v>4742.997</v>
      </c>
      <c r="O6" s="34"/>
      <c r="P6" s="36"/>
      <c r="Q6" s="36"/>
      <c r="R6" s="28" t="s">
        <v>10</v>
      </c>
      <c r="S6" s="29">
        <f>SUMIF(A18:N21,"&lt;0")+SUMIF(A24:N27,"&lt;0")+SUMIF(A30:N33,"&lt;0")+SUMIF(A36:N39,"&lt;0")+SUMIF(A42:D45,"&lt;0")+SUMIF(S12:S199,"&lt;0")+SUMIF(A12:N15,"&lt;0")</f>
        <v>-5042.253</v>
      </c>
      <c r="U6" s="34"/>
      <c r="V6" s="34"/>
      <c r="W6" s="34"/>
      <c r="X6" s="34"/>
      <c r="Y6" s="34"/>
      <c r="Z6" s="34"/>
    </row>
    <row r="7" ht="12.75" customHeight="1">
      <c r="A7" s="31"/>
      <c r="B7" s="31"/>
      <c r="C7" s="31"/>
      <c r="D7" s="31"/>
      <c r="E7" s="31"/>
      <c r="F7" s="31"/>
      <c r="G7" s="31"/>
      <c r="H7" s="31"/>
      <c r="I7" s="31"/>
      <c r="J7" s="31"/>
      <c r="K7" s="31"/>
      <c r="L7" s="31"/>
      <c r="M7" s="31"/>
      <c r="N7" s="31"/>
      <c r="O7" s="34"/>
      <c r="P7" s="36"/>
      <c r="Q7" s="36"/>
      <c r="R7" s="37"/>
      <c r="S7" s="36"/>
      <c r="T7" s="36"/>
      <c r="U7" s="34"/>
      <c r="V7" s="34"/>
      <c r="W7" s="34"/>
      <c r="X7" s="34"/>
      <c r="Y7" s="34"/>
      <c r="Z7" s="34"/>
    </row>
    <row r="8" ht="12.75" hidden="1" customHeight="1">
      <c r="A8" s="34" t="s">
        <v>11</v>
      </c>
      <c r="B8" s="38">
        <f>DATE(B2,E2,1)</f>
        <v>45597</v>
      </c>
      <c r="C8" s="34"/>
      <c r="D8" s="34"/>
      <c r="E8" s="34"/>
      <c r="F8" s="34"/>
      <c r="G8" s="34"/>
      <c r="H8" s="34"/>
      <c r="I8" s="34"/>
      <c r="J8" s="34"/>
      <c r="K8" s="34"/>
      <c r="L8" s="34"/>
      <c r="M8" s="34"/>
      <c r="N8" s="34"/>
      <c r="O8" s="34"/>
      <c r="P8" s="36"/>
      <c r="Q8" s="36"/>
      <c r="R8" s="37"/>
      <c r="S8" s="36"/>
      <c r="T8" s="36"/>
      <c r="U8" s="34"/>
      <c r="V8" s="34"/>
      <c r="W8" s="34"/>
      <c r="X8" s="34"/>
      <c r="Y8" s="34"/>
      <c r="Z8" s="34"/>
    </row>
    <row r="9" ht="18.0" customHeight="1">
      <c r="A9" s="39">
        <f>A17</f>
        <v>45599</v>
      </c>
      <c r="B9" s="40"/>
      <c r="C9" s="39">
        <f>C17</f>
        <v>45600</v>
      </c>
      <c r="D9" s="40"/>
      <c r="E9" s="39">
        <f>E17</f>
        <v>45601</v>
      </c>
      <c r="F9" s="40"/>
      <c r="G9" s="39">
        <f>G17</f>
        <v>45602</v>
      </c>
      <c r="H9" s="40"/>
      <c r="I9" s="39">
        <f>I17</f>
        <v>45603</v>
      </c>
      <c r="J9" s="40"/>
      <c r="K9" s="39">
        <f>K17</f>
        <v>45604</v>
      </c>
      <c r="L9" s="40"/>
      <c r="M9" s="39">
        <f>M17</f>
        <v>45605</v>
      </c>
      <c r="N9" s="40"/>
      <c r="O9" s="23"/>
      <c r="P9" s="41" t="s">
        <v>12</v>
      </c>
      <c r="Q9" s="42"/>
      <c r="R9" s="43"/>
      <c r="S9" s="44"/>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9"/>
      <c r="S10" s="48"/>
      <c r="T10" s="48"/>
      <c r="U10" s="23"/>
      <c r="V10" s="23"/>
      <c r="W10" s="23"/>
      <c r="X10" s="23"/>
      <c r="Y10" s="23"/>
      <c r="Z10" s="23"/>
    </row>
    <row r="11" ht="12.75" customHeight="1">
      <c r="A11" s="50" t="str">
        <f>IF(WEEKDAY($B$8,1)=$H$2,$B$8,"")</f>
        <v/>
      </c>
      <c r="B11" s="51">
        <f>SUMIF($T$11:$T$127,A11,$S$11:$S$87)</f>
        <v>0</v>
      </c>
      <c r="C11" s="50" t="str">
        <f>IF(A11="",IF(WEEKDAY($B$8,1)=MOD($H$2,7)+1,$B$8,""),A11+1)</f>
        <v/>
      </c>
      <c r="D11" s="51">
        <f>SUMIF($T$11:$T$127,C11,$S$11:$S$87)</f>
        <v>0</v>
      </c>
      <c r="E11" s="50" t="str">
        <f>IF(C11="",IF(WEEKDAY($B$8,1)=MOD($H$2+1,7)+1,$B$8,""),C11+1)</f>
        <v/>
      </c>
      <c r="F11" s="51">
        <f>SUMIF($T$11:$T$127,E11,$S$11:$S$87)</f>
        <v>0</v>
      </c>
      <c r="G11" s="50" t="str">
        <f>IF(E11="",IF(WEEKDAY($B$8,1)=MOD($H$2+2,7)+1,$B$8,""),E11+1)</f>
        <v/>
      </c>
      <c r="H11" s="51">
        <f>SUMIF($T$11:$T$127,G11,$S$11:$S$87)</f>
        <v>0</v>
      </c>
      <c r="I11" s="50" t="str">
        <f>IF(G11="",IF(WEEKDAY($B$8,1)=MOD($H$2+3,7)+1,$B$8,""),G11+1)</f>
        <v/>
      </c>
      <c r="J11" s="51">
        <f>SUMIF($T$11:$T$127,I11,$S$11:$S$87)</f>
        <v>0</v>
      </c>
      <c r="K11" s="50">
        <f>IF(I11="",IF(WEEKDAY($B$8,1)=MOD($H$2+4,7)+1,$B$8,""),I11+1)</f>
        <v>45597</v>
      </c>
      <c r="L11" s="51">
        <f>SUMIF($T$11:$T$127,K11,$S$11:$S$87)</f>
        <v>337.067</v>
      </c>
      <c r="M11" s="50">
        <f>IF(K11="",IF(WEEKDAY($B$8,1)=MOD($H$2+5,7)+1,$B$8,""),K11+1)</f>
        <v>45598</v>
      </c>
      <c r="N11" s="51">
        <f>SUMIF($T$11:$T$127,M11,$S$11:$S$87)</f>
        <v>0</v>
      </c>
      <c r="O11" s="23"/>
      <c r="P11" s="52" t="s">
        <v>13</v>
      </c>
      <c r="Q11" s="53" t="s">
        <v>14</v>
      </c>
      <c r="R11" s="54" t="s">
        <v>15</v>
      </c>
      <c r="S11" s="53" t="s">
        <v>16</v>
      </c>
      <c r="T11" s="53" t="s">
        <v>17</v>
      </c>
      <c r="U11" s="23"/>
      <c r="V11" s="23"/>
      <c r="W11" s="23"/>
      <c r="X11" s="23"/>
      <c r="Y11" s="23"/>
      <c r="Z11" s="23"/>
    </row>
    <row r="12" ht="18.75" customHeight="1">
      <c r="A12" s="55"/>
      <c r="B12" s="56"/>
      <c r="C12" s="55"/>
      <c r="D12" s="57"/>
      <c r="E12" s="55"/>
      <c r="F12" s="56"/>
      <c r="G12" s="55"/>
      <c r="H12" s="56"/>
      <c r="I12" s="58"/>
      <c r="J12" s="57"/>
      <c r="K12" s="55"/>
      <c r="L12" s="56"/>
      <c r="M12" s="55"/>
      <c r="N12" s="56"/>
      <c r="O12" s="23"/>
      <c r="P12" s="59" t="s">
        <v>18</v>
      </c>
      <c r="Q12" s="60"/>
      <c r="R12" s="61">
        <v>1.0</v>
      </c>
      <c r="S12" s="62">
        <v>2004.44</v>
      </c>
      <c r="T12" s="63">
        <f t="shared" ref="T12:T45" si="1">IF(ISBLANK(R12),"-",IF(R12&gt;DAY(EOMONTH(DATE($B$2,$E$2,1),0)),EOMONTH(DATE($B$2,$E$2,1),0),DATE($B$2,$E$2,R12)))</f>
        <v>45597</v>
      </c>
      <c r="U12" s="23"/>
      <c r="V12" s="23"/>
      <c r="W12" s="23"/>
      <c r="X12" s="23"/>
      <c r="Y12" s="23"/>
      <c r="Z12" s="23"/>
    </row>
    <row r="13" ht="18.75" customHeight="1">
      <c r="A13" s="55"/>
      <c r="B13" s="56"/>
      <c r="C13" s="55"/>
      <c r="D13" s="56"/>
      <c r="E13" s="55"/>
      <c r="F13" s="56"/>
      <c r="G13" s="55"/>
      <c r="H13" s="56"/>
      <c r="I13" s="55"/>
      <c r="J13" s="57"/>
      <c r="K13" s="55"/>
      <c r="L13" s="56"/>
      <c r="M13" s="55"/>
      <c r="N13" s="56"/>
      <c r="O13" s="23"/>
      <c r="P13" s="59" t="s">
        <v>19</v>
      </c>
      <c r="Q13" s="60"/>
      <c r="R13" s="61">
        <v>1.0</v>
      </c>
      <c r="S13" s="62">
        <v>800.0</v>
      </c>
      <c r="T13" s="63">
        <f t="shared" si="1"/>
        <v>45597</v>
      </c>
      <c r="U13" s="23"/>
      <c r="V13" s="23"/>
      <c r="W13" s="23"/>
      <c r="X13" s="64"/>
      <c r="Y13" s="23"/>
      <c r="Z13" s="23"/>
    </row>
    <row r="14" ht="18.75" customHeight="1">
      <c r="A14" s="55"/>
      <c r="B14" s="56"/>
      <c r="C14" s="55"/>
      <c r="D14" s="56"/>
      <c r="E14" s="55"/>
      <c r="F14" s="56"/>
      <c r="G14" s="55"/>
      <c r="H14" s="56"/>
      <c r="I14" s="58"/>
      <c r="J14" s="57"/>
      <c r="K14" s="55"/>
      <c r="L14" s="56"/>
      <c r="M14" s="55"/>
      <c r="N14" s="56"/>
      <c r="O14" s="23"/>
      <c r="P14" s="59" t="s">
        <v>20</v>
      </c>
      <c r="Q14" s="60"/>
      <c r="R14" s="61">
        <v>1.0</v>
      </c>
      <c r="S14" s="62">
        <v>-1561.0</v>
      </c>
      <c r="T14" s="63">
        <f t="shared" si="1"/>
        <v>45597</v>
      </c>
      <c r="U14" s="23"/>
      <c r="V14" s="23"/>
      <c r="W14" s="23"/>
      <c r="X14" s="64"/>
      <c r="Y14" s="23"/>
      <c r="Z14" s="23"/>
    </row>
    <row r="15" ht="18.75" customHeight="1">
      <c r="A15" s="55"/>
      <c r="B15" s="56"/>
      <c r="C15" s="55"/>
      <c r="D15" s="56"/>
      <c r="E15" s="55"/>
      <c r="F15" s="56"/>
      <c r="G15" s="55"/>
      <c r="H15" s="56"/>
      <c r="I15" s="55"/>
      <c r="J15" s="56"/>
      <c r="K15" s="55"/>
      <c r="L15" s="56"/>
      <c r="M15" s="55"/>
      <c r="N15" s="56"/>
      <c r="O15" s="23"/>
      <c r="P15" s="59" t="s">
        <v>21</v>
      </c>
      <c r="Q15" s="60"/>
      <c r="R15" s="61">
        <v>1.0</v>
      </c>
      <c r="S15" s="65">
        <v>-185.0</v>
      </c>
      <c r="T15" s="63">
        <f t="shared" si="1"/>
        <v>45597</v>
      </c>
      <c r="U15" s="23"/>
      <c r="V15" s="23"/>
      <c r="W15" s="23"/>
      <c r="X15" s="64"/>
      <c r="Y15" s="23"/>
      <c r="Z15" s="23"/>
    </row>
    <row r="16" ht="18.75" customHeight="1">
      <c r="A16" s="66" t="s">
        <v>22</v>
      </c>
      <c r="B16" s="67">
        <f>$M$5+SUM(B11:B15)</f>
        <v>2147</v>
      </c>
      <c r="C16" s="66"/>
      <c r="D16" s="67">
        <f>B16+SUM(D11:D15)</f>
        <v>2147</v>
      </c>
      <c r="E16" s="66"/>
      <c r="F16" s="67">
        <f>D16+SUM(F11:F15)</f>
        <v>2147</v>
      </c>
      <c r="G16" s="66"/>
      <c r="H16" s="67">
        <f>F16+SUM(H11:H15)</f>
        <v>2147</v>
      </c>
      <c r="I16" s="66"/>
      <c r="J16" s="67">
        <f>H16+SUM(J11:J15)</f>
        <v>2147</v>
      </c>
      <c r="K16" s="66"/>
      <c r="L16" s="67">
        <f>J16+SUM(L11:L15)</f>
        <v>2484.067</v>
      </c>
      <c r="M16" s="66"/>
      <c r="N16" s="67">
        <f>L16+SUM(N11:N15)</f>
        <v>2484.067</v>
      </c>
      <c r="O16" s="68"/>
      <c r="P16" s="59" t="s">
        <v>23</v>
      </c>
      <c r="Q16" s="60"/>
      <c r="R16" s="61">
        <v>1.0</v>
      </c>
      <c r="S16" s="65">
        <v>-566.373</v>
      </c>
      <c r="T16" s="63">
        <f t="shared" si="1"/>
        <v>45597</v>
      </c>
      <c r="U16" s="69"/>
      <c r="V16" s="69"/>
      <c r="W16" s="69"/>
      <c r="X16" s="69"/>
      <c r="Y16" s="69"/>
      <c r="Z16" s="69"/>
    </row>
    <row r="17" ht="18.75" customHeight="1">
      <c r="A17" s="50">
        <f>IF(M11="","",IF(MONTH(M11+1)&lt;&gt;MONTH(M11),"",M11+1))</f>
        <v>45599</v>
      </c>
      <c r="B17" s="51">
        <f>SUMIF($T$11:$T$127,A17,$S$11:$S$87)</f>
        <v>-33</v>
      </c>
      <c r="C17" s="50">
        <f>IF(A17="","",IF(MONTH(A17+1)&lt;&gt;MONTH(A17),"",A17+1))</f>
        <v>45600</v>
      </c>
      <c r="D17" s="51">
        <f>SUMIF($T$11:$T$127,C17,$S$11:$S$87)</f>
        <v>-150</v>
      </c>
      <c r="E17" s="50">
        <f>IF(C17="","",IF(MONTH(C17+1)&lt;&gt;MONTH(C17),"",C17+1))</f>
        <v>45601</v>
      </c>
      <c r="F17" s="51">
        <f>SUMIF($T$11:$T$127,E17,$S$11:$S$87)</f>
        <v>-1088.19</v>
      </c>
      <c r="G17" s="50">
        <f>IF(E17="","",IF(MONTH(E17+1)&lt;&gt;MONTH(E17),"",E17+1))</f>
        <v>45602</v>
      </c>
      <c r="H17" s="51">
        <f>SUMIF($T$11:$T$127,G17,$S$11:$S$87)</f>
        <v>0</v>
      </c>
      <c r="I17" s="50">
        <f>IF(G17="","",IF(MONTH(G17+1)&lt;&gt;MONTH(G17),"",G17+1))</f>
        <v>45603</v>
      </c>
      <c r="J17" s="51">
        <f>SUMIF($T$11:$T$127,I17,$S$11:$S$87)</f>
        <v>0</v>
      </c>
      <c r="K17" s="50">
        <f>IF(I17="","",IF(MONTH(I17+1)&lt;&gt;MONTH(I17),"",I17+1))</f>
        <v>45604</v>
      </c>
      <c r="L17" s="51">
        <f>SUMIF($T$11:$T$127,K17,$S$11:$S$87)</f>
        <v>-35</v>
      </c>
      <c r="M17" s="50">
        <f>IF(K17="","",IF(MONTH(K17+1)&lt;&gt;MONTH(K17),"",K17+1))</f>
        <v>45605</v>
      </c>
      <c r="N17" s="51">
        <f>SUMIF($T$11:$T$127,M17,$S$11:$S$87)</f>
        <v>-451</v>
      </c>
      <c r="O17" s="23"/>
      <c r="P17" s="59" t="s">
        <v>24</v>
      </c>
      <c r="Q17" s="60"/>
      <c r="R17" s="61">
        <v>1.0</v>
      </c>
      <c r="S17" s="62">
        <v>-57.0</v>
      </c>
      <c r="T17" s="63">
        <f t="shared" si="1"/>
        <v>45597</v>
      </c>
      <c r="U17" s="23"/>
      <c r="V17" s="64" t="s">
        <v>25</v>
      </c>
      <c r="W17" s="23"/>
      <c r="X17" s="64">
        <v>739.0</v>
      </c>
      <c r="Y17" s="23"/>
      <c r="Z17" s="23"/>
    </row>
    <row r="18" ht="18.75" customHeight="1">
      <c r="A18" s="55"/>
      <c r="B18" s="56"/>
      <c r="C18" s="55"/>
      <c r="D18" s="57"/>
      <c r="E18" s="55"/>
      <c r="F18" s="56"/>
      <c r="G18" s="55"/>
      <c r="I18" s="55"/>
      <c r="J18" s="57"/>
      <c r="K18" s="55"/>
      <c r="L18" s="56"/>
      <c r="M18" s="55"/>
      <c r="N18" s="56"/>
      <c r="O18" s="23"/>
      <c r="P18" s="59" t="s">
        <v>26</v>
      </c>
      <c r="Q18" s="60"/>
      <c r="R18" s="61">
        <v>1.0</v>
      </c>
      <c r="S18" s="62">
        <v>-98.0</v>
      </c>
      <c r="T18" s="63">
        <f t="shared" si="1"/>
        <v>45597</v>
      </c>
      <c r="U18" s="23"/>
      <c r="V18" s="23"/>
      <c r="W18" s="23"/>
      <c r="X18" s="23"/>
      <c r="Y18" s="23"/>
      <c r="Z18" s="23"/>
    </row>
    <row r="19" ht="18.75" customHeight="1">
      <c r="A19" s="55"/>
      <c r="B19" s="56"/>
      <c r="C19" s="55"/>
      <c r="D19" s="56"/>
      <c r="E19" s="55"/>
      <c r="F19" s="56"/>
      <c r="G19" s="55"/>
      <c r="H19" s="57"/>
      <c r="I19" s="55"/>
      <c r="J19" s="56"/>
      <c r="K19" s="55"/>
      <c r="L19" s="56"/>
      <c r="M19" s="55"/>
      <c r="N19" s="56"/>
      <c r="O19" s="23"/>
      <c r="P19" s="59" t="s">
        <v>27</v>
      </c>
      <c r="Q19" s="60"/>
      <c r="R19" s="61">
        <v>3.0</v>
      </c>
      <c r="S19" s="62">
        <v>-33.0</v>
      </c>
      <c r="T19" s="63">
        <f t="shared" si="1"/>
        <v>45599</v>
      </c>
      <c r="U19" s="23"/>
      <c r="V19" s="23"/>
      <c r="W19" s="23"/>
      <c r="X19" s="23"/>
      <c r="Y19" s="23"/>
      <c r="Z19" s="23"/>
    </row>
    <row r="20" ht="18.75" customHeight="1">
      <c r="A20" s="55"/>
      <c r="B20" s="56"/>
      <c r="C20" s="55"/>
      <c r="D20" s="56"/>
      <c r="E20" s="55"/>
      <c r="F20" s="56"/>
      <c r="G20" s="55"/>
      <c r="H20" s="56"/>
      <c r="I20" s="55"/>
      <c r="J20" s="56"/>
      <c r="K20" s="55"/>
      <c r="L20" s="56"/>
      <c r="M20" s="55"/>
      <c r="N20" s="56"/>
      <c r="O20" s="23"/>
      <c r="P20" s="59" t="s">
        <v>28</v>
      </c>
      <c r="Q20" s="60"/>
      <c r="R20" s="61">
        <v>4.0</v>
      </c>
      <c r="S20" s="70">
        <v>-150.0</v>
      </c>
      <c r="T20" s="63">
        <f t="shared" si="1"/>
        <v>45600</v>
      </c>
      <c r="U20" s="23"/>
      <c r="V20" s="23"/>
      <c r="W20" s="23"/>
      <c r="X20" s="23"/>
      <c r="Y20" s="23"/>
      <c r="Z20" s="23"/>
    </row>
    <row r="21" ht="18.75" customHeight="1">
      <c r="A21" s="55"/>
      <c r="B21" s="56"/>
      <c r="C21" s="55"/>
      <c r="D21" s="56"/>
      <c r="E21" s="55"/>
      <c r="F21" s="56"/>
      <c r="G21" s="55"/>
      <c r="H21" s="56"/>
      <c r="I21" s="55"/>
      <c r="J21" s="56"/>
      <c r="K21" s="55"/>
      <c r="L21" s="56"/>
      <c r="M21" s="55"/>
      <c r="N21" s="56"/>
      <c r="O21" s="23"/>
      <c r="P21" s="59" t="s">
        <v>29</v>
      </c>
      <c r="Q21" s="60"/>
      <c r="R21" s="61">
        <v>5.0</v>
      </c>
      <c r="S21" s="62">
        <v>-16.19</v>
      </c>
      <c r="T21" s="63">
        <f t="shared" si="1"/>
        <v>45601</v>
      </c>
      <c r="U21" s="23"/>
      <c r="V21" s="23"/>
      <c r="W21" s="23"/>
      <c r="X21" s="23"/>
      <c r="Y21" s="23"/>
      <c r="Z21" s="23"/>
    </row>
    <row r="22" ht="18.75" customHeight="1">
      <c r="A22" s="66" t="s">
        <v>22</v>
      </c>
      <c r="B22" s="67">
        <f>N16+SUM(B17:B21)</f>
        <v>2451.067</v>
      </c>
      <c r="C22" s="66"/>
      <c r="D22" s="67">
        <f>B22+SUM(D17:D21)</f>
        <v>2301.067</v>
      </c>
      <c r="E22" s="66"/>
      <c r="F22" s="67">
        <f>D22+SUM(F17:F21)</f>
        <v>1212.877</v>
      </c>
      <c r="G22" s="66"/>
      <c r="H22" s="67">
        <f>F22+SUM(H17:H21)</f>
        <v>1212.877</v>
      </c>
      <c r="I22" s="66"/>
      <c r="J22" s="67">
        <f>H22+SUM(J17:J21)</f>
        <v>1212.877</v>
      </c>
      <c r="K22" s="66"/>
      <c r="L22" s="67">
        <f>J22+SUM(L17:L21)</f>
        <v>1177.877</v>
      </c>
      <c r="M22" s="66"/>
      <c r="N22" s="67">
        <f>L22+SUM(N17:N21)</f>
        <v>726.877</v>
      </c>
      <c r="O22" s="68"/>
      <c r="P22" s="59" t="s">
        <v>30</v>
      </c>
      <c r="Q22" s="60"/>
      <c r="R22" s="61">
        <v>5.0</v>
      </c>
      <c r="S22" s="62">
        <v>-184.0</v>
      </c>
      <c r="T22" s="63">
        <f t="shared" si="1"/>
        <v>45601</v>
      </c>
      <c r="U22" s="69"/>
      <c r="V22" s="71" t="s">
        <v>31</v>
      </c>
      <c r="W22" s="71" t="s">
        <v>32</v>
      </c>
      <c r="X22" s="69"/>
      <c r="Y22" s="69"/>
      <c r="Z22" s="69"/>
    </row>
    <row r="23" ht="18.75" customHeight="1">
      <c r="A23" s="50">
        <f>IF(M17="","",IF(MONTH(M17+1)&lt;&gt;MONTH(M17),"",M17+1))</f>
        <v>45606</v>
      </c>
      <c r="B23" s="51">
        <f>SUMIF($T$11:$T$127,A23,$S$11:$S$87)</f>
        <v>0</v>
      </c>
      <c r="C23" s="50">
        <f>IF(A23="","",IF(MONTH(A23+1)&lt;&gt;MONTH(A23),"",A23+1))</f>
        <v>45607</v>
      </c>
      <c r="D23" s="51">
        <f>SUMIF($T$11:$T$127,C23,$S$11:$S$87)</f>
        <v>-228</v>
      </c>
      <c r="E23" s="50">
        <f>IF(C23="","",IF(MONTH(C23+1)&lt;&gt;MONTH(C23),"",C23+1))</f>
        <v>45608</v>
      </c>
      <c r="F23" s="51">
        <f>SUMIF($T$11:$T$127,E23,$S$11:$S$87)</f>
        <v>-102</v>
      </c>
      <c r="G23" s="50">
        <f>IF(E23="","",IF(MONTH(E23+1)&lt;&gt;MONTH(E23),"",E23+1))</f>
        <v>45609</v>
      </c>
      <c r="H23" s="51">
        <f>SUMIF($T$11:$T$127,G23,$S$11:$S$87)</f>
        <v>1906.44</v>
      </c>
      <c r="I23" s="50">
        <f>IF(G23="","",IF(MONTH(G23+1)&lt;&gt;MONTH(G23),"",G23+1))</f>
        <v>45610</v>
      </c>
      <c r="J23" s="51">
        <f>SUMIF($T$11:$T$127,I23,$S$11:$S$87)</f>
        <v>0</v>
      </c>
      <c r="K23" s="50">
        <f>IF(I23="","",IF(MONTH(I23+1)&lt;&gt;MONTH(I23),"",I23+1))</f>
        <v>45611</v>
      </c>
      <c r="L23" s="51">
        <f>SUMIF($T$11:$T$127,K23,$S$11:$S$87)</f>
        <v>0</v>
      </c>
      <c r="M23" s="50">
        <f>IF(K23="","",IF(MONTH(K23+1)&lt;&gt;MONTH(K23),"",K23+1))</f>
        <v>45612</v>
      </c>
      <c r="N23" s="51">
        <f>SUMIF($T$11:$T$127,M23,$S$11:$S$87)</f>
        <v>0</v>
      </c>
      <c r="O23" s="23"/>
      <c r="P23" s="59" t="s">
        <v>33</v>
      </c>
      <c r="Q23" s="60"/>
      <c r="R23" s="61">
        <v>5.0</v>
      </c>
      <c r="S23" s="62">
        <v>-96.0</v>
      </c>
      <c r="T23" s="63">
        <f t="shared" si="1"/>
        <v>45601</v>
      </c>
      <c r="U23" s="23"/>
      <c r="V23" s="23"/>
      <c r="W23" s="23"/>
      <c r="X23" s="23"/>
      <c r="Y23" s="23"/>
      <c r="Z23" s="23"/>
    </row>
    <row r="24" ht="18.75" customHeight="1">
      <c r="A24" s="55"/>
      <c r="B24" s="56"/>
      <c r="C24" s="55"/>
      <c r="D24" s="56"/>
      <c r="E24" s="58" t="s">
        <v>34</v>
      </c>
      <c r="F24" s="57">
        <v>-4.16</v>
      </c>
      <c r="G24" s="55"/>
      <c r="H24" s="56"/>
      <c r="I24" s="55"/>
      <c r="J24" s="56"/>
      <c r="K24" s="58" t="s">
        <v>31</v>
      </c>
      <c r="L24" s="57">
        <v>74.93</v>
      </c>
      <c r="M24" s="55"/>
      <c r="N24" s="56"/>
      <c r="O24" s="23"/>
      <c r="P24" s="59" t="s">
        <v>35</v>
      </c>
      <c r="Q24" s="60"/>
      <c r="R24" s="61">
        <v>5.0</v>
      </c>
      <c r="S24" s="62">
        <v>-792.0</v>
      </c>
      <c r="T24" s="63">
        <f t="shared" si="1"/>
        <v>45601</v>
      </c>
      <c r="U24" s="23"/>
      <c r="V24" s="23"/>
      <c r="W24" s="23"/>
      <c r="X24" s="23"/>
      <c r="Y24" s="23"/>
      <c r="Z24" s="23"/>
    </row>
    <row r="25" ht="18.75" customHeight="1">
      <c r="A25" s="55"/>
      <c r="B25" s="56"/>
      <c r="C25" s="55"/>
      <c r="D25" s="56"/>
      <c r="E25" s="55"/>
      <c r="F25" s="56"/>
      <c r="G25" s="55"/>
      <c r="H25" s="56"/>
      <c r="I25" s="55"/>
      <c r="J25" s="56"/>
      <c r="K25" s="55"/>
      <c r="L25" s="56"/>
      <c r="M25" s="55"/>
      <c r="N25" s="56"/>
      <c r="O25" s="23"/>
      <c r="P25" s="59" t="s">
        <v>25</v>
      </c>
      <c r="Q25" s="60"/>
      <c r="R25" s="61">
        <v>8.0</v>
      </c>
      <c r="S25" s="62">
        <v>-35.0</v>
      </c>
      <c r="T25" s="63">
        <f t="shared" si="1"/>
        <v>45604</v>
      </c>
      <c r="U25" s="23"/>
      <c r="V25" s="23"/>
      <c r="W25" s="23"/>
      <c r="X25" s="23"/>
      <c r="Y25" s="23"/>
      <c r="Z25" s="23"/>
    </row>
    <row r="26" ht="18.75" customHeight="1">
      <c r="A26" s="55"/>
      <c r="B26" s="56"/>
      <c r="C26" s="55"/>
      <c r="D26" s="56"/>
      <c r="E26" s="55"/>
      <c r="F26" s="56"/>
      <c r="G26" s="55"/>
      <c r="H26" s="56"/>
      <c r="I26" s="55"/>
      <c r="J26" s="56"/>
      <c r="K26" s="55"/>
      <c r="L26" s="56"/>
      <c r="M26" s="55"/>
      <c r="N26" s="56"/>
      <c r="O26" s="23"/>
      <c r="P26" s="59" t="s">
        <v>36</v>
      </c>
      <c r="Q26" s="60"/>
      <c r="R26" s="61">
        <v>9.0</v>
      </c>
      <c r="S26" s="62">
        <v>-451.0</v>
      </c>
      <c r="T26" s="63">
        <f t="shared" si="1"/>
        <v>45605</v>
      </c>
      <c r="U26" s="23"/>
      <c r="V26" s="23"/>
      <c r="W26" s="23"/>
      <c r="X26" s="23"/>
      <c r="Y26" s="23"/>
      <c r="Z26" s="23"/>
    </row>
    <row r="27" ht="18.75" customHeight="1">
      <c r="A27" s="55"/>
      <c r="B27" s="56"/>
      <c r="C27" s="55"/>
      <c r="D27" s="56"/>
      <c r="E27" s="55"/>
      <c r="F27" s="56"/>
      <c r="G27" s="55"/>
      <c r="H27" s="56"/>
      <c r="I27" s="55"/>
      <c r="J27" s="56"/>
      <c r="K27" s="55"/>
      <c r="L27" s="56"/>
      <c r="M27" s="55"/>
      <c r="N27" s="56"/>
      <c r="O27" s="23"/>
      <c r="P27" s="59" t="s">
        <v>37</v>
      </c>
      <c r="Q27" s="60"/>
      <c r="R27" s="61">
        <v>11.0</v>
      </c>
      <c r="S27" s="62">
        <v>-80.0</v>
      </c>
      <c r="T27" s="63">
        <f t="shared" si="1"/>
        <v>45607</v>
      </c>
      <c r="U27" s="23"/>
      <c r="V27" s="23"/>
      <c r="W27" s="23"/>
      <c r="X27" s="23"/>
      <c r="Y27" s="23"/>
      <c r="Z27" s="23"/>
    </row>
    <row r="28" ht="18.75" customHeight="1">
      <c r="A28" s="66" t="s">
        <v>22</v>
      </c>
      <c r="B28" s="67">
        <f>N22+SUM(B23:B27)</f>
        <v>726.877</v>
      </c>
      <c r="C28" s="66"/>
      <c r="D28" s="67">
        <f>B28+SUM(D23:D27)</f>
        <v>498.877</v>
      </c>
      <c r="E28" s="66"/>
      <c r="F28" s="67">
        <f>D28+SUM(F23:F27)</f>
        <v>392.717</v>
      </c>
      <c r="G28" s="66"/>
      <c r="H28" s="67">
        <f>F28+SUM(H23:H27)</f>
        <v>2299.157</v>
      </c>
      <c r="I28" s="66"/>
      <c r="J28" s="67">
        <f>H28+SUM(J23:J27)</f>
        <v>2299.157</v>
      </c>
      <c r="K28" s="66"/>
      <c r="L28" s="67">
        <f>J28+SUM(L23:L27)</f>
        <v>2374.087</v>
      </c>
      <c r="M28" s="66"/>
      <c r="N28" s="67">
        <f>L28+SUM(N23:N27)</f>
        <v>2374.087</v>
      </c>
      <c r="O28" s="68"/>
      <c r="P28" s="59" t="s">
        <v>38</v>
      </c>
      <c r="Q28" s="60"/>
      <c r="R28" s="61">
        <v>11.0</v>
      </c>
      <c r="S28" s="62">
        <v>-50.0</v>
      </c>
      <c r="T28" s="63">
        <f t="shared" si="1"/>
        <v>45607</v>
      </c>
      <c r="U28" s="69"/>
      <c r="V28" s="69"/>
      <c r="W28" s="69"/>
      <c r="X28" s="69"/>
      <c r="Y28" s="69"/>
      <c r="Z28" s="69"/>
    </row>
    <row r="29" ht="18.75" customHeight="1">
      <c r="A29" s="50">
        <f>IF(M23="","",IF(MONTH(M23+1)&lt;&gt;MONTH(M23),"",M23+1))</f>
        <v>45613</v>
      </c>
      <c r="B29" s="51">
        <f>SUMIF($T$11:$T$127,A29,$S$11:$S$87)</f>
        <v>-9.99</v>
      </c>
      <c r="C29" s="50">
        <f>IF(A29="","",IF(MONTH(A29+1)&lt;&gt;MONTH(A29),"",A29+1))</f>
        <v>45614</v>
      </c>
      <c r="D29" s="51">
        <f>SUMIF($T$11:$T$127,C29,$S$11:$S$87)</f>
        <v>-150</v>
      </c>
      <c r="E29" s="50">
        <f>IF(C29="","",IF(MONTH(C29+1)&lt;&gt;MONTH(C29),"",C29+1))</f>
        <v>45615</v>
      </c>
      <c r="F29" s="51">
        <f>SUMIF($T$11:$T$127,E29,$S$11:$S$87)</f>
        <v>0</v>
      </c>
      <c r="G29" s="50">
        <f>IF(E29="","",IF(MONTH(E29+1)&lt;&gt;MONTH(E29),"",E29+1))</f>
        <v>45616</v>
      </c>
      <c r="H29" s="51">
        <f>SUMIF($T$11:$T$127,G29,$S$11:$S$87)</f>
        <v>0</v>
      </c>
      <c r="I29" s="50">
        <f>IF(G29="","",IF(MONTH(G29+1)&lt;&gt;MONTH(G29),"",G29+1))</f>
        <v>45617</v>
      </c>
      <c r="J29" s="51">
        <f>SUMIF($T$11:$T$127,I29,$S$11:$S$87)</f>
        <v>0</v>
      </c>
      <c r="K29" s="50">
        <f>IF(I29="","",IF(MONTH(I29+1)&lt;&gt;MONTH(I29),"",I29+1))</f>
        <v>45618</v>
      </c>
      <c r="L29" s="51">
        <f>SUMIF($T$11:$T$127,K29,$S$11:$S$87)</f>
        <v>0</v>
      </c>
      <c r="M29" s="50">
        <f>IF(K29="","",IF(MONTH(K29+1)&lt;&gt;MONTH(K29),"",K29+1))</f>
        <v>45619</v>
      </c>
      <c r="N29" s="51">
        <f>SUMIF($T$11:$T$127,M29,$S$11:$S$87)</f>
        <v>0</v>
      </c>
      <c r="O29" s="23"/>
      <c r="P29" s="59" t="s">
        <v>26</v>
      </c>
      <c r="Q29" s="60"/>
      <c r="R29" s="61">
        <v>11.0</v>
      </c>
      <c r="S29" s="62">
        <v>-98.0</v>
      </c>
      <c r="T29" s="63">
        <f t="shared" si="1"/>
        <v>45607</v>
      </c>
      <c r="U29" s="23"/>
      <c r="V29" s="23"/>
      <c r="W29" s="23"/>
      <c r="X29" s="23"/>
      <c r="Y29" s="23"/>
      <c r="Z29" s="23"/>
    </row>
    <row r="30" ht="18.75" customHeight="1">
      <c r="A30" s="55"/>
      <c r="B30" s="56"/>
      <c r="C30" s="55"/>
      <c r="D30" s="56"/>
      <c r="E30" s="55"/>
      <c r="F30" s="56"/>
      <c r="G30" s="58" t="s">
        <v>39</v>
      </c>
      <c r="H30" s="57">
        <v>-42.96</v>
      </c>
      <c r="I30" s="58"/>
      <c r="J30" s="57"/>
      <c r="K30" s="58"/>
      <c r="L30" s="57"/>
      <c r="M30" s="58"/>
      <c r="N30" s="57"/>
      <c r="O30" s="23"/>
      <c r="P30" s="59" t="s">
        <v>40</v>
      </c>
      <c r="Q30" s="60"/>
      <c r="R30" s="61">
        <v>12.0</v>
      </c>
      <c r="S30" s="62">
        <v>-102.0</v>
      </c>
      <c r="T30" s="63">
        <f t="shared" si="1"/>
        <v>45608</v>
      </c>
      <c r="U30" s="23"/>
      <c r="V30" s="23"/>
      <c r="W30" s="23"/>
      <c r="X30" s="23"/>
      <c r="Y30" s="23"/>
      <c r="Z30" s="23"/>
    </row>
    <row r="31" ht="18.75" customHeight="1">
      <c r="A31" s="55"/>
      <c r="B31" s="56"/>
      <c r="C31" s="55"/>
      <c r="D31" s="56"/>
      <c r="E31" s="55"/>
      <c r="F31" s="56"/>
      <c r="G31" s="55"/>
      <c r="H31" s="56"/>
      <c r="I31" s="55"/>
      <c r="J31" s="56"/>
      <c r="K31" s="55"/>
      <c r="L31" s="56"/>
      <c r="M31" s="55"/>
      <c r="N31" s="56"/>
      <c r="O31" s="23"/>
      <c r="P31" s="59" t="s">
        <v>41</v>
      </c>
      <c r="Q31" s="60"/>
      <c r="R31" s="61">
        <v>13.0</v>
      </c>
      <c r="S31" s="62">
        <v>2004.44</v>
      </c>
      <c r="T31" s="63">
        <f t="shared" si="1"/>
        <v>45609</v>
      </c>
      <c r="U31" s="23"/>
      <c r="V31" s="64" t="s">
        <v>28</v>
      </c>
      <c r="W31" s="23"/>
      <c r="X31" s="64">
        <v>750.0</v>
      </c>
      <c r="Y31" s="23"/>
      <c r="Z31" s="23"/>
    </row>
    <row r="32" ht="18.75" customHeight="1">
      <c r="A32" s="55"/>
      <c r="B32" s="56"/>
      <c r="C32" s="55"/>
      <c r="D32" s="56"/>
      <c r="E32" s="55"/>
      <c r="F32" s="56"/>
      <c r="G32" s="55"/>
      <c r="H32" s="56"/>
      <c r="I32" s="55"/>
      <c r="J32" s="56"/>
      <c r="K32" s="55"/>
      <c r="L32" s="56"/>
      <c r="M32" s="55"/>
      <c r="N32" s="56"/>
      <c r="O32" s="23"/>
      <c r="P32" s="59" t="s">
        <v>26</v>
      </c>
      <c r="Q32" s="60"/>
      <c r="R32" s="61">
        <v>13.0</v>
      </c>
      <c r="S32" s="62">
        <v>-98.0</v>
      </c>
      <c r="T32" s="63">
        <f t="shared" si="1"/>
        <v>45609</v>
      </c>
      <c r="U32" s="23"/>
      <c r="V32" s="23"/>
      <c r="W32" s="64" t="s">
        <v>42</v>
      </c>
      <c r="X32" s="64">
        <v>-600.0</v>
      </c>
      <c r="Y32" s="23"/>
      <c r="Z32" s="23"/>
    </row>
    <row r="33" ht="18.75" customHeight="1">
      <c r="A33" s="55"/>
      <c r="B33" s="56"/>
      <c r="C33" s="55"/>
      <c r="D33" s="56"/>
      <c r="E33" s="55"/>
      <c r="F33" s="56"/>
      <c r="G33" s="55"/>
      <c r="H33" s="56"/>
      <c r="I33" s="55"/>
      <c r="J33" s="56"/>
      <c r="K33" s="55"/>
      <c r="L33" s="56"/>
      <c r="M33" s="55"/>
      <c r="N33" s="56"/>
      <c r="O33" s="23"/>
      <c r="P33" s="59" t="s">
        <v>43</v>
      </c>
      <c r="Q33" s="60"/>
      <c r="R33" s="61">
        <v>17.0</v>
      </c>
      <c r="S33" s="62">
        <v>-9.99</v>
      </c>
      <c r="T33" s="63">
        <f t="shared" si="1"/>
        <v>45613</v>
      </c>
      <c r="U33" s="23"/>
      <c r="V33" s="23"/>
      <c r="W33" s="23"/>
      <c r="X33" s="23">
        <f>sum(X31:X32)</f>
        <v>150</v>
      </c>
      <c r="Y33" s="23"/>
      <c r="Z33" s="23"/>
    </row>
    <row r="34" ht="18.75" customHeight="1">
      <c r="A34" s="66" t="s">
        <v>22</v>
      </c>
      <c r="B34" s="67">
        <f>N28+SUM(B29:B33)</f>
        <v>2364.097</v>
      </c>
      <c r="C34" s="66"/>
      <c r="D34" s="67">
        <f>B34+SUM(D29:D33)</f>
        <v>2214.097</v>
      </c>
      <c r="E34" s="66"/>
      <c r="F34" s="67">
        <f>D34+SUM(F29:F33)</f>
        <v>2214.097</v>
      </c>
      <c r="G34" s="66"/>
      <c r="H34" s="67">
        <f>F34+SUM(H29:H33)</f>
        <v>2171.137</v>
      </c>
      <c r="I34" s="66"/>
      <c r="J34" s="67">
        <f>H34+SUM(J29:J33)</f>
        <v>2171.137</v>
      </c>
      <c r="K34" s="66"/>
      <c r="L34" s="67">
        <f>J34+SUM(L29:L33)</f>
        <v>2171.137</v>
      </c>
      <c r="M34" s="66"/>
      <c r="N34" s="67">
        <f>L34+SUM(N29:N33)</f>
        <v>2171.137</v>
      </c>
      <c r="O34" s="68"/>
      <c r="P34" s="59" t="s">
        <v>28</v>
      </c>
      <c r="Q34" s="60"/>
      <c r="R34" s="61">
        <v>18.0</v>
      </c>
      <c r="S34" s="70">
        <v>-150.0</v>
      </c>
      <c r="T34" s="63">
        <f t="shared" si="1"/>
        <v>45614</v>
      </c>
      <c r="U34" s="69"/>
      <c r="V34" s="69"/>
      <c r="W34" s="69"/>
      <c r="X34" s="69"/>
      <c r="Y34" s="69"/>
      <c r="Z34" s="69"/>
    </row>
    <row r="35" ht="18.75" customHeight="1">
      <c r="A35" s="50">
        <f>IF(M29="","",IF(MONTH(M29+1)&lt;&gt;MONTH(M29),"",M29+1))</f>
        <v>45620</v>
      </c>
      <c r="B35" s="51">
        <f>SUMIF($T$11:$T$127,A35,$S$11:$S$87)</f>
        <v>0</v>
      </c>
      <c r="C35" s="50">
        <f>IF(A35="","",IF(MONTH(A35+1)&lt;&gt;MONTH(A35),"",A35+1))</f>
        <v>45621</v>
      </c>
      <c r="D35" s="51">
        <f>SUMIF($T$11:$T$127,C35,$S$11:$S$87)</f>
        <v>-29.34</v>
      </c>
      <c r="E35" s="50">
        <f>IF(C35="","",IF(MONTH(C35+1)&lt;&gt;MONTH(C35),"",C35+1))</f>
        <v>45622</v>
      </c>
      <c r="F35" s="51">
        <f>SUMIF($T$11:$T$127,E35,$S$11:$S$87)</f>
        <v>2754.44</v>
      </c>
      <c r="G35" s="50">
        <f>IF(E35="","",IF(MONTH(E35+1)&lt;&gt;MONTH(E35),"",E35+1))</f>
        <v>45623</v>
      </c>
      <c r="H35" s="51">
        <f>SUMIF($T$11:$T$127,G35,$S$11:$S$87)</f>
        <v>-98</v>
      </c>
      <c r="I35" s="50">
        <f>IF(G35="","",IF(MONTH(G35+1)&lt;&gt;MONTH(G35),"",G35+1))</f>
        <v>45624</v>
      </c>
      <c r="J35" s="51">
        <f>SUMIF($T$11:$T$127,I35,$S$11:$S$87)</f>
        <v>-40.55</v>
      </c>
      <c r="K35" s="50">
        <f>IF(I35="","",IF(MONTH(I35+1)&lt;&gt;MONTH(I35),"",I35+1))</f>
        <v>45625</v>
      </c>
      <c r="L35" s="51">
        <f>SUMIF($T$11:$T$127,K35,$S$11:$S$87)</f>
        <v>0</v>
      </c>
      <c r="M35" s="50">
        <f>IF(K35="","",IF(MONTH(K35+1)&lt;&gt;MONTH(K35),"",K35+1))</f>
        <v>45626</v>
      </c>
      <c r="N35" s="51">
        <f>SUMIF($T$11:$T$127,M35,$S$11:$S$87)</f>
        <v>-11</v>
      </c>
      <c r="O35" s="23"/>
      <c r="P35" s="72" t="s">
        <v>44</v>
      </c>
      <c r="Q35" s="73"/>
      <c r="R35" s="74">
        <v>25.0</v>
      </c>
      <c r="S35" s="75">
        <v>-18.35</v>
      </c>
      <c r="T35" s="63">
        <f t="shared" si="1"/>
        <v>45621</v>
      </c>
      <c r="U35" s="23"/>
      <c r="V35" s="23"/>
      <c r="W35" s="23"/>
      <c r="X35" s="23"/>
      <c r="Y35" s="23"/>
      <c r="Z35" s="23"/>
    </row>
    <row r="36" ht="18.75" customHeight="1">
      <c r="A36" s="58" t="s">
        <v>45</v>
      </c>
      <c r="B36" s="57">
        <v>-3.26</v>
      </c>
      <c r="C36" s="55"/>
      <c r="D36" s="56"/>
      <c r="E36" s="55"/>
      <c r="F36" s="56"/>
      <c r="G36" s="55"/>
      <c r="H36" s="56"/>
      <c r="I36" s="55"/>
      <c r="J36" s="57"/>
      <c r="K36" s="55"/>
      <c r="L36" s="57">
        <v>-0.43</v>
      </c>
      <c r="M36" s="58"/>
      <c r="N36" s="57"/>
      <c r="O36" s="23"/>
      <c r="P36" s="59" t="s">
        <v>46</v>
      </c>
      <c r="Q36" s="60"/>
      <c r="R36" s="76">
        <v>25.0</v>
      </c>
      <c r="S36" s="62">
        <v>-10.99</v>
      </c>
      <c r="T36" s="63">
        <f t="shared" si="1"/>
        <v>45621</v>
      </c>
      <c r="U36" s="23"/>
      <c r="V36" s="23"/>
      <c r="W36" s="23"/>
      <c r="X36" s="23"/>
      <c r="Y36" s="23"/>
      <c r="Z36" s="23"/>
    </row>
    <row r="37" ht="18.75" customHeight="1">
      <c r="A37" s="55"/>
      <c r="B37" s="57"/>
      <c r="C37" s="55"/>
      <c r="D37" s="56"/>
      <c r="E37" s="55"/>
      <c r="F37" s="56"/>
      <c r="G37" s="55"/>
      <c r="H37" s="56"/>
      <c r="I37" s="55"/>
      <c r="J37" s="56"/>
      <c r="K37" s="55"/>
      <c r="L37" s="56"/>
      <c r="M37" s="55"/>
      <c r="N37" s="56"/>
      <c r="O37" s="23"/>
      <c r="P37" s="59" t="s">
        <v>47</v>
      </c>
      <c r="Q37" s="60"/>
      <c r="R37" s="76">
        <v>26.0</v>
      </c>
      <c r="S37" s="76">
        <v>750.0</v>
      </c>
      <c r="T37" s="63">
        <f t="shared" si="1"/>
        <v>45622</v>
      </c>
      <c r="U37" s="23"/>
      <c r="V37" s="23"/>
      <c r="W37" s="23"/>
      <c r="X37" s="23"/>
      <c r="Y37" s="23"/>
      <c r="Z37" s="23"/>
    </row>
    <row r="38" ht="18.75" customHeight="1">
      <c r="A38" s="55"/>
      <c r="B38" s="56"/>
      <c r="C38" s="55"/>
      <c r="D38" s="56"/>
      <c r="E38" s="55"/>
      <c r="F38" s="56"/>
      <c r="G38" s="55"/>
      <c r="H38" s="56"/>
      <c r="I38" s="55"/>
      <c r="J38" s="56"/>
      <c r="K38" s="55"/>
      <c r="L38" s="56"/>
      <c r="M38" s="55"/>
      <c r="N38" s="56"/>
      <c r="O38" s="23"/>
      <c r="P38" s="59" t="s">
        <v>48</v>
      </c>
      <c r="Q38" s="60"/>
      <c r="R38" s="61">
        <v>26.0</v>
      </c>
      <c r="S38" s="70">
        <v>2004.44</v>
      </c>
      <c r="T38" s="63">
        <f t="shared" si="1"/>
        <v>45622</v>
      </c>
      <c r="U38" s="23"/>
      <c r="V38" s="23"/>
      <c r="W38" s="23"/>
      <c r="X38" s="23"/>
      <c r="Y38" s="23"/>
      <c r="Z38" s="23"/>
    </row>
    <row r="39" ht="18.75" customHeight="1">
      <c r="A39" s="55"/>
      <c r="B39" s="56"/>
      <c r="C39" s="55"/>
      <c r="D39" s="56"/>
      <c r="E39" s="55"/>
      <c r="F39" s="56"/>
      <c r="G39" s="55"/>
      <c r="H39" s="56"/>
      <c r="I39" s="55"/>
      <c r="J39" s="56"/>
      <c r="K39" s="55"/>
      <c r="L39" s="56"/>
      <c r="M39" s="55"/>
      <c r="N39" s="56"/>
      <c r="O39" s="23"/>
      <c r="P39" s="59" t="s">
        <v>34</v>
      </c>
      <c r="Q39" s="60"/>
      <c r="R39" s="61">
        <v>28.0</v>
      </c>
      <c r="S39" s="62">
        <v>-6.0</v>
      </c>
      <c r="T39" s="63">
        <f t="shared" si="1"/>
        <v>45624</v>
      </c>
      <c r="U39" s="23"/>
      <c r="V39" s="23"/>
      <c r="W39" s="23"/>
      <c r="X39" s="23"/>
      <c r="Y39" s="23"/>
      <c r="Z39" s="23"/>
    </row>
    <row r="40" ht="18.75" customHeight="1">
      <c r="A40" s="66" t="s">
        <v>22</v>
      </c>
      <c r="B40" s="67">
        <f>N34+SUM(B35:B39)</f>
        <v>2167.877</v>
      </c>
      <c r="C40" s="66"/>
      <c r="D40" s="67">
        <f>B40+SUM(D35:D39)</f>
        <v>2138.537</v>
      </c>
      <c r="E40" s="66"/>
      <c r="F40" s="67">
        <f>D40+SUM(F35:F39)</f>
        <v>4892.977</v>
      </c>
      <c r="G40" s="66"/>
      <c r="H40" s="67">
        <f>F40+SUM(H35:H39)</f>
        <v>4794.977</v>
      </c>
      <c r="I40" s="66"/>
      <c r="J40" s="67">
        <f>H40+SUM(J35:J39)</f>
        <v>4754.427</v>
      </c>
      <c r="K40" s="66"/>
      <c r="L40" s="67">
        <f>J40+SUM(L35:L39)</f>
        <v>4753.997</v>
      </c>
      <c r="M40" s="66"/>
      <c r="N40" s="67">
        <f>L40+SUM(N35:N39)</f>
        <v>4742.997</v>
      </c>
      <c r="O40" s="68"/>
      <c r="P40" s="59" t="s">
        <v>49</v>
      </c>
      <c r="Q40" s="60"/>
      <c r="R40" s="61">
        <v>28.0</v>
      </c>
      <c r="S40" s="62">
        <v>-7.55</v>
      </c>
      <c r="T40" s="63">
        <f t="shared" si="1"/>
        <v>45624</v>
      </c>
      <c r="U40" s="69"/>
      <c r="V40" s="69"/>
      <c r="W40" s="69"/>
      <c r="X40" s="69"/>
      <c r="Y40" s="69"/>
      <c r="Z40" s="69"/>
    </row>
    <row r="41" ht="18.75" customHeight="1">
      <c r="A41" s="50" t="str">
        <f>IF(M35="","",IF(MONTH(M35+1)&lt;&gt;MONTH(M35),"",M35+1))</f>
        <v/>
      </c>
      <c r="B41" s="51">
        <f>SUMIF($T$11:$T$127,A41,$S$11:$S$87)</f>
        <v>0</v>
      </c>
      <c r="C41" s="50" t="str">
        <f>IF(A41="","",IF(MONTH(A41+1)&lt;&gt;MONTH(A41),"",A41+1))</f>
        <v/>
      </c>
      <c r="D41" s="51">
        <f>SUMIF($T$11:$T$127,C41,$S$11:$S$87)</f>
        <v>0</v>
      </c>
      <c r="E41" s="77"/>
      <c r="F41" s="77" t="s">
        <v>50</v>
      </c>
      <c r="G41" s="77"/>
      <c r="H41" s="77"/>
      <c r="I41" s="77"/>
      <c r="J41" s="77"/>
      <c r="K41" s="77"/>
      <c r="L41" s="77"/>
      <c r="M41" s="77"/>
      <c r="N41" s="77"/>
      <c r="P41" s="59" t="s">
        <v>51</v>
      </c>
      <c r="Q41" s="60"/>
      <c r="R41" s="61">
        <v>28.0</v>
      </c>
      <c r="S41" s="62">
        <v>-24.0</v>
      </c>
      <c r="T41" s="63">
        <f t="shared" si="1"/>
        <v>45624</v>
      </c>
    </row>
    <row r="42" ht="18.75" customHeight="1">
      <c r="A42" s="55"/>
      <c r="B42" s="56"/>
      <c r="C42" s="55"/>
      <c r="D42" s="57"/>
      <c r="E42" s="77"/>
      <c r="F42" s="77" t="s">
        <v>52</v>
      </c>
      <c r="G42" s="77"/>
      <c r="H42" s="77"/>
      <c r="I42" s="77"/>
      <c r="J42" s="77"/>
      <c r="K42" s="77"/>
      <c r="L42" s="77"/>
      <c r="M42" s="77"/>
      <c r="N42" s="77"/>
      <c r="P42" s="78"/>
      <c r="Q42" s="79"/>
      <c r="R42" s="80"/>
      <c r="S42" s="81"/>
      <c r="T42" s="82" t="str">
        <f t="shared" si="1"/>
        <v>-</v>
      </c>
    </row>
    <row r="43" ht="18.75" customHeight="1">
      <c r="A43" s="55"/>
      <c r="B43" s="56"/>
      <c r="C43" s="55"/>
      <c r="D43" s="57"/>
      <c r="E43" s="77"/>
      <c r="F43" s="77"/>
      <c r="G43" s="77"/>
      <c r="H43" s="77"/>
      <c r="I43" s="77"/>
      <c r="J43" s="77"/>
      <c r="K43" s="77"/>
      <c r="L43" s="77"/>
      <c r="M43" s="77"/>
      <c r="N43" s="77"/>
      <c r="P43" s="59" t="s">
        <v>53</v>
      </c>
      <c r="Q43" s="60"/>
      <c r="R43" s="61">
        <v>28.0</v>
      </c>
      <c r="S43" s="62">
        <v>-3.0</v>
      </c>
      <c r="T43" s="63">
        <f t="shared" si="1"/>
        <v>45624</v>
      </c>
    </row>
    <row r="44" ht="18.75" customHeight="1">
      <c r="A44" s="55"/>
      <c r="B44" s="56"/>
      <c r="C44" s="55"/>
      <c r="D44" s="56"/>
      <c r="E44" s="77"/>
      <c r="F44" s="77"/>
      <c r="G44" s="77"/>
      <c r="H44" s="77"/>
      <c r="I44" s="77"/>
      <c r="J44" s="77"/>
      <c r="K44" s="77"/>
      <c r="L44" s="77"/>
      <c r="M44" s="77"/>
      <c r="N44" s="77"/>
      <c r="P44" s="59" t="s">
        <v>54</v>
      </c>
      <c r="Q44" s="60"/>
      <c r="R44" s="61">
        <v>30.0</v>
      </c>
      <c r="S44" s="62">
        <v>-11.0</v>
      </c>
      <c r="T44" s="63">
        <f t="shared" si="1"/>
        <v>45626</v>
      </c>
    </row>
    <row r="45" ht="18.75" customHeight="1">
      <c r="A45" s="55"/>
      <c r="B45" s="56"/>
      <c r="C45" s="55"/>
      <c r="D45" s="56"/>
      <c r="E45" s="77"/>
      <c r="F45" s="77"/>
      <c r="G45" s="77"/>
      <c r="H45" s="77"/>
      <c r="I45" s="77"/>
      <c r="J45" s="77"/>
      <c r="K45" s="77"/>
      <c r="L45" s="77"/>
      <c r="M45" s="77"/>
      <c r="N45" s="77"/>
      <c r="P45" s="59" t="s">
        <v>26</v>
      </c>
      <c r="Q45" s="83"/>
      <c r="R45" s="61">
        <v>27.0</v>
      </c>
      <c r="S45" s="62">
        <v>-98.0</v>
      </c>
      <c r="T45" s="63">
        <f t="shared" si="1"/>
        <v>45623</v>
      </c>
    </row>
    <row r="46" ht="18.75" customHeight="1">
      <c r="A46" s="66" t="s">
        <v>22</v>
      </c>
      <c r="B46" s="67">
        <f>N40+SUM(B41:B45)</f>
        <v>4742.997</v>
      </c>
      <c r="C46" s="66"/>
      <c r="D46" s="67">
        <f>B46+SUM(D41:D45)</f>
        <v>4742.997</v>
      </c>
      <c r="E46" s="77"/>
      <c r="F46" s="77"/>
      <c r="G46" s="77"/>
      <c r="H46" s="77"/>
      <c r="I46" s="77"/>
      <c r="J46" s="77"/>
      <c r="K46" s="77"/>
      <c r="L46" s="77"/>
      <c r="M46" s="77"/>
      <c r="N46" s="77"/>
      <c r="P46" s="84"/>
      <c r="Q46" s="85"/>
      <c r="R46" s="86"/>
      <c r="S46" s="87"/>
      <c r="T46" s="88"/>
    </row>
    <row r="47" ht="12.75" customHeight="1">
      <c r="P47" s="89"/>
      <c r="Q47" s="90"/>
      <c r="R47" s="91"/>
      <c r="S47" s="92"/>
      <c r="T47" s="93"/>
    </row>
    <row r="48" ht="12.75" customHeight="1">
      <c r="R48" s="94"/>
    </row>
    <row r="49" ht="12.75" customHeight="1">
      <c r="R49" s="94"/>
    </row>
    <row r="50" ht="12.75" customHeight="1">
      <c r="R50" s="94"/>
    </row>
    <row r="51" ht="12.75" customHeight="1">
      <c r="R51" s="94"/>
    </row>
    <row r="52" ht="12.75" customHeight="1">
      <c r="R52" s="94"/>
    </row>
    <row r="53" ht="12.75" customHeight="1">
      <c r="R53" s="94"/>
    </row>
    <row r="54" ht="12.75" customHeight="1">
      <c r="R54" s="94"/>
    </row>
    <row r="55" ht="12.75" customHeight="1">
      <c r="R55" s="94"/>
    </row>
    <row r="56" ht="12.75" customHeight="1">
      <c r="R56" s="94"/>
    </row>
    <row r="57" ht="12.75" customHeight="1">
      <c r="R57" s="94"/>
    </row>
    <row r="58" ht="12.75" customHeight="1">
      <c r="R58" s="94"/>
    </row>
    <row r="59" ht="12.75" customHeight="1">
      <c r="R59" s="94"/>
    </row>
    <row r="60" ht="12.75" customHeight="1">
      <c r="R60" s="94"/>
    </row>
    <row r="61" ht="12.75" customHeight="1">
      <c r="R61" s="94"/>
    </row>
    <row r="62" ht="12.75" customHeight="1">
      <c r="R62" s="94"/>
    </row>
    <row r="63" ht="12.75" customHeight="1">
      <c r="R63" s="94"/>
    </row>
    <row r="64" ht="12.75" customHeight="1">
      <c r="R64" s="94"/>
    </row>
    <row r="65" ht="12.75" customHeight="1">
      <c r="R65" s="94"/>
    </row>
    <row r="66" ht="12.75" customHeight="1">
      <c r="R66" s="94"/>
    </row>
    <row r="67" ht="12.75" customHeight="1">
      <c r="R67" s="94"/>
    </row>
    <row r="68" ht="12.75" customHeight="1">
      <c r="R68" s="94"/>
    </row>
    <row r="69" ht="12.75" customHeight="1">
      <c r="R69" s="94"/>
    </row>
    <row r="70" ht="12.75" customHeight="1">
      <c r="R70" s="94"/>
    </row>
    <row r="71" ht="12.75" customHeight="1">
      <c r="R71" s="94"/>
    </row>
    <row r="72" ht="12.75" customHeight="1">
      <c r="R72" s="94"/>
    </row>
    <row r="73" ht="12.75" customHeight="1">
      <c r="R73" s="94"/>
    </row>
    <row r="74" ht="12.75" customHeight="1">
      <c r="R74" s="94"/>
    </row>
    <row r="75" ht="12.75" customHeight="1">
      <c r="R75" s="94"/>
    </row>
    <row r="76" ht="12.75" customHeight="1">
      <c r="R76" s="94"/>
    </row>
    <row r="77" ht="12.75" customHeight="1">
      <c r="R77" s="94"/>
    </row>
    <row r="78" ht="12.75" customHeight="1">
      <c r="R78" s="94"/>
    </row>
    <row r="79" ht="12.75" customHeight="1">
      <c r="R79" s="94"/>
    </row>
    <row r="80" ht="12.75" customHeight="1">
      <c r="R80" s="94"/>
    </row>
    <row r="81" ht="12.75" customHeight="1">
      <c r="R81" s="94"/>
    </row>
    <row r="82" ht="12.75" customHeight="1">
      <c r="R82" s="94"/>
    </row>
    <row r="83" ht="12.75" customHeight="1">
      <c r="R83" s="94"/>
    </row>
    <row r="84" ht="12.75" customHeight="1">
      <c r="R84" s="94"/>
    </row>
    <row r="85" ht="12.75" customHeight="1">
      <c r="R85" s="94"/>
    </row>
    <row r="86" ht="12.75" customHeight="1">
      <c r="R86" s="94"/>
    </row>
    <row r="87" ht="12.75" customHeight="1">
      <c r="R87" s="94"/>
    </row>
    <row r="88" ht="12.75" customHeight="1">
      <c r="R88" s="94"/>
    </row>
    <row r="89" ht="12.75" customHeight="1">
      <c r="R89" s="94"/>
    </row>
    <row r="90" ht="12.75" customHeight="1">
      <c r="R90" s="94"/>
    </row>
    <row r="91" ht="12.75" customHeight="1">
      <c r="R91" s="94"/>
    </row>
    <row r="92" ht="12.75" customHeight="1">
      <c r="R92" s="94"/>
    </row>
    <row r="93" ht="12.75" customHeight="1">
      <c r="R93" s="94"/>
    </row>
    <row r="94" ht="12.75" customHeight="1">
      <c r="R94" s="94"/>
    </row>
    <row r="95" ht="12.75" customHeight="1">
      <c r="R95" s="94"/>
    </row>
    <row r="96" ht="12.75" customHeight="1">
      <c r="R96" s="94"/>
    </row>
    <row r="97" ht="12.75" customHeight="1">
      <c r="R97" s="94"/>
    </row>
    <row r="98" ht="12.75" customHeight="1">
      <c r="R98" s="94"/>
    </row>
    <row r="99" ht="12.75" customHeight="1">
      <c r="R99" s="94"/>
    </row>
    <row r="100" ht="12.75" customHeight="1">
      <c r="R100" s="94"/>
    </row>
    <row r="101" ht="12.75" customHeight="1">
      <c r="R101" s="94"/>
    </row>
    <row r="102" ht="12.75" customHeight="1">
      <c r="R102" s="94"/>
    </row>
    <row r="103" ht="12.75" customHeight="1">
      <c r="R103" s="94"/>
    </row>
    <row r="104" ht="12.75" customHeight="1">
      <c r="R104" s="94"/>
    </row>
    <row r="105" ht="12.75" customHeight="1">
      <c r="R105" s="94"/>
    </row>
    <row r="106" ht="12.75" customHeight="1">
      <c r="R106" s="94"/>
    </row>
    <row r="107" ht="12.75" customHeight="1">
      <c r="R107" s="94"/>
    </row>
    <row r="108" ht="12.75" customHeight="1">
      <c r="R108" s="94"/>
    </row>
    <row r="109" ht="12.75" customHeight="1">
      <c r="R109" s="94"/>
    </row>
    <row r="110" ht="12.75" customHeight="1">
      <c r="R110" s="94"/>
    </row>
    <row r="111" ht="12.75" customHeight="1">
      <c r="R111" s="94"/>
    </row>
    <row r="112" ht="12.75" customHeight="1">
      <c r="R112" s="94"/>
    </row>
    <row r="113" ht="12.75" customHeight="1">
      <c r="R113" s="94"/>
    </row>
    <row r="114" ht="12.75" customHeight="1">
      <c r="R114" s="94"/>
    </row>
    <row r="115" ht="12.75" customHeight="1">
      <c r="R115" s="94"/>
    </row>
    <row r="116" ht="12.75" customHeight="1">
      <c r="R116" s="94"/>
    </row>
    <row r="117" ht="12.75" customHeight="1">
      <c r="R117" s="94"/>
    </row>
    <row r="118" ht="12.75" customHeight="1">
      <c r="R118" s="94"/>
    </row>
    <row r="119" ht="12.75" customHeight="1">
      <c r="R119" s="94"/>
    </row>
    <row r="120" ht="12.75" customHeight="1">
      <c r="R120" s="94"/>
    </row>
    <row r="121" ht="12.75" customHeight="1">
      <c r="R121" s="94"/>
    </row>
    <row r="122" ht="12.75" customHeight="1">
      <c r="R122" s="94"/>
    </row>
    <row r="123" ht="12.75" customHeight="1">
      <c r="R123" s="94"/>
    </row>
    <row r="124" ht="12.75" customHeight="1">
      <c r="R124" s="94"/>
    </row>
    <row r="125" ht="12.75" customHeight="1">
      <c r="R125" s="94"/>
    </row>
    <row r="126" ht="12.75" customHeight="1">
      <c r="R126" s="94"/>
    </row>
    <row r="127" ht="12.75" customHeight="1">
      <c r="R127" s="94"/>
    </row>
    <row r="128" ht="12.75" customHeight="1">
      <c r="R128" s="94"/>
    </row>
    <row r="129" ht="12.75" customHeight="1">
      <c r="R129" s="94"/>
    </row>
    <row r="130" ht="12.75" customHeight="1">
      <c r="R130" s="94"/>
    </row>
    <row r="131" ht="12.75" customHeight="1">
      <c r="R131" s="94"/>
    </row>
    <row r="132" ht="12.75" customHeight="1">
      <c r="R132" s="94"/>
    </row>
    <row r="133" ht="12.75" customHeight="1">
      <c r="R133" s="94"/>
    </row>
    <row r="134" ht="12.75" customHeight="1">
      <c r="R134" s="94"/>
    </row>
    <row r="135" ht="12.75" customHeight="1">
      <c r="R135" s="94"/>
    </row>
    <row r="136" ht="12.75" customHeight="1">
      <c r="R136" s="94"/>
    </row>
    <row r="137" ht="12.75" customHeight="1">
      <c r="R137" s="94"/>
    </row>
    <row r="138" ht="12.75" customHeight="1">
      <c r="R138" s="94"/>
    </row>
    <row r="139" ht="12.75" customHeight="1">
      <c r="R139" s="94"/>
    </row>
    <row r="140" ht="12.75" customHeight="1">
      <c r="R140" s="94"/>
    </row>
    <row r="141" ht="12.75" customHeight="1">
      <c r="R141" s="94"/>
    </row>
    <row r="142" ht="12.75" customHeight="1">
      <c r="R142" s="94"/>
    </row>
    <row r="143" ht="12.75" customHeight="1">
      <c r="R143" s="94"/>
    </row>
    <row r="144" ht="12.75" customHeight="1">
      <c r="R144" s="94"/>
    </row>
    <row r="145" ht="12.75" customHeight="1">
      <c r="R145" s="94"/>
    </row>
    <row r="146" ht="12.75" customHeight="1">
      <c r="R146" s="94"/>
    </row>
    <row r="147" ht="12.75" customHeight="1">
      <c r="R147" s="94"/>
    </row>
    <row r="148" ht="12.75" customHeight="1">
      <c r="R148" s="94"/>
    </row>
    <row r="149" ht="12.75" customHeight="1">
      <c r="R149" s="94"/>
    </row>
    <row r="150" ht="12.75" customHeight="1">
      <c r="R150" s="94"/>
    </row>
    <row r="151" ht="12.75" customHeight="1">
      <c r="R151" s="94"/>
    </row>
    <row r="152" ht="12.75" customHeight="1">
      <c r="R152" s="94"/>
    </row>
    <row r="153" ht="12.75" customHeight="1">
      <c r="R153" s="94"/>
    </row>
    <row r="154" ht="12.75" customHeight="1">
      <c r="R154" s="94"/>
    </row>
    <row r="155" ht="12.75" customHeight="1">
      <c r="R155" s="94"/>
    </row>
    <row r="156" ht="12.75" customHeight="1">
      <c r="R156" s="94"/>
    </row>
    <row r="157" ht="12.75" customHeight="1">
      <c r="R157" s="94"/>
    </row>
    <row r="158" ht="12.75" customHeight="1">
      <c r="R158" s="94"/>
    </row>
    <row r="159" ht="12.75" customHeight="1">
      <c r="R159" s="94"/>
    </row>
    <row r="160" ht="12.75" customHeight="1">
      <c r="R160" s="94"/>
    </row>
    <row r="161" ht="12.75" customHeight="1">
      <c r="R161" s="94"/>
    </row>
    <row r="162" ht="12.75" customHeight="1">
      <c r="R162" s="94"/>
    </row>
    <row r="163" ht="12.75" customHeight="1">
      <c r="R163" s="94"/>
    </row>
    <row r="164" ht="12.75" customHeight="1">
      <c r="R164" s="94"/>
    </row>
    <row r="165" ht="12.75" customHeight="1">
      <c r="R165" s="94"/>
    </row>
    <row r="166" ht="12.75" customHeight="1">
      <c r="R166" s="94"/>
    </row>
    <row r="167" ht="12.75" customHeight="1">
      <c r="R167" s="94"/>
    </row>
    <row r="168" ht="12.75" customHeight="1">
      <c r="R168" s="94"/>
    </row>
    <row r="169" ht="12.75" customHeight="1">
      <c r="R169" s="94"/>
    </row>
    <row r="170" ht="12.75" customHeight="1">
      <c r="R170" s="94"/>
    </row>
    <row r="171" ht="12.75" customHeight="1">
      <c r="R171" s="94"/>
    </row>
    <row r="172" ht="12.75" customHeight="1">
      <c r="R172" s="94"/>
    </row>
    <row r="173" ht="12.75" customHeight="1">
      <c r="R173" s="94"/>
    </row>
    <row r="174" ht="12.75" customHeight="1">
      <c r="R174" s="94"/>
    </row>
    <row r="175" ht="12.75" customHeight="1">
      <c r="R175" s="94"/>
    </row>
    <row r="176" ht="12.75" customHeight="1">
      <c r="R176" s="94"/>
    </row>
    <row r="177" ht="12.75" customHeight="1">
      <c r="R177" s="94"/>
    </row>
    <row r="178" ht="12.75" customHeight="1">
      <c r="R178" s="94"/>
    </row>
    <row r="179" ht="12.75" customHeight="1">
      <c r="R179" s="94"/>
    </row>
    <row r="180" ht="12.75" customHeight="1">
      <c r="R180" s="94"/>
    </row>
    <row r="181" ht="12.75" customHeight="1">
      <c r="R181" s="94"/>
    </row>
    <row r="182" ht="12.75" customHeight="1">
      <c r="R182" s="94"/>
    </row>
    <row r="183" ht="12.75" customHeight="1">
      <c r="R183" s="94"/>
    </row>
    <row r="184" ht="12.75" customHeight="1">
      <c r="R184" s="94"/>
    </row>
    <row r="185" ht="12.75" customHeight="1">
      <c r="R185" s="94"/>
    </row>
    <row r="186" ht="12.75" customHeight="1">
      <c r="R186" s="94"/>
    </row>
    <row r="187" ht="12.75" customHeight="1">
      <c r="R187" s="94"/>
    </row>
    <row r="188" ht="12.75" customHeight="1">
      <c r="R188" s="94"/>
    </row>
    <row r="189" ht="12.75" customHeight="1">
      <c r="R189" s="94"/>
    </row>
    <row r="190" ht="12.75" customHeight="1">
      <c r="R190" s="94"/>
    </row>
    <row r="191" ht="12.75" customHeight="1">
      <c r="R191" s="94"/>
    </row>
    <row r="192" ht="12.75" customHeight="1">
      <c r="R192" s="94"/>
    </row>
    <row r="193" ht="12.75" customHeight="1">
      <c r="R193" s="94"/>
    </row>
    <row r="194" ht="12.75" customHeight="1">
      <c r="R194" s="94"/>
    </row>
    <row r="195" ht="12.75" customHeight="1">
      <c r="R195" s="94"/>
    </row>
    <row r="196" ht="12.75" customHeight="1">
      <c r="R196" s="94"/>
    </row>
    <row r="197" ht="12.75" customHeight="1">
      <c r="R197" s="94"/>
    </row>
    <row r="198" ht="12.75" customHeight="1">
      <c r="R198" s="94"/>
    </row>
    <row r="199" ht="12.75" customHeight="1">
      <c r="R199" s="94"/>
    </row>
    <row r="200" ht="12.75" customHeight="1">
      <c r="R200" s="94"/>
    </row>
    <row r="201" ht="12.75" customHeight="1">
      <c r="R201" s="94"/>
    </row>
    <row r="202" ht="12.75" customHeight="1">
      <c r="R202" s="94"/>
    </row>
    <row r="203" ht="12.75" customHeight="1">
      <c r="R203" s="94"/>
    </row>
    <row r="204" ht="12.75" customHeight="1">
      <c r="R204" s="94"/>
    </row>
    <row r="205" ht="12.75" customHeight="1">
      <c r="R205" s="94"/>
    </row>
    <row r="206" ht="12.75" customHeight="1">
      <c r="R206" s="94"/>
    </row>
    <row r="207" ht="12.75" customHeight="1">
      <c r="R207" s="94"/>
    </row>
    <row r="208" ht="12.75" customHeight="1">
      <c r="R208" s="94"/>
    </row>
    <row r="209" ht="12.75" customHeight="1">
      <c r="R209" s="94"/>
    </row>
    <row r="210" ht="12.75" customHeight="1">
      <c r="R210" s="94"/>
    </row>
    <row r="211" ht="12.75" customHeight="1">
      <c r="R211" s="94"/>
    </row>
    <row r="212" ht="12.75" customHeight="1">
      <c r="R212" s="94"/>
    </row>
    <row r="213" ht="12.75" customHeight="1">
      <c r="R213" s="94"/>
    </row>
    <row r="214" ht="12.75" customHeight="1">
      <c r="R214" s="94"/>
    </row>
    <row r="215" ht="12.75" customHeight="1">
      <c r="R215" s="94"/>
    </row>
    <row r="216" ht="12.75" customHeight="1">
      <c r="R216" s="94"/>
    </row>
    <row r="217" ht="12.75" customHeight="1">
      <c r="R217" s="94"/>
    </row>
    <row r="218" ht="12.75" customHeight="1">
      <c r="R218" s="94"/>
    </row>
    <row r="219" ht="12.75" customHeight="1">
      <c r="R219" s="94"/>
    </row>
    <row r="220" ht="12.75" customHeight="1">
      <c r="R220" s="94"/>
    </row>
    <row r="221" ht="12.75" customHeight="1">
      <c r="R221" s="94"/>
    </row>
    <row r="222" ht="12.75" customHeight="1">
      <c r="R222" s="94"/>
    </row>
    <row r="223" ht="12.75" customHeight="1">
      <c r="R223" s="94"/>
    </row>
    <row r="224" ht="12.75" customHeight="1">
      <c r="R224" s="94"/>
    </row>
    <row r="225" ht="12.75" customHeight="1">
      <c r="R225" s="94"/>
    </row>
    <row r="226" ht="12.75" customHeight="1">
      <c r="R226" s="94"/>
    </row>
    <row r="227" ht="12.75" customHeight="1">
      <c r="R227" s="94"/>
    </row>
    <row r="228" ht="12.75" customHeight="1">
      <c r="R228" s="94"/>
    </row>
    <row r="229" ht="12.75" customHeight="1">
      <c r="R229" s="94"/>
    </row>
    <row r="230" ht="12.75" customHeight="1">
      <c r="R230" s="94"/>
    </row>
    <row r="231" ht="12.75" customHeight="1">
      <c r="R231" s="94"/>
    </row>
    <row r="232" ht="12.75" customHeight="1">
      <c r="R232" s="94"/>
    </row>
    <row r="233" ht="12.75" customHeight="1">
      <c r="R233" s="94"/>
    </row>
    <row r="234" ht="12.75" customHeight="1">
      <c r="R234" s="94"/>
    </row>
    <row r="235" ht="12.75" customHeight="1">
      <c r="R235" s="94"/>
    </row>
    <row r="236" ht="12.75" customHeight="1">
      <c r="R236" s="94"/>
    </row>
    <row r="237" ht="12.75" customHeight="1">
      <c r="R237" s="94"/>
    </row>
    <row r="238" ht="12.75" customHeight="1">
      <c r="R238" s="94"/>
    </row>
    <row r="239" ht="12.75" customHeight="1">
      <c r="R239" s="94"/>
    </row>
    <row r="240" ht="12.75" customHeight="1">
      <c r="R240" s="94"/>
    </row>
    <row r="241" ht="12.75" customHeight="1">
      <c r="R241" s="94"/>
    </row>
    <row r="242" ht="12.75" customHeight="1">
      <c r="R242" s="94"/>
    </row>
    <row r="243" ht="12.75" customHeight="1">
      <c r="R243" s="94"/>
    </row>
    <row r="244" ht="12.75" customHeight="1">
      <c r="R244" s="94"/>
    </row>
    <row r="245" ht="12.75" customHeight="1">
      <c r="R245" s="94"/>
    </row>
    <row r="246" ht="12.75" customHeight="1">
      <c r="R246" s="94"/>
    </row>
    <row r="247" ht="12.75" customHeight="1">
      <c r="R247" s="94"/>
    </row>
    <row r="248" ht="12.75" customHeight="1">
      <c r="R248" s="94"/>
    </row>
    <row r="249" ht="12.75" customHeight="1">
      <c r="R249" s="94"/>
    </row>
    <row r="250" ht="12.75" customHeight="1">
      <c r="R250" s="94"/>
    </row>
    <row r="251" ht="12.75" customHeight="1">
      <c r="R251" s="94"/>
    </row>
    <row r="252" ht="12.75" customHeight="1">
      <c r="R252" s="94"/>
    </row>
    <row r="253" ht="12.75" customHeight="1">
      <c r="R253" s="94"/>
    </row>
    <row r="254" ht="12.75" customHeight="1">
      <c r="R254" s="94"/>
    </row>
    <row r="255" ht="12.75" customHeight="1">
      <c r="R255" s="94"/>
    </row>
    <row r="256" ht="12.75" customHeight="1">
      <c r="R256" s="94"/>
    </row>
    <row r="257" ht="12.75" customHeight="1">
      <c r="R257" s="94"/>
    </row>
    <row r="258" ht="12.75" customHeight="1">
      <c r="R258" s="94"/>
    </row>
    <row r="259" ht="12.75" customHeight="1">
      <c r="R259" s="94"/>
    </row>
    <row r="260" ht="12.75" customHeight="1">
      <c r="R260" s="94"/>
    </row>
    <row r="261" ht="12.75" customHeight="1">
      <c r="R261" s="94"/>
    </row>
    <row r="262" ht="12.75" customHeight="1">
      <c r="R262" s="94"/>
    </row>
    <row r="263" ht="12.75" customHeight="1">
      <c r="R263" s="94"/>
    </row>
    <row r="264" ht="12.75" customHeight="1">
      <c r="R264" s="94"/>
    </row>
    <row r="265" ht="12.75" customHeight="1">
      <c r="R265" s="94"/>
    </row>
    <row r="266" ht="12.75" customHeight="1">
      <c r="R266" s="94"/>
    </row>
    <row r="267" ht="12.75" customHeight="1">
      <c r="R267" s="94"/>
    </row>
    <row r="268" ht="12.75" customHeight="1">
      <c r="R268" s="94"/>
    </row>
    <row r="269" ht="12.75" customHeight="1">
      <c r="R269" s="94"/>
    </row>
    <row r="270" ht="12.75" customHeight="1">
      <c r="R270" s="94"/>
    </row>
    <row r="271" ht="12.75" customHeight="1">
      <c r="R271" s="94"/>
    </row>
    <row r="272" ht="12.75" customHeight="1">
      <c r="R272" s="94"/>
    </row>
    <row r="273" ht="12.75" customHeight="1">
      <c r="R273" s="94"/>
    </row>
    <row r="274" ht="12.75" customHeight="1">
      <c r="R274" s="94"/>
    </row>
    <row r="275" ht="12.75" customHeight="1">
      <c r="R275" s="94"/>
    </row>
    <row r="276" ht="12.75" customHeight="1">
      <c r="R276" s="94"/>
    </row>
    <row r="277" ht="12.75" customHeight="1">
      <c r="R277" s="94"/>
    </row>
    <row r="278" ht="12.75" customHeight="1">
      <c r="R278" s="94"/>
    </row>
    <row r="279" ht="12.75" customHeight="1">
      <c r="R279" s="94"/>
    </row>
    <row r="280" ht="12.75" customHeight="1">
      <c r="R280" s="94"/>
    </row>
    <row r="281" ht="12.75" customHeight="1">
      <c r="R281" s="94"/>
    </row>
    <row r="282" ht="12.75" customHeight="1">
      <c r="R282" s="94"/>
    </row>
    <row r="283" ht="12.75" customHeight="1">
      <c r="R283" s="94"/>
    </row>
    <row r="284" ht="12.75" customHeight="1">
      <c r="R284" s="94"/>
    </row>
    <row r="285" ht="12.75" customHeight="1">
      <c r="R285" s="94"/>
    </row>
    <row r="286" ht="12.75" customHeight="1">
      <c r="R286" s="94"/>
    </row>
    <row r="287" ht="12.75" customHeight="1">
      <c r="R287" s="94"/>
    </row>
    <row r="288" ht="12.75" customHeight="1">
      <c r="R288" s="94"/>
    </row>
    <row r="289" ht="12.75" customHeight="1">
      <c r="R289" s="94"/>
    </row>
    <row r="290" ht="12.75" customHeight="1">
      <c r="R290" s="94"/>
    </row>
    <row r="291" ht="12.75" customHeight="1">
      <c r="R291" s="94"/>
    </row>
    <row r="292" ht="12.75" customHeight="1">
      <c r="R292" s="94"/>
    </row>
    <row r="293" ht="12.75" customHeight="1">
      <c r="R293" s="94"/>
    </row>
    <row r="294" ht="12.75" customHeight="1">
      <c r="R294" s="94"/>
    </row>
    <row r="295" ht="12.75" customHeight="1">
      <c r="R295" s="94"/>
    </row>
    <row r="296" ht="12.75" customHeight="1">
      <c r="R296" s="94"/>
    </row>
    <row r="297" ht="12.75" customHeight="1">
      <c r="R297" s="94"/>
    </row>
    <row r="298" ht="12.75" customHeight="1">
      <c r="R298" s="94"/>
    </row>
    <row r="299" ht="12.75" customHeight="1">
      <c r="R299" s="94"/>
    </row>
    <row r="300" ht="12.75" customHeight="1">
      <c r="R300" s="94"/>
    </row>
    <row r="301" ht="12.75" customHeight="1">
      <c r="R301" s="94"/>
    </row>
    <row r="302" ht="12.75" customHeight="1">
      <c r="R302" s="94"/>
    </row>
    <row r="303" ht="12.75" customHeight="1">
      <c r="R303" s="94"/>
    </row>
    <row r="304" ht="12.75" customHeight="1">
      <c r="R304" s="94"/>
    </row>
    <row r="305" ht="12.75" customHeight="1">
      <c r="R305" s="94"/>
    </row>
    <row r="306" ht="12.75" customHeight="1">
      <c r="R306" s="94"/>
    </row>
    <row r="307" ht="12.75" customHeight="1">
      <c r="R307" s="94"/>
    </row>
    <row r="308" ht="12.75" customHeight="1">
      <c r="R308" s="94"/>
    </row>
    <row r="309" ht="12.75" customHeight="1">
      <c r="R309" s="94"/>
    </row>
    <row r="310" ht="12.75" customHeight="1">
      <c r="R310" s="94"/>
    </row>
    <row r="311" ht="12.75" customHeight="1">
      <c r="R311" s="94"/>
    </row>
    <row r="312" ht="12.75" customHeight="1">
      <c r="R312" s="94"/>
    </row>
    <row r="313" ht="12.75" customHeight="1">
      <c r="R313" s="94"/>
    </row>
    <row r="314" ht="12.75" customHeight="1">
      <c r="R314" s="94"/>
    </row>
    <row r="315" ht="12.75" customHeight="1">
      <c r="R315" s="94"/>
    </row>
    <row r="316" ht="12.75" customHeight="1">
      <c r="R316" s="94"/>
    </row>
    <row r="317" ht="12.75" customHeight="1">
      <c r="R317" s="94"/>
    </row>
    <row r="318" ht="12.75" customHeight="1">
      <c r="R318" s="94"/>
    </row>
    <row r="319" ht="12.75" customHeight="1">
      <c r="R319" s="94"/>
    </row>
    <row r="320" ht="12.75" customHeight="1">
      <c r="R320" s="94"/>
    </row>
    <row r="321" ht="12.75" customHeight="1">
      <c r="R321" s="94"/>
    </row>
    <row r="322" ht="12.75" customHeight="1">
      <c r="R322" s="94"/>
    </row>
    <row r="323" ht="12.75" customHeight="1">
      <c r="R323" s="94"/>
    </row>
    <row r="324" ht="12.75" customHeight="1">
      <c r="R324" s="94"/>
    </row>
    <row r="325" ht="12.75" customHeight="1">
      <c r="R325" s="94"/>
    </row>
    <row r="326" ht="12.75" customHeight="1">
      <c r="R326" s="94"/>
    </row>
    <row r="327" ht="12.75" customHeight="1">
      <c r="R327" s="94"/>
    </row>
    <row r="328" ht="12.75" customHeight="1">
      <c r="R328" s="94"/>
    </row>
    <row r="329" ht="12.75" customHeight="1">
      <c r="R329" s="94"/>
    </row>
    <row r="330" ht="12.75" customHeight="1">
      <c r="R330" s="94"/>
    </row>
    <row r="331" ht="12.75" customHeight="1">
      <c r="R331" s="94"/>
    </row>
    <row r="332" ht="12.75" customHeight="1">
      <c r="R332" s="94"/>
    </row>
    <row r="333" ht="12.75" customHeight="1">
      <c r="R333" s="94"/>
    </row>
    <row r="334" ht="12.75" customHeight="1">
      <c r="R334" s="94"/>
    </row>
    <row r="335" ht="12.75" customHeight="1">
      <c r="R335" s="94"/>
    </row>
    <row r="336" ht="12.75" customHeight="1">
      <c r="R336" s="94"/>
    </row>
    <row r="337" ht="12.75" customHeight="1">
      <c r="R337" s="94"/>
    </row>
    <row r="338" ht="12.75" customHeight="1">
      <c r="R338" s="94"/>
    </row>
    <row r="339" ht="12.75" customHeight="1">
      <c r="R339" s="94"/>
    </row>
    <row r="340" ht="12.75" customHeight="1">
      <c r="R340" s="94"/>
    </row>
    <row r="341" ht="12.75" customHeight="1">
      <c r="R341" s="94"/>
    </row>
    <row r="342" ht="12.75" customHeight="1">
      <c r="R342" s="94"/>
    </row>
    <row r="343" ht="12.75" customHeight="1">
      <c r="R343" s="94"/>
    </row>
    <row r="344" ht="12.75" customHeight="1">
      <c r="R344" s="94"/>
    </row>
    <row r="345" ht="12.75" customHeight="1">
      <c r="R345" s="94"/>
    </row>
    <row r="346" ht="12.75" customHeight="1">
      <c r="R346" s="94"/>
    </row>
    <row r="347" ht="12.75" customHeight="1">
      <c r="R347" s="94"/>
    </row>
    <row r="348" ht="12.75" customHeight="1">
      <c r="R348" s="94"/>
    </row>
    <row r="349" ht="12.75" customHeight="1">
      <c r="R349" s="94"/>
    </row>
    <row r="350" ht="12.75" customHeight="1">
      <c r="R350" s="94"/>
    </row>
    <row r="351" ht="12.75" customHeight="1">
      <c r="R351" s="94"/>
    </row>
    <row r="352" ht="12.75" customHeight="1">
      <c r="R352" s="94"/>
    </row>
    <row r="353" ht="12.75" customHeight="1">
      <c r="R353" s="94"/>
    </row>
    <row r="354" ht="12.75" customHeight="1">
      <c r="R354" s="94"/>
    </row>
    <row r="355" ht="12.75" customHeight="1">
      <c r="R355" s="94"/>
    </row>
    <row r="356" ht="12.75" customHeight="1">
      <c r="R356" s="94"/>
    </row>
    <row r="357" ht="12.75" customHeight="1">
      <c r="R357" s="94"/>
    </row>
    <row r="358" ht="12.75" customHeight="1">
      <c r="R358" s="94"/>
    </row>
    <row r="359" ht="12.75" customHeight="1">
      <c r="R359" s="94"/>
    </row>
    <row r="360" ht="12.75" customHeight="1">
      <c r="R360" s="94"/>
    </row>
    <row r="361" ht="12.75" customHeight="1">
      <c r="R361" s="94"/>
    </row>
    <row r="362" ht="12.75" customHeight="1">
      <c r="R362" s="94"/>
    </row>
    <row r="363" ht="12.75" customHeight="1">
      <c r="R363" s="94"/>
    </row>
    <row r="364" ht="12.75" customHeight="1">
      <c r="R364" s="94"/>
    </row>
    <row r="365" ht="12.75" customHeight="1">
      <c r="R365" s="94"/>
    </row>
    <row r="366" ht="12.75" customHeight="1">
      <c r="R366" s="94"/>
    </row>
    <row r="367" ht="12.75" customHeight="1">
      <c r="R367" s="94"/>
    </row>
    <row r="368" ht="12.75" customHeight="1">
      <c r="R368" s="94"/>
    </row>
    <row r="369" ht="12.75" customHeight="1">
      <c r="R369" s="94"/>
    </row>
    <row r="370" ht="12.75" customHeight="1">
      <c r="R370" s="94"/>
    </row>
    <row r="371" ht="12.75" customHeight="1">
      <c r="R371" s="94"/>
    </row>
    <row r="372" ht="12.75" customHeight="1">
      <c r="R372" s="94"/>
    </row>
    <row r="373" ht="12.75" customHeight="1">
      <c r="R373" s="94"/>
    </row>
    <row r="374" ht="12.75" customHeight="1">
      <c r="R374" s="94"/>
    </row>
    <row r="375" ht="12.75" customHeight="1">
      <c r="R375" s="94"/>
    </row>
    <row r="376" ht="12.75" customHeight="1">
      <c r="R376" s="94"/>
    </row>
    <row r="377" ht="12.75" customHeight="1">
      <c r="R377" s="94"/>
    </row>
    <row r="378" ht="12.75" customHeight="1">
      <c r="R378" s="94"/>
    </row>
    <row r="379" ht="12.75" customHeight="1">
      <c r="R379" s="94"/>
    </row>
    <row r="380" ht="12.75" customHeight="1">
      <c r="R380" s="94"/>
    </row>
    <row r="381" ht="12.75" customHeight="1">
      <c r="R381" s="94"/>
    </row>
    <row r="382" ht="12.75" customHeight="1">
      <c r="R382" s="94"/>
    </row>
    <row r="383" ht="12.75" customHeight="1">
      <c r="R383" s="94"/>
    </row>
    <row r="384" ht="12.75" customHeight="1">
      <c r="R384" s="94"/>
    </row>
    <row r="385" ht="12.75" customHeight="1">
      <c r="R385" s="94"/>
    </row>
    <row r="386" ht="12.75" customHeight="1">
      <c r="R386" s="94"/>
    </row>
    <row r="387" ht="12.75" customHeight="1">
      <c r="R387" s="94"/>
    </row>
    <row r="388" ht="12.75" customHeight="1">
      <c r="R388" s="94"/>
    </row>
    <row r="389" ht="12.75" customHeight="1">
      <c r="R389" s="94"/>
    </row>
    <row r="390" ht="12.75" customHeight="1">
      <c r="R390" s="94"/>
    </row>
    <row r="391" ht="12.75" customHeight="1">
      <c r="R391" s="94"/>
    </row>
    <row r="392" ht="12.75" customHeight="1">
      <c r="R392" s="94"/>
    </row>
    <row r="393" ht="12.75" customHeight="1">
      <c r="R393" s="94"/>
    </row>
    <row r="394" ht="12.75" customHeight="1">
      <c r="R394" s="94"/>
    </row>
    <row r="395" ht="12.75" customHeight="1">
      <c r="R395" s="94"/>
    </row>
    <row r="396" ht="12.75" customHeight="1">
      <c r="R396" s="94"/>
    </row>
    <row r="397" ht="12.75" customHeight="1">
      <c r="R397" s="94"/>
    </row>
    <row r="398" ht="12.75" customHeight="1">
      <c r="R398" s="94"/>
    </row>
    <row r="399" ht="12.75" customHeight="1">
      <c r="R399" s="94"/>
    </row>
    <row r="400" ht="12.75" customHeight="1">
      <c r="R400" s="94"/>
    </row>
    <row r="401" ht="12.75" customHeight="1">
      <c r="R401" s="94"/>
    </row>
    <row r="402" ht="12.75" customHeight="1">
      <c r="R402" s="94"/>
    </row>
    <row r="403" ht="12.75" customHeight="1">
      <c r="R403" s="94"/>
    </row>
    <row r="404" ht="12.75" customHeight="1">
      <c r="R404" s="94"/>
    </row>
    <row r="405" ht="12.75" customHeight="1">
      <c r="R405" s="94"/>
    </row>
    <row r="406" ht="12.75" customHeight="1">
      <c r="R406" s="94"/>
    </row>
    <row r="407" ht="12.75" customHeight="1">
      <c r="R407" s="94"/>
    </row>
    <row r="408" ht="12.75" customHeight="1">
      <c r="R408" s="94"/>
    </row>
    <row r="409" ht="12.75" customHeight="1">
      <c r="R409" s="94"/>
    </row>
    <row r="410" ht="12.75" customHeight="1">
      <c r="R410" s="94"/>
    </row>
    <row r="411" ht="12.75" customHeight="1">
      <c r="R411" s="94"/>
    </row>
    <row r="412" ht="12.75" customHeight="1">
      <c r="R412" s="94"/>
    </row>
    <row r="413" ht="12.75" customHeight="1">
      <c r="R413" s="94"/>
    </row>
    <row r="414" ht="12.75" customHeight="1">
      <c r="R414" s="94"/>
    </row>
    <row r="415" ht="12.75" customHeight="1">
      <c r="R415" s="94"/>
    </row>
    <row r="416" ht="12.75" customHeight="1">
      <c r="R416" s="94"/>
    </row>
    <row r="417" ht="12.75" customHeight="1">
      <c r="R417" s="94"/>
    </row>
    <row r="418" ht="12.75" customHeight="1">
      <c r="R418" s="94"/>
    </row>
    <row r="419" ht="12.75" customHeight="1">
      <c r="R419" s="94"/>
    </row>
    <row r="420" ht="12.75" customHeight="1">
      <c r="R420" s="94"/>
    </row>
    <row r="421" ht="12.75" customHeight="1">
      <c r="R421" s="94"/>
    </row>
    <row r="422" ht="12.75" customHeight="1">
      <c r="R422" s="94"/>
    </row>
    <row r="423" ht="12.75" customHeight="1">
      <c r="R423" s="94"/>
    </row>
    <row r="424" ht="12.75" customHeight="1">
      <c r="R424" s="94"/>
    </row>
    <row r="425" ht="12.75" customHeight="1">
      <c r="R425" s="94"/>
    </row>
    <row r="426" ht="12.75" customHeight="1">
      <c r="R426" s="94"/>
    </row>
    <row r="427" ht="12.75" customHeight="1">
      <c r="R427" s="94"/>
    </row>
    <row r="428" ht="12.75" customHeight="1">
      <c r="R428" s="94"/>
    </row>
    <row r="429" ht="12.75" customHeight="1">
      <c r="R429" s="94"/>
    </row>
    <row r="430" ht="12.75" customHeight="1">
      <c r="R430" s="94"/>
    </row>
    <row r="431" ht="12.75" customHeight="1">
      <c r="R431" s="94"/>
    </row>
    <row r="432" ht="12.75" customHeight="1">
      <c r="R432" s="94"/>
    </row>
    <row r="433" ht="12.75" customHeight="1">
      <c r="R433" s="94"/>
    </row>
    <row r="434" ht="12.75" customHeight="1">
      <c r="R434" s="94"/>
    </row>
    <row r="435" ht="12.75" customHeight="1">
      <c r="R435" s="94"/>
    </row>
    <row r="436" ht="12.75" customHeight="1">
      <c r="R436" s="94"/>
    </row>
    <row r="437" ht="12.75" customHeight="1">
      <c r="R437" s="94"/>
    </row>
    <row r="438" ht="12.75" customHeight="1">
      <c r="R438" s="94"/>
    </row>
    <row r="439" ht="12.75" customHeight="1">
      <c r="R439" s="94"/>
    </row>
    <row r="440" ht="12.75" customHeight="1">
      <c r="R440" s="94"/>
    </row>
    <row r="441" ht="12.75" customHeight="1">
      <c r="R441" s="94"/>
    </row>
    <row r="442" ht="12.75" customHeight="1">
      <c r="R442" s="94"/>
    </row>
    <row r="443" ht="12.75" customHeight="1">
      <c r="R443" s="94"/>
    </row>
    <row r="444" ht="12.75" customHeight="1">
      <c r="R444" s="94"/>
    </row>
    <row r="445" ht="12.75" customHeight="1">
      <c r="R445" s="94"/>
    </row>
    <row r="446" ht="12.75" customHeight="1">
      <c r="R446" s="94"/>
    </row>
    <row r="447" ht="12.75" customHeight="1">
      <c r="R447" s="94"/>
    </row>
    <row r="448" ht="12.75" customHeight="1">
      <c r="R448" s="94"/>
    </row>
    <row r="449" ht="12.75" customHeight="1">
      <c r="R449" s="94"/>
    </row>
    <row r="450" ht="12.75" customHeight="1">
      <c r="R450" s="94"/>
    </row>
    <row r="451" ht="12.75" customHeight="1">
      <c r="R451" s="94"/>
    </row>
    <row r="452" ht="12.75" customHeight="1">
      <c r="R452" s="94"/>
    </row>
    <row r="453" ht="12.75" customHeight="1">
      <c r="R453" s="94"/>
    </row>
    <row r="454" ht="12.75" customHeight="1">
      <c r="R454" s="94"/>
    </row>
    <row r="455" ht="12.75" customHeight="1">
      <c r="R455" s="94"/>
    </row>
    <row r="456" ht="12.75" customHeight="1">
      <c r="R456" s="94"/>
    </row>
    <row r="457" ht="12.75" customHeight="1">
      <c r="R457" s="94"/>
    </row>
    <row r="458" ht="12.75" customHeight="1">
      <c r="R458" s="94"/>
    </row>
    <row r="459" ht="12.75" customHeight="1">
      <c r="R459" s="94"/>
    </row>
    <row r="460" ht="12.75" customHeight="1">
      <c r="R460" s="94"/>
    </row>
    <row r="461" ht="12.75" customHeight="1">
      <c r="R461" s="94"/>
    </row>
    <row r="462" ht="12.75" customHeight="1">
      <c r="R462" s="94"/>
    </row>
    <row r="463" ht="12.75" customHeight="1">
      <c r="R463" s="94"/>
    </row>
    <row r="464" ht="12.75" customHeight="1">
      <c r="R464" s="94"/>
    </row>
    <row r="465" ht="12.75" customHeight="1">
      <c r="R465" s="94"/>
    </row>
    <row r="466" ht="12.75" customHeight="1">
      <c r="R466" s="94"/>
    </row>
    <row r="467" ht="12.75" customHeight="1">
      <c r="R467" s="94"/>
    </row>
    <row r="468" ht="12.75" customHeight="1">
      <c r="R468" s="94"/>
    </row>
    <row r="469" ht="12.75" customHeight="1">
      <c r="R469" s="94"/>
    </row>
    <row r="470" ht="12.75" customHeight="1">
      <c r="R470" s="94"/>
    </row>
    <row r="471" ht="12.75" customHeight="1">
      <c r="R471" s="94"/>
    </row>
    <row r="472" ht="12.75" customHeight="1">
      <c r="R472" s="94"/>
    </row>
    <row r="473" ht="12.75" customHeight="1">
      <c r="R473" s="94"/>
    </row>
    <row r="474" ht="12.75" customHeight="1">
      <c r="R474" s="94"/>
    </row>
    <row r="475" ht="12.75" customHeight="1">
      <c r="R475" s="94"/>
    </row>
    <row r="476" ht="12.75" customHeight="1">
      <c r="R476" s="94"/>
    </row>
    <row r="477" ht="12.75" customHeight="1">
      <c r="R477" s="94"/>
    </row>
    <row r="478" ht="12.75" customHeight="1">
      <c r="R478" s="94"/>
    </row>
    <row r="479" ht="12.75" customHeight="1">
      <c r="R479" s="94"/>
    </row>
    <row r="480" ht="12.75" customHeight="1">
      <c r="R480" s="94"/>
    </row>
    <row r="481" ht="12.75" customHeight="1">
      <c r="R481" s="94"/>
    </row>
    <row r="482" ht="12.75" customHeight="1">
      <c r="R482" s="94"/>
    </row>
    <row r="483" ht="12.75" customHeight="1">
      <c r="R483" s="94"/>
    </row>
    <row r="484" ht="12.75" customHeight="1">
      <c r="R484" s="94"/>
    </row>
    <row r="485" ht="12.75" customHeight="1">
      <c r="R485" s="94"/>
    </row>
    <row r="486" ht="12.75" customHeight="1">
      <c r="R486" s="94"/>
    </row>
    <row r="487" ht="12.75" customHeight="1">
      <c r="R487" s="94"/>
    </row>
    <row r="488" ht="12.75" customHeight="1">
      <c r="R488" s="94"/>
    </row>
    <row r="489" ht="12.75" customHeight="1">
      <c r="R489" s="94"/>
    </row>
    <row r="490" ht="12.75" customHeight="1">
      <c r="R490" s="94"/>
    </row>
    <row r="491" ht="12.75" customHeight="1">
      <c r="R491" s="94"/>
    </row>
    <row r="492" ht="12.75" customHeight="1">
      <c r="R492" s="94"/>
    </row>
    <row r="493" ht="12.75" customHeight="1">
      <c r="R493" s="94"/>
    </row>
    <row r="494" ht="12.75" customHeight="1">
      <c r="R494" s="94"/>
    </row>
    <row r="495" ht="12.75" customHeight="1">
      <c r="R495" s="94"/>
    </row>
    <row r="496" ht="12.75" customHeight="1">
      <c r="R496" s="94"/>
    </row>
    <row r="497" ht="12.75" customHeight="1">
      <c r="R497" s="94"/>
    </row>
    <row r="498" ht="12.75" customHeight="1">
      <c r="R498" s="94"/>
    </row>
    <row r="499" ht="12.75" customHeight="1">
      <c r="R499" s="94"/>
    </row>
    <row r="500" ht="12.75" customHeight="1">
      <c r="R500" s="94"/>
    </row>
    <row r="501" ht="12.75" customHeight="1">
      <c r="R501" s="94"/>
    </row>
    <row r="502" ht="12.75" customHeight="1">
      <c r="R502" s="94"/>
    </row>
    <row r="503" ht="12.75" customHeight="1">
      <c r="R503" s="94"/>
    </row>
    <row r="504" ht="12.75" customHeight="1">
      <c r="R504" s="94"/>
    </row>
    <row r="505" ht="12.75" customHeight="1">
      <c r="R505" s="94"/>
    </row>
    <row r="506" ht="12.75" customHeight="1">
      <c r="R506" s="94"/>
    </row>
    <row r="507" ht="12.75" customHeight="1">
      <c r="R507" s="94"/>
    </row>
    <row r="508" ht="12.75" customHeight="1">
      <c r="R508" s="94"/>
    </row>
    <row r="509" ht="12.75" customHeight="1">
      <c r="R509" s="94"/>
    </row>
    <row r="510" ht="12.75" customHeight="1">
      <c r="R510" s="94"/>
    </row>
    <row r="511" ht="12.75" customHeight="1">
      <c r="R511" s="94"/>
    </row>
    <row r="512" ht="12.75" customHeight="1">
      <c r="R512" s="94"/>
    </row>
    <row r="513" ht="12.75" customHeight="1">
      <c r="R513" s="94"/>
    </row>
    <row r="514" ht="12.75" customHeight="1">
      <c r="R514" s="94"/>
    </row>
    <row r="515" ht="12.75" customHeight="1">
      <c r="R515" s="94"/>
    </row>
    <row r="516" ht="12.75" customHeight="1">
      <c r="R516" s="94"/>
    </row>
    <row r="517" ht="12.75" customHeight="1">
      <c r="R517" s="94"/>
    </row>
    <row r="518" ht="12.75" customHeight="1">
      <c r="R518" s="94"/>
    </row>
    <row r="519" ht="12.75" customHeight="1">
      <c r="R519" s="94"/>
    </row>
    <row r="520" ht="12.75" customHeight="1">
      <c r="R520" s="94"/>
    </row>
    <row r="521" ht="12.75" customHeight="1">
      <c r="R521" s="94"/>
    </row>
    <row r="522" ht="12.75" customHeight="1">
      <c r="R522" s="94"/>
    </row>
    <row r="523" ht="12.75" customHeight="1">
      <c r="R523" s="94"/>
    </row>
    <row r="524" ht="12.75" customHeight="1">
      <c r="R524" s="94"/>
    </row>
    <row r="525" ht="12.75" customHeight="1">
      <c r="R525" s="94"/>
    </row>
    <row r="526" ht="12.75" customHeight="1">
      <c r="R526" s="94"/>
    </row>
    <row r="527" ht="12.75" customHeight="1">
      <c r="R527" s="94"/>
    </row>
    <row r="528" ht="12.75" customHeight="1">
      <c r="R528" s="94"/>
    </row>
    <row r="529" ht="12.75" customHeight="1">
      <c r="R529" s="94"/>
    </row>
    <row r="530" ht="12.75" customHeight="1">
      <c r="R530" s="94"/>
    </row>
    <row r="531" ht="12.75" customHeight="1">
      <c r="R531" s="94"/>
    </row>
    <row r="532" ht="12.75" customHeight="1">
      <c r="R532" s="94"/>
    </row>
    <row r="533" ht="12.75" customHeight="1">
      <c r="R533" s="94"/>
    </row>
    <row r="534" ht="12.75" customHeight="1">
      <c r="R534" s="94"/>
    </row>
    <row r="535" ht="12.75" customHeight="1">
      <c r="R535" s="94"/>
    </row>
    <row r="536" ht="12.75" customHeight="1">
      <c r="R536" s="94"/>
    </row>
    <row r="537" ht="12.75" customHeight="1">
      <c r="R537" s="94"/>
    </row>
    <row r="538" ht="12.75" customHeight="1">
      <c r="R538" s="94"/>
    </row>
    <row r="539" ht="12.75" customHeight="1">
      <c r="R539" s="94"/>
    </row>
    <row r="540" ht="12.75" customHeight="1">
      <c r="R540" s="94"/>
    </row>
    <row r="541" ht="12.75" customHeight="1">
      <c r="R541" s="94"/>
    </row>
    <row r="542" ht="12.75" customHeight="1">
      <c r="R542" s="94"/>
    </row>
    <row r="543" ht="12.75" customHeight="1">
      <c r="R543" s="94"/>
    </row>
    <row r="544" ht="12.75" customHeight="1">
      <c r="R544" s="94"/>
    </row>
    <row r="545" ht="12.75" customHeight="1">
      <c r="R545" s="94"/>
    </row>
    <row r="546" ht="12.75" customHeight="1">
      <c r="R546" s="94"/>
    </row>
    <row r="547" ht="12.75" customHeight="1">
      <c r="R547" s="94"/>
    </row>
    <row r="548" ht="12.75" customHeight="1">
      <c r="R548" s="94"/>
    </row>
    <row r="549" ht="12.75" customHeight="1">
      <c r="R549" s="94"/>
    </row>
    <row r="550" ht="12.75" customHeight="1">
      <c r="R550" s="94"/>
    </row>
    <row r="551" ht="12.75" customHeight="1">
      <c r="R551" s="94"/>
    </row>
    <row r="552" ht="12.75" customHeight="1">
      <c r="R552" s="94"/>
    </row>
    <row r="553" ht="12.75" customHeight="1">
      <c r="R553" s="94"/>
    </row>
    <row r="554" ht="12.75" customHeight="1">
      <c r="R554" s="94"/>
    </row>
    <row r="555" ht="12.75" customHeight="1">
      <c r="R555" s="94"/>
    </row>
    <row r="556" ht="12.75" customHeight="1">
      <c r="R556" s="94"/>
    </row>
    <row r="557" ht="12.75" customHeight="1">
      <c r="R557" s="94"/>
    </row>
    <row r="558" ht="12.75" customHeight="1">
      <c r="R558" s="94"/>
    </row>
    <row r="559" ht="12.75" customHeight="1">
      <c r="R559" s="94"/>
    </row>
    <row r="560" ht="12.75" customHeight="1">
      <c r="R560" s="94"/>
    </row>
    <row r="561" ht="12.75" customHeight="1">
      <c r="R561" s="94"/>
    </row>
    <row r="562" ht="12.75" customHeight="1">
      <c r="R562" s="94"/>
    </row>
    <row r="563" ht="12.75" customHeight="1">
      <c r="R563" s="94"/>
    </row>
    <row r="564" ht="12.75" customHeight="1">
      <c r="R564" s="94"/>
    </row>
    <row r="565" ht="12.75" customHeight="1">
      <c r="R565" s="94"/>
    </row>
    <row r="566" ht="12.75" customHeight="1">
      <c r="R566" s="94"/>
    </row>
    <row r="567" ht="12.75" customHeight="1">
      <c r="R567" s="94"/>
    </row>
    <row r="568" ht="12.75" customHeight="1">
      <c r="R568" s="94"/>
    </row>
    <row r="569" ht="12.75" customHeight="1">
      <c r="R569" s="94"/>
    </row>
    <row r="570" ht="12.75" customHeight="1">
      <c r="R570" s="94"/>
    </row>
    <row r="571" ht="12.75" customHeight="1">
      <c r="R571" s="94"/>
    </row>
    <row r="572" ht="12.75" customHeight="1">
      <c r="R572" s="94"/>
    </row>
    <row r="573" ht="12.75" customHeight="1">
      <c r="R573" s="94"/>
    </row>
    <row r="574" ht="12.75" customHeight="1">
      <c r="R574" s="94"/>
    </row>
    <row r="575" ht="12.75" customHeight="1">
      <c r="R575" s="94"/>
    </row>
    <row r="576" ht="12.75" customHeight="1">
      <c r="R576" s="94"/>
    </row>
    <row r="577" ht="12.75" customHeight="1">
      <c r="R577" s="94"/>
    </row>
    <row r="578" ht="12.75" customHeight="1">
      <c r="R578" s="94"/>
    </row>
    <row r="579" ht="12.75" customHeight="1">
      <c r="R579" s="94"/>
    </row>
    <row r="580" ht="12.75" customHeight="1">
      <c r="R580" s="94"/>
    </row>
    <row r="581" ht="12.75" customHeight="1">
      <c r="R581" s="94"/>
    </row>
    <row r="582" ht="12.75" customHeight="1">
      <c r="R582" s="94"/>
    </row>
    <row r="583" ht="12.75" customHeight="1">
      <c r="R583" s="94"/>
    </row>
    <row r="584" ht="12.75" customHeight="1">
      <c r="R584" s="94"/>
    </row>
    <row r="585" ht="12.75" customHeight="1">
      <c r="R585" s="94"/>
    </row>
    <row r="586" ht="12.75" customHeight="1">
      <c r="R586" s="94"/>
    </row>
    <row r="587" ht="12.75" customHeight="1">
      <c r="R587" s="94"/>
    </row>
    <row r="588" ht="12.75" customHeight="1">
      <c r="R588" s="94"/>
    </row>
    <row r="589" ht="12.75" customHeight="1">
      <c r="R589" s="94"/>
    </row>
    <row r="590" ht="12.75" customHeight="1">
      <c r="R590" s="94"/>
    </row>
    <row r="591" ht="12.75" customHeight="1">
      <c r="R591" s="94"/>
    </row>
    <row r="592" ht="12.75" customHeight="1">
      <c r="R592" s="94"/>
    </row>
    <row r="593" ht="12.75" customHeight="1">
      <c r="R593" s="94"/>
    </row>
    <row r="594" ht="12.75" customHeight="1">
      <c r="R594" s="94"/>
    </row>
    <row r="595" ht="12.75" customHeight="1">
      <c r="R595" s="94"/>
    </row>
    <row r="596" ht="12.75" customHeight="1">
      <c r="R596" s="94"/>
    </row>
    <row r="597" ht="12.75" customHeight="1">
      <c r="R597" s="94"/>
    </row>
    <row r="598" ht="12.75" customHeight="1">
      <c r="R598" s="94"/>
    </row>
    <row r="599" ht="12.75" customHeight="1">
      <c r="R599" s="94"/>
    </row>
    <row r="600" ht="12.75" customHeight="1">
      <c r="R600" s="94"/>
    </row>
    <row r="601" ht="12.75" customHeight="1">
      <c r="R601" s="94"/>
    </row>
    <row r="602" ht="12.75" customHeight="1">
      <c r="R602" s="94"/>
    </row>
    <row r="603" ht="12.75" customHeight="1">
      <c r="R603" s="94"/>
    </row>
    <row r="604" ht="12.75" customHeight="1">
      <c r="R604" s="94"/>
    </row>
    <row r="605" ht="12.75" customHeight="1">
      <c r="R605" s="94"/>
    </row>
    <row r="606" ht="12.75" customHeight="1">
      <c r="R606" s="94"/>
    </row>
    <row r="607" ht="12.75" customHeight="1">
      <c r="R607" s="94"/>
    </row>
    <row r="608" ht="12.75" customHeight="1">
      <c r="R608" s="94"/>
    </row>
    <row r="609" ht="12.75" customHeight="1">
      <c r="R609" s="94"/>
    </row>
    <row r="610" ht="12.75" customHeight="1">
      <c r="R610" s="94"/>
    </row>
    <row r="611" ht="12.75" customHeight="1">
      <c r="R611" s="94"/>
    </row>
    <row r="612" ht="12.75" customHeight="1">
      <c r="R612" s="94"/>
    </row>
    <row r="613" ht="12.75" customHeight="1">
      <c r="R613" s="94"/>
    </row>
    <row r="614" ht="12.75" customHeight="1">
      <c r="R614" s="94"/>
    </row>
    <row r="615" ht="12.75" customHeight="1">
      <c r="R615" s="94"/>
    </row>
    <row r="616" ht="12.75" customHeight="1">
      <c r="R616" s="94"/>
    </row>
    <row r="617" ht="12.75" customHeight="1">
      <c r="R617" s="94"/>
    </row>
    <row r="618" ht="12.75" customHeight="1">
      <c r="R618" s="94"/>
    </row>
    <row r="619" ht="12.75" customHeight="1">
      <c r="R619" s="94"/>
    </row>
    <row r="620" ht="12.75" customHeight="1">
      <c r="R620" s="94"/>
    </row>
    <row r="621" ht="12.75" customHeight="1">
      <c r="R621" s="94"/>
    </row>
    <row r="622" ht="12.75" customHeight="1">
      <c r="R622" s="94"/>
    </row>
    <row r="623" ht="12.75" customHeight="1">
      <c r="R623" s="94"/>
    </row>
    <row r="624" ht="12.75" customHeight="1">
      <c r="R624" s="94"/>
    </row>
    <row r="625" ht="12.75" customHeight="1">
      <c r="R625" s="94"/>
    </row>
    <row r="626" ht="12.75" customHeight="1">
      <c r="R626" s="94"/>
    </row>
    <row r="627" ht="12.75" customHeight="1">
      <c r="R627" s="94"/>
    </row>
    <row r="628" ht="12.75" customHeight="1">
      <c r="R628" s="94"/>
    </row>
    <row r="629" ht="12.75" customHeight="1">
      <c r="R629" s="94"/>
    </row>
    <row r="630" ht="12.75" customHeight="1">
      <c r="R630" s="94"/>
    </row>
    <row r="631" ht="12.75" customHeight="1">
      <c r="R631" s="94"/>
    </row>
    <row r="632" ht="12.75" customHeight="1">
      <c r="R632" s="94"/>
    </row>
    <row r="633" ht="12.75" customHeight="1">
      <c r="R633" s="94"/>
    </row>
    <row r="634" ht="12.75" customHeight="1">
      <c r="R634" s="94"/>
    </row>
    <row r="635" ht="12.75" customHeight="1">
      <c r="R635" s="94"/>
    </row>
    <row r="636" ht="12.75" customHeight="1">
      <c r="R636" s="94"/>
    </row>
    <row r="637" ht="12.75" customHeight="1">
      <c r="R637" s="94"/>
    </row>
    <row r="638" ht="12.75" customHeight="1">
      <c r="R638" s="94"/>
    </row>
    <row r="639" ht="12.75" customHeight="1">
      <c r="R639" s="94"/>
    </row>
    <row r="640" ht="12.75" customHeight="1">
      <c r="R640" s="94"/>
    </row>
    <row r="641" ht="12.75" customHeight="1">
      <c r="R641" s="94"/>
    </row>
    <row r="642" ht="12.75" customHeight="1">
      <c r="R642" s="94"/>
    </row>
    <row r="643" ht="12.75" customHeight="1">
      <c r="R643" s="94"/>
    </row>
    <row r="644" ht="12.75" customHeight="1">
      <c r="R644" s="94"/>
    </row>
    <row r="645" ht="12.75" customHeight="1">
      <c r="R645" s="94"/>
    </row>
    <row r="646" ht="12.75" customHeight="1">
      <c r="R646" s="94"/>
    </row>
    <row r="647" ht="12.75" customHeight="1">
      <c r="R647" s="94"/>
    </row>
    <row r="648" ht="12.75" customHeight="1">
      <c r="R648" s="94"/>
    </row>
    <row r="649" ht="12.75" customHeight="1">
      <c r="R649" s="94"/>
    </row>
    <row r="650" ht="12.75" customHeight="1">
      <c r="R650" s="94"/>
    </row>
    <row r="651" ht="12.75" customHeight="1">
      <c r="R651" s="94"/>
    </row>
    <row r="652" ht="12.75" customHeight="1">
      <c r="R652" s="94"/>
    </row>
    <row r="653" ht="12.75" customHeight="1">
      <c r="R653" s="94"/>
    </row>
    <row r="654" ht="12.75" customHeight="1">
      <c r="R654" s="94"/>
    </row>
    <row r="655" ht="12.75" customHeight="1">
      <c r="R655" s="94"/>
    </row>
    <row r="656" ht="12.75" customHeight="1">
      <c r="R656" s="94"/>
    </row>
    <row r="657" ht="12.75" customHeight="1">
      <c r="R657" s="94"/>
    </row>
    <row r="658" ht="12.75" customHeight="1">
      <c r="R658" s="94"/>
    </row>
    <row r="659" ht="12.75" customHeight="1">
      <c r="R659" s="94"/>
    </row>
    <row r="660" ht="12.75" customHeight="1">
      <c r="R660" s="94"/>
    </row>
    <row r="661" ht="12.75" customHeight="1">
      <c r="R661" s="94"/>
    </row>
    <row r="662" ht="12.75" customHeight="1">
      <c r="R662" s="94"/>
    </row>
    <row r="663" ht="12.75" customHeight="1">
      <c r="R663" s="94"/>
    </row>
    <row r="664" ht="12.75" customHeight="1">
      <c r="R664" s="94"/>
    </row>
    <row r="665" ht="12.75" customHeight="1">
      <c r="R665" s="94"/>
    </row>
    <row r="666" ht="12.75" customHeight="1">
      <c r="R666" s="94"/>
    </row>
    <row r="667" ht="12.75" customHeight="1">
      <c r="R667" s="94"/>
    </row>
    <row r="668" ht="12.75" customHeight="1">
      <c r="R668" s="94"/>
    </row>
    <row r="669" ht="12.75" customHeight="1">
      <c r="R669" s="94"/>
    </row>
    <row r="670" ht="12.75" customHeight="1">
      <c r="R670" s="94"/>
    </row>
    <row r="671" ht="12.75" customHeight="1">
      <c r="R671" s="94"/>
    </row>
    <row r="672" ht="12.75" customHeight="1">
      <c r="R672" s="94"/>
    </row>
    <row r="673" ht="12.75" customHeight="1">
      <c r="R673" s="94"/>
    </row>
    <row r="674" ht="12.75" customHeight="1">
      <c r="R674" s="94"/>
    </row>
    <row r="675" ht="12.75" customHeight="1">
      <c r="R675" s="94"/>
    </row>
    <row r="676" ht="12.75" customHeight="1">
      <c r="R676" s="94"/>
    </row>
    <row r="677" ht="12.75" customHeight="1">
      <c r="R677" s="94"/>
    </row>
    <row r="678" ht="12.75" customHeight="1">
      <c r="R678" s="94"/>
    </row>
    <row r="679" ht="12.75" customHeight="1">
      <c r="R679" s="94"/>
    </row>
    <row r="680" ht="12.75" customHeight="1">
      <c r="R680" s="94"/>
    </row>
    <row r="681" ht="12.75" customHeight="1">
      <c r="R681" s="94"/>
    </row>
    <row r="682" ht="12.75" customHeight="1">
      <c r="R682" s="94"/>
    </row>
    <row r="683" ht="12.75" customHeight="1">
      <c r="R683" s="94"/>
    </row>
    <row r="684" ht="12.75" customHeight="1">
      <c r="R684" s="94"/>
    </row>
    <row r="685" ht="12.75" customHeight="1">
      <c r="R685" s="94"/>
    </row>
    <row r="686" ht="12.75" customHeight="1">
      <c r="R686" s="94"/>
    </row>
    <row r="687" ht="12.75" customHeight="1">
      <c r="R687" s="94"/>
    </row>
    <row r="688" ht="12.75" customHeight="1">
      <c r="R688" s="94"/>
    </row>
    <row r="689" ht="12.75" customHeight="1">
      <c r="R689" s="94"/>
    </row>
    <row r="690" ht="12.75" customHeight="1">
      <c r="R690" s="94"/>
    </row>
    <row r="691" ht="12.75" customHeight="1">
      <c r="R691" s="94"/>
    </row>
    <row r="692" ht="12.75" customHeight="1">
      <c r="R692" s="94"/>
    </row>
    <row r="693" ht="12.75" customHeight="1">
      <c r="R693" s="94"/>
    </row>
    <row r="694" ht="12.75" customHeight="1">
      <c r="R694" s="94"/>
    </row>
    <row r="695" ht="12.75" customHeight="1">
      <c r="R695" s="94"/>
    </row>
    <row r="696" ht="12.75" customHeight="1">
      <c r="R696" s="94"/>
    </row>
    <row r="697" ht="12.75" customHeight="1">
      <c r="R697" s="94"/>
    </row>
    <row r="698" ht="12.75" customHeight="1">
      <c r="R698" s="94"/>
    </row>
    <row r="699" ht="12.75" customHeight="1">
      <c r="R699" s="94"/>
    </row>
    <row r="700" ht="12.75" customHeight="1">
      <c r="R700" s="94"/>
    </row>
    <row r="701" ht="12.75" customHeight="1">
      <c r="R701" s="94"/>
    </row>
    <row r="702" ht="12.75" customHeight="1">
      <c r="R702" s="94"/>
    </row>
    <row r="703" ht="12.75" customHeight="1">
      <c r="R703" s="94"/>
    </row>
    <row r="704" ht="12.75" customHeight="1">
      <c r="R704" s="94"/>
    </row>
    <row r="705" ht="12.75" customHeight="1">
      <c r="R705" s="94"/>
    </row>
    <row r="706" ht="12.75" customHeight="1">
      <c r="R706" s="94"/>
    </row>
    <row r="707" ht="12.75" customHeight="1">
      <c r="R707" s="94"/>
    </row>
    <row r="708" ht="12.75" customHeight="1">
      <c r="R708" s="94"/>
    </row>
    <row r="709" ht="12.75" customHeight="1">
      <c r="R709" s="94"/>
    </row>
    <row r="710" ht="12.75" customHeight="1">
      <c r="R710" s="94"/>
    </row>
    <row r="711" ht="12.75" customHeight="1">
      <c r="R711" s="94"/>
    </row>
    <row r="712" ht="12.75" customHeight="1">
      <c r="R712" s="94"/>
    </row>
    <row r="713" ht="12.75" customHeight="1">
      <c r="R713" s="94"/>
    </row>
    <row r="714" ht="12.75" customHeight="1">
      <c r="R714" s="94"/>
    </row>
    <row r="715" ht="12.75" customHeight="1">
      <c r="R715" s="94"/>
    </row>
    <row r="716" ht="12.75" customHeight="1">
      <c r="R716" s="94"/>
    </row>
    <row r="717" ht="12.75" customHeight="1">
      <c r="R717" s="94"/>
    </row>
    <row r="718" ht="12.75" customHeight="1">
      <c r="R718" s="94"/>
    </row>
    <row r="719" ht="12.75" customHeight="1">
      <c r="R719" s="94"/>
    </row>
    <row r="720" ht="12.75" customHeight="1">
      <c r="R720" s="94"/>
    </row>
    <row r="721" ht="12.75" customHeight="1">
      <c r="R721" s="94"/>
    </row>
    <row r="722" ht="12.75" customHeight="1">
      <c r="R722" s="94"/>
    </row>
    <row r="723" ht="12.75" customHeight="1">
      <c r="R723" s="94"/>
    </row>
    <row r="724" ht="12.75" customHeight="1">
      <c r="R724" s="94"/>
    </row>
    <row r="725" ht="12.75" customHeight="1">
      <c r="R725" s="94"/>
    </row>
    <row r="726" ht="12.75" customHeight="1">
      <c r="R726" s="94"/>
    </row>
    <row r="727" ht="12.75" customHeight="1">
      <c r="R727" s="94"/>
    </row>
    <row r="728" ht="12.75" customHeight="1">
      <c r="R728" s="94"/>
    </row>
    <row r="729" ht="12.75" customHeight="1">
      <c r="R729" s="94"/>
    </row>
    <row r="730" ht="12.75" customHeight="1">
      <c r="R730" s="94"/>
    </row>
    <row r="731" ht="12.75" customHeight="1">
      <c r="R731" s="94"/>
    </row>
    <row r="732" ht="12.75" customHeight="1">
      <c r="R732" s="94"/>
    </row>
    <row r="733" ht="12.75" customHeight="1">
      <c r="R733" s="94"/>
    </row>
    <row r="734" ht="12.75" customHeight="1">
      <c r="R734" s="94"/>
    </row>
    <row r="735" ht="12.75" customHeight="1">
      <c r="R735" s="94"/>
    </row>
    <row r="736" ht="12.75" customHeight="1">
      <c r="R736" s="94"/>
    </row>
    <row r="737" ht="12.75" customHeight="1">
      <c r="R737" s="94"/>
    </row>
    <row r="738" ht="12.75" customHeight="1">
      <c r="R738" s="94"/>
    </row>
    <row r="739" ht="12.75" customHeight="1">
      <c r="R739" s="94"/>
    </row>
    <row r="740" ht="12.75" customHeight="1">
      <c r="R740" s="94"/>
    </row>
    <row r="741" ht="12.75" customHeight="1">
      <c r="R741" s="94"/>
    </row>
    <row r="742" ht="12.75" customHeight="1">
      <c r="R742" s="94"/>
    </row>
    <row r="743" ht="12.75" customHeight="1">
      <c r="R743" s="94"/>
    </row>
    <row r="744" ht="12.75" customHeight="1">
      <c r="R744" s="94"/>
    </row>
    <row r="745" ht="12.75" customHeight="1">
      <c r="R745" s="94"/>
    </row>
    <row r="746" ht="12.75" customHeight="1">
      <c r="R746" s="94"/>
    </row>
    <row r="747" ht="12.75" customHeight="1">
      <c r="R747" s="94"/>
    </row>
    <row r="748" ht="12.75" customHeight="1">
      <c r="R748" s="94"/>
    </row>
    <row r="749" ht="12.75" customHeight="1">
      <c r="R749" s="94"/>
    </row>
    <row r="750" ht="12.75" customHeight="1">
      <c r="R750" s="94"/>
    </row>
    <row r="751" ht="12.75" customHeight="1">
      <c r="R751" s="94"/>
    </row>
    <row r="752" ht="12.75" customHeight="1">
      <c r="R752" s="94"/>
    </row>
    <row r="753" ht="12.75" customHeight="1">
      <c r="R753" s="94"/>
    </row>
    <row r="754" ht="12.75" customHeight="1">
      <c r="R754" s="94"/>
    </row>
    <row r="755" ht="12.75" customHeight="1">
      <c r="R755" s="94"/>
    </row>
    <row r="756" ht="12.75" customHeight="1">
      <c r="R756" s="94"/>
    </row>
    <row r="757" ht="12.75" customHeight="1">
      <c r="R757" s="94"/>
    </row>
    <row r="758" ht="12.75" customHeight="1">
      <c r="R758" s="94"/>
    </row>
    <row r="759" ht="12.75" customHeight="1">
      <c r="R759" s="94"/>
    </row>
    <row r="760" ht="12.75" customHeight="1">
      <c r="R760" s="94"/>
    </row>
    <row r="761" ht="12.75" customHeight="1">
      <c r="R761" s="94"/>
    </row>
    <row r="762" ht="12.75" customHeight="1">
      <c r="R762" s="94"/>
    </row>
    <row r="763" ht="12.75" customHeight="1">
      <c r="R763" s="94"/>
    </row>
    <row r="764" ht="12.75" customHeight="1">
      <c r="R764" s="94"/>
    </row>
    <row r="765" ht="12.75" customHeight="1">
      <c r="R765" s="94"/>
    </row>
    <row r="766" ht="12.75" customHeight="1">
      <c r="R766" s="94"/>
    </row>
    <row r="767" ht="12.75" customHeight="1">
      <c r="R767" s="94"/>
    </row>
    <row r="768" ht="12.75" customHeight="1">
      <c r="R768" s="94"/>
    </row>
    <row r="769" ht="12.75" customHeight="1">
      <c r="R769" s="94"/>
    </row>
    <row r="770" ht="12.75" customHeight="1">
      <c r="R770" s="94"/>
    </row>
    <row r="771" ht="12.75" customHeight="1">
      <c r="R771" s="94"/>
    </row>
    <row r="772" ht="12.75" customHeight="1">
      <c r="R772" s="94"/>
    </row>
    <row r="773" ht="12.75" customHeight="1">
      <c r="R773" s="94"/>
    </row>
    <row r="774" ht="12.75" customHeight="1">
      <c r="R774" s="94"/>
    </row>
    <row r="775" ht="12.75" customHeight="1">
      <c r="R775" s="94"/>
    </row>
    <row r="776" ht="12.75" customHeight="1">
      <c r="R776" s="94"/>
    </row>
    <row r="777" ht="12.75" customHeight="1">
      <c r="R777" s="94"/>
    </row>
    <row r="778" ht="12.75" customHeight="1">
      <c r="R778" s="94"/>
    </row>
    <row r="779" ht="12.75" customHeight="1">
      <c r="R779" s="94"/>
    </row>
    <row r="780" ht="12.75" customHeight="1">
      <c r="R780" s="94"/>
    </row>
    <row r="781" ht="12.75" customHeight="1">
      <c r="R781" s="94"/>
    </row>
    <row r="782" ht="12.75" customHeight="1">
      <c r="R782" s="94"/>
    </row>
    <row r="783" ht="12.75" customHeight="1">
      <c r="R783" s="94"/>
    </row>
    <row r="784" ht="12.75" customHeight="1">
      <c r="R784" s="94"/>
    </row>
    <row r="785" ht="12.75" customHeight="1">
      <c r="R785" s="94"/>
    </row>
    <row r="786" ht="12.75" customHeight="1">
      <c r="R786" s="94"/>
    </row>
    <row r="787" ht="12.75" customHeight="1">
      <c r="R787" s="94"/>
    </row>
    <row r="788" ht="12.75" customHeight="1">
      <c r="R788" s="94"/>
    </row>
    <row r="789" ht="12.75" customHeight="1">
      <c r="R789" s="94"/>
    </row>
    <row r="790" ht="12.75" customHeight="1">
      <c r="R790" s="94"/>
    </row>
    <row r="791" ht="12.75" customHeight="1">
      <c r="R791" s="94"/>
    </row>
    <row r="792" ht="12.75" customHeight="1">
      <c r="R792" s="94"/>
    </row>
    <row r="793" ht="12.75" customHeight="1">
      <c r="R793" s="94"/>
    </row>
    <row r="794" ht="12.75" customHeight="1">
      <c r="R794" s="94"/>
    </row>
    <row r="795" ht="12.75" customHeight="1">
      <c r="R795" s="94"/>
    </row>
    <row r="796" ht="12.75" customHeight="1">
      <c r="R796" s="94"/>
    </row>
    <row r="797" ht="12.75" customHeight="1">
      <c r="R797" s="94"/>
    </row>
    <row r="798" ht="12.75" customHeight="1">
      <c r="R798" s="94"/>
    </row>
    <row r="799" ht="12.75" customHeight="1">
      <c r="R799" s="94"/>
    </row>
    <row r="800" ht="12.75" customHeight="1">
      <c r="R800" s="94"/>
    </row>
    <row r="801" ht="12.75" customHeight="1">
      <c r="R801" s="94"/>
    </row>
    <row r="802" ht="12.75" customHeight="1">
      <c r="R802" s="94"/>
    </row>
    <row r="803" ht="12.75" customHeight="1">
      <c r="R803" s="94"/>
    </row>
    <row r="804" ht="12.75" customHeight="1">
      <c r="R804" s="94"/>
    </row>
    <row r="805" ht="12.75" customHeight="1">
      <c r="R805" s="94"/>
    </row>
    <row r="806" ht="12.75" customHeight="1">
      <c r="R806" s="94"/>
    </row>
    <row r="807" ht="12.75" customHeight="1">
      <c r="R807" s="94"/>
    </row>
    <row r="808" ht="12.75" customHeight="1">
      <c r="R808" s="94"/>
    </row>
    <row r="809" ht="12.75" customHeight="1">
      <c r="R809" s="94"/>
    </row>
    <row r="810" ht="12.75" customHeight="1">
      <c r="R810" s="94"/>
    </row>
    <row r="811" ht="12.75" customHeight="1">
      <c r="R811" s="94"/>
    </row>
    <row r="812" ht="12.75" customHeight="1">
      <c r="R812" s="94"/>
    </row>
    <row r="813" ht="12.75" customHeight="1">
      <c r="R813" s="94"/>
    </row>
    <row r="814" ht="12.75" customHeight="1">
      <c r="R814" s="94"/>
    </row>
    <row r="815" ht="12.75" customHeight="1">
      <c r="R815" s="94"/>
    </row>
    <row r="816" ht="12.75" customHeight="1">
      <c r="R816" s="94"/>
    </row>
    <row r="817" ht="12.75" customHeight="1">
      <c r="R817" s="94"/>
    </row>
    <row r="818" ht="12.75" customHeight="1">
      <c r="R818" s="94"/>
    </row>
    <row r="819" ht="12.75" customHeight="1">
      <c r="R819" s="94"/>
    </row>
    <row r="820" ht="12.75" customHeight="1">
      <c r="R820" s="94"/>
    </row>
    <row r="821" ht="12.75" customHeight="1">
      <c r="R821" s="94"/>
    </row>
    <row r="822" ht="12.75" customHeight="1">
      <c r="R822" s="94"/>
    </row>
    <row r="823" ht="12.75" customHeight="1">
      <c r="R823" s="94"/>
    </row>
    <row r="824" ht="12.75" customHeight="1">
      <c r="R824" s="94"/>
    </row>
    <row r="825" ht="12.75" customHeight="1">
      <c r="R825" s="94"/>
    </row>
    <row r="826" ht="12.75" customHeight="1">
      <c r="R826" s="94"/>
    </row>
    <row r="827" ht="12.75" customHeight="1">
      <c r="R827" s="94"/>
    </row>
    <row r="828" ht="12.75" customHeight="1">
      <c r="R828" s="94"/>
    </row>
    <row r="829" ht="12.75" customHeight="1">
      <c r="R829" s="94"/>
    </row>
    <row r="830" ht="12.75" customHeight="1">
      <c r="R830" s="94"/>
    </row>
    <row r="831" ht="12.75" customHeight="1">
      <c r="R831" s="94"/>
    </row>
    <row r="832" ht="12.75" customHeight="1">
      <c r="R832" s="94"/>
    </row>
    <row r="833" ht="12.75" customHeight="1">
      <c r="R833" s="94"/>
    </row>
    <row r="834" ht="12.75" customHeight="1">
      <c r="R834" s="94"/>
    </row>
    <row r="835" ht="12.75" customHeight="1">
      <c r="R835" s="94"/>
    </row>
    <row r="836" ht="12.75" customHeight="1">
      <c r="R836" s="94"/>
    </row>
    <row r="837" ht="12.75" customHeight="1">
      <c r="R837" s="94"/>
    </row>
    <row r="838" ht="12.75" customHeight="1">
      <c r="R838" s="94"/>
    </row>
    <row r="839" ht="12.75" customHeight="1">
      <c r="R839" s="94"/>
    </row>
    <row r="840" ht="12.75" customHeight="1">
      <c r="R840" s="94"/>
    </row>
    <row r="841" ht="12.75" customHeight="1">
      <c r="R841" s="94"/>
    </row>
    <row r="842" ht="12.75" customHeight="1">
      <c r="R842" s="94"/>
    </row>
    <row r="843" ht="12.75" customHeight="1">
      <c r="R843" s="94"/>
    </row>
    <row r="844" ht="12.75" customHeight="1">
      <c r="R844" s="94"/>
    </row>
    <row r="845" ht="12.75" customHeight="1">
      <c r="R845" s="94"/>
    </row>
    <row r="846" ht="12.75" customHeight="1">
      <c r="R846" s="94"/>
    </row>
    <row r="847" ht="12.75" customHeight="1">
      <c r="R847" s="94"/>
    </row>
    <row r="848" ht="12.75" customHeight="1">
      <c r="R848" s="94"/>
    </row>
    <row r="849" ht="12.75" customHeight="1">
      <c r="R849" s="94"/>
    </row>
    <row r="850" ht="12.75" customHeight="1">
      <c r="R850" s="94"/>
    </row>
    <row r="851" ht="12.75" customHeight="1">
      <c r="R851" s="94"/>
    </row>
    <row r="852" ht="12.75" customHeight="1">
      <c r="R852" s="94"/>
    </row>
    <row r="853" ht="12.75" customHeight="1">
      <c r="R853" s="94"/>
    </row>
    <row r="854" ht="12.75" customHeight="1">
      <c r="R854" s="94"/>
    </row>
    <row r="855" ht="12.75" customHeight="1">
      <c r="R855" s="94"/>
    </row>
    <row r="856" ht="12.75" customHeight="1">
      <c r="R856" s="94"/>
    </row>
    <row r="857" ht="12.75" customHeight="1">
      <c r="R857" s="94"/>
    </row>
    <row r="858" ht="12.75" customHeight="1">
      <c r="R858" s="94"/>
    </row>
    <row r="859" ht="12.75" customHeight="1">
      <c r="R859" s="94"/>
    </row>
    <row r="860" ht="12.75" customHeight="1">
      <c r="R860" s="94"/>
    </row>
    <row r="861" ht="12.75" customHeight="1">
      <c r="R861" s="94"/>
    </row>
    <row r="862" ht="12.75" customHeight="1">
      <c r="R862" s="94"/>
    </row>
    <row r="863" ht="12.75" customHeight="1">
      <c r="R863" s="94"/>
    </row>
    <row r="864" ht="12.75" customHeight="1">
      <c r="R864" s="94"/>
    </row>
    <row r="865" ht="12.75" customHeight="1">
      <c r="R865" s="94"/>
    </row>
    <row r="866" ht="12.75" customHeight="1">
      <c r="R866" s="94"/>
    </row>
    <row r="867" ht="12.75" customHeight="1">
      <c r="R867" s="94"/>
    </row>
    <row r="868" ht="12.75" customHeight="1">
      <c r="R868" s="94"/>
    </row>
    <row r="869" ht="12.75" customHeight="1">
      <c r="R869" s="94"/>
    </row>
    <row r="870" ht="12.75" customHeight="1">
      <c r="R870" s="94"/>
    </row>
    <row r="871" ht="12.75" customHeight="1">
      <c r="R871" s="94"/>
    </row>
    <row r="872" ht="12.75" customHeight="1">
      <c r="R872" s="94"/>
    </row>
    <row r="873" ht="12.75" customHeight="1">
      <c r="R873" s="94"/>
    </row>
    <row r="874" ht="12.75" customHeight="1">
      <c r="R874" s="94"/>
    </row>
    <row r="875" ht="12.75" customHeight="1">
      <c r="R875" s="94"/>
    </row>
    <row r="876" ht="12.75" customHeight="1">
      <c r="R876" s="94"/>
    </row>
    <row r="877" ht="12.75" customHeight="1">
      <c r="R877" s="94"/>
    </row>
    <row r="878" ht="12.75" customHeight="1">
      <c r="R878" s="94"/>
    </row>
    <row r="879" ht="12.75" customHeight="1">
      <c r="R879" s="94"/>
    </row>
    <row r="880" ht="12.75" customHeight="1">
      <c r="R880" s="94"/>
    </row>
    <row r="881" ht="12.75" customHeight="1">
      <c r="R881" s="94"/>
    </row>
    <row r="882" ht="12.75" customHeight="1">
      <c r="R882" s="94"/>
    </row>
    <row r="883" ht="12.75" customHeight="1">
      <c r="R883" s="94"/>
    </row>
    <row r="884" ht="12.75" customHeight="1">
      <c r="R884" s="94"/>
    </row>
    <row r="885" ht="12.75" customHeight="1">
      <c r="R885" s="94"/>
    </row>
    <row r="886" ht="12.75" customHeight="1">
      <c r="R886" s="94"/>
    </row>
    <row r="887" ht="12.75" customHeight="1">
      <c r="R887" s="94"/>
    </row>
    <row r="888" ht="12.75" customHeight="1">
      <c r="R888" s="94"/>
    </row>
    <row r="889" ht="12.75" customHeight="1">
      <c r="R889" s="94"/>
    </row>
    <row r="890" ht="12.75" customHeight="1">
      <c r="R890" s="94"/>
    </row>
    <row r="891" ht="12.75" customHeight="1">
      <c r="R891" s="94"/>
    </row>
    <row r="892" ht="12.75" customHeight="1">
      <c r="R892" s="94"/>
    </row>
    <row r="893" ht="12.75" customHeight="1">
      <c r="R893" s="94"/>
    </row>
    <row r="894" ht="12.75" customHeight="1">
      <c r="R894" s="94"/>
    </row>
    <row r="895" ht="12.75" customHeight="1">
      <c r="R895" s="94"/>
    </row>
    <row r="896" ht="12.75" customHeight="1">
      <c r="R896" s="94"/>
    </row>
    <row r="897" ht="12.75" customHeight="1">
      <c r="R897" s="94"/>
    </row>
    <row r="898" ht="12.75" customHeight="1">
      <c r="R898" s="94"/>
    </row>
    <row r="899" ht="12.75" customHeight="1">
      <c r="R899" s="94"/>
    </row>
    <row r="900" ht="12.75" customHeight="1">
      <c r="R900" s="94"/>
    </row>
    <row r="901" ht="12.75" customHeight="1">
      <c r="R901" s="94"/>
    </row>
    <row r="902" ht="12.75" customHeight="1">
      <c r="R902" s="94"/>
    </row>
    <row r="903" ht="12.75" customHeight="1">
      <c r="R903" s="94"/>
    </row>
    <row r="904" ht="12.75" customHeight="1">
      <c r="R904" s="94"/>
    </row>
    <row r="905" ht="12.75" customHeight="1">
      <c r="R905" s="94"/>
    </row>
    <row r="906" ht="12.75" customHeight="1">
      <c r="R906" s="94"/>
    </row>
    <row r="907" ht="12.75" customHeight="1">
      <c r="R907" s="94"/>
    </row>
    <row r="908" ht="12.75" customHeight="1">
      <c r="R908" s="94"/>
    </row>
    <row r="909" ht="12.75" customHeight="1">
      <c r="R909" s="94"/>
    </row>
    <row r="910" ht="12.75" customHeight="1">
      <c r="R910" s="94"/>
    </row>
    <row r="911" ht="12.75" customHeight="1">
      <c r="R911" s="94"/>
    </row>
    <row r="912" ht="12.75" customHeight="1">
      <c r="R912" s="94"/>
    </row>
    <row r="913" ht="12.75" customHeight="1">
      <c r="R913" s="94"/>
    </row>
    <row r="914" ht="12.75" customHeight="1">
      <c r="R914" s="94"/>
    </row>
    <row r="915" ht="12.75" customHeight="1">
      <c r="R915" s="94"/>
    </row>
    <row r="916" ht="12.75" customHeight="1">
      <c r="R916" s="94"/>
    </row>
    <row r="917" ht="12.75" customHeight="1">
      <c r="R917" s="94"/>
    </row>
    <row r="918" ht="12.75" customHeight="1">
      <c r="R918" s="94"/>
    </row>
    <row r="919" ht="12.75" customHeight="1">
      <c r="R919" s="94"/>
    </row>
    <row r="920" ht="12.75" customHeight="1">
      <c r="R920" s="94"/>
    </row>
    <row r="921" ht="12.75" customHeight="1">
      <c r="R921" s="94"/>
    </row>
    <row r="922" ht="12.75" customHeight="1">
      <c r="R922" s="94"/>
    </row>
    <row r="923" ht="12.75" customHeight="1">
      <c r="R923" s="94"/>
    </row>
    <row r="924" ht="12.75" customHeight="1">
      <c r="R924" s="94"/>
    </row>
    <row r="925" ht="12.75" customHeight="1">
      <c r="R925" s="94"/>
    </row>
    <row r="926" ht="12.75" customHeight="1">
      <c r="R926" s="94"/>
    </row>
    <row r="927" ht="12.75" customHeight="1">
      <c r="R927" s="94"/>
    </row>
    <row r="928" ht="12.75" customHeight="1">
      <c r="R928" s="94"/>
    </row>
    <row r="929" ht="12.75" customHeight="1">
      <c r="R929" s="94"/>
    </row>
    <row r="930" ht="12.75" customHeight="1">
      <c r="R930" s="94"/>
    </row>
    <row r="931" ht="12.75" customHeight="1">
      <c r="R931" s="94"/>
    </row>
    <row r="932" ht="12.75" customHeight="1">
      <c r="R932" s="94"/>
    </row>
    <row r="933" ht="12.75" customHeight="1">
      <c r="R933" s="94"/>
    </row>
    <row r="934" ht="12.75" customHeight="1">
      <c r="R934" s="94"/>
    </row>
    <row r="935" ht="12.75" customHeight="1">
      <c r="R935" s="94"/>
    </row>
    <row r="936" ht="12.75" customHeight="1"/>
    <row r="937" ht="12.75" customHeight="1"/>
  </sheetData>
  <mergeCells count="11">
    <mergeCell ref="G9:H9"/>
    <mergeCell ref="I9:J9"/>
    <mergeCell ref="K9:L9"/>
    <mergeCell ref="M9:N9"/>
    <mergeCell ref="M5:N5"/>
    <mergeCell ref="S5:T5"/>
    <mergeCell ref="M6:N6"/>
    <mergeCell ref="S6:T6"/>
    <mergeCell ref="A9:B9"/>
    <mergeCell ref="C9:D9"/>
    <mergeCell ref="E9:F9"/>
  </mergeCells>
  <conditionalFormatting sqref="S1:S937">
    <cfRule type="cellIs" dxfId="5" priority="1" operator="lessThan">
      <formula>0</formula>
    </cfRule>
  </conditionalFormatting>
  <dataValidations>
    <dataValidation type="list" allowBlank="1" showErrorMessage="1" sqref="Q12:Q47">
      <formula1>"✔"</formula1>
    </dataValidation>
    <dataValidation type="custom" allowBlank="1" showDropDown="1" sqref="T12:T47">
      <formula1>OR(NOT(ISERROR(DATEVALUE(T12))), AND(ISNUMBER(T12), LEFT(CELL("format", T12))="D"))</formula1>
    </dataValidation>
  </dataValidations>
  <hyperlinks>
    <hyperlink r:id="rId1" ref="T3"/>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6.63"/>
    <col customWidth="1" min="3" max="3" width="8.25"/>
    <col customWidth="1" min="4" max="4" width="11.38"/>
    <col customWidth="1" min="5" max="5" width="15.5"/>
  </cols>
  <sheetData>
    <row r="1">
      <c r="A1" s="47"/>
      <c r="B1" s="48"/>
      <c r="C1" s="49"/>
      <c r="D1" s="95"/>
      <c r="E1" s="48"/>
      <c r="P1" s="19"/>
      <c r="Q1" s="19"/>
      <c r="R1" s="19"/>
      <c r="S1" s="19"/>
      <c r="T1" s="19"/>
    </row>
    <row r="2" ht="22.5" customHeight="1">
      <c r="A2" s="52" t="s">
        <v>13</v>
      </c>
      <c r="B2" s="53" t="s">
        <v>14</v>
      </c>
      <c r="C2" s="54" t="s">
        <v>15</v>
      </c>
      <c r="D2" s="96" t="s">
        <v>16</v>
      </c>
      <c r="E2" s="53" t="s">
        <v>17</v>
      </c>
      <c r="P2" s="19"/>
      <c r="Q2" s="19"/>
      <c r="R2" s="19"/>
      <c r="S2" s="19"/>
      <c r="T2" s="19"/>
    </row>
    <row r="3" ht="22.5" customHeight="1">
      <c r="A3" s="97" t="s">
        <v>55</v>
      </c>
      <c r="B3" s="98"/>
      <c r="C3" s="99">
        <v>30.0</v>
      </c>
      <c r="D3" s="100">
        <v>-18.35</v>
      </c>
      <c r="E3" s="101"/>
      <c r="P3" s="19"/>
      <c r="Q3" s="19"/>
      <c r="R3" s="19"/>
      <c r="S3" s="19"/>
      <c r="T3" s="19"/>
    </row>
    <row r="4" ht="22.5" customHeight="1">
      <c r="A4" s="102" t="s">
        <v>29</v>
      </c>
      <c r="B4" s="103"/>
      <c r="C4" s="104">
        <v>6.0</v>
      </c>
      <c r="D4" s="105">
        <v>-16.19</v>
      </c>
      <c r="E4" s="101"/>
      <c r="P4" s="19"/>
      <c r="Q4" s="19"/>
      <c r="R4" s="19"/>
      <c r="S4" s="19"/>
      <c r="T4" s="19"/>
    </row>
    <row r="5" ht="22.5" customHeight="1">
      <c r="A5" s="102" t="s">
        <v>43</v>
      </c>
      <c r="B5" s="103"/>
      <c r="C5" s="104">
        <v>17.0</v>
      </c>
      <c r="D5" s="105">
        <v>-9.99</v>
      </c>
      <c r="E5" s="101"/>
      <c r="P5" s="19"/>
      <c r="Q5" s="19"/>
      <c r="R5" s="19"/>
      <c r="S5" s="19"/>
      <c r="T5" s="19"/>
    </row>
    <row r="6" ht="22.5" customHeight="1">
      <c r="A6" s="102" t="s">
        <v>54</v>
      </c>
      <c r="B6" s="103"/>
      <c r="C6" s="104">
        <v>30.0</v>
      </c>
      <c r="D6" s="105">
        <v>-11.0</v>
      </c>
      <c r="E6" s="101"/>
      <c r="P6" s="19"/>
      <c r="Q6" s="19"/>
      <c r="R6" s="19"/>
      <c r="S6" s="19"/>
      <c r="T6" s="19"/>
    </row>
    <row r="7" ht="22.5" customHeight="1">
      <c r="A7" s="102" t="s">
        <v>56</v>
      </c>
      <c r="B7" s="103"/>
      <c r="C7" s="104">
        <v>4.0</v>
      </c>
      <c r="D7" s="105">
        <v>-96.0</v>
      </c>
      <c r="E7" s="101"/>
      <c r="P7" s="19"/>
      <c r="Q7" s="19"/>
      <c r="R7" s="19"/>
      <c r="S7" s="19"/>
      <c r="T7" s="19"/>
    </row>
    <row r="8" ht="22.5" customHeight="1">
      <c r="A8" s="102" t="s">
        <v>30</v>
      </c>
      <c r="B8" s="103"/>
      <c r="C8" s="104">
        <v>5.0</v>
      </c>
      <c r="D8" s="105">
        <v>-183.53</v>
      </c>
      <c r="E8" s="101"/>
      <c r="P8" s="19"/>
      <c r="Q8" s="19"/>
      <c r="R8" s="19"/>
      <c r="S8" s="19"/>
      <c r="T8" s="19"/>
    </row>
    <row r="9" ht="22.5" customHeight="1">
      <c r="A9" s="102" t="s">
        <v>18</v>
      </c>
      <c r="B9" s="103"/>
      <c r="C9" s="104">
        <v>12.0</v>
      </c>
      <c r="D9" s="105">
        <v>2004.44</v>
      </c>
      <c r="E9" s="101"/>
      <c r="P9" s="19"/>
      <c r="Q9" s="19"/>
      <c r="R9" s="19"/>
      <c r="S9" s="19"/>
      <c r="T9" s="19"/>
    </row>
    <row r="10" ht="22.5" customHeight="1">
      <c r="A10" s="102" t="s">
        <v>41</v>
      </c>
      <c r="B10" s="103"/>
      <c r="C10" s="104">
        <v>27.0</v>
      </c>
      <c r="D10" s="105">
        <v>2004.44</v>
      </c>
      <c r="E10" s="101"/>
      <c r="P10" s="19"/>
      <c r="Q10" s="19"/>
      <c r="R10" s="19"/>
      <c r="S10" s="19"/>
      <c r="T10" s="19"/>
    </row>
    <row r="11" ht="22.5" customHeight="1">
      <c r="A11" s="102"/>
      <c r="B11" s="106"/>
      <c r="C11" s="104"/>
      <c r="D11" s="107"/>
      <c r="E11" s="101"/>
      <c r="P11" s="19"/>
      <c r="Q11" s="19"/>
      <c r="R11" s="19"/>
      <c r="S11" s="19"/>
      <c r="T11" s="19"/>
    </row>
    <row r="12" ht="22.5" customHeight="1">
      <c r="A12" s="102" t="s">
        <v>46</v>
      </c>
      <c r="B12" s="103"/>
      <c r="C12" s="104">
        <v>23.0</v>
      </c>
      <c r="D12" s="105">
        <v>-12.0</v>
      </c>
      <c r="E12" s="101"/>
      <c r="G12" s="108">
        <v>1.0</v>
      </c>
      <c r="P12" s="109"/>
      <c r="Q12" s="19"/>
      <c r="R12" s="109"/>
      <c r="S12" s="110"/>
      <c r="T12" s="19"/>
    </row>
    <row r="13" ht="22.5" customHeight="1">
      <c r="A13" s="97" t="s">
        <v>44</v>
      </c>
      <c r="B13" s="98"/>
      <c r="C13" s="111">
        <v>26.0</v>
      </c>
      <c r="D13" s="100">
        <v>-18.35</v>
      </c>
      <c r="E13" s="101"/>
      <c r="P13" s="109"/>
      <c r="Q13" s="19"/>
      <c r="R13" s="109"/>
      <c r="S13" s="110"/>
      <c r="T13" s="19"/>
    </row>
    <row r="14" ht="22.5" customHeight="1">
      <c r="A14" s="102" t="s">
        <v>25</v>
      </c>
      <c r="B14" s="103"/>
      <c r="C14" s="104">
        <v>9.0</v>
      </c>
      <c r="D14" s="105">
        <v>-35.0</v>
      </c>
      <c r="E14" s="101"/>
      <c r="P14" s="109"/>
      <c r="Q14" s="19"/>
      <c r="R14" s="109"/>
      <c r="S14" s="110"/>
      <c r="T14" s="19"/>
    </row>
    <row r="15" ht="22.5" customHeight="1">
      <c r="A15" s="102" t="s">
        <v>40</v>
      </c>
      <c r="B15" s="103"/>
      <c r="C15" s="104">
        <v>12.0</v>
      </c>
      <c r="D15" s="105">
        <v>-102.0</v>
      </c>
      <c r="E15" s="101"/>
      <c r="P15" s="109"/>
      <c r="Q15" s="19"/>
      <c r="R15" s="109"/>
      <c r="S15" s="110"/>
      <c r="T15" s="19"/>
    </row>
    <row r="16" ht="22.5" customHeight="1">
      <c r="A16" s="102" t="s">
        <v>34</v>
      </c>
      <c r="B16" s="103"/>
      <c r="C16" s="104">
        <v>10.0</v>
      </c>
      <c r="D16" s="105">
        <v>-5.0</v>
      </c>
      <c r="E16" s="101"/>
      <c r="P16" s="109"/>
      <c r="Q16" s="19"/>
      <c r="R16" s="109"/>
      <c r="S16" s="110"/>
      <c r="T16" s="19"/>
    </row>
    <row r="17" ht="22.5" customHeight="1">
      <c r="A17" s="102" t="s">
        <v>34</v>
      </c>
      <c r="B17" s="103"/>
      <c r="C17" s="104">
        <v>24.0</v>
      </c>
      <c r="D17" s="105">
        <v>-6.0</v>
      </c>
      <c r="E17" s="101"/>
      <c r="P17" s="109"/>
      <c r="Q17" s="19"/>
      <c r="R17" s="109"/>
      <c r="S17" s="110"/>
      <c r="T17" s="19"/>
    </row>
    <row r="18" ht="22.5" customHeight="1">
      <c r="A18" s="102" t="s">
        <v>49</v>
      </c>
      <c r="B18" s="103"/>
      <c r="C18" s="104">
        <v>26.0</v>
      </c>
      <c r="D18" s="105">
        <v>-7.55</v>
      </c>
      <c r="E18" s="101"/>
      <c r="P18" s="109"/>
      <c r="Q18" s="19"/>
      <c r="R18" s="109"/>
      <c r="S18" s="110"/>
      <c r="T18" s="19"/>
    </row>
    <row r="19" ht="22.5" customHeight="1">
      <c r="A19" s="102" t="s">
        <v>35</v>
      </c>
      <c r="B19" s="103"/>
      <c r="C19" s="104">
        <v>5.0</v>
      </c>
      <c r="D19" s="105">
        <v>-791.16</v>
      </c>
      <c r="E19" s="101"/>
      <c r="P19" s="109"/>
      <c r="Q19" s="19"/>
      <c r="R19" s="109"/>
      <c r="S19" s="110"/>
      <c r="T19" s="19"/>
    </row>
    <row r="20" ht="22.5" customHeight="1">
      <c r="A20" s="102" t="s">
        <v>20</v>
      </c>
      <c r="B20" s="103"/>
      <c r="C20" s="104">
        <v>3.0</v>
      </c>
      <c r="D20" s="105">
        <v>-1560.81</v>
      </c>
      <c r="E20" s="101"/>
      <c r="P20" s="19"/>
      <c r="Q20" s="19"/>
      <c r="R20" s="19"/>
      <c r="S20" s="19"/>
      <c r="T20" s="19"/>
    </row>
    <row r="21" ht="22.5" customHeight="1">
      <c r="A21" s="102" t="s">
        <v>51</v>
      </c>
      <c r="B21" s="103"/>
      <c r="C21" s="104">
        <v>9.0</v>
      </c>
      <c r="D21" s="105">
        <v>-24.0</v>
      </c>
      <c r="E21" s="101"/>
      <c r="P21" s="19"/>
      <c r="Q21" s="19"/>
      <c r="R21" s="19"/>
      <c r="S21" s="19"/>
      <c r="T21" s="19"/>
    </row>
    <row r="22" ht="22.5" customHeight="1">
      <c r="A22" s="102" t="s">
        <v>53</v>
      </c>
      <c r="B22" s="103"/>
      <c r="C22" s="104">
        <v>30.0</v>
      </c>
      <c r="D22" s="105">
        <v>-3.0</v>
      </c>
      <c r="E22" s="101"/>
      <c r="P22" s="19"/>
      <c r="Q22" s="19"/>
      <c r="R22" s="19"/>
      <c r="S22" s="19"/>
      <c r="T22" s="19"/>
    </row>
    <row r="23" ht="22.5" customHeight="1">
      <c r="A23" s="102" t="s">
        <v>27</v>
      </c>
      <c r="B23" s="103"/>
      <c r="C23" s="104">
        <v>4.0</v>
      </c>
      <c r="D23" s="105">
        <v>-33.0</v>
      </c>
      <c r="E23" s="101"/>
      <c r="P23" s="19"/>
      <c r="Q23" s="19"/>
      <c r="R23" s="19"/>
      <c r="S23" s="19"/>
      <c r="T23" s="19"/>
    </row>
    <row r="24" ht="22.5" customHeight="1">
      <c r="A24" s="102" t="s">
        <v>37</v>
      </c>
      <c r="B24" s="103"/>
      <c r="C24" s="104">
        <v>10.0</v>
      </c>
      <c r="D24" s="105">
        <v>-80.0</v>
      </c>
      <c r="E24" s="101"/>
      <c r="P24" s="19"/>
      <c r="Q24" s="19"/>
      <c r="R24" s="19"/>
      <c r="S24" s="19"/>
      <c r="T24" s="19"/>
    </row>
    <row r="25" ht="22.5" customHeight="1">
      <c r="A25" s="102" t="s">
        <v>38</v>
      </c>
      <c r="B25" s="103"/>
      <c r="C25" s="104">
        <v>11.0</v>
      </c>
      <c r="D25" s="105">
        <v>-50.0</v>
      </c>
      <c r="E25" s="101"/>
      <c r="P25" s="19"/>
      <c r="Q25" s="19"/>
      <c r="R25" s="19"/>
      <c r="S25" s="19"/>
      <c r="T25" s="19"/>
    </row>
    <row r="26" ht="22.5" customHeight="1">
      <c r="A26" s="102" t="s">
        <v>36</v>
      </c>
      <c r="B26" s="103"/>
      <c r="C26" s="104">
        <v>9.0</v>
      </c>
      <c r="D26" s="105">
        <v>-451.0</v>
      </c>
      <c r="E26" s="101"/>
      <c r="P26" s="19"/>
      <c r="Q26" s="19"/>
      <c r="R26" s="19"/>
      <c r="S26" s="19"/>
      <c r="T26" s="19"/>
    </row>
    <row r="27" ht="22.5" customHeight="1">
      <c r="A27" s="102" t="s">
        <v>57</v>
      </c>
      <c r="B27" s="103"/>
      <c r="C27" s="104">
        <v>4.0</v>
      </c>
      <c r="D27" s="107">
        <v>-171.63</v>
      </c>
      <c r="E27" s="101"/>
      <c r="P27" s="19"/>
      <c r="Q27" s="19"/>
      <c r="R27" s="19"/>
      <c r="S27" s="19"/>
      <c r="T27" s="19"/>
    </row>
    <row r="28" ht="22.5" customHeight="1">
      <c r="A28" s="102" t="s">
        <v>57</v>
      </c>
      <c r="B28" s="103"/>
      <c r="C28" s="104">
        <v>31.0</v>
      </c>
      <c r="D28" s="105">
        <v>-279.0</v>
      </c>
      <c r="E28" s="101"/>
      <c r="P28" s="19"/>
      <c r="Q28" s="19"/>
      <c r="R28" s="19"/>
      <c r="S28" s="19"/>
      <c r="T28" s="19"/>
    </row>
    <row r="29" ht="22.5" customHeight="1">
      <c r="A29" s="102" t="s">
        <v>28</v>
      </c>
      <c r="B29" s="103"/>
      <c r="C29" s="104">
        <v>2.0</v>
      </c>
      <c r="D29" s="105">
        <v>-150.0</v>
      </c>
      <c r="E29" s="101"/>
      <c r="P29" s="19"/>
      <c r="Q29" s="19"/>
      <c r="R29" s="19"/>
      <c r="S29" s="19"/>
      <c r="T29" s="19"/>
    </row>
    <row r="30" ht="22.5" customHeight="1">
      <c r="A30" s="102" t="s">
        <v>28</v>
      </c>
      <c r="B30" s="103"/>
      <c r="C30" s="104">
        <v>16.0</v>
      </c>
      <c r="D30" s="105">
        <v>-150.0</v>
      </c>
      <c r="E30" s="101"/>
      <c r="P30" s="19"/>
      <c r="Q30" s="19"/>
      <c r="R30" s="19"/>
      <c r="S30" s="19"/>
      <c r="T30" s="19"/>
    </row>
    <row r="31" ht="22.5" customHeight="1">
      <c r="A31" s="102" t="s">
        <v>28</v>
      </c>
      <c r="B31" s="103"/>
      <c r="C31" s="104">
        <v>30.0</v>
      </c>
      <c r="D31" s="105">
        <v>-150.0</v>
      </c>
      <c r="E31" s="101"/>
      <c r="P31" s="19"/>
      <c r="Q31" s="19"/>
      <c r="R31" s="19"/>
      <c r="S31" s="19"/>
      <c r="T31" s="19"/>
    </row>
    <row r="32" ht="22.5" customHeight="1">
      <c r="A32" s="102" t="s">
        <v>58</v>
      </c>
      <c r="B32" s="103"/>
      <c r="C32" s="104">
        <v>4.0</v>
      </c>
      <c r="D32" s="105">
        <v>-597.96</v>
      </c>
      <c r="E32" s="101"/>
      <c r="P32" s="19"/>
      <c r="Q32" s="19"/>
      <c r="R32" s="19"/>
      <c r="S32" s="19"/>
      <c r="T32" s="19"/>
    </row>
    <row r="33" ht="22.5" customHeight="1">
      <c r="A33" s="102" t="s">
        <v>59</v>
      </c>
      <c r="B33" s="103"/>
      <c r="C33" s="104">
        <v>3.0</v>
      </c>
      <c r="D33" s="107">
        <v>598.0</v>
      </c>
      <c r="E33" s="101"/>
      <c r="P33" s="19"/>
      <c r="Q33" s="19"/>
      <c r="R33" s="19"/>
      <c r="S33" s="19"/>
      <c r="T33" s="19"/>
    </row>
    <row r="34" ht="22.5" customHeight="1">
      <c r="A34" s="102" t="s">
        <v>24</v>
      </c>
      <c r="B34" s="103"/>
      <c r="C34" s="104">
        <v>1.0</v>
      </c>
      <c r="D34" s="105">
        <v>-57.0</v>
      </c>
      <c r="E34" s="101"/>
      <c r="P34" s="19"/>
      <c r="Q34" s="19"/>
      <c r="R34" s="19"/>
      <c r="S34" s="19"/>
      <c r="T34" s="19"/>
    </row>
    <row r="35" ht="22.5" customHeight="1">
      <c r="A35" s="102" t="s">
        <v>26</v>
      </c>
      <c r="B35" s="103"/>
      <c r="C35" s="104">
        <v>1.0</v>
      </c>
      <c r="D35" s="105">
        <v>-98.0</v>
      </c>
      <c r="E35" s="101"/>
      <c r="P35" s="19"/>
      <c r="Q35" s="19"/>
      <c r="R35" s="19"/>
      <c r="S35" s="19"/>
      <c r="T35" s="19"/>
    </row>
    <row r="36" ht="22.5" customHeight="1">
      <c r="A36" s="102" t="s">
        <v>26</v>
      </c>
      <c r="B36" s="103"/>
      <c r="C36" s="104">
        <v>7.0</v>
      </c>
      <c r="D36" s="105">
        <v>-98.0</v>
      </c>
      <c r="E36" s="101"/>
      <c r="P36" s="19"/>
      <c r="Q36" s="19"/>
      <c r="R36" s="19"/>
      <c r="S36" s="19"/>
      <c r="T36" s="19"/>
    </row>
    <row r="37" ht="22.5" customHeight="1">
      <c r="A37" s="102" t="s">
        <v>26</v>
      </c>
      <c r="B37" s="103"/>
      <c r="C37" s="104">
        <v>14.0</v>
      </c>
      <c r="D37" s="105">
        <v>-98.0</v>
      </c>
      <c r="E37" s="82"/>
      <c r="P37" s="19"/>
      <c r="Q37" s="19"/>
      <c r="R37" s="19"/>
      <c r="S37" s="19"/>
      <c r="T37" s="19"/>
    </row>
    <row r="38" ht="22.5" customHeight="1">
      <c r="A38" s="102" t="s">
        <v>26</v>
      </c>
      <c r="B38" s="103"/>
      <c r="C38" s="104">
        <v>21.0</v>
      </c>
      <c r="D38" s="105">
        <v>-98.0</v>
      </c>
      <c r="E38" s="82"/>
      <c r="P38" s="19"/>
      <c r="Q38" s="19"/>
      <c r="R38" s="19"/>
      <c r="S38" s="19"/>
      <c r="T38" s="19"/>
    </row>
    <row r="39" ht="22.5" customHeight="1">
      <c r="A39" s="78"/>
      <c r="B39" s="112"/>
      <c r="C39" s="80"/>
      <c r="D39" s="113"/>
      <c r="E39" s="82"/>
      <c r="P39" s="19"/>
      <c r="Q39" s="19"/>
      <c r="R39" s="19"/>
      <c r="S39" s="19"/>
      <c r="T39" s="19"/>
    </row>
    <row r="40" ht="22.5" customHeight="1">
      <c r="A40" s="78"/>
      <c r="B40" s="112"/>
      <c r="C40" s="80"/>
      <c r="D40" s="114"/>
      <c r="E40" s="82"/>
    </row>
    <row r="41" ht="22.5" customHeight="1">
      <c r="A41" s="115"/>
      <c r="B41" s="116"/>
      <c r="C41" s="117"/>
      <c r="D41" s="118"/>
      <c r="E41" s="119"/>
    </row>
    <row r="42" ht="22.5" customHeight="1">
      <c r="A42" s="115"/>
      <c r="B42" s="116"/>
      <c r="C42" s="117"/>
      <c r="D42" s="118"/>
      <c r="E42" s="119"/>
    </row>
    <row r="43" ht="22.5" customHeight="1">
      <c r="A43" s="115"/>
      <c r="B43" s="116"/>
      <c r="C43" s="117"/>
      <c r="D43" s="118"/>
      <c r="E43" s="119"/>
    </row>
    <row r="44">
      <c r="C44" s="94"/>
    </row>
    <row r="45">
      <c r="C45" s="94"/>
    </row>
    <row r="46">
      <c r="C46" s="94"/>
    </row>
    <row r="47">
      <c r="C47" s="94"/>
    </row>
    <row r="48">
      <c r="C48" s="94"/>
    </row>
    <row r="49">
      <c r="C49" s="94"/>
    </row>
    <row r="50">
      <c r="C50" s="94"/>
    </row>
    <row r="51">
      <c r="C51" s="94"/>
    </row>
    <row r="52">
      <c r="C52" s="94"/>
    </row>
    <row r="53">
      <c r="C53" s="94"/>
    </row>
    <row r="54">
      <c r="C54" s="94"/>
    </row>
    <row r="55">
      <c r="C55" s="94"/>
    </row>
    <row r="56">
      <c r="C56" s="94"/>
    </row>
    <row r="57">
      <c r="C57" s="94"/>
    </row>
    <row r="58">
      <c r="C58" s="94"/>
    </row>
    <row r="59">
      <c r="C59" s="94"/>
    </row>
    <row r="60">
      <c r="C60" s="94"/>
    </row>
    <row r="61">
      <c r="C61" s="94"/>
    </row>
    <row r="62">
      <c r="C62" s="94"/>
    </row>
    <row r="63">
      <c r="C63" s="94"/>
    </row>
    <row r="64">
      <c r="C64" s="94"/>
    </row>
    <row r="65">
      <c r="C65" s="94"/>
    </row>
    <row r="66">
      <c r="C66" s="94"/>
    </row>
    <row r="67">
      <c r="C67" s="94"/>
    </row>
    <row r="68">
      <c r="C68" s="94"/>
    </row>
    <row r="69">
      <c r="C69" s="94"/>
    </row>
    <row r="70">
      <c r="C70" s="94"/>
    </row>
    <row r="71">
      <c r="C71" s="94"/>
    </row>
    <row r="72">
      <c r="C72" s="94"/>
    </row>
    <row r="73">
      <c r="C73" s="94"/>
    </row>
    <row r="74">
      <c r="C74" s="94"/>
    </row>
    <row r="75">
      <c r="C75" s="94"/>
    </row>
    <row r="76">
      <c r="C76" s="94"/>
    </row>
    <row r="77">
      <c r="C77" s="94"/>
    </row>
    <row r="78">
      <c r="C78" s="94"/>
    </row>
    <row r="79">
      <c r="C79" s="94"/>
    </row>
    <row r="80">
      <c r="C80" s="94"/>
    </row>
    <row r="81">
      <c r="C81" s="94"/>
    </row>
    <row r="82">
      <c r="C82" s="94"/>
    </row>
    <row r="83">
      <c r="C83" s="94"/>
    </row>
    <row r="84">
      <c r="C84" s="94"/>
    </row>
    <row r="85">
      <c r="C85" s="94"/>
    </row>
    <row r="86">
      <c r="C86" s="94"/>
    </row>
    <row r="87">
      <c r="C87" s="94"/>
    </row>
    <row r="88">
      <c r="C88" s="94"/>
    </row>
    <row r="89">
      <c r="C89" s="94"/>
    </row>
    <row r="90">
      <c r="C90" s="94"/>
    </row>
    <row r="91">
      <c r="C91" s="94"/>
    </row>
    <row r="92">
      <c r="C92" s="94"/>
    </row>
    <row r="93">
      <c r="C93" s="94"/>
    </row>
    <row r="94">
      <c r="C94" s="94"/>
    </row>
    <row r="95">
      <c r="C95" s="94"/>
    </row>
    <row r="96">
      <c r="C96" s="94"/>
    </row>
    <row r="97">
      <c r="C97" s="94"/>
    </row>
    <row r="98">
      <c r="C98" s="94"/>
    </row>
    <row r="99">
      <c r="C99" s="94"/>
    </row>
    <row r="100">
      <c r="C100" s="94"/>
    </row>
    <row r="101">
      <c r="C101" s="94"/>
    </row>
    <row r="102">
      <c r="C102" s="94"/>
    </row>
    <row r="103">
      <c r="C103" s="94"/>
    </row>
    <row r="104">
      <c r="C104" s="94"/>
    </row>
    <row r="105">
      <c r="C105" s="94"/>
    </row>
    <row r="106">
      <c r="C106" s="94"/>
    </row>
    <row r="107">
      <c r="C107" s="94"/>
    </row>
    <row r="108">
      <c r="C108" s="94"/>
    </row>
    <row r="109">
      <c r="C109" s="94"/>
    </row>
    <row r="110">
      <c r="C110" s="94"/>
    </row>
    <row r="111">
      <c r="C111" s="94"/>
    </row>
    <row r="112">
      <c r="C112" s="94"/>
    </row>
    <row r="113">
      <c r="C113" s="94"/>
    </row>
    <row r="114">
      <c r="C114" s="94"/>
    </row>
    <row r="115">
      <c r="C115" s="94"/>
    </row>
    <row r="116">
      <c r="C116" s="94"/>
    </row>
    <row r="117">
      <c r="C117" s="94"/>
    </row>
    <row r="118">
      <c r="C118" s="94"/>
    </row>
    <row r="119">
      <c r="C119" s="94"/>
    </row>
    <row r="120">
      <c r="C120" s="94"/>
    </row>
    <row r="121">
      <c r="C121" s="94"/>
    </row>
    <row r="122">
      <c r="C122" s="94"/>
    </row>
    <row r="123">
      <c r="C123" s="94"/>
    </row>
    <row r="124">
      <c r="C124" s="94"/>
    </row>
    <row r="125">
      <c r="C125" s="94"/>
    </row>
    <row r="126">
      <c r="C126" s="94"/>
    </row>
    <row r="127">
      <c r="C127" s="94"/>
    </row>
    <row r="128">
      <c r="C128" s="94"/>
    </row>
    <row r="129">
      <c r="C129" s="94"/>
    </row>
    <row r="130">
      <c r="C130" s="94"/>
    </row>
    <row r="131">
      <c r="C131" s="94"/>
    </row>
    <row r="132">
      <c r="C132" s="94"/>
    </row>
    <row r="133">
      <c r="C133" s="94"/>
    </row>
    <row r="134">
      <c r="C134" s="94"/>
    </row>
    <row r="135">
      <c r="C135" s="94"/>
    </row>
    <row r="136">
      <c r="C136" s="94"/>
    </row>
    <row r="137">
      <c r="C137" s="94"/>
    </row>
    <row r="138">
      <c r="C138" s="94"/>
    </row>
    <row r="139">
      <c r="C139" s="94"/>
    </row>
    <row r="140">
      <c r="C140" s="94"/>
    </row>
    <row r="141">
      <c r="C141" s="94"/>
    </row>
    <row r="142">
      <c r="C142" s="94"/>
    </row>
    <row r="143">
      <c r="C143" s="94"/>
    </row>
    <row r="144">
      <c r="C144" s="94"/>
    </row>
    <row r="145">
      <c r="C145" s="94"/>
    </row>
    <row r="146">
      <c r="C146" s="94"/>
    </row>
    <row r="147">
      <c r="C147" s="94"/>
    </row>
    <row r="148">
      <c r="C148" s="94"/>
    </row>
    <row r="149">
      <c r="C149" s="94"/>
    </row>
    <row r="150">
      <c r="C150" s="94"/>
    </row>
    <row r="151">
      <c r="C151" s="94"/>
    </row>
    <row r="152">
      <c r="C152" s="94"/>
    </row>
    <row r="153">
      <c r="C153" s="94"/>
    </row>
    <row r="154">
      <c r="C154" s="94"/>
    </row>
    <row r="155">
      <c r="C155" s="94"/>
    </row>
    <row r="156">
      <c r="C156" s="94"/>
    </row>
    <row r="157">
      <c r="C157" s="94"/>
    </row>
    <row r="158">
      <c r="C158" s="94"/>
    </row>
    <row r="159">
      <c r="C159" s="94"/>
    </row>
    <row r="160">
      <c r="C160" s="94"/>
    </row>
    <row r="161">
      <c r="C161" s="94"/>
    </row>
    <row r="162">
      <c r="C162" s="94"/>
    </row>
    <row r="163">
      <c r="C163" s="94"/>
    </row>
    <row r="164">
      <c r="C164" s="94"/>
    </row>
    <row r="165">
      <c r="C165" s="94"/>
    </row>
    <row r="166">
      <c r="C166" s="94"/>
    </row>
    <row r="167">
      <c r="C167" s="94"/>
    </row>
    <row r="168">
      <c r="C168" s="94"/>
    </row>
    <row r="169">
      <c r="C169" s="94"/>
    </row>
    <row r="170">
      <c r="C170" s="94"/>
    </row>
    <row r="171">
      <c r="C171" s="94"/>
    </row>
    <row r="172">
      <c r="C172" s="94"/>
    </row>
    <row r="173">
      <c r="C173" s="94"/>
    </row>
    <row r="174">
      <c r="C174" s="94"/>
    </row>
    <row r="175">
      <c r="C175" s="94"/>
    </row>
    <row r="176">
      <c r="C176" s="94"/>
    </row>
    <row r="177">
      <c r="C177" s="94"/>
    </row>
    <row r="178">
      <c r="C178" s="94"/>
    </row>
    <row r="179">
      <c r="C179" s="94"/>
    </row>
    <row r="180">
      <c r="C180" s="94"/>
    </row>
    <row r="181">
      <c r="C181" s="94"/>
    </row>
    <row r="182">
      <c r="C182" s="94"/>
    </row>
    <row r="183">
      <c r="C183" s="94"/>
    </row>
    <row r="184">
      <c r="C184" s="94"/>
    </row>
    <row r="185">
      <c r="C185" s="94"/>
    </row>
    <row r="186">
      <c r="C186" s="94"/>
    </row>
    <row r="187">
      <c r="C187" s="94"/>
    </row>
    <row r="188">
      <c r="C188" s="94"/>
    </row>
    <row r="189">
      <c r="C189" s="94"/>
    </row>
    <row r="190">
      <c r="C190" s="94"/>
    </row>
    <row r="191">
      <c r="C191" s="94"/>
    </row>
    <row r="192">
      <c r="C192" s="94"/>
    </row>
    <row r="193">
      <c r="C193" s="94"/>
    </row>
    <row r="194">
      <c r="C194" s="94"/>
    </row>
    <row r="195">
      <c r="C195" s="94"/>
    </row>
    <row r="196">
      <c r="C196" s="94"/>
    </row>
    <row r="197">
      <c r="C197" s="94"/>
    </row>
    <row r="198">
      <c r="C198" s="94"/>
    </row>
    <row r="199">
      <c r="C199" s="94"/>
    </row>
    <row r="200">
      <c r="C200" s="94"/>
    </row>
    <row r="201">
      <c r="C201" s="94"/>
    </row>
    <row r="202">
      <c r="C202" s="94"/>
    </row>
    <row r="203">
      <c r="C203" s="94"/>
    </row>
    <row r="204">
      <c r="C204" s="94"/>
    </row>
    <row r="205">
      <c r="C205" s="94"/>
    </row>
    <row r="206">
      <c r="C206" s="94"/>
    </row>
    <row r="207">
      <c r="C207" s="94"/>
    </row>
    <row r="208">
      <c r="C208" s="94"/>
    </row>
    <row r="209">
      <c r="C209" s="94"/>
    </row>
    <row r="210">
      <c r="C210" s="94"/>
    </row>
    <row r="211">
      <c r="C211" s="94"/>
    </row>
    <row r="212">
      <c r="C212" s="94"/>
    </row>
    <row r="213">
      <c r="C213" s="94"/>
    </row>
    <row r="214">
      <c r="C214" s="94"/>
    </row>
    <row r="215">
      <c r="C215" s="94"/>
    </row>
    <row r="216">
      <c r="C216" s="94"/>
    </row>
    <row r="217">
      <c r="C217" s="94"/>
    </row>
    <row r="218">
      <c r="C218" s="94"/>
    </row>
    <row r="219">
      <c r="C219" s="94"/>
    </row>
    <row r="220">
      <c r="C220" s="94"/>
    </row>
    <row r="221">
      <c r="C221" s="94"/>
    </row>
    <row r="222">
      <c r="C222" s="94"/>
    </row>
    <row r="223">
      <c r="C223" s="94"/>
    </row>
    <row r="224">
      <c r="C224" s="94"/>
    </row>
    <row r="225">
      <c r="C225" s="94"/>
    </row>
    <row r="226">
      <c r="C226" s="94"/>
    </row>
    <row r="227">
      <c r="C227" s="94"/>
    </row>
    <row r="228">
      <c r="C228" s="94"/>
    </row>
    <row r="229">
      <c r="C229" s="94"/>
    </row>
    <row r="230">
      <c r="C230" s="94"/>
    </row>
    <row r="231">
      <c r="C231" s="94"/>
    </row>
    <row r="232">
      <c r="C232" s="94"/>
    </row>
    <row r="233">
      <c r="C233" s="94"/>
    </row>
    <row r="234">
      <c r="C234" s="94"/>
    </row>
    <row r="235">
      <c r="C235" s="94"/>
    </row>
    <row r="236">
      <c r="C236" s="94"/>
    </row>
    <row r="237">
      <c r="C237" s="94"/>
    </row>
    <row r="238">
      <c r="C238" s="94"/>
    </row>
    <row r="239">
      <c r="C239" s="94"/>
    </row>
    <row r="240">
      <c r="C240" s="94"/>
    </row>
    <row r="241">
      <c r="C241" s="94"/>
    </row>
    <row r="242">
      <c r="C242" s="94"/>
    </row>
    <row r="243">
      <c r="C243" s="94"/>
    </row>
    <row r="244">
      <c r="C244" s="94"/>
    </row>
    <row r="245">
      <c r="C245" s="94"/>
    </row>
    <row r="246">
      <c r="C246" s="94"/>
    </row>
    <row r="247">
      <c r="C247" s="94"/>
    </row>
    <row r="248">
      <c r="C248" s="94"/>
    </row>
    <row r="249">
      <c r="C249" s="94"/>
    </row>
    <row r="250">
      <c r="C250" s="94"/>
    </row>
    <row r="251">
      <c r="C251" s="94"/>
    </row>
    <row r="252">
      <c r="C252" s="94"/>
    </row>
    <row r="253">
      <c r="C253" s="94"/>
    </row>
    <row r="254">
      <c r="C254" s="94"/>
    </row>
    <row r="255">
      <c r="C255" s="94"/>
    </row>
    <row r="256">
      <c r="C256" s="94"/>
    </row>
    <row r="257">
      <c r="C257" s="94"/>
    </row>
    <row r="258">
      <c r="C258" s="94"/>
    </row>
    <row r="259">
      <c r="C259" s="94"/>
    </row>
    <row r="260">
      <c r="C260" s="94"/>
    </row>
    <row r="261">
      <c r="C261" s="94"/>
    </row>
    <row r="262">
      <c r="C262" s="94"/>
    </row>
    <row r="263">
      <c r="C263" s="94"/>
    </row>
    <row r="264">
      <c r="C264" s="94"/>
    </row>
    <row r="265">
      <c r="C265" s="94"/>
    </row>
    <row r="266">
      <c r="C266" s="94"/>
    </row>
    <row r="267">
      <c r="C267" s="94"/>
    </row>
    <row r="268">
      <c r="C268" s="94"/>
    </row>
    <row r="269">
      <c r="C269" s="94"/>
    </row>
    <row r="270">
      <c r="C270" s="94"/>
    </row>
    <row r="271">
      <c r="C271" s="94"/>
    </row>
    <row r="272">
      <c r="C272" s="94"/>
    </row>
    <row r="273">
      <c r="C273" s="94"/>
    </row>
    <row r="274">
      <c r="C274" s="94"/>
    </row>
    <row r="275">
      <c r="C275" s="94"/>
    </row>
    <row r="276">
      <c r="C276" s="94"/>
    </row>
    <row r="277">
      <c r="C277" s="94"/>
    </row>
    <row r="278">
      <c r="C278" s="94"/>
    </row>
    <row r="279">
      <c r="C279" s="94"/>
    </row>
    <row r="280">
      <c r="C280" s="94"/>
    </row>
    <row r="281">
      <c r="C281" s="94"/>
    </row>
    <row r="282">
      <c r="C282" s="94"/>
    </row>
    <row r="283">
      <c r="C283" s="94"/>
    </row>
    <row r="284">
      <c r="C284" s="94"/>
    </row>
    <row r="285">
      <c r="C285" s="94"/>
    </row>
    <row r="286">
      <c r="C286" s="94"/>
    </row>
    <row r="287">
      <c r="C287" s="94"/>
    </row>
    <row r="288">
      <c r="C288" s="94"/>
    </row>
    <row r="289">
      <c r="C289" s="94"/>
    </row>
    <row r="290">
      <c r="C290" s="94"/>
    </row>
    <row r="291">
      <c r="C291" s="94"/>
    </row>
    <row r="292">
      <c r="C292" s="94"/>
    </row>
    <row r="293">
      <c r="C293" s="94"/>
    </row>
    <row r="294">
      <c r="C294" s="94"/>
    </row>
    <row r="295">
      <c r="C295" s="94"/>
    </row>
    <row r="296">
      <c r="C296" s="94"/>
    </row>
    <row r="297">
      <c r="C297" s="94"/>
    </row>
    <row r="298">
      <c r="C298" s="94"/>
    </row>
    <row r="299">
      <c r="C299" s="94"/>
    </row>
    <row r="300">
      <c r="C300" s="94"/>
    </row>
    <row r="301">
      <c r="C301" s="94"/>
    </row>
    <row r="302">
      <c r="C302" s="94"/>
    </row>
    <row r="303">
      <c r="C303" s="94"/>
    </row>
    <row r="304">
      <c r="C304" s="94"/>
    </row>
    <row r="305">
      <c r="C305" s="94"/>
    </row>
    <row r="306">
      <c r="C306" s="94"/>
    </row>
    <row r="307">
      <c r="C307" s="94"/>
    </row>
    <row r="308">
      <c r="C308" s="94"/>
    </row>
    <row r="309">
      <c r="C309" s="94"/>
    </row>
    <row r="310">
      <c r="C310" s="94"/>
    </row>
    <row r="311">
      <c r="C311" s="94"/>
    </row>
    <row r="312">
      <c r="C312" s="94"/>
    </row>
    <row r="313">
      <c r="C313" s="94"/>
    </row>
    <row r="314">
      <c r="C314" s="94"/>
    </row>
    <row r="315">
      <c r="C315" s="94"/>
    </row>
    <row r="316">
      <c r="C316" s="94"/>
    </row>
    <row r="317">
      <c r="C317" s="94"/>
    </row>
    <row r="318">
      <c r="C318" s="94"/>
    </row>
    <row r="319">
      <c r="C319" s="94"/>
    </row>
    <row r="320">
      <c r="C320" s="94"/>
    </row>
    <row r="321">
      <c r="C321" s="94"/>
    </row>
    <row r="322">
      <c r="C322" s="94"/>
    </row>
    <row r="323">
      <c r="C323" s="94"/>
    </row>
    <row r="324">
      <c r="C324" s="94"/>
    </row>
    <row r="325">
      <c r="C325" s="94"/>
    </row>
    <row r="326">
      <c r="C326" s="94"/>
    </row>
    <row r="327">
      <c r="C327" s="94"/>
    </row>
    <row r="328">
      <c r="C328" s="94"/>
    </row>
    <row r="329">
      <c r="C329" s="94"/>
    </row>
    <row r="330">
      <c r="C330" s="94"/>
    </row>
    <row r="331">
      <c r="C331" s="94"/>
    </row>
    <row r="332">
      <c r="C332" s="94"/>
    </row>
    <row r="333">
      <c r="C333" s="94"/>
    </row>
    <row r="334">
      <c r="C334" s="94"/>
    </row>
    <row r="335">
      <c r="C335" s="94"/>
    </row>
    <row r="336">
      <c r="C336" s="94"/>
    </row>
    <row r="337">
      <c r="C337" s="94"/>
    </row>
    <row r="338">
      <c r="C338" s="94"/>
    </row>
    <row r="339">
      <c r="C339" s="94"/>
    </row>
    <row r="340">
      <c r="C340" s="94"/>
    </row>
    <row r="341">
      <c r="C341" s="94"/>
    </row>
    <row r="342">
      <c r="C342" s="94"/>
    </row>
    <row r="343">
      <c r="C343" s="94"/>
    </row>
    <row r="344">
      <c r="C344" s="94"/>
    </row>
    <row r="345">
      <c r="C345" s="94"/>
    </row>
    <row r="346">
      <c r="C346" s="94"/>
    </row>
    <row r="347">
      <c r="C347" s="94"/>
    </row>
    <row r="348">
      <c r="C348" s="94"/>
    </row>
    <row r="349">
      <c r="C349" s="94"/>
    </row>
    <row r="350">
      <c r="C350" s="94"/>
    </row>
    <row r="351">
      <c r="C351" s="94"/>
    </row>
    <row r="352">
      <c r="C352" s="94"/>
    </row>
    <row r="353">
      <c r="C353" s="94"/>
    </row>
    <row r="354">
      <c r="C354" s="94"/>
    </row>
    <row r="355">
      <c r="C355" s="94"/>
    </row>
    <row r="356">
      <c r="C356" s="94"/>
    </row>
    <row r="357">
      <c r="C357" s="94"/>
    </row>
    <row r="358">
      <c r="C358" s="94"/>
    </row>
    <row r="359">
      <c r="C359" s="94"/>
    </row>
    <row r="360">
      <c r="C360" s="94"/>
    </row>
    <row r="361">
      <c r="C361" s="94"/>
    </row>
    <row r="362">
      <c r="C362" s="94"/>
    </row>
    <row r="363">
      <c r="C363" s="94"/>
    </row>
    <row r="364">
      <c r="C364" s="94"/>
    </row>
    <row r="365">
      <c r="C365" s="94"/>
    </row>
    <row r="366">
      <c r="C366" s="94"/>
    </row>
    <row r="367">
      <c r="C367" s="94"/>
    </row>
    <row r="368">
      <c r="C368" s="94"/>
    </row>
    <row r="369">
      <c r="C369" s="94"/>
    </row>
    <row r="370">
      <c r="C370" s="94"/>
    </row>
    <row r="371">
      <c r="C371" s="94"/>
    </row>
    <row r="372">
      <c r="C372" s="94"/>
    </row>
    <row r="373">
      <c r="C373" s="94"/>
    </row>
    <row r="374">
      <c r="C374" s="94"/>
    </row>
    <row r="375">
      <c r="C375" s="94"/>
    </row>
    <row r="376">
      <c r="C376" s="94"/>
    </row>
    <row r="377">
      <c r="C377" s="94"/>
    </row>
    <row r="378">
      <c r="C378" s="94"/>
    </row>
    <row r="379">
      <c r="C379" s="94"/>
    </row>
    <row r="380">
      <c r="C380" s="94"/>
    </row>
    <row r="381">
      <c r="C381" s="94"/>
    </row>
    <row r="382">
      <c r="C382" s="94"/>
    </row>
    <row r="383">
      <c r="C383" s="94"/>
    </row>
    <row r="384">
      <c r="C384" s="94"/>
    </row>
    <row r="385">
      <c r="C385" s="94"/>
    </row>
    <row r="386">
      <c r="C386" s="94"/>
    </row>
    <row r="387">
      <c r="C387" s="94"/>
    </row>
    <row r="388">
      <c r="C388" s="94"/>
    </row>
    <row r="389">
      <c r="C389" s="94"/>
    </row>
    <row r="390">
      <c r="C390" s="94"/>
    </row>
    <row r="391">
      <c r="C391" s="94"/>
    </row>
    <row r="392">
      <c r="C392" s="94"/>
    </row>
    <row r="393">
      <c r="C393" s="94"/>
    </row>
    <row r="394">
      <c r="C394" s="94"/>
    </row>
    <row r="395">
      <c r="C395" s="94"/>
    </row>
    <row r="396">
      <c r="C396" s="94"/>
    </row>
    <row r="397">
      <c r="C397" s="94"/>
    </row>
    <row r="398">
      <c r="C398" s="94"/>
    </row>
    <row r="399">
      <c r="C399" s="94"/>
    </row>
    <row r="400">
      <c r="C400" s="94"/>
    </row>
    <row r="401">
      <c r="C401" s="94"/>
    </row>
    <row r="402">
      <c r="C402" s="94"/>
    </row>
    <row r="403">
      <c r="C403" s="94"/>
    </row>
    <row r="404">
      <c r="C404" s="94"/>
    </row>
    <row r="405">
      <c r="C405" s="94"/>
    </row>
    <row r="406">
      <c r="C406" s="94"/>
    </row>
    <row r="407">
      <c r="C407" s="94"/>
    </row>
    <row r="408">
      <c r="C408" s="94"/>
    </row>
    <row r="409">
      <c r="C409" s="94"/>
    </row>
    <row r="410">
      <c r="C410" s="94"/>
    </row>
    <row r="411">
      <c r="C411" s="94"/>
    </row>
    <row r="412">
      <c r="C412" s="94"/>
    </row>
    <row r="413">
      <c r="C413" s="94"/>
    </row>
    <row r="414">
      <c r="C414" s="94"/>
    </row>
    <row r="415">
      <c r="C415" s="94"/>
    </row>
    <row r="416">
      <c r="C416" s="94"/>
    </row>
    <row r="417">
      <c r="C417" s="94"/>
    </row>
    <row r="418">
      <c r="C418" s="94"/>
    </row>
    <row r="419">
      <c r="C419" s="94"/>
    </row>
    <row r="420">
      <c r="C420" s="94"/>
    </row>
    <row r="421">
      <c r="C421" s="94"/>
    </row>
    <row r="422">
      <c r="C422" s="94"/>
    </row>
    <row r="423">
      <c r="C423" s="94"/>
    </row>
    <row r="424">
      <c r="C424" s="94"/>
    </row>
    <row r="425">
      <c r="C425" s="94"/>
    </row>
    <row r="426">
      <c r="C426" s="94"/>
    </row>
    <row r="427">
      <c r="C427" s="94"/>
    </row>
    <row r="428">
      <c r="C428" s="94"/>
    </row>
    <row r="429">
      <c r="C429" s="94"/>
    </row>
    <row r="430">
      <c r="C430" s="94"/>
    </row>
    <row r="431">
      <c r="C431" s="94"/>
    </row>
    <row r="432">
      <c r="C432" s="94"/>
    </row>
    <row r="433">
      <c r="C433" s="94"/>
    </row>
    <row r="434">
      <c r="C434" s="94"/>
    </row>
    <row r="435">
      <c r="C435" s="94"/>
    </row>
    <row r="436">
      <c r="C436" s="94"/>
    </row>
    <row r="437">
      <c r="C437" s="94"/>
    </row>
    <row r="438">
      <c r="C438" s="94"/>
    </row>
    <row r="439">
      <c r="C439" s="94"/>
    </row>
    <row r="440">
      <c r="C440" s="94"/>
    </row>
    <row r="441">
      <c r="C441" s="94"/>
    </row>
    <row r="442">
      <c r="C442" s="94"/>
    </row>
    <row r="443">
      <c r="C443" s="94"/>
    </row>
    <row r="444">
      <c r="C444" s="94"/>
    </row>
    <row r="445">
      <c r="C445" s="94"/>
    </row>
    <row r="446">
      <c r="C446" s="94"/>
    </row>
    <row r="447">
      <c r="C447" s="94"/>
    </row>
    <row r="448">
      <c r="C448" s="94"/>
    </row>
    <row r="449">
      <c r="C449" s="94"/>
    </row>
    <row r="450">
      <c r="C450" s="94"/>
    </row>
    <row r="451">
      <c r="C451" s="94"/>
    </row>
    <row r="452">
      <c r="C452" s="94"/>
    </row>
    <row r="453">
      <c r="C453" s="94"/>
    </row>
    <row r="454">
      <c r="C454" s="94"/>
    </row>
    <row r="455">
      <c r="C455" s="94"/>
    </row>
    <row r="456">
      <c r="C456" s="94"/>
    </row>
    <row r="457">
      <c r="C457" s="94"/>
    </row>
    <row r="458">
      <c r="C458" s="94"/>
    </row>
    <row r="459">
      <c r="C459" s="94"/>
    </row>
    <row r="460">
      <c r="C460" s="94"/>
    </row>
    <row r="461">
      <c r="C461" s="94"/>
    </row>
    <row r="462">
      <c r="C462" s="94"/>
    </row>
    <row r="463">
      <c r="C463" s="94"/>
    </row>
    <row r="464">
      <c r="C464" s="94"/>
    </row>
    <row r="465">
      <c r="C465" s="94"/>
    </row>
    <row r="466">
      <c r="C466" s="94"/>
    </row>
    <row r="467">
      <c r="C467" s="94"/>
    </row>
    <row r="468">
      <c r="C468" s="94"/>
    </row>
    <row r="469">
      <c r="C469" s="94"/>
    </row>
    <row r="470">
      <c r="C470" s="94"/>
    </row>
    <row r="471">
      <c r="C471" s="94"/>
    </row>
    <row r="472">
      <c r="C472" s="94"/>
    </row>
    <row r="473">
      <c r="C473" s="94"/>
    </row>
    <row r="474">
      <c r="C474" s="94"/>
    </row>
    <row r="475">
      <c r="C475" s="94"/>
    </row>
    <row r="476">
      <c r="C476" s="94"/>
    </row>
    <row r="477">
      <c r="C477" s="94"/>
    </row>
    <row r="478">
      <c r="C478" s="94"/>
    </row>
    <row r="479">
      <c r="C479" s="94"/>
    </row>
    <row r="480">
      <c r="C480" s="94"/>
    </row>
    <row r="481">
      <c r="C481" s="94"/>
    </row>
    <row r="482">
      <c r="C482" s="94"/>
    </row>
    <row r="483">
      <c r="C483" s="94"/>
    </row>
    <row r="484">
      <c r="C484" s="94"/>
    </row>
    <row r="485">
      <c r="C485" s="94"/>
    </row>
    <row r="486">
      <c r="C486" s="94"/>
    </row>
    <row r="487">
      <c r="C487" s="94"/>
    </row>
    <row r="488">
      <c r="C488" s="94"/>
    </row>
    <row r="489">
      <c r="C489" s="94"/>
    </row>
    <row r="490">
      <c r="C490" s="94"/>
    </row>
    <row r="491">
      <c r="C491" s="94"/>
    </row>
    <row r="492">
      <c r="C492" s="94"/>
    </row>
    <row r="493">
      <c r="C493" s="94"/>
    </row>
    <row r="494">
      <c r="C494" s="94"/>
    </row>
    <row r="495">
      <c r="C495" s="94"/>
    </row>
    <row r="496">
      <c r="C496" s="94"/>
    </row>
    <row r="497">
      <c r="C497" s="94"/>
    </row>
    <row r="498">
      <c r="C498" s="94"/>
    </row>
    <row r="499">
      <c r="C499" s="94"/>
    </row>
    <row r="500">
      <c r="C500" s="94"/>
    </row>
    <row r="501">
      <c r="C501" s="94"/>
    </row>
    <row r="502">
      <c r="C502" s="94"/>
    </row>
    <row r="503">
      <c r="C503" s="94"/>
    </row>
    <row r="504">
      <c r="C504" s="94"/>
    </row>
    <row r="505">
      <c r="C505" s="94"/>
    </row>
    <row r="506">
      <c r="C506" s="94"/>
    </row>
    <row r="507">
      <c r="C507" s="94"/>
    </row>
    <row r="508">
      <c r="C508" s="94"/>
    </row>
    <row r="509">
      <c r="C509" s="94"/>
    </row>
    <row r="510">
      <c r="C510" s="94"/>
    </row>
    <row r="511">
      <c r="C511" s="94"/>
    </row>
    <row r="512">
      <c r="C512" s="94"/>
    </row>
    <row r="513">
      <c r="C513" s="94"/>
    </row>
    <row r="514">
      <c r="C514" s="94"/>
    </row>
    <row r="515">
      <c r="C515" s="94"/>
    </row>
    <row r="516">
      <c r="C516" s="94"/>
    </row>
    <row r="517">
      <c r="C517" s="94"/>
    </row>
    <row r="518">
      <c r="C518" s="94"/>
    </row>
    <row r="519">
      <c r="C519" s="94"/>
    </row>
    <row r="520">
      <c r="C520" s="94"/>
    </row>
    <row r="521">
      <c r="C521" s="94"/>
    </row>
    <row r="522">
      <c r="C522" s="94"/>
    </row>
    <row r="523">
      <c r="C523" s="94"/>
    </row>
    <row r="524">
      <c r="C524" s="94"/>
    </row>
    <row r="525">
      <c r="C525" s="94"/>
    </row>
    <row r="526">
      <c r="C526" s="94"/>
    </row>
    <row r="527">
      <c r="C527" s="94"/>
    </row>
    <row r="528">
      <c r="C528" s="94"/>
    </row>
    <row r="529">
      <c r="C529" s="94"/>
    </row>
    <row r="530">
      <c r="C530" s="94"/>
    </row>
    <row r="531">
      <c r="C531" s="94"/>
    </row>
    <row r="532">
      <c r="C532" s="94"/>
    </row>
    <row r="533">
      <c r="C533" s="94"/>
    </row>
    <row r="534">
      <c r="C534" s="94"/>
    </row>
    <row r="535">
      <c r="C535" s="94"/>
    </row>
    <row r="536">
      <c r="C536" s="94"/>
    </row>
    <row r="537">
      <c r="C537" s="94"/>
    </row>
    <row r="538">
      <c r="C538" s="94"/>
    </row>
    <row r="539">
      <c r="C539" s="94"/>
    </row>
    <row r="540">
      <c r="C540" s="94"/>
    </row>
    <row r="541">
      <c r="C541" s="94"/>
    </row>
    <row r="542">
      <c r="C542" s="94"/>
    </row>
    <row r="543">
      <c r="C543" s="94"/>
    </row>
    <row r="544">
      <c r="C544" s="94"/>
    </row>
    <row r="545">
      <c r="C545" s="94"/>
    </row>
    <row r="546">
      <c r="C546" s="94"/>
    </row>
    <row r="547">
      <c r="C547" s="94"/>
    </row>
    <row r="548">
      <c r="C548" s="94"/>
    </row>
    <row r="549">
      <c r="C549" s="94"/>
    </row>
    <row r="550">
      <c r="C550" s="94"/>
    </row>
    <row r="551">
      <c r="C551" s="94"/>
    </row>
    <row r="552">
      <c r="C552" s="94"/>
    </row>
    <row r="553">
      <c r="C553" s="94"/>
    </row>
    <row r="554">
      <c r="C554" s="94"/>
    </row>
    <row r="555">
      <c r="C555" s="94"/>
    </row>
    <row r="556">
      <c r="C556" s="94"/>
    </row>
    <row r="557">
      <c r="C557" s="94"/>
    </row>
    <row r="558">
      <c r="C558" s="94"/>
    </row>
    <row r="559">
      <c r="C559" s="94"/>
    </row>
    <row r="560">
      <c r="C560" s="94"/>
    </row>
    <row r="561">
      <c r="C561" s="94"/>
    </row>
    <row r="562">
      <c r="C562" s="94"/>
    </row>
    <row r="563">
      <c r="C563" s="94"/>
    </row>
    <row r="564">
      <c r="C564" s="94"/>
    </row>
    <row r="565">
      <c r="C565" s="94"/>
    </row>
    <row r="566">
      <c r="C566" s="94"/>
    </row>
    <row r="567">
      <c r="C567" s="94"/>
    </row>
    <row r="568">
      <c r="C568" s="94"/>
    </row>
    <row r="569">
      <c r="C569" s="94"/>
    </row>
    <row r="570">
      <c r="C570" s="94"/>
    </row>
    <row r="571">
      <c r="C571" s="94"/>
    </row>
    <row r="572">
      <c r="C572" s="94"/>
    </row>
    <row r="573">
      <c r="C573" s="94"/>
    </row>
    <row r="574">
      <c r="C574" s="94"/>
    </row>
    <row r="575">
      <c r="C575" s="94"/>
    </row>
    <row r="576">
      <c r="C576" s="94"/>
    </row>
    <row r="577">
      <c r="C577" s="94"/>
    </row>
    <row r="578">
      <c r="C578" s="94"/>
    </row>
    <row r="579">
      <c r="C579" s="94"/>
    </row>
    <row r="580">
      <c r="C580" s="94"/>
    </row>
    <row r="581">
      <c r="C581" s="94"/>
    </row>
    <row r="582">
      <c r="C582" s="94"/>
    </row>
    <row r="583">
      <c r="C583" s="94"/>
    </row>
    <row r="584">
      <c r="C584" s="94"/>
    </row>
    <row r="585">
      <c r="C585" s="94"/>
    </row>
    <row r="586">
      <c r="C586" s="94"/>
    </row>
    <row r="587">
      <c r="C587" s="94"/>
    </row>
    <row r="588">
      <c r="C588" s="94"/>
    </row>
    <row r="589">
      <c r="C589" s="94"/>
    </row>
    <row r="590">
      <c r="C590" s="94"/>
    </row>
    <row r="591">
      <c r="C591" s="94"/>
    </row>
    <row r="592">
      <c r="C592" s="94"/>
    </row>
    <row r="593">
      <c r="C593" s="94"/>
    </row>
    <row r="594">
      <c r="C594" s="94"/>
    </row>
    <row r="595">
      <c r="C595" s="94"/>
    </row>
    <row r="596">
      <c r="C596" s="94"/>
    </row>
    <row r="597">
      <c r="C597" s="94"/>
    </row>
    <row r="598">
      <c r="C598" s="94"/>
    </row>
    <row r="599">
      <c r="C599" s="94"/>
    </row>
    <row r="600">
      <c r="C600" s="94"/>
    </row>
    <row r="601">
      <c r="C601" s="94"/>
    </row>
    <row r="602">
      <c r="C602" s="94"/>
    </row>
    <row r="603">
      <c r="C603" s="94"/>
    </row>
    <row r="604">
      <c r="C604" s="94"/>
    </row>
    <row r="605">
      <c r="C605" s="94"/>
    </row>
    <row r="606">
      <c r="C606" s="94"/>
    </row>
    <row r="607">
      <c r="C607" s="94"/>
    </row>
    <row r="608">
      <c r="C608" s="94"/>
    </row>
    <row r="609">
      <c r="C609" s="94"/>
    </row>
    <row r="610">
      <c r="C610" s="94"/>
    </row>
    <row r="611">
      <c r="C611" s="94"/>
    </row>
    <row r="612">
      <c r="C612" s="94"/>
    </row>
    <row r="613">
      <c r="C613" s="94"/>
    </row>
    <row r="614">
      <c r="C614" s="94"/>
    </row>
    <row r="615">
      <c r="C615" s="94"/>
    </row>
    <row r="616">
      <c r="C616" s="94"/>
    </row>
    <row r="617">
      <c r="C617" s="94"/>
    </row>
    <row r="618">
      <c r="C618" s="94"/>
    </row>
    <row r="619">
      <c r="C619" s="94"/>
    </row>
    <row r="620">
      <c r="C620" s="94"/>
    </row>
    <row r="621">
      <c r="C621" s="94"/>
    </row>
    <row r="622">
      <c r="C622" s="94"/>
    </row>
    <row r="623">
      <c r="C623" s="94"/>
    </row>
    <row r="624">
      <c r="C624" s="94"/>
    </row>
    <row r="625">
      <c r="C625" s="94"/>
    </row>
    <row r="626">
      <c r="C626" s="94"/>
    </row>
    <row r="627">
      <c r="C627" s="94"/>
    </row>
    <row r="628">
      <c r="C628" s="94"/>
    </row>
    <row r="629">
      <c r="C629" s="94"/>
    </row>
    <row r="630">
      <c r="C630" s="94"/>
    </row>
    <row r="631">
      <c r="C631" s="94"/>
    </row>
    <row r="632">
      <c r="C632" s="94"/>
    </row>
    <row r="633">
      <c r="C633" s="94"/>
    </row>
    <row r="634">
      <c r="C634" s="94"/>
    </row>
    <row r="635">
      <c r="C635" s="94"/>
    </row>
    <row r="636">
      <c r="C636" s="94"/>
    </row>
    <row r="637">
      <c r="C637" s="94"/>
    </row>
    <row r="638">
      <c r="C638" s="94"/>
    </row>
    <row r="639">
      <c r="C639" s="94"/>
    </row>
    <row r="640">
      <c r="C640" s="94"/>
    </row>
    <row r="641">
      <c r="C641" s="94"/>
    </row>
    <row r="642">
      <c r="C642" s="94"/>
    </row>
    <row r="643">
      <c r="C643" s="94"/>
    </row>
    <row r="644">
      <c r="C644" s="94"/>
    </row>
    <row r="645">
      <c r="C645" s="94"/>
    </row>
    <row r="646">
      <c r="C646" s="94"/>
    </row>
    <row r="647">
      <c r="C647" s="94"/>
    </row>
    <row r="648">
      <c r="C648" s="94"/>
    </row>
    <row r="649">
      <c r="C649" s="94"/>
    </row>
    <row r="650">
      <c r="C650" s="94"/>
    </row>
    <row r="651">
      <c r="C651" s="94"/>
    </row>
    <row r="652">
      <c r="C652" s="94"/>
    </row>
    <row r="653">
      <c r="C653" s="94"/>
    </row>
    <row r="654">
      <c r="C654" s="94"/>
    </row>
    <row r="655">
      <c r="C655" s="94"/>
    </row>
    <row r="656">
      <c r="C656" s="94"/>
    </row>
    <row r="657">
      <c r="C657" s="94"/>
    </row>
    <row r="658">
      <c r="C658" s="94"/>
    </row>
    <row r="659">
      <c r="C659" s="94"/>
    </row>
    <row r="660">
      <c r="C660" s="94"/>
    </row>
    <row r="661">
      <c r="C661" s="94"/>
    </row>
    <row r="662">
      <c r="C662" s="94"/>
    </row>
    <row r="663">
      <c r="C663" s="94"/>
    </row>
    <row r="664">
      <c r="C664" s="94"/>
    </row>
    <row r="665">
      <c r="C665" s="94"/>
    </row>
    <row r="666">
      <c r="C666" s="94"/>
    </row>
    <row r="667">
      <c r="C667" s="94"/>
    </row>
    <row r="668">
      <c r="C668" s="94"/>
    </row>
    <row r="669">
      <c r="C669" s="94"/>
    </row>
    <row r="670">
      <c r="C670" s="94"/>
    </row>
    <row r="671">
      <c r="C671" s="94"/>
    </row>
    <row r="672">
      <c r="C672" s="94"/>
    </row>
    <row r="673">
      <c r="C673" s="94"/>
    </row>
    <row r="674">
      <c r="C674" s="94"/>
    </row>
    <row r="675">
      <c r="C675" s="94"/>
    </row>
    <row r="676">
      <c r="C676" s="94"/>
    </row>
    <row r="677">
      <c r="C677" s="94"/>
    </row>
    <row r="678">
      <c r="C678" s="94"/>
    </row>
    <row r="679">
      <c r="C679" s="94"/>
    </row>
    <row r="680">
      <c r="C680" s="94"/>
    </row>
    <row r="681">
      <c r="C681" s="94"/>
    </row>
    <row r="682">
      <c r="C682" s="94"/>
    </row>
    <row r="683">
      <c r="C683" s="94"/>
    </row>
    <row r="684">
      <c r="C684" s="94"/>
    </row>
    <row r="685">
      <c r="C685" s="94"/>
    </row>
    <row r="686">
      <c r="C686" s="94"/>
    </row>
    <row r="687">
      <c r="C687" s="94"/>
    </row>
    <row r="688">
      <c r="C688" s="94"/>
    </row>
    <row r="689">
      <c r="C689" s="94"/>
    </row>
    <row r="690">
      <c r="C690" s="94"/>
    </row>
    <row r="691">
      <c r="C691" s="94"/>
    </row>
    <row r="692">
      <c r="C692" s="94"/>
    </row>
    <row r="693">
      <c r="C693" s="94"/>
    </row>
    <row r="694">
      <c r="C694" s="94"/>
    </row>
    <row r="695">
      <c r="C695" s="94"/>
    </row>
    <row r="696">
      <c r="C696" s="94"/>
    </row>
    <row r="697">
      <c r="C697" s="94"/>
    </row>
    <row r="698">
      <c r="C698" s="94"/>
    </row>
    <row r="699">
      <c r="C699" s="94"/>
    </row>
    <row r="700">
      <c r="C700" s="94"/>
    </row>
    <row r="701">
      <c r="C701" s="94"/>
    </row>
    <row r="702">
      <c r="C702" s="94"/>
    </row>
    <row r="703">
      <c r="C703" s="94"/>
    </row>
    <row r="704">
      <c r="C704" s="94"/>
    </row>
    <row r="705">
      <c r="C705" s="94"/>
    </row>
    <row r="706">
      <c r="C706" s="94"/>
    </row>
    <row r="707">
      <c r="C707" s="94"/>
    </row>
    <row r="708">
      <c r="C708" s="94"/>
    </row>
    <row r="709">
      <c r="C709" s="94"/>
    </row>
    <row r="710">
      <c r="C710" s="94"/>
    </row>
    <row r="711">
      <c r="C711" s="94"/>
    </row>
    <row r="712">
      <c r="C712" s="94"/>
    </row>
    <row r="713">
      <c r="C713" s="94"/>
    </row>
    <row r="714">
      <c r="C714" s="94"/>
    </row>
    <row r="715">
      <c r="C715" s="94"/>
    </row>
    <row r="716">
      <c r="C716" s="94"/>
    </row>
    <row r="717">
      <c r="C717" s="94"/>
    </row>
    <row r="718">
      <c r="C718" s="94"/>
    </row>
    <row r="719">
      <c r="C719" s="94"/>
    </row>
    <row r="720">
      <c r="C720" s="94"/>
    </row>
    <row r="721">
      <c r="C721" s="94"/>
    </row>
    <row r="722">
      <c r="C722" s="94"/>
    </row>
    <row r="723">
      <c r="C723" s="94"/>
    </row>
    <row r="724">
      <c r="C724" s="94"/>
    </row>
    <row r="725">
      <c r="C725" s="94"/>
    </row>
    <row r="726">
      <c r="C726" s="94"/>
    </row>
    <row r="727">
      <c r="C727" s="94"/>
    </row>
    <row r="728">
      <c r="C728" s="94"/>
    </row>
    <row r="729">
      <c r="C729" s="94"/>
    </row>
    <row r="730">
      <c r="C730" s="94"/>
    </row>
    <row r="731">
      <c r="C731" s="94"/>
    </row>
    <row r="732">
      <c r="C732" s="94"/>
    </row>
    <row r="733">
      <c r="C733" s="94"/>
    </row>
    <row r="734">
      <c r="C734" s="94"/>
    </row>
    <row r="735">
      <c r="C735" s="94"/>
    </row>
    <row r="736">
      <c r="C736" s="94"/>
    </row>
    <row r="737">
      <c r="C737" s="94"/>
    </row>
    <row r="738">
      <c r="C738" s="94"/>
    </row>
    <row r="739">
      <c r="C739" s="94"/>
    </row>
    <row r="740">
      <c r="C740" s="94"/>
    </row>
    <row r="741">
      <c r="C741" s="94"/>
    </row>
    <row r="742">
      <c r="C742" s="94"/>
    </row>
    <row r="743">
      <c r="C743" s="94"/>
    </row>
    <row r="744">
      <c r="C744" s="94"/>
    </row>
    <row r="745">
      <c r="C745" s="94"/>
    </row>
    <row r="746">
      <c r="C746" s="94"/>
    </row>
    <row r="747">
      <c r="C747" s="94"/>
    </row>
    <row r="748">
      <c r="C748" s="94"/>
    </row>
    <row r="749">
      <c r="C749" s="94"/>
    </row>
    <row r="750">
      <c r="C750" s="94"/>
    </row>
    <row r="751">
      <c r="C751" s="94"/>
    </row>
    <row r="752">
      <c r="C752" s="94"/>
    </row>
    <row r="753">
      <c r="C753" s="94"/>
    </row>
    <row r="754">
      <c r="C754" s="94"/>
    </row>
    <row r="755">
      <c r="C755" s="94"/>
    </row>
    <row r="756">
      <c r="C756" s="94"/>
    </row>
    <row r="757">
      <c r="C757" s="94"/>
    </row>
    <row r="758">
      <c r="C758" s="94"/>
    </row>
    <row r="759">
      <c r="C759" s="94"/>
    </row>
    <row r="760">
      <c r="C760" s="94"/>
    </row>
    <row r="761">
      <c r="C761" s="94"/>
    </row>
    <row r="762">
      <c r="C762" s="94"/>
    </row>
    <row r="763">
      <c r="C763" s="94"/>
    </row>
    <row r="764">
      <c r="C764" s="94"/>
    </row>
    <row r="765">
      <c r="C765" s="94"/>
    </row>
    <row r="766">
      <c r="C766" s="94"/>
    </row>
    <row r="767">
      <c r="C767" s="94"/>
    </row>
    <row r="768">
      <c r="C768" s="94"/>
    </row>
    <row r="769">
      <c r="C769" s="94"/>
    </row>
    <row r="770">
      <c r="C770" s="94"/>
    </row>
    <row r="771">
      <c r="C771" s="94"/>
    </row>
    <row r="772">
      <c r="C772" s="94"/>
    </row>
    <row r="773">
      <c r="C773" s="94"/>
    </row>
    <row r="774">
      <c r="C774" s="94"/>
    </row>
    <row r="775">
      <c r="C775" s="94"/>
    </row>
    <row r="776">
      <c r="C776" s="94"/>
    </row>
    <row r="777">
      <c r="C777" s="94"/>
    </row>
    <row r="778">
      <c r="C778" s="94"/>
    </row>
    <row r="779">
      <c r="C779" s="94"/>
    </row>
    <row r="780">
      <c r="C780" s="94"/>
    </row>
    <row r="781">
      <c r="C781" s="94"/>
    </row>
    <row r="782">
      <c r="C782" s="94"/>
    </row>
    <row r="783">
      <c r="C783" s="94"/>
    </row>
    <row r="784">
      <c r="C784" s="94"/>
    </row>
    <row r="785">
      <c r="C785" s="94"/>
    </row>
    <row r="786">
      <c r="C786" s="94"/>
    </row>
    <row r="787">
      <c r="C787" s="94"/>
    </row>
    <row r="788">
      <c r="C788" s="94"/>
    </row>
    <row r="789">
      <c r="C789" s="94"/>
    </row>
    <row r="790">
      <c r="C790" s="94"/>
    </row>
    <row r="791">
      <c r="C791" s="94"/>
    </row>
    <row r="792">
      <c r="C792" s="94"/>
    </row>
    <row r="793">
      <c r="C793" s="94"/>
    </row>
    <row r="794">
      <c r="C794" s="94"/>
    </row>
    <row r="795">
      <c r="C795" s="94"/>
    </row>
    <row r="796">
      <c r="C796" s="94"/>
    </row>
    <row r="797">
      <c r="C797" s="94"/>
    </row>
    <row r="798">
      <c r="C798" s="94"/>
    </row>
    <row r="799">
      <c r="C799" s="94"/>
    </row>
    <row r="800">
      <c r="C800" s="94"/>
    </row>
    <row r="801">
      <c r="C801" s="94"/>
    </row>
    <row r="802">
      <c r="C802" s="94"/>
    </row>
    <row r="803">
      <c r="C803" s="94"/>
    </row>
    <row r="804">
      <c r="C804" s="94"/>
    </row>
    <row r="805">
      <c r="C805" s="94"/>
    </row>
    <row r="806">
      <c r="C806" s="94"/>
    </row>
    <row r="807">
      <c r="C807" s="94"/>
    </row>
    <row r="808">
      <c r="C808" s="94"/>
    </row>
    <row r="809">
      <c r="C809" s="94"/>
    </row>
    <row r="810">
      <c r="C810" s="94"/>
    </row>
    <row r="811">
      <c r="C811" s="94"/>
    </row>
    <row r="812">
      <c r="C812" s="94"/>
    </row>
    <row r="813">
      <c r="C813" s="94"/>
    </row>
    <row r="814">
      <c r="C814" s="94"/>
    </row>
    <row r="815">
      <c r="C815" s="94"/>
    </row>
    <row r="816">
      <c r="C816" s="94"/>
    </row>
    <row r="817">
      <c r="C817" s="94"/>
    </row>
    <row r="818">
      <c r="C818" s="94"/>
    </row>
    <row r="819">
      <c r="C819" s="94"/>
    </row>
    <row r="820">
      <c r="C820" s="94"/>
    </row>
    <row r="821">
      <c r="C821" s="94"/>
    </row>
    <row r="822">
      <c r="C822" s="94"/>
    </row>
    <row r="823">
      <c r="C823" s="94"/>
    </row>
    <row r="824">
      <c r="C824" s="94"/>
    </row>
    <row r="825">
      <c r="C825" s="94"/>
    </row>
    <row r="826">
      <c r="C826" s="94"/>
    </row>
    <row r="827">
      <c r="C827" s="94"/>
    </row>
    <row r="828">
      <c r="C828" s="94"/>
    </row>
    <row r="829">
      <c r="C829" s="94"/>
    </row>
    <row r="830">
      <c r="C830" s="94"/>
    </row>
    <row r="831">
      <c r="C831" s="94"/>
    </row>
    <row r="832">
      <c r="C832" s="94"/>
    </row>
    <row r="833">
      <c r="C833" s="94"/>
    </row>
    <row r="834">
      <c r="C834" s="94"/>
    </row>
    <row r="835">
      <c r="C835" s="94"/>
    </row>
    <row r="836">
      <c r="C836" s="94"/>
    </row>
    <row r="837">
      <c r="C837" s="94"/>
    </row>
    <row r="838">
      <c r="C838" s="94"/>
    </row>
    <row r="839">
      <c r="C839" s="94"/>
    </row>
    <row r="840">
      <c r="C840" s="94"/>
    </row>
    <row r="841">
      <c r="C841" s="94"/>
    </row>
    <row r="842">
      <c r="C842" s="94"/>
    </row>
    <row r="843">
      <c r="C843" s="94"/>
    </row>
    <row r="844">
      <c r="C844" s="94"/>
    </row>
    <row r="845">
      <c r="C845" s="94"/>
    </row>
    <row r="846">
      <c r="C846" s="94"/>
    </row>
    <row r="847">
      <c r="C847" s="94"/>
    </row>
    <row r="848">
      <c r="C848" s="94"/>
    </row>
    <row r="849">
      <c r="C849" s="94"/>
    </row>
    <row r="850">
      <c r="C850" s="94"/>
    </row>
    <row r="851">
      <c r="C851" s="94"/>
    </row>
    <row r="852">
      <c r="C852" s="94"/>
    </row>
    <row r="853">
      <c r="C853" s="94"/>
    </row>
    <row r="854">
      <c r="C854" s="94"/>
    </row>
    <row r="855">
      <c r="C855" s="94"/>
    </row>
    <row r="856">
      <c r="C856" s="94"/>
    </row>
    <row r="857">
      <c r="C857" s="94"/>
    </row>
    <row r="858">
      <c r="C858" s="94"/>
    </row>
    <row r="859">
      <c r="C859" s="94"/>
    </row>
    <row r="860">
      <c r="C860" s="94"/>
    </row>
    <row r="861">
      <c r="C861" s="94"/>
    </row>
    <row r="862">
      <c r="C862" s="94"/>
    </row>
    <row r="863">
      <c r="C863" s="94"/>
    </row>
    <row r="864">
      <c r="C864" s="94"/>
    </row>
    <row r="865">
      <c r="C865" s="94"/>
    </row>
    <row r="866">
      <c r="C866" s="94"/>
    </row>
    <row r="867">
      <c r="C867" s="94"/>
    </row>
    <row r="868">
      <c r="C868" s="94"/>
    </row>
    <row r="869">
      <c r="C869" s="94"/>
    </row>
    <row r="870">
      <c r="C870" s="94"/>
    </row>
    <row r="871">
      <c r="C871" s="94"/>
    </row>
    <row r="872">
      <c r="C872" s="94"/>
    </row>
    <row r="873">
      <c r="C873" s="94"/>
    </row>
    <row r="874">
      <c r="C874" s="94"/>
    </row>
    <row r="875">
      <c r="C875" s="94"/>
    </row>
    <row r="876">
      <c r="C876" s="94"/>
    </row>
    <row r="877">
      <c r="C877" s="94"/>
    </row>
    <row r="878">
      <c r="C878" s="94"/>
    </row>
    <row r="879">
      <c r="C879" s="94"/>
    </row>
    <row r="880">
      <c r="C880" s="94"/>
    </row>
    <row r="881">
      <c r="C881" s="94"/>
    </row>
    <row r="882">
      <c r="C882" s="94"/>
    </row>
    <row r="883">
      <c r="C883" s="94"/>
    </row>
    <row r="884">
      <c r="C884" s="94"/>
    </row>
    <row r="885">
      <c r="C885" s="94"/>
    </row>
    <row r="886">
      <c r="C886" s="94"/>
    </row>
    <row r="887">
      <c r="C887" s="94"/>
    </row>
    <row r="888">
      <c r="C888" s="94"/>
    </row>
    <row r="889">
      <c r="C889" s="94"/>
    </row>
    <row r="890">
      <c r="C890" s="94"/>
    </row>
    <row r="891">
      <c r="C891" s="94"/>
    </row>
    <row r="892">
      <c r="C892" s="94"/>
    </row>
    <row r="893">
      <c r="C893" s="94"/>
    </row>
    <row r="894">
      <c r="C894" s="94"/>
    </row>
    <row r="895">
      <c r="C895" s="94"/>
    </row>
    <row r="896">
      <c r="C896" s="94"/>
    </row>
    <row r="897">
      <c r="C897" s="94"/>
    </row>
    <row r="898">
      <c r="C898" s="94"/>
    </row>
    <row r="899">
      <c r="C899" s="94"/>
    </row>
    <row r="900">
      <c r="C900" s="94"/>
    </row>
    <row r="901">
      <c r="C901" s="94"/>
    </row>
    <row r="902">
      <c r="C902" s="94"/>
    </row>
    <row r="903">
      <c r="C903" s="94"/>
    </row>
    <row r="904">
      <c r="C904" s="94"/>
    </row>
    <row r="905">
      <c r="C905" s="94"/>
    </row>
    <row r="906">
      <c r="C906" s="94"/>
    </row>
    <row r="907">
      <c r="C907" s="94"/>
    </row>
    <row r="908">
      <c r="C908" s="94"/>
    </row>
    <row r="909">
      <c r="C909" s="94"/>
    </row>
    <row r="910">
      <c r="C910" s="94"/>
    </row>
    <row r="911">
      <c r="C911" s="94"/>
    </row>
    <row r="912">
      <c r="C912" s="94"/>
    </row>
    <row r="913">
      <c r="C913" s="94"/>
    </row>
    <row r="914">
      <c r="C914" s="94"/>
    </row>
    <row r="915">
      <c r="C915" s="94"/>
    </row>
    <row r="916">
      <c r="C916" s="94"/>
    </row>
    <row r="917">
      <c r="C917" s="94"/>
    </row>
    <row r="918">
      <c r="C918" s="94"/>
    </row>
    <row r="919">
      <c r="C919" s="94"/>
    </row>
    <row r="920">
      <c r="C920" s="94"/>
    </row>
    <row r="921">
      <c r="C921" s="94"/>
    </row>
    <row r="922">
      <c r="C922" s="94"/>
    </row>
    <row r="923">
      <c r="C923" s="94"/>
    </row>
    <row r="924">
      <c r="C924" s="94"/>
    </row>
    <row r="925">
      <c r="C925" s="94"/>
    </row>
    <row r="926">
      <c r="C926" s="94"/>
    </row>
    <row r="927">
      <c r="C927" s="94"/>
    </row>
    <row r="928">
      <c r="C928" s="94"/>
    </row>
    <row r="929">
      <c r="C929" s="94"/>
    </row>
    <row r="930">
      <c r="C930" s="94"/>
    </row>
    <row r="931">
      <c r="C931" s="94"/>
    </row>
    <row r="932">
      <c r="C932" s="94"/>
    </row>
    <row r="933">
      <c r="C933" s="94"/>
    </row>
    <row r="934">
      <c r="C934" s="94"/>
    </row>
    <row r="935">
      <c r="C935" s="94"/>
    </row>
    <row r="936">
      <c r="C936" s="94"/>
    </row>
    <row r="937">
      <c r="C937" s="94"/>
    </row>
    <row r="938">
      <c r="C938" s="94"/>
    </row>
    <row r="939">
      <c r="C939" s="94"/>
    </row>
    <row r="940">
      <c r="C940" s="94"/>
    </row>
    <row r="941">
      <c r="C941" s="94"/>
    </row>
    <row r="942">
      <c r="C942" s="94"/>
    </row>
    <row r="943">
      <c r="C943" s="94"/>
    </row>
    <row r="944">
      <c r="C944" s="94"/>
    </row>
    <row r="945">
      <c r="C945" s="94"/>
    </row>
    <row r="946">
      <c r="C946" s="94"/>
    </row>
    <row r="947">
      <c r="C947" s="94"/>
    </row>
    <row r="948">
      <c r="C948" s="94"/>
    </row>
    <row r="949">
      <c r="C949" s="94"/>
    </row>
    <row r="950">
      <c r="C950" s="94"/>
    </row>
    <row r="951">
      <c r="C951" s="94"/>
    </row>
    <row r="952">
      <c r="C952" s="94"/>
    </row>
    <row r="953">
      <c r="C953" s="94"/>
    </row>
    <row r="954">
      <c r="C954" s="94"/>
    </row>
    <row r="955">
      <c r="C955" s="94"/>
    </row>
    <row r="956">
      <c r="C956" s="94"/>
    </row>
    <row r="957">
      <c r="C957" s="94"/>
    </row>
    <row r="958">
      <c r="C958" s="94"/>
    </row>
    <row r="959">
      <c r="C959" s="94"/>
    </row>
    <row r="960">
      <c r="C960" s="94"/>
    </row>
    <row r="961">
      <c r="C961" s="94"/>
    </row>
    <row r="962">
      <c r="C962" s="94"/>
    </row>
    <row r="963">
      <c r="C963" s="94"/>
    </row>
    <row r="964">
      <c r="C964" s="94"/>
    </row>
    <row r="965">
      <c r="C965" s="94"/>
    </row>
    <row r="966">
      <c r="C966" s="94"/>
    </row>
    <row r="967">
      <c r="C967" s="94"/>
    </row>
    <row r="968">
      <c r="C968" s="94"/>
    </row>
    <row r="969">
      <c r="C969" s="94"/>
    </row>
    <row r="970">
      <c r="C970" s="94"/>
    </row>
    <row r="971">
      <c r="C971" s="94"/>
    </row>
    <row r="972">
      <c r="C972" s="94"/>
    </row>
    <row r="973">
      <c r="C973" s="94"/>
    </row>
    <row r="974">
      <c r="C974" s="94"/>
    </row>
    <row r="975">
      <c r="C975" s="94"/>
    </row>
    <row r="976">
      <c r="C976" s="94"/>
    </row>
    <row r="977">
      <c r="C977" s="94"/>
    </row>
    <row r="978">
      <c r="C978" s="94"/>
    </row>
    <row r="979">
      <c r="C979" s="94"/>
    </row>
    <row r="980">
      <c r="C980" s="94"/>
    </row>
    <row r="981">
      <c r="C981" s="94"/>
    </row>
    <row r="982">
      <c r="C982" s="94"/>
    </row>
    <row r="983">
      <c r="C983" s="94"/>
    </row>
    <row r="984">
      <c r="C984" s="94"/>
    </row>
    <row r="985">
      <c r="C985" s="94"/>
    </row>
    <row r="986">
      <c r="C986" s="94"/>
    </row>
    <row r="987">
      <c r="C987" s="94"/>
    </row>
    <row r="988">
      <c r="C988" s="94"/>
    </row>
    <row r="989">
      <c r="C989" s="94"/>
    </row>
    <row r="990">
      <c r="C990" s="94"/>
    </row>
    <row r="991">
      <c r="C991" s="94"/>
    </row>
    <row r="992">
      <c r="C992" s="94"/>
    </row>
    <row r="993">
      <c r="C993" s="94"/>
    </row>
    <row r="994">
      <c r="C994" s="94"/>
    </row>
    <row r="995">
      <c r="C995" s="94"/>
    </row>
    <row r="996">
      <c r="C996" s="94"/>
    </row>
    <row r="997">
      <c r="C997" s="94"/>
    </row>
    <row r="998">
      <c r="C998" s="94"/>
    </row>
    <row r="999">
      <c r="C999" s="94"/>
    </row>
    <row r="1000">
      <c r="C1000" s="94"/>
    </row>
  </sheetData>
  <conditionalFormatting sqref="D1:D41">
    <cfRule type="cellIs" dxfId="5" priority="1" operator="lessThan">
      <formula>0</formula>
    </cfRule>
  </conditionalFormatting>
  <dataValidations>
    <dataValidation type="list" allowBlank="1" showErrorMessage="1" sqref="B3:B43">
      <formula1>"✔"</formula1>
    </dataValidation>
    <dataValidation type="custom" allowBlank="1" showDropDown="1" sqref="E3:E43">
      <formula1>OR(NOT(ISERROR(DATEVALUE(E3))), AND(ISNUMBER(E3), LEFT(CELL("format", E3))="D"))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0"/>
    <col customWidth="1" min="2" max="2" width="16.88"/>
    <col customWidth="1" min="3" max="4" width="13.88"/>
    <col customWidth="1" min="5" max="5" width="10.13"/>
    <col customWidth="1" min="6" max="6" width="11.0"/>
    <col customWidth="1" min="7" max="7" width="11.13"/>
    <col customWidth="1" min="8" max="8" width="5.13"/>
    <col customWidth="1" min="9" max="9" width="38.88"/>
    <col customWidth="1" min="10" max="20" width="3.75"/>
  </cols>
  <sheetData>
    <row r="1" ht="24.0" customHeight="1">
      <c r="A1" s="120" t="s">
        <v>60</v>
      </c>
      <c r="B1" s="121"/>
      <c r="C1" s="121"/>
      <c r="D1" s="121"/>
      <c r="E1" s="122"/>
      <c r="F1" s="123" t="s">
        <v>61</v>
      </c>
      <c r="H1" s="124"/>
      <c r="I1" s="125" t="s">
        <v>62</v>
      </c>
      <c r="J1" s="124"/>
      <c r="K1" s="124"/>
      <c r="L1" s="124"/>
      <c r="M1" s="124"/>
      <c r="N1" s="124"/>
      <c r="O1" s="124"/>
      <c r="P1" s="126"/>
      <c r="Q1" s="126"/>
      <c r="R1" s="126"/>
      <c r="S1" s="126"/>
      <c r="T1" s="126"/>
    </row>
    <row r="2">
      <c r="A2" s="127" t="str">
        <f>HYPERLINK("https://www.vertex42.com/Calculators/debt-reduction-calculator.html","By Vertex42.com")</f>
        <v>By Vertex42.com</v>
      </c>
      <c r="C2" s="128"/>
      <c r="D2" s="128"/>
      <c r="E2" s="129"/>
      <c r="F2" s="129"/>
      <c r="G2" s="130" t="str">
        <f>HYPERLINK("https://www.vertex42.com/Calculators/debt-reduction-calculator.html","HELP")</f>
        <v>HELP</v>
      </c>
      <c r="H2" s="124"/>
      <c r="I2" s="131" t="s">
        <v>63</v>
      </c>
      <c r="J2" s="124"/>
      <c r="K2" s="124"/>
      <c r="L2" s="124"/>
      <c r="M2" s="124"/>
      <c r="N2" s="124"/>
      <c r="O2" s="124"/>
      <c r="P2" s="126"/>
      <c r="Q2" s="126"/>
      <c r="R2" s="126"/>
      <c r="S2" s="126"/>
      <c r="T2" s="126"/>
    </row>
    <row r="3">
      <c r="A3" s="128"/>
      <c r="B3" s="128"/>
      <c r="C3" s="132"/>
      <c r="D3" s="128"/>
      <c r="E3" s="129"/>
      <c r="F3" s="129"/>
      <c r="G3" s="129"/>
      <c r="H3" s="124"/>
      <c r="I3" s="131" t="s">
        <v>64</v>
      </c>
      <c r="J3" s="124"/>
      <c r="K3" s="124"/>
      <c r="L3" s="124"/>
      <c r="M3" s="124"/>
      <c r="N3" s="124"/>
      <c r="O3" s="124"/>
      <c r="P3" s="126"/>
      <c r="Q3" s="126"/>
      <c r="R3" s="126"/>
      <c r="S3" s="126"/>
      <c r="T3" s="126"/>
    </row>
    <row r="4" ht="16.5" customHeight="1">
      <c r="A4" s="128"/>
      <c r="B4" s="133" t="s">
        <v>65</v>
      </c>
      <c r="C4" s="134">
        <v>45658.0</v>
      </c>
      <c r="D4" s="135"/>
      <c r="E4" s="129"/>
      <c r="F4" s="129"/>
      <c r="G4" s="136"/>
      <c r="H4" s="124"/>
      <c r="I4" s="137" t="s">
        <v>66</v>
      </c>
      <c r="J4" s="124"/>
      <c r="K4" s="124"/>
      <c r="L4" s="124"/>
      <c r="M4" s="124"/>
      <c r="N4" s="124"/>
      <c r="O4" s="124"/>
      <c r="P4" s="126"/>
      <c r="Q4" s="126"/>
      <c r="R4" s="126"/>
      <c r="S4" s="126"/>
      <c r="T4" s="126"/>
    </row>
    <row r="5">
      <c r="A5" s="128"/>
      <c r="B5" s="128"/>
      <c r="C5" s="138"/>
      <c r="D5" s="128"/>
      <c r="E5" s="129"/>
      <c r="F5" s="129"/>
      <c r="G5" s="136"/>
      <c r="H5" s="124"/>
      <c r="I5" s="131" t="s">
        <v>67</v>
      </c>
      <c r="J5" s="124"/>
      <c r="K5" s="124"/>
      <c r="L5" s="124"/>
      <c r="M5" s="124"/>
      <c r="N5" s="124"/>
      <c r="O5" s="124"/>
      <c r="P5" s="126"/>
      <c r="Q5" s="126"/>
      <c r="R5" s="126"/>
      <c r="S5" s="126"/>
      <c r="T5" s="126"/>
    </row>
    <row r="6">
      <c r="A6" s="128"/>
      <c r="B6" s="139" t="s">
        <v>68</v>
      </c>
      <c r="G6" s="129"/>
      <c r="H6" s="124"/>
      <c r="I6" s="131" t="s">
        <v>69</v>
      </c>
      <c r="J6" s="124"/>
      <c r="K6" s="124"/>
      <c r="L6" s="124"/>
      <c r="M6" s="124"/>
      <c r="N6" s="124"/>
      <c r="O6" s="124"/>
      <c r="P6" s="126"/>
      <c r="Q6" s="126"/>
      <c r="R6" s="126"/>
      <c r="S6" s="126"/>
      <c r="T6" s="126"/>
    </row>
    <row r="7">
      <c r="A7" s="140" t="s">
        <v>70</v>
      </c>
      <c r="B7" s="141" t="s">
        <v>71</v>
      </c>
      <c r="C7" s="141" t="s">
        <v>72</v>
      </c>
      <c r="D7" s="142" t="s">
        <v>73</v>
      </c>
      <c r="E7" s="141" t="s">
        <v>74</v>
      </c>
      <c r="F7" s="141" t="s">
        <v>75</v>
      </c>
      <c r="G7" s="143" t="s">
        <v>76</v>
      </c>
      <c r="H7" s="124"/>
      <c r="I7" s="131" t="s">
        <v>77</v>
      </c>
      <c r="J7" s="124"/>
      <c r="K7" s="124"/>
      <c r="L7" s="124"/>
      <c r="M7" s="124"/>
      <c r="N7" s="124"/>
      <c r="O7" s="124"/>
      <c r="P7" s="126"/>
      <c r="Q7" s="126"/>
      <c r="R7" s="126"/>
      <c r="S7" s="126"/>
      <c r="T7" s="126"/>
    </row>
    <row r="8">
      <c r="A8" s="144">
        <v>1.0</v>
      </c>
      <c r="B8" s="145" t="s">
        <v>78</v>
      </c>
      <c r="C8" s="146"/>
      <c r="D8" s="147">
        <v>0.0</v>
      </c>
      <c r="E8" s="148"/>
      <c r="F8" s="149"/>
      <c r="G8" s="150">
        <f t="shared" ref="G8:G46" si="1">ROUNDUP(OFFSET($C$7,ROW()-ROW($C$7),0,1,1)*OFFSET($D$7,ROW()-ROW($D$7),0,1,1)/12,2)</f>
        <v>0</v>
      </c>
      <c r="H8" s="124"/>
      <c r="I8" s="131" t="s">
        <v>79</v>
      </c>
      <c r="J8" s="124"/>
      <c r="K8" s="124"/>
      <c r="L8" s="124"/>
      <c r="M8" s="124"/>
      <c r="N8" s="124"/>
      <c r="O8" s="124"/>
      <c r="P8" s="126"/>
      <c r="Q8" s="126"/>
      <c r="R8" s="126"/>
      <c r="S8" s="126"/>
      <c r="T8" s="126"/>
    </row>
    <row r="9">
      <c r="A9" s="151">
        <f t="shared" ref="A9:A46" si="2">OFFSET(A9,-1,0,1,1)+1</f>
        <v>2</v>
      </c>
      <c r="B9" s="145" t="s">
        <v>80</v>
      </c>
      <c r="C9" s="146">
        <v>35.72</v>
      </c>
      <c r="D9" s="147">
        <v>0.0</v>
      </c>
      <c r="E9" s="148">
        <v>9.8</v>
      </c>
      <c r="F9" s="149"/>
      <c r="G9" s="150">
        <f t="shared" si="1"/>
        <v>0</v>
      </c>
      <c r="H9" s="124"/>
      <c r="I9" s="124"/>
      <c r="J9" s="124"/>
      <c r="K9" s="124"/>
      <c r="L9" s="124"/>
      <c r="M9" s="124"/>
      <c r="N9" s="124"/>
      <c r="O9" s="124"/>
      <c r="P9" s="126"/>
      <c r="Q9" s="126"/>
      <c r="R9" s="126"/>
      <c r="S9" s="126"/>
      <c r="T9" s="126"/>
    </row>
    <row r="10">
      <c r="A10" s="151">
        <f t="shared" si="2"/>
        <v>3</v>
      </c>
      <c r="B10" s="145" t="s">
        <v>81</v>
      </c>
      <c r="C10" s="146">
        <v>51.83</v>
      </c>
      <c r="D10" s="147">
        <v>0.0</v>
      </c>
      <c r="E10" s="152">
        <v>14.7</v>
      </c>
      <c r="F10" s="149"/>
      <c r="G10" s="150">
        <f t="shared" si="1"/>
        <v>0</v>
      </c>
      <c r="H10" s="124"/>
      <c r="I10" s="153"/>
      <c r="J10" s="124"/>
      <c r="K10" s="124"/>
      <c r="L10" s="124"/>
      <c r="M10" s="124"/>
      <c r="N10" s="124"/>
      <c r="O10" s="124"/>
      <c r="P10" s="126"/>
      <c r="Q10" s="126"/>
      <c r="R10" s="126"/>
      <c r="S10" s="126"/>
      <c r="T10" s="126"/>
    </row>
    <row r="11">
      <c r="A11" s="151">
        <f t="shared" si="2"/>
        <v>4</v>
      </c>
      <c r="B11" s="145" t="s">
        <v>82</v>
      </c>
      <c r="C11" s="146">
        <v>26.86</v>
      </c>
      <c r="D11" s="147">
        <v>0.0</v>
      </c>
      <c r="E11" s="148">
        <v>14.02</v>
      </c>
      <c r="F11" s="149"/>
      <c r="G11" s="150">
        <f t="shared" si="1"/>
        <v>0</v>
      </c>
      <c r="H11" s="124"/>
      <c r="I11" s="124"/>
      <c r="J11" s="124"/>
      <c r="K11" s="124"/>
      <c r="L11" s="124"/>
      <c r="M11" s="124"/>
      <c r="N11" s="124"/>
      <c r="O11" s="124"/>
      <c r="P11" s="126"/>
      <c r="Q11" s="126"/>
      <c r="R11" s="126"/>
      <c r="S11" s="126"/>
      <c r="T11" s="126"/>
    </row>
    <row r="12">
      <c r="A12" s="151">
        <f t="shared" si="2"/>
        <v>5</v>
      </c>
      <c r="B12" s="145" t="s">
        <v>83</v>
      </c>
      <c r="C12" s="146">
        <v>162.21</v>
      </c>
      <c r="D12" s="147">
        <v>0.0</v>
      </c>
      <c r="E12" s="148">
        <v>28.09</v>
      </c>
      <c r="F12" s="149"/>
      <c r="G12" s="150">
        <f t="shared" si="1"/>
        <v>0</v>
      </c>
      <c r="H12" s="124"/>
      <c r="I12" s="124"/>
      <c r="J12" s="124"/>
      <c r="K12" s="124"/>
      <c r="L12" s="124"/>
      <c r="M12" s="124"/>
      <c r="N12" s="124"/>
      <c r="O12" s="124"/>
      <c r="P12" s="126"/>
      <c r="Q12" s="126"/>
      <c r="R12" s="126"/>
      <c r="S12" s="126"/>
      <c r="T12" s="126"/>
    </row>
    <row r="13">
      <c r="A13" s="151">
        <f t="shared" si="2"/>
        <v>6</v>
      </c>
      <c r="B13" s="145" t="s">
        <v>84</v>
      </c>
      <c r="C13" s="154">
        <v>240.34</v>
      </c>
      <c r="D13" s="155">
        <v>0.0</v>
      </c>
      <c r="E13" s="156">
        <v>20.96</v>
      </c>
      <c r="F13" s="157"/>
      <c r="G13" s="150">
        <f t="shared" si="1"/>
        <v>0</v>
      </c>
      <c r="H13" s="158"/>
      <c r="I13" s="124"/>
      <c r="J13" s="124"/>
      <c r="K13" s="124"/>
      <c r="L13" s="124"/>
      <c r="M13" s="124"/>
      <c r="N13" s="124"/>
      <c r="O13" s="124"/>
      <c r="P13" s="126"/>
      <c r="Q13" s="126"/>
      <c r="R13" s="126"/>
      <c r="S13" s="126"/>
      <c r="T13" s="126"/>
    </row>
    <row r="14">
      <c r="A14" s="151">
        <f t="shared" si="2"/>
        <v>7</v>
      </c>
      <c r="B14" s="159" t="s">
        <v>37</v>
      </c>
      <c r="C14" s="154">
        <v>3200.0</v>
      </c>
      <c r="D14" s="155">
        <v>0.3174</v>
      </c>
      <c r="E14" s="156">
        <v>82.0</v>
      </c>
      <c r="F14" s="160"/>
      <c r="G14" s="150">
        <f t="shared" si="1"/>
        <v>84.64</v>
      </c>
      <c r="H14" s="124"/>
      <c r="I14" s="161"/>
      <c r="J14" s="124"/>
      <c r="K14" s="124"/>
      <c r="L14" s="124"/>
      <c r="M14" s="124"/>
      <c r="N14" s="124"/>
      <c r="O14" s="124"/>
      <c r="P14" s="126"/>
      <c r="Q14" s="126"/>
      <c r="R14" s="126"/>
      <c r="S14" s="126"/>
      <c r="T14" s="126"/>
    </row>
    <row r="15">
      <c r="A15" s="151">
        <f t="shared" si="2"/>
        <v>8</v>
      </c>
      <c r="B15" s="159" t="s">
        <v>85</v>
      </c>
      <c r="C15" s="154">
        <v>3800.0</v>
      </c>
      <c r="D15" s="155">
        <v>0.2974</v>
      </c>
      <c r="E15" s="156">
        <v>102.0</v>
      </c>
      <c r="F15" s="160"/>
      <c r="G15" s="150">
        <f t="shared" si="1"/>
        <v>94.18</v>
      </c>
      <c r="H15" s="124"/>
      <c r="I15" s="124"/>
      <c r="J15" s="124"/>
      <c r="K15" s="124"/>
      <c r="L15" s="124"/>
      <c r="M15" s="124"/>
      <c r="N15" s="124"/>
      <c r="O15" s="124"/>
      <c r="P15" s="126"/>
      <c r="Q15" s="126"/>
      <c r="R15" s="126"/>
      <c r="S15" s="126"/>
      <c r="T15" s="126"/>
    </row>
    <row r="16">
      <c r="A16" s="151">
        <f t="shared" si="2"/>
        <v>9</v>
      </c>
      <c r="B16" s="159" t="s">
        <v>86</v>
      </c>
      <c r="C16" s="154">
        <v>50000.0</v>
      </c>
      <c r="D16" s="155">
        <v>0.0928</v>
      </c>
      <c r="E16" s="156">
        <v>791.16</v>
      </c>
      <c r="F16" s="160"/>
      <c r="G16" s="150">
        <f t="shared" si="1"/>
        <v>386.67</v>
      </c>
      <c r="H16" s="124"/>
      <c r="I16" s="124"/>
      <c r="J16" s="124"/>
      <c r="K16" s="124"/>
      <c r="L16" s="124"/>
      <c r="M16" s="124"/>
      <c r="N16" s="124"/>
      <c r="O16" s="124"/>
      <c r="P16" s="126"/>
      <c r="Q16" s="126"/>
      <c r="R16" s="126"/>
      <c r="S16" s="126"/>
      <c r="T16" s="126"/>
    </row>
    <row r="17">
      <c r="A17" s="151">
        <f t="shared" si="2"/>
        <v>10</v>
      </c>
      <c r="B17" s="159" t="s">
        <v>87</v>
      </c>
      <c r="C17" s="154">
        <v>38130.0</v>
      </c>
      <c r="D17" s="155">
        <v>0.11</v>
      </c>
      <c r="E17" s="156">
        <v>695.6</v>
      </c>
      <c r="F17" s="160"/>
      <c r="G17" s="150">
        <f t="shared" si="1"/>
        <v>349.53</v>
      </c>
      <c r="H17" s="124"/>
      <c r="I17" s="158"/>
      <c r="J17" s="158" t="s">
        <v>88</v>
      </c>
      <c r="K17" s="124"/>
      <c r="L17" s="124"/>
      <c r="M17" s="158">
        <v>695.0</v>
      </c>
      <c r="N17" s="124"/>
      <c r="O17" s="162">
        <v>38130.0</v>
      </c>
      <c r="Q17" s="126"/>
      <c r="R17" s="126"/>
      <c r="S17" s="126"/>
      <c r="T17" s="126"/>
    </row>
    <row r="18">
      <c r="A18" s="151">
        <f t="shared" si="2"/>
        <v>11</v>
      </c>
      <c r="B18" s="159" t="s">
        <v>20</v>
      </c>
      <c r="C18" s="154">
        <v>181200.0</v>
      </c>
      <c r="D18" s="155">
        <v>0.0375</v>
      </c>
      <c r="E18" s="156">
        <v>1467.13</v>
      </c>
      <c r="F18" s="160"/>
      <c r="G18" s="150">
        <f t="shared" si="1"/>
        <v>566.25</v>
      </c>
      <c r="H18" s="124"/>
      <c r="I18" s="124"/>
      <c r="J18" s="124"/>
      <c r="K18" s="124"/>
      <c r="L18" s="124"/>
      <c r="M18" s="158"/>
      <c r="N18" s="124"/>
      <c r="O18" s="162"/>
      <c r="Q18" s="126"/>
      <c r="R18" s="126"/>
      <c r="S18" s="126"/>
      <c r="T18" s="126"/>
    </row>
    <row r="19">
      <c r="A19" s="151">
        <f t="shared" si="2"/>
        <v>12</v>
      </c>
      <c r="B19" s="159" t="s">
        <v>36</v>
      </c>
      <c r="C19" s="154">
        <v>15650.03</v>
      </c>
      <c r="D19" s="155">
        <v>0.18</v>
      </c>
      <c r="E19" s="156">
        <v>450.08</v>
      </c>
      <c r="F19" s="160"/>
      <c r="G19" s="150">
        <f t="shared" si="1"/>
        <v>234.76</v>
      </c>
      <c r="H19" s="124"/>
      <c r="I19" s="124"/>
      <c r="J19" s="124"/>
      <c r="K19" s="124"/>
      <c r="L19" s="124"/>
      <c r="M19" s="124"/>
      <c r="N19" s="124"/>
      <c r="O19" s="124"/>
      <c r="P19" s="126"/>
      <c r="Q19" s="126"/>
      <c r="R19" s="126"/>
      <c r="S19" s="126"/>
      <c r="T19" s="126"/>
    </row>
    <row r="20">
      <c r="A20" s="151">
        <f t="shared" si="2"/>
        <v>13</v>
      </c>
      <c r="B20" s="163" t="s">
        <v>25</v>
      </c>
      <c r="C20" s="146">
        <v>609.55</v>
      </c>
      <c r="D20" s="164">
        <v>0.2981</v>
      </c>
      <c r="E20" s="148">
        <v>35.0</v>
      </c>
      <c r="F20" s="160"/>
      <c r="G20" s="150">
        <f t="shared" si="1"/>
        <v>15.15</v>
      </c>
      <c r="H20" s="124"/>
      <c r="I20" s="124"/>
      <c r="J20" s="124"/>
      <c r="K20" s="124"/>
      <c r="L20" s="124"/>
      <c r="M20" s="124"/>
      <c r="N20" s="124"/>
      <c r="O20" s="124"/>
      <c r="P20" s="126"/>
      <c r="Q20" s="126"/>
      <c r="R20" s="126"/>
      <c r="S20" s="126"/>
      <c r="T20" s="126"/>
    </row>
    <row r="21">
      <c r="A21" s="151">
        <f t="shared" si="2"/>
        <v>14</v>
      </c>
      <c r="B21" s="159" t="s">
        <v>89</v>
      </c>
      <c r="C21" s="154">
        <v>3100.0</v>
      </c>
      <c r="D21" s="155">
        <v>0.3</v>
      </c>
      <c r="E21" s="156">
        <v>206.0</v>
      </c>
      <c r="F21" s="160"/>
      <c r="G21" s="150">
        <f t="shared" si="1"/>
        <v>77.5</v>
      </c>
      <c r="H21" s="124"/>
      <c r="I21" s="124"/>
      <c r="J21" s="124"/>
      <c r="K21" s="124"/>
      <c r="L21" s="124"/>
      <c r="M21" s="124"/>
      <c r="N21" s="124"/>
      <c r="O21" s="124"/>
      <c r="P21" s="126"/>
      <c r="Q21" s="126"/>
      <c r="R21" s="126"/>
      <c r="S21" s="126"/>
      <c r="T21" s="126"/>
    </row>
    <row r="22">
      <c r="A22" s="151">
        <f t="shared" si="2"/>
        <v>15</v>
      </c>
      <c r="B22" s="159"/>
      <c r="C22" s="154"/>
      <c r="D22" s="155"/>
      <c r="E22" s="156"/>
      <c r="F22" s="160"/>
      <c r="G22" s="150">
        <f t="shared" si="1"/>
        <v>0</v>
      </c>
      <c r="H22" s="124"/>
      <c r="I22" s="124"/>
      <c r="J22" s="124"/>
      <c r="K22" s="124"/>
      <c r="L22" s="124"/>
      <c r="M22" s="124"/>
      <c r="N22" s="124"/>
      <c r="O22" s="124"/>
      <c r="P22" s="126"/>
      <c r="Q22" s="126"/>
      <c r="R22" s="126"/>
      <c r="S22" s="126"/>
      <c r="T22" s="126"/>
    </row>
    <row r="23">
      <c r="A23" s="151">
        <f t="shared" si="2"/>
        <v>16</v>
      </c>
      <c r="B23" s="159"/>
      <c r="C23" s="154"/>
      <c r="D23" s="155"/>
      <c r="E23" s="156"/>
      <c r="F23" s="160"/>
      <c r="G23" s="150">
        <f t="shared" si="1"/>
        <v>0</v>
      </c>
      <c r="H23" s="124"/>
      <c r="I23" s="124"/>
      <c r="J23" s="124"/>
      <c r="K23" s="124"/>
      <c r="L23" s="124"/>
      <c r="M23" s="124"/>
      <c r="N23" s="124"/>
      <c r="O23" s="124"/>
      <c r="P23" s="126"/>
      <c r="Q23" s="126"/>
      <c r="R23" s="126"/>
      <c r="S23" s="126"/>
      <c r="T23" s="126"/>
    </row>
    <row r="24">
      <c r="A24" s="151">
        <f t="shared" si="2"/>
        <v>17</v>
      </c>
      <c r="B24" s="163"/>
      <c r="C24" s="165"/>
      <c r="D24" s="147"/>
      <c r="E24" s="148"/>
      <c r="F24" s="160"/>
      <c r="G24" s="150">
        <f t="shared" si="1"/>
        <v>0</v>
      </c>
      <c r="H24" s="124"/>
      <c r="I24" s="124"/>
      <c r="J24" s="124"/>
      <c r="K24" s="124"/>
      <c r="L24" s="124"/>
      <c r="M24" s="124"/>
      <c r="N24" s="124"/>
      <c r="O24" s="124"/>
      <c r="P24" s="126"/>
      <c r="Q24" s="126"/>
      <c r="R24" s="126"/>
      <c r="S24" s="126"/>
      <c r="T24" s="126"/>
    </row>
    <row r="25">
      <c r="A25" s="151">
        <f t="shared" si="2"/>
        <v>18</v>
      </c>
      <c r="B25" s="159"/>
      <c r="C25" s="154"/>
      <c r="D25" s="155"/>
      <c r="E25" s="156"/>
      <c r="F25" s="160"/>
      <c r="G25" s="150">
        <f t="shared" si="1"/>
        <v>0</v>
      </c>
      <c r="H25" s="124"/>
      <c r="I25" s="124"/>
      <c r="J25" s="124"/>
      <c r="K25" s="124"/>
      <c r="L25" s="124"/>
      <c r="M25" s="124"/>
      <c r="N25" s="124"/>
      <c r="O25" s="124"/>
      <c r="P25" s="126"/>
      <c r="Q25" s="126"/>
      <c r="R25" s="126"/>
      <c r="S25" s="126"/>
      <c r="T25" s="126"/>
    </row>
    <row r="26">
      <c r="A26" s="151">
        <f t="shared" si="2"/>
        <v>19</v>
      </c>
      <c r="B26" s="159"/>
      <c r="C26" s="154"/>
      <c r="D26" s="155"/>
      <c r="E26" s="156"/>
      <c r="F26" s="160"/>
      <c r="G26" s="150">
        <f t="shared" si="1"/>
        <v>0</v>
      </c>
      <c r="H26" s="124"/>
      <c r="I26" s="124"/>
      <c r="J26" s="124"/>
      <c r="K26" s="124"/>
      <c r="L26" s="124"/>
      <c r="M26" s="124"/>
      <c r="N26" s="124"/>
      <c r="O26" s="124"/>
      <c r="P26" s="126"/>
      <c r="Q26" s="126"/>
      <c r="R26" s="126"/>
      <c r="S26" s="126"/>
      <c r="T26" s="126"/>
    </row>
    <row r="27">
      <c r="A27" s="151">
        <f t="shared" si="2"/>
        <v>20</v>
      </c>
      <c r="B27" s="159"/>
      <c r="C27" s="154"/>
      <c r="D27" s="155"/>
      <c r="E27" s="156"/>
      <c r="F27" s="160"/>
      <c r="G27" s="150">
        <f t="shared" si="1"/>
        <v>0</v>
      </c>
      <c r="H27" s="124"/>
      <c r="I27" s="124"/>
      <c r="J27" s="124"/>
      <c r="K27" s="124"/>
      <c r="L27" s="124"/>
      <c r="M27" s="124"/>
      <c r="N27" s="124"/>
      <c r="O27" s="124"/>
      <c r="P27" s="126"/>
      <c r="Q27" s="126"/>
      <c r="R27" s="126"/>
      <c r="S27" s="126"/>
      <c r="T27" s="126"/>
    </row>
    <row r="28">
      <c r="A28" s="151">
        <f t="shared" si="2"/>
        <v>21</v>
      </c>
      <c r="B28" s="159"/>
      <c r="C28" s="154"/>
      <c r="D28" s="155"/>
      <c r="E28" s="156"/>
      <c r="F28" s="157"/>
      <c r="G28" s="150">
        <f t="shared" si="1"/>
        <v>0</v>
      </c>
      <c r="H28" s="124"/>
      <c r="I28" s="124"/>
      <c r="J28" s="124"/>
      <c r="K28" s="124"/>
      <c r="L28" s="124"/>
      <c r="M28" s="124"/>
      <c r="N28" s="124"/>
      <c r="O28" s="124"/>
      <c r="P28" s="126"/>
      <c r="Q28" s="126"/>
      <c r="R28" s="126"/>
      <c r="S28" s="126"/>
      <c r="T28" s="126"/>
    </row>
    <row r="29">
      <c r="A29" s="151">
        <f t="shared" si="2"/>
        <v>22</v>
      </c>
      <c r="B29" s="159"/>
      <c r="C29" s="154"/>
      <c r="D29" s="155"/>
      <c r="E29" s="156"/>
      <c r="F29" s="157"/>
      <c r="G29" s="150">
        <f t="shared" si="1"/>
        <v>0</v>
      </c>
      <c r="H29" s="124"/>
      <c r="I29" s="124"/>
      <c r="J29" s="124"/>
      <c r="K29" s="124"/>
      <c r="L29" s="124"/>
      <c r="M29" s="124"/>
      <c r="N29" s="124"/>
      <c r="O29" s="124"/>
      <c r="P29" s="126"/>
      <c r="Q29" s="126"/>
      <c r="R29" s="126"/>
      <c r="S29" s="126"/>
      <c r="T29" s="126"/>
    </row>
    <row r="30">
      <c r="A30" s="151">
        <f t="shared" si="2"/>
        <v>23</v>
      </c>
      <c r="B30" s="159"/>
      <c r="C30" s="154"/>
      <c r="D30" s="155"/>
      <c r="E30" s="156"/>
      <c r="F30" s="157"/>
      <c r="G30" s="150">
        <f t="shared" si="1"/>
        <v>0</v>
      </c>
      <c r="H30" s="124"/>
      <c r="I30" s="124"/>
      <c r="J30" s="124"/>
      <c r="K30" s="124"/>
      <c r="L30" s="124"/>
      <c r="M30" s="124"/>
      <c r="N30" s="124"/>
      <c r="O30" s="124"/>
      <c r="P30" s="126"/>
      <c r="Q30" s="126"/>
      <c r="R30" s="126"/>
      <c r="S30" s="126"/>
      <c r="T30" s="126"/>
    </row>
    <row r="31">
      <c r="A31" s="151">
        <f t="shared" si="2"/>
        <v>24</v>
      </c>
      <c r="B31" s="159"/>
      <c r="C31" s="154"/>
      <c r="D31" s="155"/>
      <c r="E31" s="156"/>
      <c r="F31" s="157"/>
      <c r="G31" s="150">
        <f t="shared" si="1"/>
        <v>0</v>
      </c>
      <c r="H31" s="124"/>
      <c r="I31" s="124"/>
      <c r="J31" s="124"/>
      <c r="K31" s="124"/>
      <c r="L31" s="124"/>
      <c r="M31" s="124"/>
      <c r="N31" s="124"/>
      <c r="O31" s="124"/>
      <c r="P31" s="126"/>
      <c r="Q31" s="126"/>
      <c r="R31" s="126"/>
      <c r="S31" s="126"/>
      <c r="T31" s="126"/>
    </row>
    <row r="32">
      <c r="A32" s="151">
        <f t="shared" si="2"/>
        <v>25</v>
      </c>
      <c r="B32" s="159"/>
      <c r="C32" s="154"/>
      <c r="D32" s="155"/>
      <c r="E32" s="156"/>
      <c r="F32" s="157"/>
      <c r="G32" s="150">
        <f t="shared" si="1"/>
        <v>0</v>
      </c>
      <c r="H32" s="124"/>
      <c r="I32" s="124"/>
      <c r="J32" s="124"/>
      <c r="K32" s="124"/>
      <c r="L32" s="124"/>
      <c r="M32" s="124"/>
      <c r="N32" s="124"/>
      <c r="O32" s="124"/>
      <c r="P32" s="126"/>
      <c r="Q32" s="126"/>
      <c r="R32" s="126"/>
      <c r="S32" s="126"/>
      <c r="T32" s="126"/>
    </row>
    <row r="33">
      <c r="A33" s="151">
        <f t="shared" si="2"/>
        <v>26</v>
      </c>
      <c r="B33" s="159"/>
      <c r="C33" s="154"/>
      <c r="D33" s="155"/>
      <c r="E33" s="156"/>
      <c r="F33" s="157"/>
      <c r="G33" s="150">
        <f t="shared" si="1"/>
        <v>0</v>
      </c>
      <c r="H33" s="124"/>
      <c r="I33" s="124"/>
      <c r="J33" s="124"/>
      <c r="K33" s="124"/>
      <c r="L33" s="124"/>
      <c r="M33" s="124"/>
      <c r="N33" s="124"/>
      <c r="O33" s="124"/>
      <c r="P33" s="126"/>
      <c r="Q33" s="126"/>
      <c r="R33" s="126"/>
      <c r="S33" s="126"/>
      <c r="T33" s="126"/>
    </row>
    <row r="34">
      <c r="A34" s="151">
        <f t="shared" si="2"/>
        <v>27</v>
      </c>
      <c r="B34" s="159"/>
      <c r="C34" s="154"/>
      <c r="D34" s="155"/>
      <c r="E34" s="156"/>
      <c r="F34" s="157"/>
      <c r="G34" s="150">
        <f t="shared" si="1"/>
        <v>0</v>
      </c>
      <c r="H34" s="124"/>
      <c r="I34" s="124"/>
      <c r="J34" s="124"/>
      <c r="K34" s="124"/>
      <c r="L34" s="124"/>
      <c r="M34" s="124"/>
      <c r="N34" s="124"/>
      <c r="O34" s="124"/>
      <c r="P34" s="126"/>
      <c r="Q34" s="126"/>
      <c r="R34" s="126"/>
      <c r="S34" s="126"/>
      <c r="T34" s="126"/>
    </row>
    <row r="35">
      <c r="A35" s="151">
        <f t="shared" si="2"/>
        <v>28</v>
      </c>
      <c r="B35" s="159"/>
      <c r="C35" s="154"/>
      <c r="D35" s="155"/>
      <c r="E35" s="156"/>
      <c r="F35" s="157"/>
      <c r="G35" s="150">
        <f t="shared" si="1"/>
        <v>0</v>
      </c>
      <c r="H35" s="124"/>
      <c r="I35" s="124"/>
      <c r="J35" s="124"/>
      <c r="K35" s="124"/>
      <c r="L35" s="124"/>
      <c r="M35" s="124"/>
      <c r="N35" s="124"/>
      <c r="O35" s="124"/>
      <c r="P35" s="126"/>
      <c r="Q35" s="126"/>
      <c r="R35" s="126"/>
      <c r="S35" s="126"/>
      <c r="T35" s="126"/>
    </row>
    <row r="36">
      <c r="A36" s="151">
        <f t="shared" si="2"/>
        <v>29</v>
      </c>
      <c r="B36" s="159"/>
      <c r="C36" s="154"/>
      <c r="D36" s="155"/>
      <c r="E36" s="156"/>
      <c r="F36" s="157"/>
      <c r="G36" s="150">
        <f t="shared" si="1"/>
        <v>0</v>
      </c>
      <c r="H36" s="124"/>
      <c r="I36" s="124"/>
      <c r="J36" s="124"/>
      <c r="K36" s="124"/>
      <c r="L36" s="124"/>
      <c r="M36" s="124"/>
      <c r="N36" s="124"/>
      <c r="O36" s="124"/>
      <c r="P36" s="126"/>
      <c r="Q36" s="126"/>
      <c r="R36" s="126"/>
      <c r="S36" s="126"/>
      <c r="T36" s="126"/>
    </row>
    <row r="37">
      <c r="A37" s="151">
        <f t="shared" si="2"/>
        <v>30</v>
      </c>
      <c r="B37" s="159"/>
      <c r="C37" s="154"/>
      <c r="D37" s="155"/>
      <c r="E37" s="156"/>
      <c r="F37" s="157"/>
      <c r="G37" s="150">
        <f t="shared" si="1"/>
        <v>0</v>
      </c>
      <c r="H37" s="124"/>
      <c r="I37" s="124"/>
      <c r="J37" s="124"/>
      <c r="K37" s="124"/>
      <c r="L37" s="124"/>
      <c r="M37" s="124"/>
      <c r="N37" s="124"/>
      <c r="O37" s="124"/>
      <c r="P37" s="126"/>
      <c r="Q37" s="126"/>
      <c r="R37" s="126"/>
      <c r="S37" s="126"/>
      <c r="T37" s="126"/>
    </row>
    <row r="38">
      <c r="A38" s="151">
        <f t="shared" si="2"/>
        <v>31</v>
      </c>
      <c r="B38" s="159"/>
      <c r="C38" s="154"/>
      <c r="D38" s="155"/>
      <c r="E38" s="156"/>
      <c r="F38" s="157"/>
      <c r="G38" s="150">
        <f t="shared" si="1"/>
        <v>0</v>
      </c>
      <c r="H38" s="124"/>
      <c r="I38" s="124"/>
      <c r="J38" s="124"/>
      <c r="K38" s="124"/>
      <c r="L38" s="124"/>
      <c r="M38" s="124"/>
      <c r="N38" s="124"/>
      <c r="O38" s="124"/>
      <c r="P38" s="126"/>
      <c r="Q38" s="126"/>
      <c r="R38" s="126"/>
      <c r="S38" s="126"/>
      <c r="T38" s="126"/>
    </row>
    <row r="39">
      <c r="A39" s="151">
        <f t="shared" si="2"/>
        <v>32</v>
      </c>
      <c r="B39" s="159"/>
      <c r="C39" s="154"/>
      <c r="D39" s="155"/>
      <c r="E39" s="156"/>
      <c r="F39" s="157"/>
      <c r="G39" s="150">
        <f t="shared" si="1"/>
        <v>0</v>
      </c>
      <c r="H39" s="124"/>
      <c r="I39" s="124"/>
      <c r="J39" s="124"/>
      <c r="K39" s="124"/>
      <c r="L39" s="124"/>
      <c r="M39" s="124"/>
      <c r="N39" s="124"/>
      <c r="O39" s="124"/>
      <c r="P39" s="126"/>
      <c r="Q39" s="126"/>
      <c r="R39" s="126"/>
      <c r="S39" s="126"/>
      <c r="T39" s="126"/>
    </row>
    <row r="40">
      <c r="A40" s="151">
        <f t="shared" si="2"/>
        <v>33</v>
      </c>
      <c r="B40" s="159"/>
      <c r="C40" s="154"/>
      <c r="D40" s="155"/>
      <c r="E40" s="156"/>
      <c r="F40" s="157"/>
      <c r="G40" s="150">
        <f t="shared" si="1"/>
        <v>0</v>
      </c>
      <c r="H40" s="124"/>
      <c r="I40" s="124"/>
      <c r="J40" s="124"/>
      <c r="K40" s="124"/>
      <c r="L40" s="124"/>
      <c r="M40" s="124"/>
      <c r="N40" s="124"/>
      <c r="O40" s="124"/>
      <c r="P40" s="126"/>
      <c r="Q40" s="126"/>
      <c r="R40" s="126"/>
      <c r="S40" s="126"/>
      <c r="T40" s="126"/>
    </row>
    <row r="41">
      <c r="A41" s="151">
        <f t="shared" si="2"/>
        <v>34</v>
      </c>
      <c r="B41" s="159"/>
      <c r="C41" s="154"/>
      <c r="D41" s="155"/>
      <c r="E41" s="156"/>
      <c r="F41" s="157"/>
      <c r="G41" s="150">
        <f t="shared" si="1"/>
        <v>0</v>
      </c>
      <c r="H41" s="124"/>
      <c r="I41" s="124"/>
      <c r="J41" s="124"/>
      <c r="K41" s="124"/>
      <c r="L41" s="124"/>
      <c r="M41" s="124"/>
      <c r="N41" s="124"/>
      <c r="O41" s="124"/>
      <c r="P41" s="126"/>
      <c r="Q41" s="126"/>
      <c r="R41" s="126"/>
      <c r="S41" s="126"/>
      <c r="T41" s="126"/>
    </row>
    <row r="42">
      <c r="A42" s="151">
        <f t="shared" si="2"/>
        <v>35</v>
      </c>
      <c r="B42" s="159"/>
      <c r="C42" s="154"/>
      <c r="D42" s="155"/>
      <c r="E42" s="156"/>
      <c r="F42" s="157"/>
      <c r="G42" s="150">
        <f t="shared" si="1"/>
        <v>0</v>
      </c>
      <c r="H42" s="124"/>
      <c r="I42" s="124"/>
      <c r="J42" s="124"/>
      <c r="K42" s="124"/>
      <c r="L42" s="124"/>
      <c r="M42" s="124"/>
      <c r="N42" s="124"/>
      <c r="O42" s="124"/>
      <c r="P42" s="126"/>
      <c r="Q42" s="126"/>
      <c r="R42" s="126"/>
      <c r="S42" s="126"/>
      <c r="T42" s="126"/>
    </row>
    <row r="43">
      <c r="A43" s="151">
        <f t="shared" si="2"/>
        <v>36</v>
      </c>
      <c r="B43" s="159"/>
      <c r="C43" s="154"/>
      <c r="D43" s="155"/>
      <c r="E43" s="156"/>
      <c r="F43" s="157"/>
      <c r="G43" s="150">
        <f t="shared" si="1"/>
        <v>0</v>
      </c>
      <c r="H43" s="124"/>
      <c r="I43" s="124"/>
      <c r="J43" s="124"/>
      <c r="K43" s="124"/>
      <c r="L43" s="124"/>
      <c r="M43" s="124"/>
      <c r="N43" s="124"/>
      <c r="O43" s="124"/>
      <c r="P43" s="126"/>
      <c r="Q43" s="126"/>
      <c r="R43" s="126"/>
      <c r="S43" s="126"/>
      <c r="T43" s="126"/>
    </row>
    <row r="44">
      <c r="A44" s="151">
        <f t="shared" si="2"/>
        <v>37</v>
      </c>
      <c r="B44" s="159"/>
      <c r="C44" s="154"/>
      <c r="D44" s="155"/>
      <c r="E44" s="156"/>
      <c r="F44" s="157"/>
      <c r="G44" s="150">
        <f t="shared" si="1"/>
        <v>0</v>
      </c>
      <c r="H44" s="124"/>
      <c r="I44" s="166"/>
      <c r="J44" s="124"/>
      <c r="K44" s="124"/>
      <c r="L44" s="124"/>
      <c r="M44" s="124"/>
      <c r="N44" s="124"/>
      <c r="O44" s="124"/>
      <c r="P44" s="126"/>
      <c r="Q44" s="126"/>
      <c r="R44" s="126"/>
      <c r="S44" s="126"/>
      <c r="T44" s="126"/>
    </row>
    <row r="45">
      <c r="A45" s="151">
        <f t="shared" si="2"/>
        <v>38</v>
      </c>
      <c r="B45" s="159"/>
      <c r="C45" s="154"/>
      <c r="D45" s="155"/>
      <c r="E45" s="156"/>
      <c r="F45" s="157"/>
      <c r="G45" s="150">
        <f t="shared" si="1"/>
        <v>0</v>
      </c>
      <c r="H45" s="124"/>
      <c r="I45" s="166"/>
      <c r="J45" s="124"/>
      <c r="K45" s="124"/>
      <c r="L45" s="124"/>
      <c r="M45" s="124"/>
      <c r="N45" s="124"/>
      <c r="O45" s="124"/>
      <c r="P45" s="126"/>
      <c r="Q45" s="126"/>
      <c r="R45" s="126"/>
      <c r="S45" s="126"/>
      <c r="T45" s="126"/>
    </row>
    <row r="46">
      <c r="A46" s="151">
        <f t="shared" si="2"/>
        <v>39</v>
      </c>
      <c r="B46" s="159"/>
      <c r="C46" s="154"/>
      <c r="D46" s="155"/>
      <c r="E46" s="156"/>
      <c r="F46" s="157"/>
      <c r="G46" s="150">
        <f t="shared" si="1"/>
        <v>0</v>
      </c>
      <c r="H46" s="124"/>
      <c r="I46" s="166"/>
      <c r="J46" s="124"/>
      <c r="K46" s="124"/>
      <c r="L46" s="124"/>
      <c r="M46" s="124"/>
      <c r="N46" s="124"/>
      <c r="O46" s="124"/>
      <c r="P46" s="126"/>
      <c r="Q46" s="126"/>
      <c r="R46" s="126"/>
      <c r="S46" s="126"/>
      <c r="T46" s="126"/>
    </row>
    <row r="47">
      <c r="A47" s="128"/>
      <c r="B47" s="167" t="s">
        <v>90</v>
      </c>
      <c r="C47" s="168">
        <f>SUM(C8:C30)</f>
        <v>296206.54</v>
      </c>
      <c r="D47" s="167" t="s">
        <v>90</v>
      </c>
      <c r="E47" s="169">
        <f>SUM(E8:E30)</f>
        <v>3916.54</v>
      </c>
      <c r="F47" s="170"/>
      <c r="G47" s="171"/>
      <c r="H47" s="124"/>
      <c r="I47" s="124"/>
      <c r="J47" s="124"/>
      <c r="K47" s="124"/>
      <c r="L47" s="124"/>
      <c r="M47" s="124"/>
      <c r="N47" s="124"/>
      <c r="O47" s="124"/>
      <c r="P47" s="126"/>
      <c r="Q47" s="126"/>
      <c r="R47" s="126"/>
      <c r="S47" s="126"/>
      <c r="T47" s="126"/>
    </row>
    <row r="48" ht="15.0" customHeight="1">
      <c r="A48" s="128"/>
      <c r="B48" s="128"/>
      <c r="C48" s="172"/>
      <c r="D48" s="173"/>
      <c r="E48" s="174"/>
      <c r="F48" s="174"/>
      <c r="G48" s="129"/>
      <c r="H48" s="124"/>
      <c r="I48" s="131"/>
      <c r="J48" s="124"/>
      <c r="K48" s="124"/>
      <c r="L48" s="124"/>
      <c r="M48" s="124"/>
      <c r="N48" s="124"/>
      <c r="O48" s="124"/>
      <c r="P48" s="126"/>
      <c r="Q48" s="126"/>
      <c r="R48" s="126"/>
      <c r="S48" s="126"/>
      <c r="T48" s="126"/>
    </row>
    <row r="49" ht="18.0" customHeight="1">
      <c r="A49" s="175" t="s">
        <v>91</v>
      </c>
      <c r="B49" s="176"/>
      <c r="C49" s="177">
        <v>3862.0</v>
      </c>
      <c r="D49" s="178" t="str">
        <f>IF(NOT(Calculator!snowball),"Not Applicable (No Snowball)",IF(C49&lt;=E47,"Too Low"," . "))</f>
        <v>Too Low</v>
      </c>
      <c r="E49" s="129"/>
      <c r="F49" s="129"/>
      <c r="G49" s="129"/>
      <c r="H49" s="124"/>
      <c r="I49" s="166"/>
      <c r="J49" s="124"/>
      <c r="K49" s="124"/>
      <c r="L49" s="124"/>
      <c r="M49" s="124"/>
      <c r="N49" s="124"/>
      <c r="O49" s="124"/>
      <c r="P49" s="126"/>
      <c r="Q49" s="126"/>
      <c r="R49" s="126"/>
      <c r="S49" s="126"/>
      <c r="T49" s="126"/>
    </row>
    <row r="50" ht="15.0" customHeight="1">
      <c r="A50" s="179" t="s">
        <v>92</v>
      </c>
      <c r="C50" s="180"/>
      <c r="D50" s="128"/>
      <c r="E50" s="129"/>
      <c r="F50" s="129"/>
      <c r="G50" s="129"/>
      <c r="H50" s="124"/>
      <c r="I50" s="166"/>
      <c r="J50" s="124"/>
      <c r="K50" s="124"/>
      <c r="L50" s="124"/>
      <c r="M50" s="124"/>
      <c r="N50" s="124"/>
      <c r="O50" s="124"/>
      <c r="P50" s="126"/>
      <c r="Q50" s="126"/>
      <c r="R50" s="126"/>
      <c r="S50" s="126"/>
      <c r="T50" s="126"/>
    </row>
    <row r="51">
      <c r="A51" s="128"/>
      <c r="B51" s="128"/>
      <c r="C51" s="132"/>
      <c r="D51" s="132"/>
      <c r="E51" s="181"/>
      <c r="F51" s="129"/>
      <c r="G51" s="129"/>
      <c r="H51" s="124"/>
      <c r="I51" s="166"/>
      <c r="J51" s="124"/>
      <c r="K51" s="124"/>
      <c r="L51" s="124"/>
      <c r="M51" s="124"/>
      <c r="N51" s="124"/>
      <c r="O51" s="124"/>
      <c r="P51" s="126"/>
      <c r="Q51" s="126"/>
      <c r="R51" s="126"/>
      <c r="S51" s="126"/>
      <c r="T51" s="126"/>
    </row>
    <row r="52" ht="15.0" customHeight="1">
      <c r="A52" s="128"/>
      <c r="B52" s="182" t="s">
        <v>93</v>
      </c>
      <c r="C52" s="183" t="s">
        <v>63</v>
      </c>
      <c r="D52" s="184"/>
      <c r="E52" s="185"/>
      <c r="F52" s="186">
        <f>MATCH(C52,I2:I8,0)</f>
        <v>1</v>
      </c>
      <c r="G52" s="129"/>
      <c r="H52" s="124"/>
      <c r="I52" s="131"/>
      <c r="J52" s="124"/>
      <c r="K52" s="124"/>
      <c r="L52" s="124"/>
      <c r="M52" s="124"/>
      <c r="N52" s="124"/>
      <c r="O52" s="124"/>
      <c r="P52" s="126"/>
      <c r="Q52" s="126"/>
      <c r="R52" s="126"/>
      <c r="S52" s="126"/>
      <c r="T52" s="126"/>
    </row>
    <row r="53">
      <c r="A53" s="128"/>
      <c r="B53" s="128"/>
      <c r="C53" s="138"/>
      <c r="D53" s="138"/>
      <c r="E53" s="187"/>
      <c r="F53" s="188" t="b">
        <f>if(Calculator!strategy=5,false,true)</f>
        <v>1</v>
      </c>
      <c r="G53" s="129"/>
      <c r="H53" s="124"/>
      <c r="I53" s="124"/>
      <c r="J53" s="124"/>
      <c r="K53" s="124"/>
      <c r="L53" s="124"/>
      <c r="M53" s="124"/>
      <c r="N53" s="124"/>
      <c r="O53" s="124"/>
      <c r="P53" s="126"/>
      <c r="Q53" s="126"/>
      <c r="R53" s="126"/>
      <c r="S53" s="126"/>
      <c r="T53" s="126"/>
    </row>
    <row r="54">
      <c r="A54" s="128"/>
      <c r="B54" s="189" t="s">
        <v>94</v>
      </c>
      <c r="F54" s="190"/>
      <c r="G54" s="129"/>
      <c r="H54" s="124"/>
      <c r="I54" s="131"/>
      <c r="J54" s="124"/>
      <c r="K54" s="124"/>
      <c r="L54" s="124"/>
      <c r="M54" s="124"/>
      <c r="N54" s="124"/>
      <c r="O54" s="124"/>
      <c r="P54" s="126"/>
      <c r="Q54" s="126"/>
      <c r="R54" s="126"/>
      <c r="S54" s="126"/>
      <c r="T54" s="126"/>
    </row>
    <row r="55">
      <c r="A55" s="128"/>
      <c r="B55" s="191" t="s">
        <v>95</v>
      </c>
      <c r="C55" s="191" t="s">
        <v>96</v>
      </c>
      <c r="D55" s="191" t="s">
        <v>97</v>
      </c>
      <c r="E55" s="192" t="s">
        <v>98</v>
      </c>
      <c r="F55" s="193" t="s">
        <v>99</v>
      </c>
      <c r="G55" s="129"/>
      <c r="H55" s="124"/>
      <c r="I55" s="166"/>
      <c r="J55" s="124"/>
      <c r="K55" s="124"/>
      <c r="L55" s="124"/>
      <c r="M55" s="124"/>
      <c r="N55" s="124"/>
      <c r="O55" s="124"/>
      <c r="P55" s="126"/>
      <c r="Q55" s="126"/>
      <c r="R55" s="126"/>
      <c r="S55" s="126"/>
      <c r="T55" s="126"/>
    </row>
    <row r="56">
      <c r="A56" s="128"/>
      <c r="B56" s="194" t="s">
        <v>100</v>
      </c>
      <c r="C56" s="194" t="s">
        <v>72</v>
      </c>
      <c r="D56" s="194" t="s">
        <v>101</v>
      </c>
      <c r="E56" s="195" t="s">
        <v>102</v>
      </c>
      <c r="F56" s="195" t="s">
        <v>103</v>
      </c>
      <c r="G56" s="196"/>
      <c r="H56" s="124"/>
      <c r="I56" s="166"/>
      <c r="J56" s="124"/>
      <c r="K56" s="124"/>
      <c r="L56" s="124"/>
      <c r="M56" s="124"/>
      <c r="N56" s="124"/>
      <c r="O56" s="124"/>
      <c r="P56" s="126"/>
      <c r="Q56" s="126"/>
      <c r="R56" s="126"/>
      <c r="S56" s="126"/>
      <c r="T56" s="126"/>
    </row>
    <row r="57">
      <c r="A57" s="197"/>
      <c r="B57" s="198" t="str">
        <f t="array" ref="B57:B85">TRANSPOSE(PaymentSchedule!$E$7:$AG$7)</f>
        <v>Christmas Affirm 3</v>
      </c>
      <c r="C57" s="199">
        <f t="array" ref="C57:C86">TRANSPOSE(PaymentSchedule!$E$8:$AH$8)</f>
        <v>26.86</v>
      </c>
      <c r="D57" s="199">
        <f t="array" ref="D57:D86">TRANSPOSE(PaymentSchedule!$E$13:$AH$13)</f>
        <v>0</v>
      </c>
      <c r="E57" s="200">
        <f t="array" ref="E57:E86">TRANSPOSE(PaymentSchedule!$E$11:$AH$11)/12</f>
        <v>0.1666666667</v>
      </c>
      <c r="F57" s="201">
        <f t="array" ref="F57:F86">TRANSPOSE(PaymentSchedule!$E$12:$AH$12)</f>
        <v>45689</v>
      </c>
      <c r="G57" s="202" t="str">
        <f t="array" ref="G57:G66">TRANSPOSE(PaymentSchedule!E14:N14)</f>
        <v> . </v>
      </c>
      <c r="H57" s="124"/>
      <c r="I57" s="166"/>
      <c r="J57" s="124"/>
      <c r="K57" s="124"/>
      <c r="L57" s="124"/>
      <c r="M57" s="124"/>
      <c r="N57" s="124"/>
      <c r="O57" s="124"/>
      <c r="P57" s="126"/>
      <c r="Q57" s="126"/>
      <c r="R57" s="126"/>
      <c r="S57" s="126"/>
      <c r="T57" s="126"/>
    </row>
    <row r="58">
      <c r="A58" s="197"/>
      <c r="B58" s="203" t="s">
        <v>80</v>
      </c>
      <c r="C58" s="199">
        <v>35.72</v>
      </c>
      <c r="D58" s="199">
        <v>0.0</v>
      </c>
      <c r="E58" s="200">
        <v>0.25</v>
      </c>
      <c r="F58" s="201">
        <v>45717.0</v>
      </c>
      <c r="G58" s="202" t="s">
        <v>104</v>
      </c>
      <c r="H58" s="124"/>
      <c r="I58" s="166"/>
      <c r="J58" s="124"/>
      <c r="K58" s="124"/>
      <c r="L58" s="124"/>
      <c r="M58" s="124"/>
      <c r="N58" s="124"/>
      <c r="O58" s="124"/>
      <c r="P58" s="126"/>
      <c r="Q58" s="126"/>
      <c r="R58" s="126"/>
      <c r="S58" s="126"/>
      <c r="T58" s="126"/>
    </row>
    <row r="59">
      <c r="A59" s="197"/>
      <c r="B59" s="203" t="s">
        <v>81</v>
      </c>
      <c r="C59" s="199">
        <v>51.83</v>
      </c>
      <c r="D59" s="199">
        <v>0.0</v>
      </c>
      <c r="E59" s="200">
        <v>0.25</v>
      </c>
      <c r="F59" s="201">
        <v>45717.0</v>
      </c>
      <c r="G59" s="202" t="s">
        <v>104</v>
      </c>
      <c r="H59" s="124"/>
      <c r="I59" s="124"/>
      <c r="J59" s="124"/>
      <c r="K59" s="124"/>
      <c r="L59" s="124"/>
      <c r="M59" s="124"/>
      <c r="N59" s="124"/>
      <c r="O59" s="124"/>
      <c r="P59" s="126"/>
      <c r="Q59" s="126"/>
      <c r="R59" s="126"/>
      <c r="S59" s="126"/>
      <c r="T59" s="126"/>
    </row>
    <row r="60">
      <c r="A60" s="197"/>
      <c r="B60" s="203" t="s">
        <v>83</v>
      </c>
      <c r="C60" s="199">
        <v>162.21</v>
      </c>
      <c r="D60" s="199">
        <v>0.0</v>
      </c>
      <c r="E60" s="200">
        <v>0.3333333333333333</v>
      </c>
      <c r="F60" s="201">
        <v>45748.0</v>
      </c>
      <c r="G60" s="202" t="s">
        <v>104</v>
      </c>
      <c r="H60" s="124"/>
      <c r="I60" s="131"/>
      <c r="J60" s="124"/>
      <c r="K60" s="124"/>
      <c r="L60" s="124"/>
      <c r="M60" s="124"/>
      <c r="N60" s="124"/>
      <c r="O60" s="124"/>
      <c r="P60" s="126"/>
      <c r="Q60" s="126"/>
      <c r="R60" s="126"/>
      <c r="S60" s="126"/>
      <c r="T60" s="126"/>
    </row>
    <row r="61">
      <c r="A61" s="197"/>
      <c r="B61" s="203" t="s">
        <v>84</v>
      </c>
      <c r="C61" s="199">
        <v>240.34</v>
      </c>
      <c r="D61" s="199">
        <v>0.0</v>
      </c>
      <c r="E61" s="200">
        <v>0.4166666666666667</v>
      </c>
      <c r="F61" s="201">
        <v>45778.0</v>
      </c>
      <c r="G61" s="202" t="s">
        <v>104</v>
      </c>
      <c r="H61" s="124"/>
      <c r="I61" s="166"/>
      <c r="J61" s="124"/>
      <c r="K61" s="124"/>
      <c r="L61" s="124"/>
      <c r="M61" s="124"/>
      <c r="N61" s="124"/>
      <c r="O61" s="124"/>
      <c r="P61" s="126"/>
      <c r="Q61" s="126"/>
      <c r="R61" s="126"/>
      <c r="S61" s="126"/>
      <c r="T61" s="126"/>
    </row>
    <row r="62">
      <c r="A62" s="197"/>
      <c r="B62" s="203" t="s">
        <v>25</v>
      </c>
      <c r="C62" s="199">
        <v>609.55</v>
      </c>
      <c r="D62" s="199">
        <v>152.09</v>
      </c>
      <c r="E62" s="200">
        <v>1.25</v>
      </c>
      <c r="F62" s="201">
        <v>46082.0</v>
      </c>
      <c r="G62" s="202" t="s">
        <v>104</v>
      </c>
      <c r="H62" s="124"/>
      <c r="I62" s="166"/>
      <c r="J62" s="124"/>
      <c r="K62" s="124"/>
      <c r="L62" s="124"/>
      <c r="M62" s="124"/>
      <c r="N62" s="124"/>
      <c r="O62" s="124"/>
      <c r="P62" s="126"/>
      <c r="Q62" s="126"/>
      <c r="R62" s="126"/>
      <c r="S62" s="126"/>
      <c r="T62" s="126"/>
    </row>
    <row r="63">
      <c r="A63" s="197"/>
      <c r="B63" s="203" t="s">
        <v>89</v>
      </c>
      <c r="C63" s="199">
        <v>3100.0</v>
      </c>
      <c r="D63" s="199">
        <v>1248.1899999999991</v>
      </c>
      <c r="E63" s="200">
        <v>2.1666666666666665</v>
      </c>
      <c r="F63" s="201">
        <v>46419.0</v>
      </c>
      <c r="G63" s="202" t="s">
        <v>104</v>
      </c>
      <c r="H63" s="124"/>
      <c r="I63" s="204"/>
      <c r="J63" s="124"/>
      <c r="K63" s="124"/>
      <c r="L63" s="124"/>
      <c r="M63" s="124"/>
      <c r="N63" s="124"/>
      <c r="O63" s="124"/>
      <c r="P63" s="126"/>
      <c r="Q63" s="126"/>
      <c r="R63" s="126"/>
      <c r="S63" s="126"/>
      <c r="T63" s="126"/>
    </row>
    <row r="64">
      <c r="A64" s="197"/>
      <c r="B64" s="203" t="s">
        <v>37</v>
      </c>
      <c r="C64" s="199">
        <v>3200.0</v>
      </c>
      <c r="D64" s="199">
        <v>2409.2699999999995</v>
      </c>
      <c r="E64" s="200">
        <v>2.3333333333333335</v>
      </c>
      <c r="F64" s="201">
        <v>46478.0</v>
      </c>
      <c r="G64" s="202" t="s">
        <v>104</v>
      </c>
      <c r="H64" s="124"/>
      <c r="I64" s="131"/>
      <c r="J64" s="124"/>
      <c r="K64" s="124"/>
      <c r="L64" s="124"/>
      <c r="M64" s="124"/>
      <c r="N64" s="124"/>
      <c r="O64" s="124"/>
      <c r="P64" s="126"/>
      <c r="Q64" s="126"/>
      <c r="R64" s="126"/>
      <c r="S64" s="126"/>
      <c r="T64" s="126"/>
    </row>
    <row r="65">
      <c r="A65" s="197"/>
      <c r="B65" s="203" t="s">
        <v>85</v>
      </c>
      <c r="C65" s="199">
        <v>3800.0</v>
      </c>
      <c r="D65" s="199">
        <v>2356.800000000001</v>
      </c>
      <c r="E65" s="200">
        <v>2.75</v>
      </c>
      <c r="F65" s="201">
        <v>46631.0</v>
      </c>
      <c r="G65" s="202" t="s">
        <v>104</v>
      </c>
      <c r="H65" s="124"/>
      <c r="I65" s="131"/>
      <c r="J65" s="124"/>
      <c r="K65" s="124"/>
      <c r="L65" s="124"/>
      <c r="M65" s="124"/>
      <c r="N65" s="124"/>
      <c r="O65" s="124"/>
      <c r="P65" s="126"/>
      <c r="Q65" s="126"/>
      <c r="R65" s="126"/>
      <c r="S65" s="126"/>
      <c r="T65" s="126"/>
    </row>
    <row r="66">
      <c r="A66" s="197"/>
      <c r="B66" s="203" t="s">
        <v>36</v>
      </c>
      <c r="C66" s="199">
        <v>15650.03</v>
      </c>
      <c r="D66" s="199">
        <v>6159.420000000001</v>
      </c>
      <c r="E66" s="200">
        <v>3.4166666666666665</v>
      </c>
      <c r="F66" s="201">
        <v>46874.0</v>
      </c>
      <c r="G66" s="202" t="s">
        <v>104</v>
      </c>
      <c r="H66" s="124"/>
      <c r="I66" s="131"/>
      <c r="J66" s="124"/>
      <c r="K66" s="124"/>
      <c r="L66" s="124"/>
      <c r="M66" s="124"/>
      <c r="N66" s="124"/>
      <c r="O66" s="124"/>
      <c r="P66" s="126"/>
      <c r="Q66" s="126"/>
      <c r="R66" s="126"/>
      <c r="S66" s="126"/>
      <c r="T66" s="126"/>
    </row>
    <row r="67">
      <c r="A67" s="197"/>
      <c r="B67" s="203" t="s">
        <v>87</v>
      </c>
      <c r="C67" s="199">
        <v>38130.0</v>
      </c>
      <c r="D67" s="199">
        <v>16719.58</v>
      </c>
      <c r="E67" s="200">
        <v>5.166666666666667</v>
      </c>
      <c r="F67" s="201">
        <v>47515.0</v>
      </c>
      <c r="G67" s="202"/>
      <c r="H67" s="124"/>
      <c r="I67" s="131"/>
      <c r="J67" s="124"/>
      <c r="K67" s="124"/>
      <c r="L67" s="124"/>
      <c r="M67" s="124"/>
      <c r="N67" s="124"/>
      <c r="O67" s="124"/>
      <c r="P67" s="126"/>
      <c r="Q67" s="126"/>
      <c r="R67" s="126"/>
      <c r="S67" s="126"/>
      <c r="T67" s="126"/>
    </row>
    <row r="68">
      <c r="A68" s="197"/>
      <c r="B68" s="203" t="s">
        <v>86</v>
      </c>
      <c r="C68" s="199">
        <v>50000.0</v>
      </c>
      <c r="D68" s="199">
        <v>17759.830000000144</v>
      </c>
      <c r="E68" s="200">
        <v>5.833333333333333</v>
      </c>
      <c r="F68" s="201">
        <v>47757.0</v>
      </c>
      <c r="G68" s="202"/>
      <c r="H68" s="124"/>
      <c r="I68" s="131"/>
      <c r="J68" s="124"/>
      <c r="K68" s="124"/>
      <c r="L68" s="124"/>
      <c r="M68" s="124"/>
      <c r="N68" s="124"/>
      <c r="O68" s="124"/>
      <c r="P68" s="126"/>
      <c r="Q68" s="126"/>
      <c r="R68" s="126"/>
      <c r="S68" s="126"/>
      <c r="T68" s="126"/>
    </row>
    <row r="69">
      <c r="A69" s="197"/>
      <c r="B69" s="203" t="s">
        <v>20</v>
      </c>
      <c r="C69" s="199">
        <v>181200.0</v>
      </c>
      <c r="D69" s="199">
        <v>34604.939999999966</v>
      </c>
      <c r="E69" s="200">
        <v>7.916666666666667</v>
      </c>
      <c r="F69" s="201">
        <v>48519.0</v>
      </c>
      <c r="G69" s="202"/>
      <c r="H69" s="124"/>
      <c r="I69" s="131"/>
      <c r="J69" s="124"/>
      <c r="K69" s="124"/>
      <c r="L69" s="124"/>
      <c r="M69" s="124"/>
      <c r="N69" s="124"/>
      <c r="O69" s="124"/>
      <c r="P69" s="126"/>
      <c r="Q69" s="126"/>
      <c r="R69" s="126"/>
      <c r="S69" s="126"/>
      <c r="T69" s="126"/>
    </row>
    <row r="70">
      <c r="A70" s="197"/>
      <c r="B70" s="203" t="s">
        <v>105</v>
      </c>
      <c r="C70" s="199">
        <v>0.0</v>
      </c>
      <c r="D70" s="199">
        <v>0.0</v>
      </c>
      <c r="E70" s="200">
        <v>0.0</v>
      </c>
      <c r="F70" s="201" t="s">
        <v>105</v>
      </c>
      <c r="G70" s="202"/>
      <c r="H70" s="124"/>
      <c r="I70" s="131"/>
      <c r="J70" s="124"/>
      <c r="K70" s="124"/>
      <c r="L70" s="124"/>
      <c r="M70" s="124"/>
      <c r="N70" s="124"/>
      <c r="O70" s="124"/>
      <c r="P70" s="126"/>
      <c r="Q70" s="126"/>
      <c r="R70" s="126"/>
      <c r="S70" s="126"/>
      <c r="T70" s="126"/>
    </row>
    <row r="71">
      <c r="A71" s="197"/>
      <c r="B71" s="203" t="s">
        <v>105</v>
      </c>
      <c r="C71" s="199">
        <v>0.0</v>
      </c>
      <c r="D71" s="199">
        <v>0.0</v>
      </c>
      <c r="E71" s="200">
        <v>0.0</v>
      </c>
      <c r="F71" s="201" t="s">
        <v>105</v>
      </c>
      <c r="G71" s="202"/>
      <c r="H71" s="124"/>
      <c r="I71" s="131"/>
      <c r="J71" s="124"/>
      <c r="K71" s="124"/>
      <c r="L71" s="124"/>
      <c r="M71" s="124"/>
      <c r="N71" s="124"/>
      <c r="O71" s="124"/>
      <c r="P71" s="126"/>
      <c r="Q71" s="126"/>
      <c r="R71" s="126"/>
      <c r="S71" s="126"/>
      <c r="T71" s="126"/>
    </row>
    <row r="72">
      <c r="A72" s="197"/>
      <c r="B72" s="203" t="s">
        <v>105</v>
      </c>
      <c r="C72" s="199">
        <v>0.0</v>
      </c>
      <c r="D72" s="199">
        <v>0.0</v>
      </c>
      <c r="E72" s="200">
        <v>0.0</v>
      </c>
      <c r="F72" s="201" t="s">
        <v>105</v>
      </c>
      <c r="G72" s="202"/>
      <c r="H72" s="124"/>
      <c r="I72" s="131"/>
      <c r="J72" s="124"/>
      <c r="K72" s="124"/>
      <c r="L72" s="124"/>
      <c r="M72" s="124"/>
      <c r="N72" s="124"/>
      <c r="O72" s="124"/>
      <c r="P72" s="126"/>
      <c r="Q72" s="126"/>
      <c r="R72" s="126"/>
      <c r="S72" s="126"/>
      <c r="T72" s="126"/>
    </row>
    <row r="73">
      <c r="A73" s="197"/>
      <c r="B73" s="203" t="s">
        <v>105</v>
      </c>
      <c r="C73" s="199">
        <v>0.0</v>
      </c>
      <c r="D73" s="199">
        <v>0.0</v>
      </c>
      <c r="E73" s="200">
        <v>0.0</v>
      </c>
      <c r="F73" s="201" t="s">
        <v>105</v>
      </c>
      <c r="G73" s="202"/>
      <c r="H73" s="124"/>
      <c r="I73" s="131"/>
      <c r="J73" s="124"/>
      <c r="K73" s="124"/>
      <c r="L73" s="124"/>
      <c r="M73" s="124"/>
      <c r="N73" s="124"/>
      <c r="O73" s="124"/>
      <c r="P73" s="126"/>
      <c r="Q73" s="126"/>
      <c r="R73" s="126"/>
      <c r="S73" s="126"/>
      <c r="T73" s="126"/>
    </row>
    <row r="74">
      <c r="A74" s="197"/>
      <c r="B74" s="203" t="s">
        <v>105</v>
      </c>
      <c r="C74" s="199">
        <v>0.0</v>
      </c>
      <c r="D74" s="199">
        <v>0.0</v>
      </c>
      <c r="E74" s="200">
        <v>0.0</v>
      </c>
      <c r="F74" s="201" t="s">
        <v>105</v>
      </c>
      <c r="G74" s="202"/>
      <c r="H74" s="124"/>
      <c r="I74" s="131"/>
      <c r="J74" s="124"/>
      <c r="K74" s="124"/>
      <c r="L74" s="124"/>
      <c r="M74" s="124"/>
      <c r="N74" s="124"/>
      <c r="O74" s="124"/>
      <c r="P74" s="126"/>
      <c r="Q74" s="126"/>
      <c r="R74" s="126"/>
      <c r="S74" s="126"/>
      <c r="T74" s="126"/>
    </row>
    <row r="75">
      <c r="A75" s="197"/>
      <c r="B75" s="203" t="s">
        <v>105</v>
      </c>
      <c r="C75" s="199">
        <v>0.0</v>
      </c>
      <c r="D75" s="199">
        <v>0.0</v>
      </c>
      <c r="E75" s="200">
        <v>0.0</v>
      </c>
      <c r="F75" s="201" t="s">
        <v>105</v>
      </c>
      <c r="G75" s="202"/>
      <c r="H75" s="124"/>
      <c r="I75" s="131"/>
      <c r="J75" s="124"/>
      <c r="K75" s="124"/>
      <c r="L75" s="124"/>
      <c r="M75" s="124"/>
      <c r="N75" s="124"/>
      <c r="O75" s="124"/>
      <c r="P75" s="126"/>
      <c r="Q75" s="126"/>
      <c r="R75" s="126"/>
      <c r="S75" s="126"/>
      <c r="T75" s="126"/>
    </row>
    <row r="76">
      <c r="A76" s="197"/>
      <c r="B76" s="203" t="s">
        <v>105</v>
      </c>
      <c r="C76" s="199">
        <v>0.0</v>
      </c>
      <c r="D76" s="199">
        <v>0.0</v>
      </c>
      <c r="E76" s="200">
        <v>0.0</v>
      </c>
      <c r="F76" s="201" t="s">
        <v>105</v>
      </c>
      <c r="G76" s="202"/>
      <c r="H76" s="124"/>
      <c r="I76" s="131"/>
      <c r="J76" s="124"/>
      <c r="K76" s="124"/>
      <c r="L76" s="124"/>
      <c r="M76" s="124"/>
      <c r="N76" s="124"/>
      <c r="O76" s="124"/>
      <c r="P76" s="126"/>
      <c r="Q76" s="126"/>
      <c r="R76" s="126"/>
      <c r="S76" s="126"/>
      <c r="T76" s="126"/>
    </row>
    <row r="77">
      <c r="A77" s="197"/>
      <c r="B77" s="203" t="s">
        <v>105</v>
      </c>
      <c r="C77" s="199">
        <v>0.0</v>
      </c>
      <c r="D77" s="199">
        <v>0.0</v>
      </c>
      <c r="E77" s="200">
        <v>0.0</v>
      </c>
      <c r="F77" s="201" t="s">
        <v>105</v>
      </c>
      <c r="G77" s="202"/>
      <c r="H77" s="124"/>
      <c r="I77" s="131"/>
      <c r="J77" s="124"/>
      <c r="K77" s="124"/>
      <c r="L77" s="124"/>
      <c r="M77" s="124"/>
      <c r="N77" s="124"/>
      <c r="O77" s="124"/>
      <c r="P77" s="126"/>
      <c r="Q77" s="126"/>
      <c r="R77" s="126"/>
      <c r="S77" s="126"/>
      <c r="T77" s="126"/>
    </row>
    <row r="78">
      <c r="A78" s="197"/>
      <c r="B78" s="203" t="s">
        <v>105</v>
      </c>
      <c r="C78" s="199">
        <v>0.0</v>
      </c>
      <c r="D78" s="199">
        <v>0.0</v>
      </c>
      <c r="E78" s="200">
        <v>0.0</v>
      </c>
      <c r="F78" s="201" t="s">
        <v>105</v>
      </c>
      <c r="G78" s="202"/>
      <c r="H78" s="124"/>
      <c r="I78" s="131"/>
      <c r="J78" s="124"/>
      <c r="K78" s="124"/>
      <c r="L78" s="124"/>
      <c r="M78" s="124"/>
      <c r="N78" s="124"/>
      <c r="O78" s="124"/>
      <c r="P78" s="126"/>
      <c r="Q78" s="126"/>
      <c r="R78" s="126"/>
      <c r="S78" s="126"/>
      <c r="T78" s="126"/>
    </row>
    <row r="79">
      <c r="A79" s="197"/>
      <c r="B79" s="203" t="s">
        <v>105</v>
      </c>
      <c r="C79" s="199">
        <v>0.0</v>
      </c>
      <c r="D79" s="199">
        <v>0.0</v>
      </c>
      <c r="E79" s="200">
        <v>0.0</v>
      </c>
      <c r="F79" s="201" t="s">
        <v>105</v>
      </c>
      <c r="G79" s="202"/>
      <c r="H79" s="124"/>
      <c r="I79" s="131"/>
      <c r="J79" s="124"/>
      <c r="K79" s="124"/>
      <c r="L79" s="124"/>
      <c r="M79" s="124"/>
      <c r="N79" s="124"/>
      <c r="O79" s="124"/>
      <c r="P79" s="126"/>
      <c r="Q79" s="126"/>
      <c r="R79" s="126"/>
      <c r="S79" s="126"/>
      <c r="T79" s="126"/>
    </row>
    <row r="80">
      <c r="A80" s="197"/>
      <c r="B80" s="203" t="s">
        <v>105</v>
      </c>
      <c r="C80" s="199">
        <v>0.0</v>
      </c>
      <c r="D80" s="199">
        <v>0.0</v>
      </c>
      <c r="E80" s="200">
        <v>0.0</v>
      </c>
      <c r="F80" s="201" t="s">
        <v>105</v>
      </c>
      <c r="G80" s="202"/>
      <c r="H80" s="124"/>
      <c r="I80" s="131"/>
      <c r="J80" s="124"/>
      <c r="K80" s="124"/>
      <c r="L80" s="124"/>
      <c r="M80" s="124"/>
      <c r="N80" s="124"/>
      <c r="O80" s="124"/>
      <c r="P80" s="126"/>
      <c r="Q80" s="126"/>
      <c r="R80" s="126"/>
      <c r="S80" s="126"/>
      <c r="T80" s="126"/>
    </row>
    <row r="81">
      <c r="A81" s="197"/>
      <c r="B81" s="203" t="s">
        <v>105</v>
      </c>
      <c r="C81" s="199">
        <v>0.0</v>
      </c>
      <c r="D81" s="199">
        <v>0.0</v>
      </c>
      <c r="E81" s="200">
        <v>0.0</v>
      </c>
      <c r="F81" s="201" t="s">
        <v>105</v>
      </c>
      <c r="G81" s="202"/>
      <c r="H81" s="124"/>
      <c r="I81" s="131"/>
      <c r="J81" s="124"/>
      <c r="K81" s="124"/>
      <c r="L81" s="124"/>
      <c r="M81" s="124"/>
      <c r="N81" s="124"/>
      <c r="O81" s="124"/>
      <c r="P81" s="126"/>
      <c r="Q81" s="126"/>
      <c r="R81" s="126"/>
      <c r="S81" s="126"/>
      <c r="T81" s="126"/>
    </row>
    <row r="82">
      <c r="A82" s="197"/>
      <c r="B82" s="203" t="s">
        <v>105</v>
      </c>
      <c r="C82" s="199">
        <v>0.0</v>
      </c>
      <c r="D82" s="199">
        <v>0.0</v>
      </c>
      <c r="E82" s="200">
        <v>0.0</v>
      </c>
      <c r="F82" s="201" t="s">
        <v>105</v>
      </c>
      <c r="G82" s="202"/>
      <c r="H82" s="124"/>
      <c r="I82" s="131"/>
      <c r="J82" s="124"/>
      <c r="K82" s="124"/>
      <c r="L82" s="124"/>
      <c r="M82" s="124"/>
      <c r="N82" s="124"/>
      <c r="O82" s="124"/>
      <c r="P82" s="126"/>
      <c r="Q82" s="126"/>
      <c r="R82" s="126"/>
      <c r="S82" s="126"/>
      <c r="T82" s="126"/>
    </row>
    <row r="83">
      <c r="A83" s="197"/>
      <c r="B83" s="203" t="s">
        <v>105</v>
      </c>
      <c r="C83" s="199">
        <v>0.0</v>
      </c>
      <c r="D83" s="199">
        <v>0.0</v>
      </c>
      <c r="E83" s="200">
        <v>0.0</v>
      </c>
      <c r="F83" s="201" t="s">
        <v>105</v>
      </c>
      <c r="G83" s="202"/>
      <c r="H83" s="124"/>
      <c r="I83" s="131"/>
      <c r="J83" s="124"/>
      <c r="K83" s="124"/>
      <c r="L83" s="124"/>
      <c r="M83" s="124"/>
      <c r="N83" s="124"/>
      <c r="O83" s="124"/>
      <c r="P83" s="126"/>
      <c r="Q83" s="126"/>
      <c r="R83" s="126"/>
      <c r="S83" s="126"/>
      <c r="T83" s="126"/>
    </row>
    <row r="84">
      <c r="A84" s="197"/>
      <c r="B84" s="203" t="s">
        <v>105</v>
      </c>
      <c r="C84" s="199">
        <v>0.0</v>
      </c>
      <c r="D84" s="199">
        <v>0.0</v>
      </c>
      <c r="E84" s="200">
        <v>0.0</v>
      </c>
      <c r="F84" s="201" t="s">
        <v>105</v>
      </c>
      <c r="G84" s="202"/>
      <c r="H84" s="124"/>
      <c r="I84" s="131"/>
      <c r="J84" s="124"/>
      <c r="K84" s="124"/>
      <c r="L84" s="124"/>
      <c r="M84" s="124"/>
      <c r="N84" s="124"/>
      <c r="O84" s="124"/>
      <c r="P84" s="126"/>
      <c r="Q84" s="126"/>
      <c r="R84" s="126"/>
      <c r="S84" s="126"/>
      <c r="T84" s="126"/>
    </row>
    <row r="85">
      <c r="A85" s="197"/>
      <c r="B85" s="203" t="s">
        <v>105</v>
      </c>
      <c r="C85" s="199">
        <v>0.0</v>
      </c>
      <c r="D85" s="199">
        <v>0.0</v>
      </c>
      <c r="E85" s="200">
        <v>0.0</v>
      </c>
      <c r="F85" s="201" t="s">
        <v>105</v>
      </c>
      <c r="G85" s="202"/>
      <c r="H85" s="124"/>
      <c r="I85" s="131"/>
      <c r="J85" s="124"/>
      <c r="K85" s="124"/>
      <c r="L85" s="124"/>
      <c r="M85" s="124"/>
      <c r="N85" s="124"/>
      <c r="O85" s="124"/>
      <c r="P85" s="126"/>
      <c r="Q85" s="126"/>
      <c r="R85" s="126"/>
      <c r="S85" s="126"/>
      <c r="T85" s="126"/>
    </row>
    <row r="86">
      <c r="A86" s="197"/>
      <c r="B86" s="203"/>
      <c r="C86" s="199"/>
      <c r="D86" s="199"/>
      <c r="E86" s="200">
        <v>0.0</v>
      </c>
      <c r="F86" s="201"/>
      <c r="G86" s="202"/>
      <c r="H86" s="124"/>
      <c r="I86" s="131"/>
      <c r="J86" s="124"/>
      <c r="K86" s="124"/>
      <c r="L86" s="124"/>
      <c r="M86" s="124"/>
      <c r="N86" s="124"/>
      <c r="O86" s="124"/>
      <c r="P86" s="126"/>
      <c r="Q86" s="126"/>
      <c r="R86" s="126"/>
      <c r="S86" s="126"/>
      <c r="T86" s="126"/>
    </row>
    <row r="87">
      <c r="A87" s="197"/>
      <c r="B87" s="203"/>
      <c r="C87" s="199"/>
      <c r="D87" s="199"/>
      <c r="E87" s="200"/>
      <c r="F87" s="201"/>
      <c r="G87" s="202"/>
      <c r="H87" s="124"/>
      <c r="I87" s="131"/>
      <c r="J87" s="124"/>
      <c r="K87" s="124"/>
      <c r="L87" s="124"/>
      <c r="M87" s="124"/>
      <c r="N87" s="124"/>
      <c r="O87" s="124"/>
      <c r="P87" s="126"/>
      <c r="Q87" s="126"/>
      <c r="R87" s="126"/>
      <c r="S87" s="126"/>
      <c r="T87" s="126"/>
    </row>
    <row r="88">
      <c r="A88" s="197"/>
      <c r="B88" s="203"/>
      <c r="C88" s="199"/>
      <c r="D88" s="199"/>
      <c r="E88" s="200"/>
      <c r="F88" s="201"/>
      <c r="G88" s="202"/>
      <c r="H88" s="124"/>
      <c r="I88" s="131"/>
      <c r="J88" s="124"/>
      <c r="K88" s="124"/>
      <c r="L88" s="124"/>
      <c r="M88" s="124"/>
      <c r="N88" s="124"/>
      <c r="O88" s="124"/>
      <c r="P88" s="126"/>
      <c r="Q88" s="126"/>
      <c r="R88" s="126"/>
      <c r="S88" s="126"/>
      <c r="T88" s="126"/>
    </row>
    <row r="89">
      <c r="A89" s="197"/>
      <c r="B89" s="203"/>
      <c r="C89" s="199"/>
      <c r="D89" s="199"/>
      <c r="E89" s="200"/>
      <c r="F89" s="201"/>
      <c r="G89" s="202"/>
      <c r="H89" s="124"/>
      <c r="I89" s="131"/>
      <c r="J89" s="124"/>
      <c r="K89" s="124"/>
      <c r="L89" s="124"/>
      <c r="M89" s="124"/>
      <c r="N89" s="124"/>
      <c r="O89" s="124"/>
      <c r="P89" s="126"/>
      <c r="Q89" s="126"/>
      <c r="R89" s="126"/>
      <c r="S89" s="126"/>
      <c r="T89" s="126"/>
    </row>
    <row r="90">
      <c r="A90" s="197"/>
      <c r="B90" s="203"/>
      <c r="C90" s="199"/>
      <c r="D90" s="199"/>
      <c r="E90" s="200"/>
      <c r="F90" s="201"/>
      <c r="G90" s="202"/>
      <c r="H90" s="124"/>
      <c r="I90" s="166"/>
      <c r="J90" s="124"/>
      <c r="K90" s="124"/>
      <c r="L90" s="124"/>
      <c r="M90" s="124"/>
      <c r="N90" s="124"/>
      <c r="O90" s="124"/>
      <c r="P90" s="126"/>
      <c r="Q90" s="126"/>
      <c r="R90" s="126"/>
      <c r="S90" s="126"/>
      <c r="T90" s="126"/>
    </row>
    <row r="91">
      <c r="A91" s="197"/>
      <c r="B91" s="203"/>
      <c r="C91" s="199"/>
      <c r="D91" s="199"/>
      <c r="E91" s="200"/>
      <c r="F91" s="201"/>
      <c r="G91" s="202"/>
      <c r="H91" s="124"/>
      <c r="I91" s="166"/>
      <c r="J91" s="124"/>
      <c r="K91" s="124"/>
      <c r="L91" s="124"/>
      <c r="M91" s="124"/>
      <c r="N91" s="124"/>
      <c r="O91" s="124"/>
      <c r="P91" s="126"/>
      <c r="Q91" s="126"/>
      <c r="R91" s="126"/>
      <c r="S91" s="126"/>
      <c r="T91" s="126"/>
    </row>
    <row r="92" ht="14.25" customHeight="1">
      <c r="A92" s="128"/>
      <c r="B92" s="205"/>
      <c r="C92" s="206" t="s">
        <v>106</v>
      </c>
      <c r="D92" s="207">
        <f>PaymentSchedule!E16</f>
        <v>81410.12</v>
      </c>
      <c r="E92" s="208" t="s">
        <v>107</v>
      </c>
      <c r="F92" s="209"/>
      <c r="G92" s="129"/>
      <c r="H92" s="124"/>
      <c r="I92" s="124"/>
      <c r="J92" s="124"/>
      <c r="K92" s="124"/>
      <c r="L92" s="124"/>
      <c r="M92" s="124"/>
      <c r="N92" s="124"/>
      <c r="O92" s="124"/>
      <c r="P92" s="126"/>
      <c r="Q92" s="126"/>
      <c r="R92" s="126"/>
      <c r="S92" s="126"/>
      <c r="T92" s="126"/>
    </row>
    <row r="93">
      <c r="A93" s="128"/>
      <c r="B93" s="128"/>
      <c r="C93" s="128"/>
      <c r="D93" s="128"/>
      <c r="E93" s="129"/>
      <c r="F93" s="129"/>
      <c r="G93" s="129"/>
      <c r="H93" s="124"/>
      <c r="I93" s="131"/>
      <c r="J93" s="124"/>
      <c r="K93" s="124"/>
      <c r="L93" s="124"/>
      <c r="M93" s="124"/>
      <c r="N93" s="124"/>
      <c r="O93" s="124"/>
      <c r="P93" s="126"/>
      <c r="Q93" s="126"/>
      <c r="R93" s="126"/>
      <c r="S93" s="126"/>
      <c r="T93" s="126"/>
    </row>
    <row r="94" ht="16.5" customHeight="1">
      <c r="A94" s="210" t="str">
        <f>HYPERLINK("https://www.vertex42.com/Calculators/debt-reduction-calculator.html","Debt Reduction Calculator by Vertex42.com")</f>
        <v>Debt Reduction Calculator by Vertex42.com</v>
      </c>
      <c r="E94" s="129"/>
      <c r="F94" s="129"/>
      <c r="G94" s="129"/>
      <c r="H94" s="124"/>
      <c r="I94" s="166"/>
      <c r="J94" s="124"/>
      <c r="K94" s="124"/>
      <c r="L94" s="124"/>
      <c r="M94" s="124"/>
      <c r="N94" s="124"/>
      <c r="O94" s="124"/>
      <c r="P94" s="126"/>
      <c r="Q94" s="126"/>
      <c r="R94" s="126"/>
      <c r="S94" s="126"/>
      <c r="T94" s="126"/>
    </row>
    <row r="95">
      <c r="A95" s="126"/>
      <c r="B95" s="126"/>
      <c r="C95" s="126"/>
      <c r="D95" s="126"/>
      <c r="E95" s="124"/>
      <c r="F95" s="124"/>
      <c r="G95" s="124"/>
      <c r="H95" s="124"/>
      <c r="I95" s="166"/>
      <c r="J95" s="124"/>
      <c r="K95" s="124"/>
      <c r="L95" s="124"/>
      <c r="M95" s="124"/>
      <c r="N95" s="124"/>
      <c r="O95" s="124"/>
      <c r="P95" s="126"/>
      <c r="Q95" s="126"/>
      <c r="R95" s="126"/>
      <c r="S95" s="126"/>
      <c r="T95" s="126"/>
    </row>
    <row r="96">
      <c r="A96" s="126"/>
      <c r="B96" s="126"/>
      <c r="C96" s="126"/>
      <c r="D96" s="126"/>
      <c r="E96" s="124"/>
      <c r="F96" s="124"/>
      <c r="G96" s="124"/>
      <c r="H96" s="124"/>
      <c r="I96" s="166"/>
      <c r="J96" s="124"/>
      <c r="K96" s="124"/>
      <c r="L96" s="124"/>
      <c r="M96" s="124"/>
      <c r="N96" s="124"/>
      <c r="O96" s="124"/>
      <c r="P96" s="126"/>
      <c r="Q96" s="126"/>
      <c r="R96" s="126"/>
      <c r="S96" s="126"/>
      <c r="T96" s="126"/>
    </row>
    <row r="97">
      <c r="A97" s="126"/>
      <c r="B97" s="211" t="s">
        <v>108</v>
      </c>
      <c r="C97" s="126"/>
      <c r="D97" s="126"/>
      <c r="E97" s="124"/>
      <c r="F97" s="124"/>
      <c r="G97" s="124"/>
      <c r="H97" s="124"/>
      <c r="I97" s="124"/>
      <c r="J97" s="124"/>
      <c r="K97" s="124"/>
      <c r="L97" s="124"/>
      <c r="M97" s="124"/>
      <c r="N97" s="124"/>
      <c r="O97" s="124"/>
      <c r="P97" s="126"/>
      <c r="Q97" s="126"/>
      <c r="R97" s="126"/>
      <c r="S97" s="126"/>
      <c r="T97" s="126"/>
    </row>
    <row r="98">
      <c r="A98" s="124"/>
      <c r="B98" s="124"/>
      <c r="C98" s="124"/>
      <c r="D98" s="124"/>
      <c r="E98" s="124"/>
      <c r="F98" s="124"/>
      <c r="G98" s="124"/>
      <c r="H98" s="124"/>
      <c r="I98" s="131"/>
      <c r="J98" s="124"/>
      <c r="K98" s="124"/>
      <c r="L98" s="124"/>
      <c r="M98" s="124"/>
      <c r="N98" s="124"/>
      <c r="O98" s="124"/>
      <c r="P98" s="124"/>
      <c r="Q98" s="124"/>
      <c r="R98" s="124"/>
      <c r="S98" s="124"/>
      <c r="T98" s="124"/>
    </row>
    <row r="99">
      <c r="A99" s="124"/>
      <c r="B99" s="124"/>
      <c r="C99" s="124"/>
      <c r="D99" s="124"/>
      <c r="E99" s="124"/>
      <c r="F99" s="124"/>
      <c r="G99" s="124"/>
      <c r="H99" s="124"/>
      <c r="I99" s="166"/>
      <c r="J99" s="124"/>
      <c r="K99" s="124"/>
      <c r="L99" s="124"/>
      <c r="M99" s="124"/>
      <c r="N99" s="124"/>
      <c r="O99" s="124"/>
      <c r="P99" s="124"/>
      <c r="Q99" s="124"/>
      <c r="R99" s="124"/>
      <c r="S99" s="124"/>
      <c r="T99" s="124"/>
    </row>
    <row r="100">
      <c r="A100" s="124"/>
      <c r="B100" s="124"/>
      <c r="C100" s="124"/>
      <c r="D100" s="124"/>
      <c r="E100" s="124"/>
      <c r="F100" s="124"/>
      <c r="G100" s="124"/>
      <c r="H100" s="124"/>
      <c r="I100" s="204"/>
      <c r="J100" s="124"/>
      <c r="K100" s="124"/>
      <c r="L100" s="124"/>
      <c r="M100" s="124"/>
      <c r="N100" s="124"/>
      <c r="O100" s="124"/>
      <c r="P100" s="124"/>
      <c r="Q100" s="124"/>
      <c r="R100" s="124"/>
      <c r="S100" s="124"/>
      <c r="T100" s="124"/>
    </row>
    <row r="101">
      <c r="A101" s="124"/>
      <c r="B101" s="124"/>
      <c r="C101" s="124"/>
      <c r="D101" s="124"/>
      <c r="E101" s="124"/>
      <c r="F101" s="124"/>
      <c r="G101" s="124"/>
      <c r="H101" s="124"/>
      <c r="I101" s="166"/>
      <c r="J101" s="124"/>
      <c r="K101" s="124"/>
      <c r="L101" s="124"/>
      <c r="M101" s="124"/>
      <c r="N101" s="124"/>
      <c r="O101" s="124"/>
      <c r="P101" s="124"/>
      <c r="Q101" s="124"/>
      <c r="R101" s="124"/>
      <c r="S101" s="124"/>
      <c r="T101" s="124"/>
    </row>
    <row r="102">
      <c r="A102" s="124"/>
      <c r="B102" s="124"/>
      <c r="C102" s="124"/>
      <c r="D102" s="124"/>
      <c r="E102" s="124"/>
      <c r="F102" s="124"/>
      <c r="G102" s="124"/>
      <c r="H102" s="124"/>
      <c r="I102" s="166"/>
      <c r="J102" s="124"/>
      <c r="K102" s="124"/>
      <c r="L102" s="124"/>
      <c r="M102" s="124"/>
      <c r="N102" s="124"/>
      <c r="O102" s="124"/>
      <c r="P102" s="124"/>
      <c r="Q102" s="124"/>
      <c r="R102" s="124"/>
      <c r="S102" s="124"/>
      <c r="T102" s="124"/>
    </row>
    <row r="103">
      <c r="A103" s="124"/>
      <c r="B103" s="124"/>
      <c r="C103" s="124"/>
      <c r="D103" s="124"/>
      <c r="E103" s="124"/>
      <c r="F103" s="124"/>
      <c r="G103" s="124"/>
      <c r="H103" s="124"/>
      <c r="I103" s="166"/>
      <c r="J103" s="124"/>
      <c r="K103" s="124"/>
      <c r="L103" s="124"/>
      <c r="M103" s="124"/>
      <c r="N103" s="124"/>
      <c r="O103" s="124"/>
      <c r="P103" s="124"/>
      <c r="Q103" s="124"/>
      <c r="R103" s="124"/>
      <c r="S103" s="124"/>
      <c r="T103" s="124"/>
    </row>
    <row r="104">
      <c r="A104" s="124"/>
      <c r="B104" s="124"/>
      <c r="C104" s="124"/>
      <c r="D104" s="124"/>
      <c r="E104" s="124"/>
      <c r="F104" s="124"/>
      <c r="G104" s="124"/>
      <c r="H104" s="124"/>
      <c r="I104" s="166"/>
      <c r="J104" s="124"/>
      <c r="K104" s="124"/>
      <c r="L104" s="124"/>
      <c r="M104" s="124"/>
      <c r="N104" s="124"/>
      <c r="O104" s="124"/>
      <c r="P104" s="124"/>
      <c r="Q104" s="124"/>
      <c r="R104" s="124"/>
      <c r="S104" s="124"/>
      <c r="T104" s="124"/>
    </row>
    <row r="105">
      <c r="A105" s="124"/>
      <c r="B105" s="124"/>
      <c r="C105" s="124"/>
      <c r="D105" s="124"/>
      <c r="E105" s="124"/>
      <c r="F105" s="124"/>
      <c r="G105" s="124"/>
      <c r="H105" s="124"/>
      <c r="I105" s="131"/>
      <c r="J105" s="124"/>
      <c r="K105" s="124"/>
      <c r="L105" s="124"/>
      <c r="M105" s="124"/>
      <c r="N105" s="124"/>
      <c r="O105" s="124"/>
      <c r="P105" s="124"/>
      <c r="Q105" s="124"/>
      <c r="R105" s="124"/>
      <c r="S105" s="124"/>
      <c r="T105" s="124"/>
    </row>
    <row r="106">
      <c r="A106" s="124"/>
      <c r="B106" s="124"/>
      <c r="C106" s="124"/>
      <c r="D106" s="124"/>
      <c r="E106" s="124"/>
      <c r="F106" s="124"/>
      <c r="G106" s="124"/>
      <c r="H106" s="124"/>
      <c r="I106" s="124"/>
      <c r="J106" s="124"/>
      <c r="K106" s="124"/>
      <c r="L106" s="124"/>
      <c r="M106" s="124"/>
      <c r="N106" s="124"/>
      <c r="O106" s="124"/>
      <c r="P106" s="124"/>
      <c r="Q106" s="124"/>
      <c r="R106" s="124"/>
      <c r="S106" s="124"/>
      <c r="T106" s="124"/>
    </row>
    <row r="107">
      <c r="A107" s="124"/>
      <c r="B107" s="124"/>
      <c r="C107" s="124"/>
      <c r="D107" s="124"/>
      <c r="E107" s="124"/>
      <c r="F107" s="124"/>
      <c r="G107" s="124"/>
      <c r="H107" s="124"/>
      <c r="I107" s="166"/>
      <c r="J107" s="124"/>
      <c r="K107" s="124"/>
      <c r="L107" s="124"/>
      <c r="M107" s="124"/>
      <c r="N107" s="124"/>
      <c r="O107" s="124"/>
      <c r="P107" s="124"/>
      <c r="Q107" s="124"/>
      <c r="R107" s="124"/>
      <c r="S107" s="124"/>
      <c r="T107" s="124"/>
    </row>
    <row r="108">
      <c r="A108" s="124"/>
      <c r="B108" s="124"/>
      <c r="C108" s="124"/>
      <c r="D108" s="124"/>
      <c r="E108" s="124"/>
      <c r="F108" s="124"/>
      <c r="G108" s="124"/>
      <c r="H108" s="124"/>
      <c r="I108" s="166"/>
      <c r="J108" s="124"/>
      <c r="K108" s="124"/>
      <c r="L108" s="124"/>
      <c r="M108" s="124"/>
      <c r="N108" s="124"/>
      <c r="O108" s="124"/>
      <c r="P108" s="124"/>
      <c r="Q108" s="124"/>
      <c r="R108" s="124"/>
      <c r="S108" s="124"/>
      <c r="T108" s="124"/>
    </row>
    <row r="109">
      <c r="A109" s="124"/>
      <c r="B109" s="124"/>
      <c r="C109" s="124"/>
      <c r="D109" s="124"/>
      <c r="E109" s="124"/>
      <c r="F109" s="124"/>
      <c r="G109" s="124"/>
      <c r="H109" s="124"/>
      <c r="I109" s="166"/>
      <c r="J109" s="124"/>
      <c r="K109" s="124"/>
      <c r="L109" s="124"/>
      <c r="M109" s="124"/>
      <c r="N109" s="124"/>
      <c r="O109" s="124"/>
      <c r="P109" s="124"/>
      <c r="Q109" s="124"/>
      <c r="R109" s="124"/>
      <c r="S109" s="124"/>
      <c r="T109" s="124"/>
    </row>
    <row r="110">
      <c r="A110" s="124"/>
      <c r="B110" s="124"/>
      <c r="C110" s="124"/>
      <c r="D110" s="124"/>
      <c r="E110" s="124"/>
      <c r="F110" s="124"/>
      <c r="G110" s="124"/>
      <c r="H110" s="124"/>
      <c r="I110" s="166"/>
      <c r="J110" s="124"/>
      <c r="K110" s="124"/>
      <c r="L110" s="124"/>
      <c r="M110" s="124"/>
      <c r="N110" s="124"/>
      <c r="O110" s="124"/>
      <c r="P110" s="124"/>
      <c r="Q110" s="124"/>
      <c r="R110" s="124"/>
      <c r="S110" s="124"/>
      <c r="T110" s="124"/>
    </row>
    <row r="111">
      <c r="A111" s="124"/>
      <c r="B111" s="124"/>
      <c r="C111" s="124"/>
      <c r="D111" s="124"/>
      <c r="E111" s="124"/>
      <c r="F111" s="124"/>
      <c r="G111" s="124"/>
      <c r="H111" s="124"/>
      <c r="I111" s="124"/>
      <c r="J111" s="124"/>
      <c r="K111" s="124"/>
      <c r="L111" s="124"/>
      <c r="M111" s="124"/>
      <c r="N111" s="124"/>
      <c r="O111" s="124"/>
      <c r="P111" s="124"/>
      <c r="Q111" s="124"/>
      <c r="R111" s="124"/>
      <c r="S111" s="124"/>
      <c r="T111" s="124"/>
    </row>
    <row r="112">
      <c r="A112" s="124"/>
      <c r="B112" s="124"/>
      <c r="C112" s="124"/>
      <c r="D112" s="124"/>
      <c r="E112" s="124"/>
      <c r="F112" s="124"/>
      <c r="G112" s="124"/>
      <c r="H112" s="124"/>
      <c r="I112" s="166"/>
      <c r="J112" s="124"/>
      <c r="K112" s="124"/>
      <c r="L112" s="124"/>
      <c r="M112" s="124"/>
      <c r="N112" s="124"/>
      <c r="O112" s="124"/>
      <c r="P112" s="124"/>
      <c r="Q112" s="124"/>
      <c r="R112" s="124"/>
      <c r="S112" s="124"/>
      <c r="T112" s="124"/>
    </row>
    <row r="113">
      <c r="A113" s="124"/>
      <c r="B113" s="124"/>
      <c r="C113" s="124"/>
      <c r="D113" s="124"/>
      <c r="E113" s="124"/>
      <c r="F113" s="124"/>
      <c r="G113" s="124"/>
      <c r="H113" s="124"/>
      <c r="I113" s="166"/>
      <c r="J113" s="124"/>
      <c r="K113" s="124"/>
      <c r="L113" s="124"/>
      <c r="M113" s="124"/>
      <c r="N113" s="124"/>
      <c r="O113" s="124"/>
      <c r="P113" s="124"/>
      <c r="Q113" s="124"/>
      <c r="R113" s="124"/>
      <c r="S113" s="124"/>
      <c r="T113" s="124"/>
    </row>
    <row r="114">
      <c r="A114" s="124"/>
      <c r="B114" s="124"/>
      <c r="C114" s="124"/>
      <c r="D114" s="124"/>
      <c r="E114" s="124"/>
      <c r="F114" s="124"/>
      <c r="G114" s="124"/>
      <c r="H114" s="124"/>
      <c r="I114" s="166"/>
      <c r="J114" s="124"/>
      <c r="K114" s="124"/>
      <c r="L114" s="124"/>
      <c r="M114" s="124"/>
      <c r="N114" s="124"/>
      <c r="O114" s="124"/>
      <c r="P114" s="124"/>
      <c r="Q114" s="124"/>
      <c r="R114" s="124"/>
      <c r="S114" s="124"/>
      <c r="T114" s="124"/>
    </row>
    <row r="115">
      <c r="A115" s="124"/>
      <c r="B115" s="124"/>
      <c r="C115" s="124"/>
      <c r="D115" s="124"/>
      <c r="E115" s="124"/>
      <c r="F115" s="124"/>
      <c r="G115" s="124"/>
      <c r="H115" s="124"/>
      <c r="I115" s="166"/>
      <c r="J115" s="124"/>
      <c r="K115" s="124"/>
      <c r="L115" s="124"/>
      <c r="M115" s="124"/>
      <c r="N115" s="124"/>
      <c r="O115" s="124"/>
      <c r="P115" s="124"/>
      <c r="Q115" s="124"/>
      <c r="R115" s="124"/>
      <c r="S115" s="124"/>
      <c r="T115" s="124"/>
    </row>
    <row r="116">
      <c r="A116" s="124"/>
      <c r="B116" s="124"/>
      <c r="C116" s="124"/>
      <c r="D116" s="124"/>
      <c r="E116" s="124"/>
      <c r="F116" s="124"/>
      <c r="G116" s="124"/>
      <c r="H116" s="124"/>
      <c r="I116" s="166"/>
      <c r="J116" s="124"/>
      <c r="K116" s="124"/>
      <c r="L116" s="124"/>
      <c r="M116" s="124"/>
      <c r="N116" s="124"/>
      <c r="O116" s="124"/>
      <c r="P116" s="124"/>
      <c r="Q116" s="124"/>
      <c r="R116" s="124"/>
      <c r="S116" s="124"/>
      <c r="T116" s="124"/>
    </row>
    <row r="117">
      <c r="A117" s="124"/>
      <c r="B117" s="124"/>
      <c r="C117" s="124"/>
      <c r="D117" s="124"/>
      <c r="E117" s="124"/>
      <c r="F117" s="124"/>
      <c r="G117" s="124"/>
      <c r="H117" s="124"/>
      <c r="I117" s="166"/>
      <c r="J117" s="124"/>
      <c r="K117" s="124"/>
      <c r="L117" s="124"/>
      <c r="M117" s="124"/>
      <c r="N117" s="124"/>
      <c r="O117" s="124"/>
      <c r="P117" s="124"/>
      <c r="Q117" s="124"/>
      <c r="R117" s="124"/>
      <c r="S117" s="124"/>
      <c r="T117" s="124"/>
    </row>
    <row r="118">
      <c r="A118" s="124"/>
      <c r="B118" s="124"/>
      <c r="C118" s="124"/>
      <c r="D118" s="124"/>
      <c r="E118" s="124"/>
      <c r="F118" s="124"/>
      <c r="G118" s="124"/>
      <c r="H118" s="124"/>
      <c r="I118" s="124"/>
      <c r="J118" s="124"/>
      <c r="K118" s="124"/>
      <c r="L118" s="124"/>
      <c r="M118" s="124"/>
      <c r="N118" s="124"/>
      <c r="O118" s="124"/>
      <c r="P118" s="124"/>
      <c r="Q118" s="124"/>
      <c r="R118" s="124"/>
      <c r="S118" s="124"/>
      <c r="T118" s="124"/>
    </row>
    <row r="119">
      <c r="A119" s="124"/>
      <c r="B119" s="124"/>
      <c r="C119" s="124"/>
      <c r="D119" s="124"/>
      <c r="E119" s="124"/>
      <c r="F119" s="124"/>
      <c r="G119" s="124"/>
      <c r="H119" s="124"/>
      <c r="I119" s="166"/>
      <c r="J119" s="124"/>
      <c r="K119" s="124"/>
      <c r="L119" s="124"/>
      <c r="M119" s="124"/>
      <c r="N119" s="124"/>
      <c r="O119" s="124"/>
      <c r="P119" s="124"/>
      <c r="Q119" s="124"/>
      <c r="R119" s="124"/>
      <c r="S119" s="124"/>
      <c r="T119" s="124"/>
    </row>
    <row r="120">
      <c r="A120" s="124"/>
      <c r="B120" s="124"/>
      <c r="C120" s="124"/>
      <c r="D120" s="124"/>
      <c r="E120" s="124"/>
      <c r="F120" s="124"/>
      <c r="G120" s="124"/>
      <c r="H120" s="124"/>
      <c r="I120" s="166"/>
      <c r="J120" s="124"/>
      <c r="K120" s="124"/>
      <c r="L120" s="124"/>
      <c r="M120" s="124"/>
      <c r="N120" s="124"/>
      <c r="O120" s="124"/>
      <c r="P120" s="124"/>
      <c r="Q120" s="124"/>
      <c r="R120" s="124"/>
      <c r="S120" s="124"/>
      <c r="T120" s="124"/>
    </row>
    <row r="121">
      <c r="A121" s="124"/>
      <c r="B121" s="124"/>
      <c r="C121" s="124"/>
      <c r="D121" s="124"/>
      <c r="E121" s="124"/>
      <c r="F121" s="124"/>
      <c r="G121" s="124"/>
      <c r="H121" s="124"/>
      <c r="I121" s="166"/>
      <c r="J121" s="124"/>
      <c r="K121" s="124"/>
      <c r="L121" s="124"/>
      <c r="M121" s="124"/>
      <c r="N121" s="124"/>
      <c r="O121" s="124"/>
      <c r="P121" s="124"/>
      <c r="Q121" s="124"/>
      <c r="R121" s="124"/>
      <c r="S121" s="124"/>
      <c r="T121" s="124"/>
    </row>
  </sheetData>
  <mergeCells count="11">
    <mergeCell ref="C52:E52"/>
    <mergeCell ref="B54:E54"/>
    <mergeCell ref="E92:F92"/>
    <mergeCell ref="A94:D94"/>
    <mergeCell ref="F1:G1"/>
    <mergeCell ref="A2:B2"/>
    <mergeCell ref="B6:F6"/>
    <mergeCell ref="O17:P17"/>
    <mergeCell ref="O18:P18"/>
    <mergeCell ref="A49:B49"/>
    <mergeCell ref="A50:B50"/>
  </mergeCells>
  <conditionalFormatting sqref="C50">
    <cfRule type="cellIs" dxfId="6" priority="1" operator="lessThan">
      <formula>0</formula>
    </cfRule>
  </conditionalFormatting>
  <dataValidations>
    <dataValidation type="list" allowBlank="1" showInputMessage="1" showErrorMessage="1" prompt="Click and enter a value from range Calculator!I2:I7" sqref="C52">
      <formula1>Calculator!$I$2:$I$8</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88"/>
    <col customWidth="1" min="2" max="2" width="5.38"/>
    <col customWidth="1" min="3" max="3" width="7.13"/>
    <col customWidth="1" min="4" max="4" width="7.75"/>
    <col customWidth="1" min="5" max="9" width="16.63"/>
    <col customWidth="1" min="10" max="10" width="12.13"/>
    <col customWidth="1" min="11" max="11" width="9.13"/>
    <col customWidth="1" min="12" max="12" width="17.0"/>
    <col customWidth="1" min="13" max="13" width="10.38"/>
    <col customWidth="1" min="14" max="14" width="10.25"/>
    <col customWidth="1" min="15" max="16" width="6.88"/>
    <col customWidth="1" min="17" max="17" width="7.63"/>
    <col customWidth="1" min="18" max="33" width="4.63"/>
    <col customWidth="1" min="34" max="34" width="9.13"/>
    <col customWidth="1" min="35" max="35" width="19.5"/>
    <col customWidth="1" min="36" max="39" width="12.13"/>
    <col customWidth="1" min="40" max="40" width="10.88"/>
    <col customWidth="1" min="41" max="41" width="10.13"/>
    <col customWidth="1" min="42" max="42" width="6.0"/>
    <col customWidth="1" min="43" max="45" width="6.63"/>
    <col customWidth="1" min="46" max="47" width="7.38"/>
    <col customWidth="1" min="48" max="63" width="3.63"/>
    <col customWidth="1" min="64" max="64" width="7.63"/>
    <col customWidth="1" min="65" max="65" width="8.13"/>
    <col customWidth="1" min="66" max="70" width="12.13"/>
    <col customWidth="1" min="71" max="71" width="10.88"/>
    <col customWidth="1" min="72" max="72" width="4.88"/>
    <col customWidth="1" min="73" max="74" width="6.0"/>
    <col customWidth="1" min="75" max="77" width="5.13"/>
    <col customWidth="1" min="78" max="94" width="3.63"/>
    <col customWidth="1" min="95" max="95" width="8.13"/>
    <col customWidth="1" min="96" max="96" width="5.88"/>
    <col customWidth="1" min="97" max="97" width="8.13"/>
    <col customWidth="1" min="98" max="98" width="20.25"/>
    <col customWidth="1" min="99" max="102" width="12.13"/>
    <col customWidth="1" min="103" max="103" width="10.88"/>
    <col customWidth="1" min="104" max="104" width="4.88"/>
    <col customWidth="1" min="105" max="106" width="6.0"/>
    <col customWidth="1" min="107" max="108" width="5.13"/>
    <col customWidth="1" min="109" max="109" width="5.88"/>
    <col customWidth="1" min="110" max="128" width="3.63"/>
    <col customWidth="1" min="129" max="129" width="5.88"/>
    <col customWidth="1" min="130" max="130" width="8.13"/>
    <col customWidth="1" min="131" max="135" width="12.13"/>
    <col customWidth="1" min="136" max="136" width="10.88"/>
    <col customWidth="1" min="137" max="137" width="5.13"/>
    <col customWidth="1" min="138" max="139" width="6.0"/>
    <col customWidth="1" min="140" max="140" width="5.13"/>
    <col customWidth="1" min="141" max="142" width="5.88"/>
    <col customWidth="1" min="143" max="159" width="3.63"/>
    <col customWidth="1" min="160" max="164" width="8.13"/>
  </cols>
  <sheetData>
    <row r="1" ht="24.75" customHeight="1">
      <c r="A1" s="212" t="s">
        <v>109</v>
      </c>
      <c r="B1" s="124"/>
      <c r="C1" s="124"/>
      <c r="D1" s="124"/>
      <c r="E1" s="213"/>
      <c r="F1" s="213"/>
      <c r="G1" s="213"/>
      <c r="H1" s="213"/>
      <c r="I1" s="213"/>
      <c r="J1" s="213"/>
      <c r="K1" s="213"/>
      <c r="L1" s="214" t="s">
        <v>61</v>
      </c>
      <c r="O1" s="215"/>
      <c r="P1" s="216"/>
      <c r="Q1" s="216"/>
      <c r="R1" s="216"/>
      <c r="S1" s="216"/>
      <c r="T1" s="216"/>
      <c r="U1" s="215"/>
      <c r="V1" s="215"/>
      <c r="W1" s="215"/>
      <c r="X1" s="215"/>
      <c r="Y1" s="215"/>
      <c r="Z1" s="215"/>
      <c r="AA1" s="215"/>
      <c r="AB1" s="215"/>
      <c r="AC1" s="215"/>
      <c r="AD1" s="215"/>
      <c r="AE1" s="215"/>
      <c r="AF1" s="215"/>
      <c r="AG1" s="215"/>
      <c r="AH1" s="215"/>
      <c r="AI1" s="215"/>
      <c r="AJ1" s="215"/>
      <c r="AK1" s="215"/>
      <c r="AL1" s="215"/>
      <c r="AM1" s="215"/>
      <c r="AN1" s="215"/>
      <c r="AO1" s="215"/>
      <c r="AP1" s="215"/>
      <c r="AQ1" s="215"/>
      <c r="AR1" s="215"/>
      <c r="AS1" s="215"/>
      <c r="AT1" s="215"/>
      <c r="AU1" s="215"/>
      <c r="AV1" s="215"/>
      <c r="AW1" s="215"/>
      <c r="AX1" s="215"/>
      <c r="AY1" s="215"/>
      <c r="AZ1" s="215"/>
      <c r="BA1" s="215"/>
      <c r="BB1" s="215"/>
      <c r="BC1" s="215"/>
      <c r="BD1" s="215"/>
      <c r="BE1" s="215"/>
      <c r="BF1" s="215"/>
      <c r="BG1" s="215"/>
      <c r="BH1" s="215"/>
      <c r="BI1" s="215"/>
      <c r="BJ1" s="215"/>
      <c r="BK1" s="215"/>
      <c r="BL1" s="215"/>
      <c r="BM1" s="215"/>
      <c r="BN1" s="215"/>
      <c r="BO1" s="215"/>
      <c r="BP1" s="215"/>
      <c r="BQ1" s="215"/>
      <c r="BR1" s="215"/>
      <c r="BS1" s="215"/>
      <c r="BT1" s="215"/>
      <c r="BU1" s="215"/>
      <c r="BV1" s="215"/>
      <c r="BW1" s="215"/>
      <c r="BX1" s="215"/>
      <c r="BY1" s="215"/>
      <c r="BZ1" s="215"/>
      <c r="CA1" s="215"/>
      <c r="CB1" s="215"/>
      <c r="CC1" s="215"/>
      <c r="CD1" s="215"/>
      <c r="CE1" s="215"/>
      <c r="CF1" s="215"/>
      <c r="CG1" s="215"/>
      <c r="CH1" s="215"/>
      <c r="CI1" s="215"/>
      <c r="CJ1" s="215"/>
      <c r="CK1" s="215"/>
      <c r="CL1" s="215"/>
      <c r="CM1" s="215"/>
      <c r="CN1" s="215"/>
      <c r="CO1" s="215"/>
      <c r="CP1" s="215"/>
      <c r="CQ1" s="215"/>
      <c r="CR1" s="215"/>
      <c r="CS1" s="215"/>
      <c r="CT1" s="215"/>
      <c r="CU1" s="215"/>
      <c r="CV1" s="215"/>
      <c r="CW1" s="215"/>
      <c r="CX1" s="215"/>
      <c r="CY1" s="215"/>
      <c r="CZ1" s="215"/>
      <c r="DA1" s="215"/>
      <c r="DB1" s="215"/>
      <c r="DC1" s="215"/>
      <c r="DD1" s="215"/>
      <c r="DE1" s="215"/>
      <c r="DF1" s="215"/>
      <c r="DG1" s="215"/>
      <c r="DH1" s="215"/>
      <c r="DI1" s="215"/>
      <c r="DJ1" s="215"/>
      <c r="DK1" s="215"/>
      <c r="DL1" s="215"/>
      <c r="DM1" s="215"/>
      <c r="DN1" s="215"/>
      <c r="DO1" s="215"/>
      <c r="DP1" s="215"/>
      <c r="DQ1" s="215"/>
      <c r="DR1" s="215"/>
      <c r="DS1" s="215"/>
      <c r="DT1" s="215"/>
      <c r="DU1" s="215"/>
      <c r="DV1" s="215"/>
      <c r="DW1" s="215"/>
      <c r="DX1" s="215"/>
      <c r="DY1" s="215"/>
      <c r="DZ1" s="215"/>
      <c r="EA1" s="215"/>
      <c r="EB1" s="215"/>
      <c r="EC1" s="215"/>
      <c r="ED1" s="215"/>
      <c r="EE1" s="215"/>
      <c r="EF1" s="215"/>
      <c r="EG1" s="215"/>
      <c r="EH1" s="215"/>
      <c r="EI1" s="215"/>
      <c r="EJ1" s="215"/>
      <c r="EK1" s="215"/>
      <c r="EL1" s="215"/>
      <c r="EM1" s="215"/>
      <c r="EN1" s="215"/>
      <c r="EO1" s="215"/>
      <c r="EP1" s="215"/>
      <c r="EQ1" s="215"/>
      <c r="ER1" s="215"/>
      <c r="ES1" s="215"/>
      <c r="ET1" s="215"/>
      <c r="EU1" s="215"/>
      <c r="EV1" s="215"/>
      <c r="EW1" s="215"/>
      <c r="EX1" s="215"/>
      <c r="EY1" s="215"/>
      <c r="EZ1" s="215"/>
      <c r="FA1" s="215"/>
      <c r="FB1" s="215"/>
      <c r="FC1" s="215"/>
      <c r="FD1" s="215"/>
      <c r="FE1" s="215"/>
      <c r="FF1" s="215"/>
      <c r="FG1" s="215"/>
      <c r="FH1" s="215"/>
    </row>
    <row r="2">
      <c r="A2" s="217" t="s">
        <v>110</v>
      </c>
      <c r="B2" s="215"/>
      <c r="C2" s="215"/>
      <c r="D2" s="215"/>
      <c r="E2" s="218"/>
      <c r="F2" s="218"/>
      <c r="G2" s="218"/>
      <c r="H2" s="218"/>
      <c r="I2" s="219" t="str">
        <f>HYPERLINK("https://www.vertex42.com/Calculators/debt-reduction-calculator.html","https://www.vertex42.com/Calculators/debt-reduction-calculator.html")</f>
        <v>https://www.vertex42.com/Calculators/debt-reduction-calculator.html</v>
      </c>
      <c r="O2" s="215"/>
      <c r="P2" s="216"/>
      <c r="Q2" s="216"/>
      <c r="R2" s="216"/>
      <c r="S2" s="216"/>
      <c r="T2" s="216"/>
      <c r="U2" s="215"/>
      <c r="V2" s="215"/>
      <c r="W2" s="215"/>
      <c r="X2" s="215"/>
      <c r="Y2" s="215"/>
      <c r="Z2" s="215"/>
      <c r="AA2" s="215"/>
      <c r="AB2" s="215"/>
      <c r="AC2" s="215"/>
      <c r="AD2" s="215"/>
      <c r="AE2" s="215"/>
      <c r="AF2" s="215"/>
      <c r="AG2" s="215"/>
      <c r="AH2" s="215"/>
      <c r="AI2" s="220"/>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c r="CY2" s="215"/>
      <c r="CZ2" s="215"/>
      <c r="DA2" s="215"/>
      <c r="DB2" s="215"/>
      <c r="DC2" s="215"/>
      <c r="DD2" s="215"/>
      <c r="DE2" s="215"/>
      <c r="DF2" s="215"/>
      <c r="DG2" s="215"/>
      <c r="DH2" s="215"/>
      <c r="DI2" s="215"/>
      <c r="DJ2" s="215"/>
      <c r="DK2" s="215"/>
      <c r="DL2" s="215"/>
      <c r="DM2" s="215"/>
      <c r="DN2" s="215"/>
      <c r="DO2" s="215"/>
      <c r="DP2" s="215"/>
      <c r="DQ2" s="215"/>
      <c r="DR2" s="215"/>
      <c r="DS2" s="215"/>
      <c r="DT2" s="215"/>
      <c r="DU2" s="215"/>
      <c r="DV2" s="215"/>
      <c r="DW2" s="215"/>
      <c r="DX2" s="215"/>
      <c r="DY2" s="215"/>
      <c r="DZ2" s="215"/>
      <c r="EA2" s="215"/>
      <c r="EB2" s="215"/>
      <c r="EC2" s="215"/>
      <c r="ED2" s="215"/>
      <c r="EE2" s="215"/>
      <c r="EF2" s="215"/>
      <c r="EG2" s="215"/>
      <c r="EH2" s="215"/>
      <c r="EI2" s="215"/>
      <c r="EJ2" s="215"/>
      <c r="EK2" s="215"/>
      <c r="EL2" s="215"/>
      <c r="EM2" s="215"/>
      <c r="EN2" s="215"/>
      <c r="EO2" s="215"/>
      <c r="EP2" s="215"/>
      <c r="EQ2" s="215"/>
      <c r="ER2" s="215"/>
      <c r="ES2" s="215"/>
      <c r="ET2" s="215"/>
      <c r="EU2" s="215"/>
      <c r="EV2" s="215"/>
      <c r="EW2" s="215"/>
      <c r="EX2" s="215"/>
      <c r="EY2" s="215"/>
      <c r="EZ2" s="215"/>
      <c r="FA2" s="215"/>
      <c r="FB2" s="215"/>
      <c r="FC2" s="215"/>
      <c r="FD2" s="215"/>
      <c r="FE2" s="215"/>
      <c r="FF2" s="215"/>
      <c r="FG2" s="215"/>
      <c r="FH2" s="215"/>
    </row>
    <row r="3">
      <c r="A3" s="215"/>
      <c r="B3" s="215"/>
      <c r="C3" s="215"/>
      <c r="D3" s="215"/>
      <c r="E3" s="215"/>
      <c r="F3" s="215"/>
      <c r="G3" s="215"/>
      <c r="H3" s="215"/>
      <c r="I3" s="215"/>
      <c r="J3" s="215"/>
      <c r="K3" s="215"/>
      <c r="L3" s="215"/>
      <c r="M3" s="215"/>
      <c r="N3" s="215"/>
      <c r="O3" s="215"/>
      <c r="P3" s="216"/>
      <c r="Q3" s="216"/>
      <c r="R3" s="216"/>
      <c r="S3" s="216"/>
      <c r="T3" s="216"/>
      <c r="U3" s="215"/>
      <c r="V3" s="215"/>
      <c r="W3" s="215"/>
      <c r="X3" s="215"/>
      <c r="Y3" s="215"/>
      <c r="Z3" s="215"/>
      <c r="AA3" s="215"/>
      <c r="AB3" s="215"/>
      <c r="AC3" s="215"/>
      <c r="AD3" s="215"/>
      <c r="AE3" s="215"/>
      <c r="AF3" s="215"/>
      <c r="AG3" s="215"/>
      <c r="AH3" s="215"/>
      <c r="AI3" s="215"/>
      <c r="AJ3" s="215"/>
      <c r="AK3" s="215"/>
      <c r="AL3" s="220"/>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c r="CY3" s="215"/>
      <c r="CZ3" s="215"/>
      <c r="DA3" s="215"/>
      <c r="DB3" s="215"/>
      <c r="DC3" s="215"/>
      <c r="DD3" s="215"/>
      <c r="DE3" s="215"/>
      <c r="DF3" s="215"/>
      <c r="DG3" s="215"/>
      <c r="DH3" s="215"/>
      <c r="DI3" s="215"/>
      <c r="DJ3" s="215"/>
      <c r="DK3" s="215"/>
      <c r="DL3" s="215"/>
      <c r="DM3" s="215"/>
      <c r="DN3" s="215"/>
      <c r="DO3" s="215"/>
      <c r="DP3" s="215"/>
      <c r="DQ3" s="215"/>
      <c r="DR3" s="215"/>
      <c r="DS3" s="215"/>
      <c r="DT3" s="215"/>
      <c r="DU3" s="215"/>
      <c r="DV3" s="215"/>
      <c r="DW3" s="215"/>
      <c r="DX3" s="215"/>
      <c r="DY3" s="215"/>
      <c r="DZ3" s="215"/>
      <c r="EA3" s="215"/>
      <c r="EB3" s="215"/>
      <c r="EC3" s="215"/>
      <c r="ED3" s="215"/>
      <c r="EE3" s="215"/>
      <c r="EF3" s="215"/>
      <c r="EG3" s="215"/>
      <c r="EH3" s="215"/>
      <c r="EI3" s="215"/>
      <c r="EJ3" s="215"/>
      <c r="EK3" s="215"/>
      <c r="EL3" s="215"/>
      <c r="EM3" s="215"/>
      <c r="EN3" s="215"/>
      <c r="EO3" s="215"/>
      <c r="EP3" s="215"/>
      <c r="EQ3" s="215"/>
      <c r="ER3" s="215"/>
      <c r="ES3" s="215"/>
      <c r="ET3" s="215"/>
      <c r="EU3" s="215"/>
      <c r="EV3" s="215"/>
      <c r="EW3" s="215"/>
      <c r="EX3" s="215"/>
      <c r="EY3" s="215"/>
      <c r="EZ3" s="215"/>
      <c r="FA3" s="215"/>
      <c r="FB3" s="215"/>
      <c r="FC3" s="215"/>
      <c r="FD3" s="215"/>
      <c r="FE3" s="215"/>
      <c r="FF3" s="215"/>
      <c r="FG3" s="215"/>
      <c r="FH3" s="215"/>
    </row>
    <row r="4" ht="15.0" customHeight="1">
      <c r="A4" s="221" t="s">
        <v>93</v>
      </c>
      <c r="E4" s="222" t="str">
        <f t="array" ref="E4">INDEX(Calculator!I2:I8,Calculator!strategy)</f>
        <v>Snowball (Lowest Balance First)</v>
      </c>
      <c r="K4" s="215"/>
      <c r="L4" s="215"/>
      <c r="M4" s="215"/>
      <c r="N4" s="215"/>
      <c r="O4" s="215"/>
      <c r="P4" s="216"/>
      <c r="Q4" s="216"/>
      <c r="R4" s="216"/>
      <c r="S4" s="216"/>
      <c r="T4" s="216"/>
      <c r="U4" s="215"/>
      <c r="V4" s="215"/>
      <c r="W4" s="215"/>
      <c r="X4" s="215"/>
      <c r="Y4" s="215"/>
      <c r="Z4" s="215"/>
      <c r="AA4" s="215"/>
      <c r="AB4" s="215"/>
      <c r="AC4" s="215"/>
      <c r="AD4" s="215"/>
      <c r="AE4" s="215"/>
      <c r="AF4" s="215"/>
      <c r="AG4" s="215"/>
      <c r="AH4" s="215"/>
      <c r="AI4" s="215"/>
      <c r="AJ4" s="215"/>
      <c r="AK4" s="220"/>
      <c r="AL4" s="220"/>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c r="CY4" s="215"/>
      <c r="CZ4" s="215"/>
      <c r="DA4" s="215"/>
      <c r="DB4" s="215"/>
      <c r="DC4" s="215"/>
      <c r="DD4" s="215"/>
      <c r="DE4" s="215"/>
      <c r="DF4" s="215"/>
      <c r="DG4" s="215"/>
      <c r="DH4" s="215"/>
      <c r="DI4" s="215"/>
      <c r="DJ4" s="215"/>
      <c r="DK4" s="215"/>
      <c r="DL4" s="215"/>
      <c r="DM4" s="215"/>
      <c r="DN4" s="215"/>
      <c r="DO4" s="215"/>
      <c r="DP4" s="215"/>
      <c r="DQ4" s="215"/>
      <c r="DR4" s="215"/>
      <c r="DS4" s="215"/>
      <c r="DT4" s="215"/>
      <c r="DU4" s="215"/>
      <c r="DV4" s="215"/>
      <c r="DW4" s="215"/>
      <c r="DX4" s="215"/>
      <c r="DY4" s="215"/>
      <c r="DZ4" s="215"/>
      <c r="EA4" s="215"/>
      <c r="EB4" s="215"/>
      <c r="EC4" s="215"/>
      <c r="ED4" s="215"/>
      <c r="EE4" s="215"/>
      <c r="EF4" s="215"/>
      <c r="EG4" s="215"/>
      <c r="EH4" s="215"/>
      <c r="EI4" s="215"/>
      <c r="EJ4" s="215"/>
      <c r="EK4" s="215"/>
      <c r="EL4" s="215"/>
      <c r="EM4" s="215"/>
      <c r="EN4" s="215"/>
      <c r="EO4" s="215"/>
      <c r="EP4" s="215"/>
      <c r="EQ4" s="215"/>
      <c r="ER4" s="215"/>
      <c r="ES4" s="215"/>
      <c r="ET4" s="215"/>
      <c r="EU4" s="215"/>
      <c r="EV4" s="215"/>
      <c r="EW4" s="215"/>
      <c r="EX4" s="215"/>
      <c r="EY4" s="215"/>
      <c r="EZ4" s="215"/>
      <c r="FA4" s="215"/>
      <c r="FB4" s="215"/>
      <c r="FC4" s="215"/>
      <c r="FD4" s="215"/>
      <c r="FE4" s="215"/>
      <c r="FF4" s="215"/>
      <c r="FG4" s="215"/>
      <c r="FH4" s="215"/>
    </row>
    <row r="5" ht="15.0" customHeight="1">
      <c r="A5" s="221" t="s">
        <v>111</v>
      </c>
      <c r="E5" s="223">
        <f>IF(NOT(Calculator!snowball),"Variable",Calculator!C49)</f>
        <v>3862</v>
      </c>
      <c r="G5" s="215"/>
      <c r="H5" s="215"/>
      <c r="I5" s="215"/>
      <c r="J5" s="215"/>
      <c r="K5" s="215"/>
      <c r="L5" s="215"/>
      <c r="M5" s="215"/>
      <c r="N5" s="215"/>
      <c r="O5" s="215"/>
      <c r="P5" s="216"/>
      <c r="Q5" s="216"/>
      <c r="R5" s="216"/>
      <c r="S5" s="216"/>
      <c r="T5" s="216"/>
      <c r="U5" s="215"/>
      <c r="V5" s="215"/>
      <c r="W5" s="215"/>
      <c r="X5" s="215"/>
      <c r="Y5" s="215"/>
      <c r="Z5" s="215"/>
      <c r="AA5" s="215"/>
      <c r="AB5" s="215"/>
      <c r="AC5" s="215"/>
      <c r="AD5" s="215"/>
      <c r="AE5" s="215"/>
      <c r="AF5" s="215"/>
      <c r="AG5" s="215"/>
      <c r="AH5" s="215"/>
      <c r="AI5" s="215"/>
      <c r="AJ5" s="215"/>
      <c r="AK5" s="220"/>
      <c r="AL5" s="220"/>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c r="DI5" s="215"/>
      <c r="DJ5" s="215"/>
      <c r="DK5" s="215"/>
      <c r="DL5" s="215"/>
      <c r="DM5" s="215"/>
      <c r="DN5" s="215"/>
      <c r="DO5" s="215"/>
      <c r="DP5" s="215"/>
      <c r="DQ5" s="215"/>
      <c r="DR5" s="215"/>
      <c r="DS5" s="215"/>
      <c r="DT5" s="215"/>
      <c r="DU5" s="215"/>
      <c r="DV5" s="215"/>
      <c r="DW5" s="215"/>
      <c r="DX5" s="215"/>
      <c r="DY5" s="215"/>
      <c r="DZ5" s="215"/>
      <c r="EA5" s="215"/>
      <c r="EB5" s="215"/>
      <c r="EC5" s="215"/>
      <c r="ED5" s="215"/>
      <c r="EE5" s="215"/>
      <c r="EF5" s="215"/>
      <c r="EG5" s="215"/>
      <c r="EH5" s="215"/>
      <c r="EI5" s="215"/>
      <c r="EJ5" s="215"/>
      <c r="EK5" s="215"/>
      <c r="EL5" s="215"/>
      <c r="EM5" s="215"/>
      <c r="EN5" s="215"/>
      <c r="EO5" s="215"/>
      <c r="EP5" s="215"/>
      <c r="EQ5" s="215"/>
      <c r="ER5" s="215"/>
      <c r="ES5" s="215"/>
      <c r="ET5" s="215"/>
      <c r="EU5" s="215"/>
      <c r="EV5" s="215"/>
      <c r="EW5" s="215"/>
      <c r="EX5" s="215"/>
      <c r="EY5" s="215"/>
      <c r="EZ5" s="215"/>
      <c r="FA5" s="215"/>
      <c r="FB5" s="215"/>
      <c r="FC5" s="215"/>
      <c r="FD5" s="215"/>
      <c r="FE5" s="215"/>
      <c r="FF5" s="215"/>
      <c r="FG5" s="215"/>
      <c r="FH5" s="215"/>
    </row>
    <row r="6">
      <c r="A6" s="215"/>
      <c r="B6" s="215"/>
      <c r="C6" s="215"/>
      <c r="D6" s="215"/>
      <c r="E6" s="215"/>
      <c r="F6" s="215"/>
      <c r="G6" s="215"/>
      <c r="H6" s="215"/>
      <c r="I6" s="215"/>
      <c r="J6" s="215"/>
      <c r="K6" s="215"/>
      <c r="L6" s="215"/>
      <c r="M6" s="215"/>
      <c r="N6" s="215"/>
      <c r="O6" s="215"/>
      <c r="P6" s="216"/>
      <c r="Q6" s="216"/>
      <c r="R6" s="216"/>
      <c r="S6" s="216"/>
      <c r="T6" s="216"/>
      <c r="U6" s="215"/>
      <c r="V6" s="215"/>
      <c r="W6" s="215"/>
      <c r="X6" s="215"/>
      <c r="Y6" s="215"/>
      <c r="Z6" s="215"/>
      <c r="AA6" s="215"/>
      <c r="AB6" s="215"/>
      <c r="AC6" s="215"/>
      <c r="AD6" s="215"/>
      <c r="AE6" s="215"/>
      <c r="AF6" s="215"/>
      <c r="AG6" s="215"/>
      <c r="AH6" s="215"/>
      <c r="AI6" s="215"/>
      <c r="AJ6" s="215"/>
      <c r="AK6" s="224" t="s">
        <v>112</v>
      </c>
      <c r="AL6" s="220" t="s">
        <v>113</v>
      </c>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5"/>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c r="CU6" s="215"/>
      <c r="CV6" s="215"/>
      <c r="CW6" s="215"/>
      <c r="CX6" s="215"/>
      <c r="CY6" s="215"/>
      <c r="CZ6" s="215"/>
      <c r="DA6" s="215"/>
      <c r="DB6" s="215"/>
      <c r="DC6" s="215"/>
      <c r="DD6" s="215"/>
      <c r="DE6" s="215"/>
      <c r="DF6" s="215"/>
      <c r="DG6" s="215"/>
      <c r="DH6" s="215"/>
      <c r="DI6" s="215"/>
      <c r="DJ6" s="215"/>
      <c r="DK6" s="215"/>
      <c r="DL6" s="215"/>
      <c r="DM6" s="215"/>
      <c r="DN6" s="215"/>
      <c r="DO6" s="215"/>
      <c r="DP6" s="215"/>
      <c r="DQ6" s="215"/>
      <c r="DR6" s="215"/>
      <c r="DS6" s="215"/>
      <c r="DT6" s="215"/>
      <c r="DU6" s="215"/>
      <c r="DV6" s="215"/>
      <c r="DW6" s="215"/>
      <c r="DX6" s="215"/>
      <c r="DY6" s="215"/>
      <c r="DZ6" s="215"/>
      <c r="EA6" s="215"/>
      <c r="EB6" s="215"/>
      <c r="EC6" s="215"/>
      <c r="ED6" s="215"/>
      <c r="EE6" s="215"/>
      <c r="EF6" s="215"/>
      <c r="EG6" s="215"/>
      <c r="EH6" s="215"/>
      <c r="EI6" s="215"/>
      <c r="EJ6" s="215"/>
      <c r="EK6" s="215"/>
      <c r="EL6" s="215"/>
      <c r="EM6" s="215"/>
      <c r="EN6" s="215"/>
      <c r="EO6" s="215"/>
      <c r="EP6" s="215"/>
      <c r="EQ6" s="215"/>
      <c r="ER6" s="215"/>
      <c r="ES6" s="215"/>
      <c r="ET6" s="215"/>
      <c r="EU6" s="215"/>
      <c r="EV6" s="215"/>
      <c r="EW6" s="215"/>
      <c r="EX6" s="215"/>
      <c r="EY6" s="215"/>
      <c r="EZ6" s="215"/>
      <c r="FA6" s="215"/>
      <c r="FB6" s="215"/>
      <c r="FC6" s="215"/>
      <c r="FD6" s="215"/>
      <c r="FE6" s="215"/>
      <c r="FF6" s="215"/>
      <c r="FG6" s="215"/>
      <c r="FH6" s="215"/>
    </row>
    <row r="7" ht="14.25" customHeight="1">
      <c r="A7" s="225" t="s">
        <v>114</v>
      </c>
      <c r="E7" s="226" t="str">
        <f t="array" ref="E7">IF(ISERROR(Order!B73),"",IF(ISBLANK(INDEX(Calculator!$B$8:$B$46,Order!B73))," - ",INDEX(Calculator!$B$8:$B$46,Order!B73)))</f>
        <v>Christmas Affirm 3</v>
      </c>
      <c r="F7" s="226" t="str">
        <f t="array" ref="F7">IF(ISERROR(Order!C73),"",IF(ISBLANK(INDEX(Calculator!$B$8:$B$46,Order!C73))," - ",INDEX(Calculator!$B$8:$B$46,Order!C73)))</f>
        <v>Christmas Affirm 1</v>
      </c>
      <c r="G7" s="226" t="str">
        <f t="array" ref="G7">IF(ISERROR(Order!D73),"",IF(ISBLANK(INDEX(Calculator!$B$8:$B$46,Order!D73))," - ",INDEX(Calculator!$B$8:$B$46,Order!D73)))</f>
        <v>Christmas Affirm 2</v>
      </c>
      <c r="H7" s="226" t="str">
        <f t="array" ref="H7">IF(ISERROR(Order!E73),"",IF(ISBLANK(INDEX(Calculator!$B$8:$B$46,Order!E73))," - ",INDEX(Calculator!$B$8:$B$46,Order!E73)))</f>
        <v>Christmas Affirm 4</v>
      </c>
      <c r="I7" s="226" t="str">
        <f t="array" ref="I7">IF(ISERROR(Order!F73),"",IF(ISBLANK(INDEX(Calculator!$B$8:$B$46,Order!F73))," - ",INDEX(Calculator!$B$8:$B$46,Order!F73)))</f>
        <v>Christmas Affirm 5</v>
      </c>
      <c r="J7" s="226" t="str">
        <f t="array" ref="J7">IF(ISERROR(Order!G73),"",IF(ISBLANK(INDEX(Calculator!$B$8:$B$46,Order!G73))," - ",INDEX(Calculator!$B$8:$B$46,Order!G73)))</f>
        <v>Emergency Loan</v>
      </c>
      <c r="K7" s="226" t="str">
        <f t="array" ref="K7">IF(ISERROR(Order!H73),"",IF(ISBLANK(INDEX(Calculator!$B$8:$B$46,Order!H73))," - ",INDEX(Calculator!$B$8:$B$46,Order!H73)))</f>
        <v>James Braces</v>
      </c>
      <c r="L7" s="226" t="str">
        <f t="array" ref="L7">IF(ISERROR(Order!I73),"",IF(ISBLANK(INDEX(Calculator!$B$8:$B$46,Order!I73))," - ",INDEX(Calculator!$B$8:$B$46,Order!I73)))</f>
        <v>Tia Cap One</v>
      </c>
      <c r="M7" s="226" t="str">
        <f t="array" ref="M7">IF(ISERROR(Order!J73),"",IF(ISBLANK(INDEX(Calculator!$B$8:$B$46,Order!J73))," - ",INDEX(Calculator!$B$8:$B$46,Order!J73)))</f>
        <v>John Cap One</v>
      </c>
      <c r="N7" s="226" t="str">
        <f t="array" ref="N7">IF(ISERROR(Order!K73),"",IF(ISBLANK(INDEX(Calculator!$B$8:$B$46,Order!K73))," - ",INDEX(Calculator!$B$8:$B$46,Order!K73)))</f>
        <v>Upgrade Loan</v>
      </c>
      <c r="O7" s="226" t="str">
        <f t="array" ref="O7">IF(ISERROR(Order!L73),"",IF(ISBLANK(INDEX(Calculator!$B$8:$B$46,Order!L73))," - ",INDEX(Calculator!$B$8:$B$46,Order!L73)))</f>
        <v>Tesla</v>
      </c>
      <c r="P7" s="227" t="str">
        <f t="array" ref="P7">IF(ISERROR(Order!M73),"",IF(ISBLANK(INDEX(Calculator!$B$8:$B$46,Order!M73))," - ",INDEX(Calculator!$B$8:$B$46,Order!M73)))</f>
        <v>La'Kia</v>
      </c>
      <c r="Q7" s="227" t="str">
        <f t="array" ref="Q7">IF(ISERROR(Order!N73),"",IF(ISBLANK(INDEX(Calculator!$B$8:$B$46,Order!N73))," - ",INDEX(Calculator!$B$8:$B$46,Order!N73)))</f>
        <v>Mortgage</v>
      </c>
      <c r="R7" s="126" t="str">
        <f t="array" ref="R7">IF(ISERROR(Order!O73),"",IF(ISBLANK(INDEX(Calculator!$B$8:$B$46,Order!O73))," - ",INDEX(Calculator!$B$8:$B$46,Order!O73)))</f>
        <v/>
      </c>
      <c r="S7" s="126" t="str">
        <f t="array" ref="S7">IF(ISERROR(Order!P73),"",IF(ISBLANK(INDEX(Calculator!$B$8:$B$46,Order!P73))," - ",INDEX(Calculator!$B$8:$B$46,Order!P73)))</f>
        <v/>
      </c>
      <c r="T7" s="126" t="str">
        <f t="array" ref="T7">IF(ISERROR(Order!Q73),"",IF(ISBLANK(INDEX(Calculator!$B$8:$B$46,Order!Q73))," - ",INDEX(Calculator!$B$8:$B$46,Order!Q73)))</f>
        <v/>
      </c>
      <c r="U7" s="228" t="str">
        <f t="array" ref="U7">IF(ISERROR(Order!R73),"",IF(ISBLANK(INDEX(Calculator!$B$8:$B$46,Order!R73))," - ",INDEX(Calculator!$B$8:$B$46,Order!R73)))</f>
        <v/>
      </c>
      <c r="V7" s="228" t="str">
        <f t="array" ref="V7">IF(ISERROR(Order!S73),"",IF(ISBLANK(INDEX(Calculator!$B$8:$B$46,Order!S73))," - ",INDEX(Calculator!$B$8:$B$46,Order!S73)))</f>
        <v/>
      </c>
      <c r="W7" s="228" t="str">
        <f t="array" ref="W7">IF(ISERROR(Order!T73),"",IF(ISBLANK(INDEX(Calculator!$B$8:$B$46,Order!T73))," - ",INDEX(Calculator!$B$8:$B$46,Order!T73)))</f>
        <v/>
      </c>
      <c r="X7" s="228" t="str">
        <f t="array" ref="X7">IF(ISERROR(Order!U73),"",IF(ISBLANK(INDEX(Calculator!$B$8:$B$46,Order!U73))," - ",INDEX(Calculator!$B$8:$B$46,Order!U73)))</f>
        <v/>
      </c>
      <c r="Y7" s="228" t="str">
        <f t="array" ref="Y7">IF(ISERROR(Order!V73),"",IF(ISBLANK(INDEX(Calculator!$B$8:$B$46,Order!V73))," - ",INDEX(Calculator!$B$8:$B$46,Order!V73)))</f>
        <v/>
      </c>
      <c r="Z7" s="228" t="str">
        <f t="array" ref="Z7">IF(ISERROR(Order!W73),"",IF(ISBLANK(INDEX(Calculator!$B$8:$B$46,Order!W73))," - ",INDEX(Calculator!$B$8:$B$46,Order!W73)))</f>
        <v/>
      </c>
      <c r="AA7" s="228" t="str">
        <f t="array" ref="AA7">IF(ISERROR(Order!X73),"",IF(ISBLANK(INDEX(Calculator!$B$8:$B$46,Order!X73))," - ",INDEX(Calculator!$B$8:$B$46,Order!X73)))</f>
        <v/>
      </c>
      <c r="AB7" s="228" t="str">
        <f t="array" ref="AB7">IF(ISERROR(Order!Y73),"",IF(ISBLANK(INDEX(Calculator!$B$8:$B$46,Order!Y73))," - ",INDEX(Calculator!$B$8:$B$46,Order!Y73)))</f>
        <v/>
      </c>
      <c r="AC7" s="228" t="str">
        <f t="array" ref="AC7">IF(ISERROR(Order!Z73),"",IF(ISBLANK(INDEX(Calculator!$B$8:$B$46,Order!Z73))," - ",INDEX(Calculator!$B$8:$B$46,Order!Z73)))</f>
        <v/>
      </c>
      <c r="AD7" s="228" t="str">
        <f t="array" ref="AD7">IF(ISERROR(Order!AA73),"",IF(ISBLANK(INDEX(Calculator!$B$8:$B$46,Order!AA73))," - ",INDEX(Calculator!$B$8:$B$46,Order!AA73)))</f>
        <v/>
      </c>
      <c r="AE7" s="228" t="str">
        <f t="array" ref="AE7">IF(ISERROR(Order!AB73),"",IF(ISBLANK(INDEX(Calculator!$B$8:$B$46,Order!AB73))," - ",INDEX(Calculator!$B$8:$B$46,Order!AB73)))</f>
        <v/>
      </c>
      <c r="AF7" s="228" t="str">
        <f t="array" ref="AF7">IF(ISERROR(Order!AC73),"",IF(ISBLANK(INDEX(Calculator!$B$8:$B$46,Order!AC73))," - ",INDEX(Calculator!$B$8:$B$46,Order!AC73)))</f>
        <v/>
      </c>
      <c r="AG7" s="228" t="str">
        <f t="array" ref="AG7">IF(ISERROR(Order!AD73),"",IF(ISBLANK(INDEX(Calculator!$B$8:$B$46,Order!AD73))," - ",INDEX(Calculator!$B$8:$B$46,Order!AD73)))</f>
        <v/>
      </c>
      <c r="AH7" s="228" t="str">
        <f t="array" ref="AH7">IF(ISERROR(Order!AE73),"",IF(ISBLANK(INDEX(Calculator!$B$8:$B$46,Order!AE73))," - ",INDEX(Calculator!$B$8:$B$46,Order!AE73)))</f>
        <v/>
      </c>
      <c r="AI7" s="215"/>
      <c r="AJ7" s="215"/>
      <c r="AK7" s="229">
        <f>MATCH(B21,$B$21:$B356,0)</f>
        <v>1</v>
      </c>
      <c r="AL7" s="230">
        <f>MATCH('Jan 2025'!P28,$E19:$AG19,0)</f>
        <v>8</v>
      </c>
      <c r="AM7" s="215"/>
      <c r="AN7" s="215"/>
      <c r="AO7" s="215"/>
      <c r="AP7" s="215"/>
      <c r="AQ7" s="215"/>
      <c r="AR7" s="215"/>
      <c r="AS7" s="215"/>
      <c r="AT7" s="215"/>
      <c r="AU7" s="215"/>
      <c r="AV7" s="215"/>
      <c r="AW7" s="215"/>
      <c r="AX7" s="215"/>
      <c r="AY7" s="215"/>
      <c r="AZ7" s="215"/>
      <c r="BA7" s="215"/>
      <c r="BB7" s="215"/>
      <c r="BC7" s="215"/>
      <c r="BD7" s="215"/>
      <c r="BE7" s="215"/>
      <c r="BF7" s="215"/>
      <c r="BG7" s="215"/>
      <c r="BH7" s="215"/>
      <c r="BI7" s="215"/>
      <c r="BJ7" s="215"/>
      <c r="BK7" s="215"/>
      <c r="BL7" s="215"/>
      <c r="BM7" s="215"/>
      <c r="BN7" s="215"/>
      <c r="BO7" s="215"/>
      <c r="BP7" s="215"/>
      <c r="BQ7" s="215"/>
      <c r="BR7" s="215"/>
      <c r="BS7" s="215"/>
      <c r="BT7" s="215"/>
      <c r="BU7" s="215"/>
      <c r="BV7" s="215"/>
      <c r="BW7" s="215"/>
      <c r="BX7" s="215"/>
      <c r="BY7" s="215"/>
      <c r="BZ7" s="215"/>
      <c r="CA7" s="215"/>
      <c r="CB7" s="215"/>
      <c r="CC7" s="215"/>
      <c r="CD7" s="215"/>
      <c r="CE7" s="215"/>
      <c r="CF7" s="215"/>
      <c r="CG7" s="215"/>
      <c r="CH7" s="215"/>
      <c r="CI7" s="215"/>
      <c r="CJ7" s="215"/>
      <c r="CK7" s="215"/>
      <c r="CL7" s="215"/>
      <c r="CM7" s="215"/>
      <c r="CN7" s="215"/>
      <c r="CO7" s="215"/>
      <c r="CP7" s="215"/>
      <c r="CQ7" s="215"/>
      <c r="CR7" s="215"/>
      <c r="CS7" s="215"/>
      <c r="CT7" s="215"/>
      <c r="CU7" s="215"/>
      <c r="CV7" s="215"/>
      <c r="CW7" s="215"/>
      <c r="CX7" s="215"/>
      <c r="CY7" s="215"/>
      <c r="CZ7" s="215"/>
      <c r="DA7" s="215"/>
      <c r="DB7" s="215"/>
      <c r="DC7" s="215"/>
      <c r="DD7" s="215"/>
      <c r="DE7" s="215"/>
      <c r="DF7" s="215"/>
      <c r="DG7" s="215"/>
      <c r="DH7" s="215"/>
      <c r="DI7" s="215"/>
      <c r="DJ7" s="215"/>
      <c r="DK7" s="215"/>
      <c r="DL7" s="215"/>
      <c r="DM7" s="215"/>
      <c r="DN7" s="215"/>
      <c r="DO7" s="215"/>
      <c r="DP7" s="215"/>
      <c r="DQ7" s="215"/>
      <c r="DR7" s="215"/>
      <c r="DS7" s="215"/>
      <c r="DT7" s="215"/>
      <c r="DU7" s="215"/>
      <c r="DV7" s="215"/>
      <c r="DW7" s="215"/>
      <c r="DX7" s="215"/>
      <c r="DY7" s="215"/>
      <c r="DZ7" s="215"/>
      <c r="EA7" s="215"/>
      <c r="EB7" s="215"/>
      <c r="EC7" s="215"/>
      <c r="ED7" s="215"/>
      <c r="EE7" s="215"/>
      <c r="EF7" s="215"/>
      <c r="EG7" s="215"/>
      <c r="EH7" s="215"/>
      <c r="EI7" s="215"/>
      <c r="EJ7" s="215"/>
      <c r="EK7" s="215"/>
      <c r="EL7" s="215"/>
      <c r="EM7" s="215"/>
      <c r="EN7" s="215"/>
      <c r="EO7" s="215"/>
      <c r="EP7" s="215"/>
      <c r="EQ7" s="215"/>
      <c r="ER7" s="215"/>
      <c r="ES7" s="215"/>
      <c r="ET7" s="215"/>
      <c r="EU7" s="215"/>
      <c r="EV7" s="215"/>
      <c r="EW7" s="215"/>
      <c r="EX7" s="215"/>
      <c r="EY7" s="215"/>
      <c r="EZ7" s="215"/>
      <c r="FA7" s="215"/>
      <c r="FB7" s="215"/>
      <c r="FC7" s="215"/>
      <c r="FD7" s="215"/>
      <c r="FE7" s="215"/>
      <c r="FF7" s="215"/>
      <c r="FG7" s="215"/>
      <c r="FH7" s="215"/>
    </row>
    <row r="8">
      <c r="A8" s="231" t="s">
        <v>115</v>
      </c>
      <c r="E8" s="232">
        <f t="array" ref="E8">IF(ISERROR(Order!B73),0,INDEX(Calculator!$C$8:$C$46,Order!B73))</f>
        <v>26.86</v>
      </c>
      <c r="F8" s="232">
        <f t="array" ref="F8">IF(ISERROR(Order!C73),0,INDEX(Calculator!$C$8:$C$46,Order!C73))</f>
        <v>35.72</v>
      </c>
      <c r="G8" s="232">
        <f t="array" ref="G8">IF(ISERROR(Order!D73),0,INDEX(Calculator!$C$8:$C$46,Order!D73))</f>
        <v>51.83</v>
      </c>
      <c r="H8" s="232">
        <f t="array" ref="H8">IF(ISERROR(Order!E73),0,INDEX(Calculator!$C$8:$C$46,Order!E73))</f>
        <v>162.21</v>
      </c>
      <c r="I8" s="232">
        <f t="array" ref="I8">IF(ISERROR(Order!F73),0,INDEX(Calculator!$C$8:$C$46,Order!F73))</f>
        <v>240.34</v>
      </c>
      <c r="J8" s="232">
        <f t="array" ref="J8">IF(ISERROR(Order!G73),0,INDEX(Calculator!$C$8:$C$46,Order!G73))</f>
        <v>609.55</v>
      </c>
      <c r="K8" s="232">
        <f t="array" ref="K8">IF(ISERROR(Order!H73),0,INDEX(Calculator!$C$8:$C$46,Order!H73))</f>
        <v>3100</v>
      </c>
      <c r="L8" s="232">
        <f t="array" ref="L8">IF(ISERROR(Order!I73),0,INDEX(Calculator!$C$8:$C$46,Order!I73))</f>
        <v>3200</v>
      </c>
      <c r="M8" s="232">
        <f t="array" ref="M8">IF(ISERROR(Order!J73),0,INDEX(Calculator!$C$8:$C$46,Order!J73))</f>
        <v>3800</v>
      </c>
      <c r="N8" s="232">
        <f t="array" ref="N8">IF(ISERROR(Order!K73),0,INDEX(Calculator!$C$8:$C$46,Order!K73))</f>
        <v>15650.03</v>
      </c>
      <c r="O8" s="232">
        <f t="array" ref="O8">IF(ISERROR(Order!L73),0,INDEX(Calculator!$C$8:$C$46,Order!L73))</f>
        <v>38130</v>
      </c>
      <c r="P8" s="233">
        <f t="array" ref="P8">IF(ISERROR(Order!M73),0,INDEX(Calculator!$C$8:$C$46,Order!M73))</f>
        <v>50000</v>
      </c>
      <c r="Q8" s="233">
        <f t="array" ref="Q8">IF(ISERROR(Order!N73),0,INDEX(Calculator!$C$8:$C$46,Order!N73))</f>
        <v>181200</v>
      </c>
      <c r="R8" s="233">
        <f t="array" ref="R8">IF(ISERROR(Order!O73),0,INDEX(Calculator!$C$8:$C$46,Order!O73))</f>
        <v>0</v>
      </c>
      <c r="S8" s="233">
        <f t="array" ref="S8">IF(ISERROR(Order!P73),0,INDEX(Calculator!$C$8:$C$46,Order!P73))</f>
        <v>0</v>
      </c>
      <c r="T8" s="233">
        <f t="array" ref="T8">IF(ISERROR(Order!Q73),0,INDEX(Calculator!$C$8:$C$46,Order!Q73))</f>
        <v>0</v>
      </c>
      <c r="U8" s="232">
        <f t="array" ref="U8">IF(ISERROR(Order!R73),0,INDEX(Calculator!$C$8:$C$46,Order!R73))</f>
        <v>0</v>
      </c>
      <c r="V8" s="232">
        <f t="array" ref="V8">IF(ISERROR(Order!S73),0,INDEX(Calculator!$C$8:$C$46,Order!S73))</f>
        <v>0</v>
      </c>
      <c r="W8" s="232">
        <f t="array" ref="W8">IF(ISERROR(Order!T73),0,INDEX(Calculator!$C$8:$C$46,Order!T73))</f>
        <v>0</v>
      </c>
      <c r="X8" s="232">
        <f t="array" ref="X8">IF(ISERROR(Order!U73),0,INDEX(Calculator!$C$8:$C$46,Order!U73))</f>
        <v>0</v>
      </c>
      <c r="Y8" s="232">
        <f t="array" ref="Y8">IF(ISERROR(Order!V73),0,INDEX(Calculator!$C$8:$C$46,Order!V73))</f>
        <v>0</v>
      </c>
      <c r="Z8" s="232">
        <f t="array" ref="Z8">IF(ISERROR(Order!W73),0,INDEX(Calculator!$C$8:$C$46,Order!W73))</f>
        <v>0</v>
      </c>
      <c r="AA8" s="232">
        <f t="array" ref="AA8">IF(ISERROR(Order!X73),0,INDEX(Calculator!$C$8:$C$46,Order!X73))</f>
        <v>0</v>
      </c>
      <c r="AB8" s="232">
        <f t="array" ref="AB8">IF(ISERROR(Order!Y73),0,INDEX(Calculator!$C$8:$C$46,Order!Y73))</f>
        <v>0</v>
      </c>
      <c r="AC8" s="232">
        <f t="array" ref="AC8">IF(ISERROR(Order!Z73),0,INDEX(Calculator!$C$8:$C$46,Order!Z73))</f>
        <v>0</v>
      </c>
      <c r="AD8" s="232">
        <f t="array" ref="AD8">IF(ISERROR(Order!AA73),0,INDEX(Calculator!$C$8:$C$46,Order!AA73))</f>
        <v>0</v>
      </c>
      <c r="AE8" s="232">
        <f t="array" ref="AE8">IF(ISERROR(Order!AB73),0,INDEX(Calculator!$C$8:$C$46,Order!AB73))</f>
        <v>0</v>
      </c>
      <c r="AF8" s="232">
        <f t="array" ref="AF8">IF(ISERROR(Order!AC73),0,INDEX(Calculator!$C$8:$C$46,Order!AC73))</f>
        <v>0</v>
      </c>
      <c r="AG8" s="232">
        <f t="array" ref="AG8">IF(ISERROR(Order!AD73),0,INDEX(Calculator!$C$8:$C$46,Order!AD73))</f>
        <v>0</v>
      </c>
      <c r="AH8" s="234"/>
      <c r="AI8" s="215"/>
      <c r="AJ8" s="215"/>
      <c r="AK8" s="215"/>
      <c r="AL8" s="215"/>
      <c r="AM8" s="215"/>
      <c r="AN8" s="215"/>
      <c r="AO8" s="215"/>
      <c r="AP8" s="215"/>
      <c r="AQ8" s="224">
        <v>204.0</v>
      </c>
      <c r="AR8" s="215"/>
      <c r="AS8" s="215"/>
      <c r="AT8" s="215"/>
      <c r="AU8" s="215"/>
      <c r="AV8" s="215"/>
      <c r="AW8" s="215"/>
      <c r="AX8" s="215"/>
      <c r="AY8" s="215"/>
      <c r="AZ8" s="215"/>
      <c r="BA8" s="215"/>
      <c r="BB8" s="215"/>
      <c r="BC8" s="215"/>
      <c r="BD8" s="215"/>
      <c r="BE8" s="215"/>
      <c r="BF8" s="215"/>
      <c r="BG8" s="215"/>
      <c r="BH8" s="215"/>
      <c r="BI8" s="215"/>
      <c r="BJ8" s="215"/>
      <c r="BK8" s="215"/>
      <c r="BL8" s="215"/>
      <c r="BM8" s="215"/>
      <c r="BN8" s="215"/>
      <c r="BO8" s="215"/>
      <c r="BP8" s="215"/>
      <c r="BQ8" s="215"/>
      <c r="BR8" s="215"/>
      <c r="BS8" s="215"/>
      <c r="BT8" s="215"/>
      <c r="BU8" s="215"/>
      <c r="BV8" s="215"/>
      <c r="BW8" s="215"/>
      <c r="BX8" s="215"/>
      <c r="BY8" s="215"/>
      <c r="BZ8" s="215"/>
      <c r="CA8" s="215"/>
      <c r="CB8" s="215"/>
      <c r="CC8" s="215"/>
      <c r="CD8" s="215"/>
      <c r="CE8" s="215"/>
      <c r="CF8" s="215"/>
      <c r="CG8" s="215"/>
      <c r="CH8" s="215"/>
      <c r="CI8" s="215"/>
      <c r="CJ8" s="215"/>
      <c r="CK8" s="215"/>
      <c r="CL8" s="215"/>
      <c r="CM8" s="215"/>
      <c r="CN8" s="215"/>
      <c r="CO8" s="215"/>
      <c r="CP8" s="215"/>
      <c r="CQ8" s="215"/>
      <c r="CR8" s="215"/>
      <c r="CS8" s="215"/>
      <c r="CT8" s="215"/>
      <c r="CU8" s="215"/>
      <c r="CV8" s="215"/>
      <c r="CW8" s="215"/>
      <c r="CX8" s="215"/>
      <c r="CY8" s="215"/>
      <c r="CZ8" s="215"/>
      <c r="DA8" s="215"/>
      <c r="DB8" s="215"/>
      <c r="DC8" s="215"/>
      <c r="DD8" s="215"/>
      <c r="DE8" s="215"/>
      <c r="DF8" s="215"/>
      <c r="DG8" s="215"/>
      <c r="DH8" s="215"/>
      <c r="DI8" s="215"/>
      <c r="DJ8" s="215"/>
      <c r="DK8" s="215"/>
      <c r="DL8" s="215"/>
      <c r="DM8" s="215"/>
      <c r="DN8" s="215"/>
      <c r="DO8" s="215"/>
      <c r="DP8" s="215"/>
      <c r="DQ8" s="215"/>
      <c r="DR8" s="215"/>
      <c r="DS8" s="215"/>
      <c r="DT8" s="215"/>
      <c r="DU8" s="215"/>
      <c r="DV8" s="215"/>
      <c r="DW8" s="215"/>
      <c r="DX8" s="215"/>
      <c r="DY8" s="215"/>
      <c r="DZ8" s="215"/>
      <c r="EA8" s="215"/>
      <c r="EB8" s="215"/>
      <c r="EC8" s="215"/>
      <c r="ED8" s="215"/>
      <c r="EE8" s="215"/>
      <c r="EF8" s="215"/>
      <c r="EG8" s="215"/>
      <c r="EH8" s="215"/>
      <c r="EI8" s="215"/>
      <c r="EJ8" s="215"/>
      <c r="EK8" s="215"/>
      <c r="EL8" s="215"/>
      <c r="EM8" s="215"/>
      <c r="EN8" s="215"/>
      <c r="EO8" s="215"/>
      <c r="EP8" s="215"/>
      <c r="EQ8" s="215"/>
      <c r="ER8" s="215"/>
      <c r="ES8" s="215"/>
      <c r="ET8" s="215"/>
      <c r="EU8" s="215"/>
      <c r="EV8" s="215"/>
      <c r="EW8" s="215"/>
      <c r="EX8" s="215"/>
      <c r="EY8" s="215"/>
      <c r="EZ8" s="215"/>
      <c r="FA8" s="215"/>
      <c r="FB8" s="215"/>
      <c r="FC8" s="215"/>
      <c r="FD8" s="215"/>
      <c r="FE8" s="215"/>
      <c r="FF8" s="215"/>
      <c r="FG8" s="215"/>
      <c r="FH8" s="215"/>
    </row>
    <row r="9">
      <c r="A9" s="231" t="s">
        <v>116</v>
      </c>
      <c r="E9" s="235">
        <f t="array" ref="E9">IF(ISERROR(Order!B73),0,INDEX(Calculator!$D$8:$D$46,Order!B73))</f>
        <v>0</v>
      </c>
      <c r="F9" s="235">
        <f t="array" ref="F9">IF(ISERROR(Order!C73),0,INDEX(Calculator!$D$8:$D$46,Order!C73))</f>
        <v>0</v>
      </c>
      <c r="G9" s="235">
        <f t="array" ref="G9">IF(ISERROR(Order!D73),0,INDEX(Calculator!$D$8:$D$46,Order!D73))</f>
        <v>0</v>
      </c>
      <c r="H9" s="235">
        <f t="array" ref="H9">IF(ISERROR(Order!E73),0,INDEX(Calculator!$D$8:$D$46,Order!E73))</f>
        <v>0</v>
      </c>
      <c r="I9" s="235">
        <f t="array" ref="I9">IF(ISERROR(Order!F73),0,INDEX(Calculator!$D$8:$D$46,Order!F73))</f>
        <v>0</v>
      </c>
      <c r="J9" s="235">
        <f t="array" ref="J9">IF(ISERROR(Order!G73),0,INDEX(Calculator!$D$8:$D$46,Order!G73))</f>
        <v>0.2981</v>
      </c>
      <c r="K9" s="235">
        <f t="array" ref="K9">IF(ISERROR(Order!H73),0,INDEX(Calculator!$D$8:$D$46,Order!H73))</f>
        <v>0.3</v>
      </c>
      <c r="L9" s="235">
        <f t="array" ref="L9">IF(ISERROR(Order!I73),0,INDEX(Calculator!$D$8:$D$46,Order!I73))</f>
        <v>0.3174</v>
      </c>
      <c r="M9" s="235">
        <f t="array" ref="M9">IF(ISERROR(Order!J73),0,INDEX(Calculator!$D$8:$D$46,Order!J73))</f>
        <v>0.2974</v>
      </c>
      <c r="N9" s="235">
        <f t="array" ref="N9">IF(ISERROR(Order!K73),0,INDEX(Calculator!$D$8:$D$46,Order!K73))</f>
        <v>0.18</v>
      </c>
      <c r="O9" s="235">
        <f t="array" ref="O9">IF(ISERROR(Order!L73),0,INDEX(Calculator!$D$8:$D$46,Order!L73))</f>
        <v>0.11</v>
      </c>
      <c r="P9" s="236">
        <f t="array" ref="P9">IF(ISERROR(Order!M73),0,INDEX(Calculator!$D$8:$D$46,Order!M73))</f>
        <v>0.0928</v>
      </c>
      <c r="Q9" s="236">
        <f t="array" ref="Q9">IF(ISERROR(Order!N73),0,INDEX(Calculator!$D$8:$D$46,Order!N73))</f>
        <v>0.0375</v>
      </c>
      <c r="R9" s="236">
        <f t="array" ref="R9">IF(ISERROR(Order!O73),0,INDEX(Calculator!$D$8:$D$46,Order!O73))</f>
        <v>0</v>
      </c>
      <c r="S9" s="236">
        <f t="array" ref="S9">IF(ISERROR(Order!P73),0,INDEX(Calculator!$D$8:$D$46,Order!P73))</f>
        <v>0</v>
      </c>
      <c r="T9" s="236">
        <f t="array" ref="T9">IF(ISERROR(Order!Q73),0,INDEX(Calculator!$D$8:$D$46,Order!Q73))</f>
        <v>0</v>
      </c>
      <c r="U9" s="235">
        <f t="array" ref="U9">IF(ISERROR(Order!R73),0,INDEX(Calculator!$D$8:$D$46,Order!R73))</f>
        <v>0</v>
      </c>
      <c r="V9" s="235">
        <f t="array" ref="V9">IF(ISERROR(Order!S73),0,INDEX(Calculator!$D$8:$D$46,Order!S73))</f>
        <v>0</v>
      </c>
      <c r="W9" s="235">
        <f t="array" ref="W9">IF(ISERROR(Order!T73),0,INDEX(Calculator!$D$8:$D$46,Order!T73))</f>
        <v>0</v>
      </c>
      <c r="X9" s="235">
        <f t="array" ref="X9">IF(ISERROR(Order!U73),0,INDEX(Calculator!$D$8:$D$46,Order!U73))</f>
        <v>0</v>
      </c>
      <c r="Y9" s="235">
        <f t="array" ref="Y9">IF(ISERROR(Order!V73),0,INDEX(Calculator!$D$8:$D$46,Order!V73))</f>
        <v>0</v>
      </c>
      <c r="Z9" s="235">
        <f t="array" ref="Z9">IF(ISERROR(Order!W73),0,INDEX(Calculator!$D$8:$D$46,Order!W73))</f>
        <v>0</v>
      </c>
      <c r="AA9" s="235">
        <f t="array" ref="AA9">IF(ISERROR(Order!X73),0,INDEX(Calculator!$D$8:$D$46,Order!X73))</f>
        <v>0</v>
      </c>
      <c r="AB9" s="235">
        <f t="array" ref="AB9">IF(ISERROR(Order!Y73),0,INDEX(Calculator!$D$8:$D$46,Order!Y73))</f>
        <v>0</v>
      </c>
      <c r="AC9" s="235">
        <f t="array" ref="AC9">IF(ISERROR(Order!Z73),0,INDEX(Calculator!$D$8:$D$46,Order!Z73))</f>
        <v>0</v>
      </c>
      <c r="AD9" s="235">
        <f t="array" ref="AD9">IF(ISERROR(Order!AA73),0,INDEX(Calculator!$D$8:$D$46,Order!AA73))</f>
        <v>0</v>
      </c>
      <c r="AE9" s="235">
        <f t="array" ref="AE9">IF(ISERROR(Order!AB73),0,INDEX(Calculator!$D$8:$D$46,Order!AB73))</f>
        <v>0</v>
      </c>
      <c r="AF9" s="235">
        <f t="array" ref="AF9">IF(ISERROR(Order!AC73),0,INDEX(Calculator!$D$8:$D$46,Order!AC73))</f>
        <v>0</v>
      </c>
      <c r="AG9" s="235">
        <f t="array" ref="AG9">IF(ISERROR(Order!AD73),0,INDEX(Calculator!$D$8:$D$46,Order!AD73))</f>
        <v>0</v>
      </c>
      <c r="AH9" s="237"/>
      <c r="AI9" s="215"/>
      <c r="AJ9" s="215"/>
      <c r="AK9" s="215"/>
      <c r="AL9" s="215"/>
      <c r="AM9" s="215"/>
      <c r="AN9" s="215"/>
      <c r="AO9" s="215"/>
      <c r="AP9" s="215"/>
      <c r="AQ9" s="224">
        <v>176.71</v>
      </c>
      <c r="AR9" s="215"/>
      <c r="AS9" s="215"/>
      <c r="AT9" s="215"/>
      <c r="AU9" s="215"/>
      <c r="AV9" s="215"/>
      <c r="AW9" s="215"/>
      <c r="AX9" s="215"/>
      <c r="AY9" s="215"/>
      <c r="AZ9" s="215"/>
      <c r="BA9" s="215"/>
      <c r="BB9" s="215"/>
      <c r="BC9" s="215"/>
      <c r="BD9" s="215"/>
      <c r="BE9" s="215"/>
      <c r="BF9" s="215"/>
      <c r="BG9" s="215"/>
      <c r="BH9" s="215"/>
      <c r="BI9" s="215"/>
      <c r="BJ9" s="215"/>
      <c r="BK9" s="215"/>
      <c r="BL9" s="215"/>
      <c r="BM9" s="215"/>
      <c r="BN9" s="215"/>
      <c r="BO9" s="215"/>
      <c r="BP9" s="215"/>
      <c r="BQ9" s="215"/>
      <c r="BR9" s="215"/>
      <c r="BS9" s="215"/>
      <c r="BT9" s="215"/>
      <c r="BU9" s="215"/>
      <c r="BV9" s="215"/>
      <c r="BW9" s="215"/>
      <c r="BX9" s="215"/>
      <c r="BY9" s="215"/>
      <c r="BZ9" s="215"/>
      <c r="CA9" s="215"/>
      <c r="CB9" s="215"/>
      <c r="CC9" s="215"/>
      <c r="CD9" s="215"/>
      <c r="CE9" s="215"/>
      <c r="CF9" s="215"/>
      <c r="CG9" s="215"/>
      <c r="CH9" s="215"/>
      <c r="CI9" s="215"/>
      <c r="CJ9" s="215"/>
      <c r="CK9" s="215"/>
      <c r="CL9" s="215"/>
      <c r="CM9" s="215"/>
      <c r="CN9" s="215"/>
      <c r="CO9" s="215"/>
      <c r="CP9" s="215"/>
      <c r="CQ9" s="215"/>
      <c r="CR9" s="215"/>
      <c r="CS9" s="215"/>
      <c r="CT9" s="215"/>
      <c r="CU9" s="215"/>
      <c r="CV9" s="215"/>
      <c r="CW9" s="215"/>
      <c r="CX9" s="215"/>
      <c r="CY9" s="215"/>
      <c r="CZ9" s="215"/>
      <c r="DA9" s="215"/>
      <c r="DB9" s="215"/>
      <c r="DC9" s="215"/>
      <c r="DD9" s="215"/>
      <c r="DE9" s="215"/>
      <c r="DF9" s="215"/>
      <c r="DG9" s="215"/>
      <c r="DH9" s="215"/>
      <c r="DI9" s="215"/>
      <c r="DJ9" s="215"/>
      <c r="DK9" s="215"/>
      <c r="DL9" s="215"/>
      <c r="DM9" s="215"/>
      <c r="DN9" s="215"/>
      <c r="DO9" s="215"/>
      <c r="DP9" s="215"/>
      <c r="DQ9" s="215"/>
      <c r="DR9" s="215"/>
      <c r="DS9" s="215"/>
      <c r="DT9" s="215"/>
      <c r="DU9" s="215"/>
      <c r="DV9" s="215"/>
      <c r="DW9" s="215"/>
      <c r="DX9" s="215"/>
      <c r="DY9" s="215"/>
      <c r="DZ9" s="215"/>
      <c r="EA9" s="215"/>
      <c r="EB9" s="215"/>
      <c r="EC9" s="215"/>
      <c r="ED9" s="215"/>
      <c r="EE9" s="215"/>
      <c r="EF9" s="215"/>
      <c r="EG9" s="215"/>
      <c r="EH9" s="215"/>
      <c r="EI9" s="215"/>
      <c r="EJ9" s="215"/>
      <c r="EK9" s="215"/>
      <c r="EL9" s="215"/>
      <c r="EM9" s="215"/>
      <c r="EN9" s="215"/>
      <c r="EO9" s="215"/>
      <c r="EP9" s="215"/>
      <c r="EQ9" s="215"/>
      <c r="ER9" s="215"/>
      <c r="ES9" s="215"/>
      <c r="ET9" s="215"/>
      <c r="EU9" s="215"/>
      <c r="EV9" s="215"/>
      <c r="EW9" s="215"/>
      <c r="EX9" s="215"/>
      <c r="EY9" s="215"/>
      <c r="EZ9" s="215"/>
      <c r="FA9" s="215"/>
      <c r="FB9" s="215"/>
      <c r="FC9" s="215"/>
      <c r="FD9" s="215"/>
      <c r="FE9" s="215"/>
      <c r="FF9" s="215"/>
      <c r="FG9" s="215"/>
      <c r="FH9" s="215"/>
    </row>
    <row r="10">
      <c r="A10" s="231" t="s">
        <v>117</v>
      </c>
      <c r="E10" s="232">
        <f t="array" ref="E10">IF(ISERROR(Order!B73),0,INDEX(Calculator!$E$8:$E$46,Order!B73))</f>
        <v>14.02</v>
      </c>
      <c r="F10" s="232">
        <f t="array" ref="F10">IF(ISERROR(Order!C73),0,INDEX(Calculator!$E$8:$E$46,Order!C73))</f>
        <v>9.8</v>
      </c>
      <c r="G10" s="232">
        <f t="array" ref="G10">IF(ISERROR(Order!D73),0,INDEX(Calculator!$E$8:$E$46,Order!D73))</f>
        <v>14.7</v>
      </c>
      <c r="H10" s="232">
        <f t="array" ref="H10">IF(ISERROR(Order!E73),0,INDEX(Calculator!$E$8:$E$46,Order!E73))</f>
        <v>28.09</v>
      </c>
      <c r="I10" s="232">
        <f t="array" ref="I10">IF(ISERROR(Order!F73),0,INDEX(Calculator!$E$8:$E$46,Order!F73))</f>
        <v>20.96</v>
      </c>
      <c r="J10" s="232">
        <f t="array" ref="J10">IF(ISERROR(Order!G73),0,INDEX(Calculator!$E$8:$E$46,Order!G73))</f>
        <v>35</v>
      </c>
      <c r="K10" s="232">
        <f t="array" ref="K10">IF(ISERROR(Order!H73),0,INDEX(Calculator!$E$8:$E$46,Order!H73))</f>
        <v>206</v>
      </c>
      <c r="L10" s="232">
        <f t="array" ref="L10">IF(ISERROR(Order!I73),0,INDEX(Calculator!$E$8:$E$46,Order!I73))</f>
        <v>82</v>
      </c>
      <c r="M10" s="232">
        <f t="array" ref="M10">IF(ISERROR(Order!J73),0,INDEX(Calculator!$E$8:$E$46,Order!J73))</f>
        <v>102</v>
      </c>
      <c r="N10" s="232">
        <f t="array" ref="N10">IF(ISERROR(Order!K73),0,INDEX(Calculator!$E$8:$E$46,Order!K73))</f>
        <v>450.08</v>
      </c>
      <c r="O10" s="232">
        <f t="array" ref="O10">IF(ISERROR(Order!L73),0,INDEX(Calculator!$E$8:$E$46,Order!L73))</f>
        <v>695.6</v>
      </c>
      <c r="P10" s="233">
        <f t="array" ref="P10">IF(ISERROR(Order!M73),0,INDEX(Calculator!$E$8:$E$46,Order!M73))</f>
        <v>791.16</v>
      </c>
      <c r="Q10" s="233">
        <f t="array" ref="Q10">IF(ISERROR(Order!N73),0,INDEX(Calculator!$E$8:$E$46,Order!N73))</f>
        <v>1467.13</v>
      </c>
      <c r="R10" s="233">
        <f t="array" ref="R10">IF(ISERROR(Order!O73),0,INDEX(Calculator!$E$8:$E$46,Order!O73))</f>
        <v>0</v>
      </c>
      <c r="S10" s="233">
        <f t="array" ref="S10">IF(ISERROR(Order!P73),0,INDEX(Calculator!$E$8:$E$46,Order!P73))</f>
        <v>0</v>
      </c>
      <c r="T10" s="233">
        <f t="array" ref="T10">IF(ISERROR(Order!Q73),0,INDEX(Calculator!$E$8:$E$46,Order!Q73))</f>
        <v>0</v>
      </c>
      <c r="U10" s="232">
        <f t="array" ref="U10">IF(ISERROR(Order!R73),0,INDEX(Calculator!$E$8:$E$46,Order!R73))</f>
        <v>0</v>
      </c>
      <c r="V10" s="232">
        <f t="array" ref="V10">IF(ISERROR(Order!S73),0,INDEX(Calculator!$E$8:$E$46,Order!S73))</f>
        <v>0</v>
      </c>
      <c r="W10" s="232">
        <f t="array" ref="W10">IF(ISERROR(Order!T73),0,INDEX(Calculator!$E$8:$E$46,Order!T73))</f>
        <v>0</v>
      </c>
      <c r="X10" s="232">
        <f t="array" ref="X10">IF(ISERROR(Order!U73),0,INDEX(Calculator!$E$8:$E$46,Order!U73))</f>
        <v>0</v>
      </c>
      <c r="Y10" s="232">
        <f t="array" ref="Y10">IF(ISERROR(Order!V73),0,INDEX(Calculator!$E$8:$E$46,Order!V73))</f>
        <v>0</v>
      </c>
      <c r="Z10" s="232">
        <f t="array" ref="Z10">IF(ISERROR(Order!W73),0,INDEX(Calculator!$E$8:$E$46,Order!W73))</f>
        <v>0</v>
      </c>
      <c r="AA10" s="232">
        <f t="array" ref="AA10">IF(ISERROR(Order!X73),0,INDEX(Calculator!$E$8:$E$46,Order!X73))</f>
        <v>0</v>
      </c>
      <c r="AB10" s="232">
        <f t="array" ref="AB10">IF(ISERROR(Order!Y73),0,INDEX(Calculator!$E$8:$E$46,Order!Y73))</f>
        <v>0</v>
      </c>
      <c r="AC10" s="232">
        <f t="array" ref="AC10">IF(ISERROR(Order!Z73),0,INDEX(Calculator!$E$8:$E$46,Order!Z73))</f>
        <v>0</v>
      </c>
      <c r="AD10" s="232">
        <f t="array" ref="AD10">IF(ISERROR(Order!AA73),0,INDEX(Calculator!$E$8:$E$46,Order!AA73))</f>
        <v>0</v>
      </c>
      <c r="AE10" s="232">
        <f t="array" ref="AE10">IF(ISERROR(Order!AB73),0,INDEX(Calculator!$E$8:$E$46,Order!AB73))</f>
        <v>0</v>
      </c>
      <c r="AF10" s="232">
        <f t="array" ref="AF10">IF(ISERROR(Order!AC73),0,INDEX(Calculator!$E$8:$E$46,Order!AC73))</f>
        <v>0</v>
      </c>
      <c r="AG10" s="232">
        <f t="array" ref="AG10">IF(ISERROR(Order!AD73),0,INDEX(Calculator!$E$8:$E$46,Order!AD73))</f>
        <v>0</v>
      </c>
      <c r="AH10" s="234"/>
      <c r="AI10" s="215"/>
      <c r="AJ10" s="215"/>
      <c r="AK10" s="215"/>
      <c r="AL10" s="215"/>
      <c r="AM10" s="215"/>
      <c r="AN10" s="215"/>
      <c r="AO10" s="215"/>
      <c r="AP10" s="215"/>
      <c r="AQ10" s="215"/>
      <c r="AR10" s="215"/>
      <c r="AS10" s="215"/>
      <c r="AT10" s="215"/>
      <c r="AU10" s="215"/>
      <c r="AV10" s="215"/>
      <c r="AW10" s="215"/>
      <c r="AX10" s="215"/>
      <c r="AY10" s="215"/>
      <c r="AZ10" s="215"/>
      <c r="BA10" s="215"/>
      <c r="BB10" s="215"/>
      <c r="BC10" s="215"/>
      <c r="BD10" s="215"/>
      <c r="BE10" s="215"/>
      <c r="BF10" s="215"/>
      <c r="BG10" s="215"/>
      <c r="BH10" s="215"/>
      <c r="BI10" s="215"/>
      <c r="BJ10" s="215"/>
      <c r="BK10" s="215"/>
      <c r="BL10" s="215"/>
      <c r="BM10" s="215"/>
      <c r="BN10" s="215"/>
      <c r="BO10" s="215"/>
      <c r="BP10" s="215"/>
      <c r="BQ10" s="215"/>
      <c r="BR10" s="215"/>
      <c r="BS10" s="215"/>
      <c r="BT10" s="215"/>
      <c r="BU10" s="215"/>
      <c r="BV10" s="215"/>
      <c r="BW10" s="215"/>
      <c r="BX10" s="215"/>
      <c r="BY10" s="215"/>
      <c r="BZ10" s="215"/>
      <c r="CA10" s="215"/>
      <c r="CB10" s="215"/>
      <c r="CC10" s="215"/>
      <c r="CD10" s="215"/>
      <c r="CE10" s="215"/>
      <c r="CF10" s="215"/>
      <c r="CG10" s="215"/>
      <c r="CH10" s="215"/>
      <c r="CI10" s="215"/>
      <c r="CJ10" s="215"/>
      <c r="CK10" s="215"/>
      <c r="CL10" s="215"/>
      <c r="CM10" s="215"/>
      <c r="CN10" s="215"/>
      <c r="CO10" s="215"/>
      <c r="CP10" s="215"/>
      <c r="CQ10" s="215"/>
      <c r="CR10" s="215"/>
      <c r="CS10" s="215"/>
      <c r="CT10" s="215"/>
      <c r="CU10" s="215"/>
      <c r="CV10" s="215"/>
      <c r="CW10" s="215"/>
      <c r="CX10" s="215"/>
      <c r="CY10" s="215"/>
      <c r="CZ10" s="215"/>
      <c r="DA10" s="215"/>
      <c r="DB10" s="215"/>
      <c r="DC10" s="215"/>
      <c r="DD10" s="215"/>
      <c r="DE10" s="215"/>
      <c r="DF10" s="215"/>
      <c r="DG10" s="215"/>
      <c r="DH10" s="215"/>
      <c r="DI10" s="215"/>
      <c r="DJ10" s="215"/>
      <c r="DK10" s="215"/>
      <c r="DL10" s="215"/>
      <c r="DM10" s="215"/>
      <c r="DN10" s="215"/>
      <c r="DO10" s="215"/>
      <c r="DP10" s="215"/>
      <c r="DQ10" s="215"/>
      <c r="DR10" s="215"/>
      <c r="DS10" s="215"/>
      <c r="DT10" s="215"/>
      <c r="DU10" s="215"/>
      <c r="DV10" s="215"/>
      <c r="DW10" s="215"/>
      <c r="DX10" s="215"/>
      <c r="DY10" s="215"/>
      <c r="DZ10" s="215"/>
      <c r="EA10" s="215"/>
      <c r="EB10" s="215"/>
      <c r="EC10" s="215"/>
      <c r="ED10" s="215"/>
      <c r="EE10" s="215"/>
      <c r="EF10" s="215"/>
      <c r="EG10" s="215"/>
      <c r="EH10" s="215"/>
      <c r="EI10" s="215"/>
      <c r="EJ10" s="215"/>
      <c r="EK10" s="215"/>
      <c r="EL10" s="215"/>
      <c r="EM10" s="215"/>
      <c r="EN10" s="215"/>
      <c r="EO10" s="215"/>
      <c r="EP10" s="215"/>
      <c r="EQ10" s="215"/>
      <c r="ER10" s="215"/>
      <c r="ES10" s="215"/>
      <c r="ET10" s="215"/>
      <c r="EU10" s="215"/>
      <c r="EV10" s="215"/>
      <c r="EW10" s="215"/>
      <c r="EX10" s="215"/>
      <c r="EY10" s="215"/>
      <c r="EZ10" s="215"/>
      <c r="FA10" s="215"/>
      <c r="FB10" s="215"/>
      <c r="FC10" s="215"/>
      <c r="FD10" s="215"/>
      <c r="FE10" s="215"/>
      <c r="FF10" s="215"/>
      <c r="FG10" s="215"/>
      <c r="FH10" s="215"/>
    </row>
    <row r="11">
      <c r="A11" s="231" t="s">
        <v>118</v>
      </c>
      <c r="E11" s="238">
        <f t="array" ref="E11">IF(E8&gt;0,1+MAX((ROW(E21:E354)-ROW(E$21))*(E21:E354&gt;0)),0)</f>
        <v>2</v>
      </c>
      <c r="F11" s="238">
        <f t="array" ref="F11">IF(F8&gt;0,1+MAX((ROW(F21:F354)-ROW(F$21))*(F21:F354&gt;0)),0)</f>
        <v>3</v>
      </c>
      <c r="G11" s="238">
        <f t="array" ref="G11">IF(G8&gt;0,1+MAX((ROW(G21:G354)-ROW(G$21))*(G21:G354&gt;0)),0)</f>
        <v>3</v>
      </c>
      <c r="H11" s="238">
        <f t="array" ref="H11">IF(H8&gt;0,1+MAX((ROW(H21:H354)-ROW(H$21))*(H21:H354&gt;0)),0)</f>
        <v>4</v>
      </c>
      <c r="I11" s="238">
        <f t="array" ref="I11">IF(I8&gt;0,1+MAX((ROW(I21:I354)-ROW(I$21))*(I21:I354&gt;0)),0)</f>
        <v>5</v>
      </c>
      <c r="J11" s="238">
        <f t="array" ref="J11">IF(J8&gt;0,1+MAX((ROW(J21:J354)-ROW(J$21))*(J21:J354&gt;0)),0)</f>
        <v>15</v>
      </c>
      <c r="K11" s="238">
        <f t="array" ref="K11">IF(K8&gt;0,1+MAX((ROW(K21:K354)-ROW(K$21))*(K21:K354&gt;0)),0)</f>
        <v>26</v>
      </c>
      <c r="L11" s="238">
        <f t="array" ref="L11">IF(L8&gt;0,1+MAX((ROW(L21:L354)-ROW(L$21))*(L21:L354&gt;0)),0)</f>
        <v>28</v>
      </c>
      <c r="M11" s="238">
        <f t="array" ref="M11">IF(M8&gt;0,1+MAX((ROW(M21:M354)-ROW(M$21))*(M21:M354&gt;0)),0)</f>
        <v>33</v>
      </c>
      <c r="N11" s="238">
        <f t="array" ref="N11">IF(N8&gt;0,1+MAX((ROW(N21:N354)-ROW(N$21))*(N21:N354&gt;0)),0)</f>
        <v>41</v>
      </c>
      <c r="O11" s="238">
        <f t="array" ref="O11">IF(O8&gt;0,1+MAX((ROW(O21:O354)-ROW(O$21))*(O21:O354&gt;0)),0)</f>
        <v>62</v>
      </c>
      <c r="P11" s="239">
        <f t="array" ref="P11">IF(P8&gt;0,1+MAX((ROW(P21:P354)-ROW(P$21))*(P21:P354&gt;0)),0)</f>
        <v>70</v>
      </c>
      <c r="Q11" s="239">
        <f t="array" ref="Q11">IF(Q8&gt;0,1+MAX((ROW(Q21:Q354)-ROW(Q$21))*(Q21:Q354&gt;0)),0)</f>
        <v>95</v>
      </c>
      <c r="R11" s="239">
        <f t="array" ref="R11">IF(R8&gt;0,1+MAX((ROW(R21:R354)-ROW(R$21))*(R21:R354&gt;0)),0)</f>
        <v>0</v>
      </c>
      <c r="S11" s="239">
        <f t="array" ref="S11">IF(S8&gt;0,1+MAX((ROW(S21:S354)-ROW(S$21))*(S21:S354&gt;0)),0)</f>
        <v>0</v>
      </c>
      <c r="T11" s="239">
        <f t="array" ref="T11">IF(T8&gt;0,1+MAX((ROW(T21:T354)-ROW(T$21))*(T21:T354&gt;0)),0)</f>
        <v>0</v>
      </c>
      <c r="U11" s="238">
        <f t="array" ref="U11">IF(U8&gt;0,1+MAX((ROW(U21:U354)-ROW(U$21))*(U21:U354&gt;0)),0)</f>
        <v>0</v>
      </c>
      <c r="V11" s="238">
        <f t="array" ref="V11">IF(V8&gt;0,1+MAX((ROW(V21:V354)-ROW(V$21))*(V21:V354&gt;0)),0)</f>
        <v>0</v>
      </c>
      <c r="W11" s="238">
        <f t="array" ref="W11">IF(W8&gt;0,1+MAX((ROW(W21:W354)-ROW(W$21))*(W21:W354&gt;0)),0)</f>
        <v>0</v>
      </c>
      <c r="X11" s="238">
        <f t="array" ref="X11">IF(X8&gt;0,1+MAX((ROW(X21:X354)-ROW(X$21))*(X21:X354&gt;0)),0)</f>
        <v>0</v>
      </c>
      <c r="Y11" s="238">
        <f t="array" ref="Y11">IF(Y8&gt;0,1+MAX((ROW(Y21:Y354)-ROW(Y$21))*(Y21:Y354&gt;0)),0)</f>
        <v>0</v>
      </c>
      <c r="Z11" s="238">
        <f t="array" ref="Z11">IF(Z8&gt;0,1+MAX((ROW(Z21:Z354)-ROW(Z$21))*(Z21:Z354&gt;0)),0)</f>
        <v>0</v>
      </c>
      <c r="AA11" s="238">
        <f t="array" ref="AA11">IF(AA8&gt;0,1+MAX((ROW(AA21:AA354)-ROW(AA$21))*(AA21:AA354&gt;0)),0)</f>
        <v>0</v>
      </c>
      <c r="AB11" s="238">
        <f t="array" ref="AB11">IF(AB8&gt;0,1+MAX((ROW(AB21:AB354)-ROW(AB$21))*(AB21:AB354&gt;0)),0)</f>
        <v>0</v>
      </c>
      <c r="AC11" s="238">
        <f t="array" ref="AC11">IF(AC8&gt;0,1+MAX((ROW(AC21:AC354)-ROW(AC$21))*(AC21:AC354&gt;0)),0)</f>
        <v>0</v>
      </c>
      <c r="AD11" s="238">
        <f t="array" ref="AD11">IF(AD8&gt;0,1+MAX((ROW(AD21:AD354)-ROW(AD$21))*(AD21:AD354&gt;0)),0)</f>
        <v>0</v>
      </c>
      <c r="AE11" s="238">
        <f t="array" ref="AE11">IF(AE8&gt;0,1+MAX((ROW(AE21:AE354)-ROW(AE$21))*(AE21:AE354&gt;0)),0)</f>
        <v>0</v>
      </c>
      <c r="AF11" s="238">
        <f t="array" ref="AF11">IF(AF8&gt;0,1+MAX((ROW(AF21:AF354)-ROW(AF$21))*(AF21:AF354&gt;0)),0)</f>
        <v>0</v>
      </c>
      <c r="AG11" s="238">
        <f t="array" ref="AG11">IF(AG8&gt;0,1+MAX((ROW(AG21:AG354)-ROW(AG$21))*(AG21:AG354&gt;0)),0)</f>
        <v>0</v>
      </c>
      <c r="AH11" s="234"/>
      <c r="AI11" s="215"/>
      <c r="AJ11" s="215"/>
      <c r="AK11" s="240">
        <f t="array" ref="AK11">-INDEX($E$21:$AG356,MATCH(B21,$B$21:$B356,0),MATCH('Jan 2025'!P28,$E19:$AG19,0))</f>
        <v>-82</v>
      </c>
      <c r="AL11" s="215"/>
      <c r="AM11" s="215"/>
      <c r="AN11" s="215"/>
      <c r="AO11" s="215"/>
      <c r="AP11" s="215"/>
      <c r="AQ11" s="215"/>
      <c r="AR11" s="215"/>
      <c r="AS11" s="215"/>
      <c r="AT11" s="215"/>
      <c r="AU11" s="215"/>
      <c r="AV11" s="215"/>
      <c r="AW11" s="215"/>
      <c r="AX11" s="215"/>
      <c r="AY11" s="215"/>
      <c r="AZ11" s="215"/>
      <c r="BA11" s="215"/>
      <c r="BB11" s="215"/>
      <c r="BC11" s="215"/>
      <c r="BD11" s="215"/>
      <c r="BE11" s="215"/>
      <c r="BF11" s="215"/>
      <c r="BG11" s="215"/>
      <c r="BH11" s="215"/>
      <c r="BI11" s="215"/>
      <c r="BJ11" s="215"/>
      <c r="BK11" s="215"/>
      <c r="BL11" s="215"/>
      <c r="BM11" s="215"/>
      <c r="BN11" s="215"/>
      <c r="BO11" s="215"/>
      <c r="BP11" s="215"/>
      <c r="BQ11" s="215"/>
      <c r="BR11" s="215"/>
      <c r="BS11" s="215"/>
      <c r="BT11" s="215"/>
      <c r="BU11" s="215"/>
      <c r="BV11" s="215"/>
      <c r="BW11" s="215"/>
      <c r="BX11" s="215"/>
      <c r="BY11" s="215"/>
      <c r="BZ11" s="215"/>
      <c r="CA11" s="215"/>
      <c r="CB11" s="215"/>
      <c r="CC11" s="215"/>
      <c r="CD11" s="215"/>
      <c r="CE11" s="215"/>
      <c r="CF11" s="215"/>
      <c r="CG11" s="215"/>
      <c r="CH11" s="215"/>
      <c r="CI11" s="215"/>
      <c r="CJ11" s="215"/>
      <c r="CK11" s="215"/>
      <c r="CL11" s="215"/>
      <c r="CM11" s="215"/>
      <c r="CN11" s="215"/>
      <c r="CO11" s="215"/>
      <c r="CP11" s="215"/>
      <c r="CQ11" s="215"/>
      <c r="CR11" s="215"/>
      <c r="CS11" s="215"/>
      <c r="CT11" s="215"/>
      <c r="CU11" s="215"/>
      <c r="CV11" s="215"/>
      <c r="CW11" s="215"/>
      <c r="CX11" s="215"/>
      <c r="CY11" s="215"/>
      <c r="CZ11" s="215"/>
      <c r="DA11" s="215"/>
      <c r="DB11" s="215"/>
      <c r="DC11" s="215"/>
      <c r="DD11" s="215"/>
      <c r="DE11" s="215"/>
      <c r="DF11" s="215"/>
      <c r="DG11" s="215"/>
      <c r="DH11" s="215"/>
      <c r="DI11" s="215"/>
      <c r="DJ11" s="215"/>
      <c r="DK11" s="215"/>
      <c r="DL11" s="215"/>
      <c r="DM11" s="215"/>
      <c r="DN11" s="215"/>
      <c r="DO11" s="215"/>
      <c r="DP11" s="215"/>
      <c r="DQ11" s="215"/>
      <c r="DR11" s="215"/>
      <c r="DS11" s="215"/>
      <c r="DT11" s="215"/>
      <c r="DU11" s="215"/>
      <c r="DV11" s="215"/>
      <c r="DW11" s="215"/>
      <c r="DX11" s="215"/>
      <c r="DY11" s="215"/>
      <c r="DZ11" s="215"/>
      <c r="EA11" s="215"/>
      <c r="EB11" s="215"/>
      <c r="EC11" s="215"/>
      <c r="ED11" s="215"/>
      <c r="EE11" s="215"/>
      <c r="EF11" s="215"/>
      <c r="EG11" s="215"/>
      <c r="EH11" s="215"/>
      <c r="EI11" s="215"/>
      <c r="EJ11" s="215"/>
      <c r="EK11" s="215"/>
      <c r="EL11" s="215"/>
      <c r="EM11" s="215"/>
      <c r="EN11" s="215"/>
      <c r="EO11" s="215"/>
      <c r="EP11" s="215"/>
      <c r="EQ11" s="215"/>
      <c r="ER11" s="215"/>
      <c r="ES11" s="215"/>
      <c r="ET11" s="215"/>
      <c r="EU11" s="215"/>
      <c r="EV11" s="215"/>
      <c r="EW11" s="215"/>
      <c r="EX11" s="215"/>
      <c r="EY11" s="215"/>
      <c r="EZ11" s="215"/>
      <c r="FA11" s="215"/>
      <c r="FB11" s="215"/>
      <c r="FC11" s="215"/>
      <c r="FD11" s="215"/>
      <c r="FE11" s="215"/>
      <c r="FF11" s="215"/>
      <c r="FG11" s="215"/>
      <c r="FH11" s="215"/>
    </row>
    <row r="12">
      <c r="A12" s="231" t="s">
        <v>119</v>
      </c>
      <c r="E12" s="241">
        <f t="shared" ref="E12:AG12" si="1">IF(E8&gt;0,INDEX($B$21:$B$354,E11),"")</f>
        <v>45689</v>
      </c>
      <c r="F12" s="241">
        <f t="shared" si="1"/>
        <v>45717</v>
      </c>
      <c r="G12" s="241">
        <f t="shared" si="1"/>
        <v>45717</v>
      </c>
      <c r="H12" s="241">
        <f t="shared" si="1"/>
        <v>45748</v>
      </c>
      <c r="I12" s="241">
        <f t="shared" si="1"/>
        <v>45778</v>
      </c>
      <c r="J12" s="241">
        <f t="shared" si="1"/>
        <v>46082</v>
      </c>
      <c r="K12" s="241">
        <f t="shared" si="1"/>
        <v>46419</v>
      </c>
      <c r="L12" s="241">
        <f t="shared" si="1"/>
        <v>46478</v>
      </c>
      <c r="M12" s="241">
        <f t="shared" si="1"/>
        <v>46631</v>
      </c>
      <c r="N12" s="241">
        <f t="shared" si="1"/>
        <v>46874</v>
      </c>
      <c r="O12" s="241">
        <f t="shared" si="1"/>
        <v>47515</v>
      </c>
      <c r="P12" s="242">
        <f t="shared" si="1"/>
        <v>47757</v>
      </c>
      <c r="Q12" s="242">
        <f t="shared" si="1"/>
        <v>48519</v>
      </c>
      <c r="R12" s="243" t="str">
        <f t="shared" si="1"/>
        <v/>
      </c>
      <c r="S12" s="243" t="str">
        <f t="shared" si="1"/>
        <v/>
      </c>
      <c r="T12" s="243" t="str">
        <f t="shared" si="1"/>
        <v/>
      </c>
      <c r="U12" s="244" t="str">
        <f t="shared" si="1"/>
        <v/>
      </c>
      <c r="V12" s="244" t="str">
        <f t="shared" si="1"/>
        <v/>
      </c>
      <c r="W12" s="244" t="str">
        <f t="shared" si="1"/>
        <v/>
      </c>
      <c r="X12" s="244" t="str">
        <f t="shared" si="1"/>
        <v/>
      </c>
      <c r="Y12" s="244" t="str">
        <f t="shared" si="1"/>
        <v/>
      </c>
      <c r="Z12" s="244" t="str">
        <f t="shared" si="1"/>
        <v/>
      </c>
      <c r="AA12" s="244" t="str">
        <f t="shared" si="1"/>
        <v/>
      </c>
      <c r="AB12" s="244" t="str">
        <f t="shared" si="1"/>
        <v/>
      </c>
      <c r="AC12" s="244" t="str">
        <f t="shared" si="1"/>
        <v/>
      </c>
      <c r="AD12" s="244" t="str">
        <f t="shared" si="1"/>
        <v/>
      </c>
      <c r="AE12" s="244" t="str">
        <f t="shared" si="1"/>
        <v/>
      </c>
      <c r="AF12" s="244" t="str">
        <f t="shared" si="1"/>
        <v/>
      </c>
      <c r="AG12" s="244" t="str">
        <f t="shared" si="1"/>
        <v/>
      </c>
      <c r="AH12" s="234"/>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5"/>
      <c r="BK12" s="215"/>
      <c r="BL12" s="215"/>
      <c r="BM12" s="215"/>
      <c r="BN12" s="215"/>
      <c r="BO12" s="215"/>
      <c r="BP12" s="215"/>
      <c r="BQ12" s="215"/>
      <c r="BR12" s="215"/>
      <c r="BS12" s="215"/>
      <c r="BT12" s="215"/>
      <c r="BU12" s="215"/>
      <c r="BV12" s="215"/>
      <c r="BW12" s="215"/>
      <c r="BX12" s="215"/>
      <c r="BY12" s="215"/>
      <c r="BZ12" s="215"/>
      <c r="CA12" s="215"/>
      <c r="CB12" s="215"/>
      <c r="CC12" s="215"/>
      <c r="CD12" s="215"/>
      <c r="CE12" s="215"/>
      <c r="CF12" s="215"/>
      <c r="CG12" s="215"/>
      <c r="CH12" s="215"/>
      <c r="CI12" s="215"/>
      <c r="CJ12" s="215"/>
      <c r="CK12" s="215"/>
      <c r="CL12" s="215"/>
      <c r="CM12" s="215"/>
      <c r="CN12" s="215"/>
      <c r="CO12" s="215"/>
      <c r="CP12" s="215"/>
      <c r="CQ12" s="215"/>
      <c r="CR12" s="215"/>
      <c r="CS12" s="215"/>
      <c r="CT12" s="215"/>
      <c r="CU12" s="215"/>
      <c r="CV12" s="215"/>
      <c r="CW12" s="215"/>
      <c r="CX12" s="215"/>
      <c r="CY12" s="215"/>
      <c r="CZ12" s="215"/>
      <c r="DA12" s="215"/>
      <c r="DB12" s="215"/>
      <c r="DC12" s="215"/>
      <c r="DD12" s="215"/>
      <c r="DE12" s="215"/>
      <c r="DF12" s="215"/>
      <c r="DG12" s="215"/>
      <c r="DH12" s="215"/>
      <c r="DI12" s="215"/>
      <c r="DJ12" s="215"/>
      <c r="DK12" s="215"/>
      <c r="DL12" s="215"/>
      <c r="DM12" s="215"/>
      <c r="DN12" s="215"/>
      <c r="DO12" s="215"/>
      <c r="DP12" s="215"/>
      <c r="DQ12" s="215"/>
      <c r="DR12" s="215"/>
      <c r="DS12" s="215"/>
      <c r="DT12" s="215"/>
      <c r="DU12" s="215"/>
      <c r="DV12" s="215"/>
      <c r="DW12" s="215"/>
      <c r="DX12" s="215"/>
      <c r="DY12" s="215"/>
      <c r="DZ12" s="215"/>
      <c r="EA12" s="215"/>
      <c r="EB12" s="215"/>
      <c r="EC12" s="215"/>
      <c r="ED12" s="215"/>
      <c r="EE12" s="215"/>
      <c r="EF12" s="215"/>
      <c r="EG12" s="215"/>
      <c r="EH12" s="215"/>
      <c r="EI12" s="215"/>
      <c r="EJ12" s="215"/>
      <c r="EK12" s="215"/>
      <c r="EL12" s="215"/>
      <c r="EM12" s="215"/>
      <c r="EN12" s="215"/>
      <c r="EO12" s="215"/>
      <c r="EP12" s="215"/>
      <c r="EQ12" s="215"/>
      <c r="ER12" s="215"/>
      <c r="ES12" s="215"/>
      <c r="ET12" s="215"/>
      <c r="EU12" s="215"/>
      <c r="EV12" s="215"/>
      <c r="EW12" s="215"/>
      <c r="EX12" s="215"/>
      <c r="EY12" s="215"/>
      <c r="EZ12" s="215"/>
      <c r="FA12" s="215"/>
      <c r="FB12" s="215"/>
      <c r="FC12" s="215"/>
      <c r="FD12" s="215"/>
      <c r="FE12" s="215"/>
      <c r="FF12" s="215"/>
      <c r="FG12" s="215"/>
      <c r="FH12" s="215"/>
    </row>
    <row r="13">
      <c r="A13" s="231" t="s">
        <v>120</v>
      </c>
      <c r="E13" s="232">
        <f t="shared" ref="E13:AG13" si="2">IF(E320=0,SUM(BN21:BN354),NA())</f>
        <v>0</v>
      </c>
      <c r="F13" s="232">
        <f t="shared" si="2"/>
        <v>0</v>
      </c>
      <c r="G13" s="232">
        <f t="shared" si="2"/>
        <v>0</v>
      </c>
      <c r="H13" s="232">
        <f t="shared" si="2"/>
        <v>0</v>
      </c>
      <c r="I13" s="232">
        <f t="shared" si="2"/>
        <v>0</v>
      </c>
      <c r="J13" s="232">
        <f t="shared" si="2"/>
        <v>152.09</v>
      </c>
      <c r="K13" s="232">
        <f t="shared" si="2"/>
        <v>1248.19</v>
      </c>
      <c r="L13" s="232">
        <f t="shared" si="2"/>
        <v>2409.27</v>
      </c>
      <c r="M13" s="232">
        <f t="shared" si="2"/>
        <v>2356.8</v>
      </c>
      <c r="N13" s="232">
        <f t="shared" si="2"/>
        <v>6159.42</v>
      </c>
      <c r="O13" s="232">
        <f t="shared" si="2"/>
        <v>16719.58</v>
      </c>
      <c r="P13" s="233">
        <f t="shared" si="2"/>
        <v>17759.83</v>
      </c>
      <c r="Q13" s="233">
        <f t="shared" si="2"/>
        <v>34604.94</v>
      </c>
      <c r="R13" s="233">
        <f t="shared" si="2"/>
        <v>0</v>
      </c>
      <c r="S13" s="233">
        <f t="shared" si="2"/>
        <v>0</v>
      </c>
      <c r="T13" s="233">
        <f t="shared" si="2"/>
        <v>0</v>
      </c>
      <c r="U13" s="232">
        <f t="shared" si="2"/>
        <v>0</v>
      </c>
      <c r="V13" s="232">
        <f t="shared" si="2"/>
        <v>0</v>
      </c>
      <c r="W13" s="232">
        <f t="shared" si="2"/>
        <v>0</v>
      </c>
      <c r="X13" s="232">
        <f t="shared" si="2"/>
        <v>0</v>
      </c>
      <c r="Y13" s="232">
        <f t="shared" si="2"/>
        <v>0</v>
      </c>
      <c r="Z13" s="232">
        <f t="shared" si="2"/>
        <v>0</v>
      </c>
      <c r="AA13" s="232">
        <f t="shared" si="2"/>
        <v>0</v>
      </c>
      <c r="AB13" s="232">
        <f t="shared" si="2"/>
        <v>0</v>
      </c>
      <c r="AC13" s="232">
        <f t="shared" si="2"/>
        <v>0</v>
      </c>
      <c r="AD13" s="232">
        <f t="shared" si="2"/>
        <v>0</v>
      </c>
      <c r="AE13" s="232">
        <f t="shared" si="2"/>
        <v>0</v>
      </c>
      <c r="AF13" s="232">
        <f t="shared" si="2"/>
        <v>0</v>
      </c>
      <c r="AG13" s="232">
        <f t="shared" si="2"/>
        <v>0</v>
      </c>
      <c r="AH13" s="234"/>
      <c r="AI13" s="215"/>
      <c r="AJ13" s="215"/>
      <c r="AK13" s="215"/>
      <c r="AL13" s="215"/>
      <c r="AM13" s="215"/>
      <c r="AN13" s="215"/>
      <c r="AO13" s="215"/>
      <c r="AP13" s="215"/>
      <c r="AQ13" s="215"/>
      <c r="AR13" s="215"/>
      <c r="AS13" s="215"/>
      <c r="AT13" s="215"/>
      <c r="AU13" s="215"/>
      <c r="AV13" s="215"/>
      <c r="AW13" s="215"/>
      <c r="AX13" s="215"/>
      <c r="AY13" s="215"/>
      <c r="AZ13" s="215"/>
      <c r="BA13" s="215"/>
      <c r="BB13" s="215"/>
      <c r="BC13" s="215"/>
      <c r="BD13" s="215"/>
      <c r="BE13" s="215"/>
      <c r="BF13" s="215"/>
      <c r="BG13" s="215"/>
      <c r="BH13" s="215"/>
      <c r="BI13" s="215"/>
      <c r="BJ13" s="215"/>
      <c r="BK13" s="215"/>
      <c r="BL13" s="215"/>
      <c r="BM13" s="215"/>
      <c r="BN13" s="215"/>
      <c r="BO13" s="215"/>
      <c r="BP13" s="215"/>
      <c r="BQ13" s="215"/>
      <c r="BR13" s="215"/>
      <c r="BS13" s="215"/>
      <c r="BT13" s="215"/>
      <c r="BU13" s="215"/>
      <c r="BV13" s="215"/>
      <c r="BW13" s="215"/>
      <c r="BX13" s="215"/>
      <c r="BY13" s="215"/>
      <c r="BZ13" s="215"/>
      <c r="CA13" s="215"/>
      <c r="CB13" s="215"/>
      <c r="CC13" s="215"/>
      <c r="CD13" s="215"/>
      <c r="CE13" s="215"/>
      <c r="CF13" s="215"/>
      <c r="CG13" s="215"/>
      <c r="CH13" s="215"/>
      <c r="CI13" s="215"/>
      <c r="CJ13" s="215"/>
      <c r="CK13" s="215"/>
      <c r="CL13" s="215"/>
      <c r="CM13" s="215"/>
      <c r="CN13" s="215"/>
      <c r="CO13" s="215"/>
      <c r="CP13" s="215"/>
      <c r="CQ13" s="215"/>
      <c r="CR13" s="215"/>
      <c r="CS13" s="215"/>
      <c r="CT13" s="215"/>
      <c r="CU13" s="215"/>
      <c r="CV13" s="215"/>
      <c r="CW13" s="215"/>
      <c r="CX13" s="215"/>
      <c r="CY13" s="215"/>
      <c r="CZ13" s="215"/>
      <c r="DA13" s="215"/>
      <c r="DB13" s="215"/>
      <c r="DC13" s="215"/>
      <c r="DD13" s="215"/>
      <c r="DE13" s="215"/>
      <c r="DF13" s="215"/>
      <c r="DG13" s="215"/>
      <c r="DH13" s="215"/>
      <c r="DI13" s="215"/>
      <c r="DJ13" s="215"/>
      <c r="DK13" s="215"/>
      <c r="DL13" s="215"/>
      <c r="DM13" s="215"/>
      <c r="DN13" s="215"/>
      <c r="DO13" s="215"/>
      <c r="DP13" s="215"/>
      <c r="DQ13" s="215"/>
      <c r="DR13" s="215"/>
      <c r="DS13" s="215"/>
      <c r="DT13" s="215"/>
      <c r="DU13" s="215"/>
      <c r="DV13" s="215"/>
      <c r="DW13" s="215"/>
      <c r="DX13" s="215"/>
      <c r="DY13" s="215"/>
      <c r="DZ13" s="215"/>
      <c r="EA13" s="215"/>
      <c r="EB13" s="215"/>
      <c r="EC13" s="215"/>
      <c r="ED13" s="215"/>
      <c r="EE13" s="215"/>
      <c r="EF13" s="215"/>
      <c r="EG13" s="215"/>
      <c r="EH13" s="215"/>
      <c r="EI13" s="215"/>
      <c r="EJ13" s="215"/>
      <c r="EK13" s="215"/>
      <c r="EL13" s="215"/>
      <c r="EM13" s="215"/>
      <c r="EN13" s="215"/>
      <c r="EO13" s="215"/>
      <c r="EP13" s="215"/>
      <c r="EQ13" s="215"/>
      <c r="ER13" s="215"/>
      <c r="ES13" s="215"/>
      <c r="ET13" s="215"/>
      <c r="EU13" s="215"/>
      <c r="EV13" s="215"/>
      <c r="EW13" s="215"/>
      <c r="EX13" s="215"/>
      <c r="EY13" s="215"/>
      <c r="EZ13" s="215"/>
      <c r="FA13" s="215"/>
      <c r="FB13" s="215"/>
      <c r="FC13" s="215"/>
      <c r="FD13" s="215"/>
      <c r="FE13" s="215"/>
      <c r="FF13" s="215"/>
      <c r="FG13" s="215"/>
      <c r="FH13" s="215"/>
    </row>
    <row r="14">
      <c r="A14" s="231" t="s">
        <v>121</v>
      </c>
      <c r="E14" s="245" t="str">
        <f t="shared" ref="E14:AG14" si="3">IF(E320&gt;0,"&gt;"&amp;$A$320&amp;" Payments"," . ")</f>
        <v> . </v>
      </c>
      <c r="F14" s="245" t="str">
        <f t="shared" si="3"/>
        <v> . </v>
      </c>
      <c r="G14" s="245" t="str">
        <f t="shared" si="3"/>
        <v> . </v>
      </c>
      <c r="H14" s="245" t="str">
        <f t="shared" si="3"/>
        <v> . </v>
      </c>
      <c r="I14" s="245" t="str">
        <f t="shared" si="3"/>
        <v> . </v>
      </c>
      <c r="J14" s="245" t="str">
        <f t="shared" si="3"/>
        <v> . </v>
      </c>
      <c r="K14" s="245" t="str">
        <f t="shared" si="3"/>
        <v> . </v>
      </c>
      <c r="L14" s="245" t="str">
        <f t="shared" si="3"/>
        <v> . </v>
      </c>
      <c r="M14" s="245" t="str">
        <f t="shared" si="3"/>
        <v> . </v>
      </c>
      <c r="N14" s="245" t="str">
        <f t="shared" si="3"/>
        <v> . </v>
      </c>
      <c r="O14" s="245" t="str">
        <f t="shared" si="3"/>
        <v> . </v>
      </c>
      <c r="P14" s="246" t="str">
        <f t="shared" si="3"/>
        <v> . </v>
      </c>
      <c r="Q14" s="246" t="str">
        <f t="shared" si="3"/>
        <v> . </v>
      </c>
      <c r="R14" s="246" t="str">
        <f t="shared" si="3"/>
        <v> . </v>
      </c>
      <c r="S14" s="246" t="str">
        <f t="shared" si="3"/>
        <v> . </v>
      </c>
      <c r="T14" s="246" t="str">
        <f t="shared" si="3"/>
        <v> . </v>
      </c>
      <c r="U14" s="245" t="str">
        <f t="shared" si="3"/>
        <v> . </v>
      </c>
      <c r="V14" s="245" t="str">
        <f t="shared" si="3"/>
        <v> . </v>
      </c>
      <c r="W14" s="245" t="str">
        <f t="shared" si="3"/>
        <v> . </v>
      </c>
      <c r="X14" s="245" t="str">
        <f t="shared" si="3"/>
        <v> . </v>
      </c>
      <c r="Y14" s="245" t="str">
        <f t="shared" si="3"/>
        <v> . </v>
      </c>
      <c r="Z14" s="245" t="str">
        <f t="shared" si="3"/>
        <v> . </v>
      </c>
      <c r="AA14" s="245" t="str">
        <f t="shared" si="3"/>
        <v> . </v>
      </c>
      <c r="AB14" s="245" t="str">
        <f t="shared" si="3"/>
        <v> . </v>
      </c>
      <c r="AC14" s="245" t="str">
        <f t="shared" si="3"/>
        <v> . </v>
      </c>
      <c r="AD14" s="245" t="str">
        <f t="shared" si="3"/>
        <v> . </v>
      </c>
      <c r="AE14" s="245" t="str">
        <f t="shared" si="3"/>
        <v> . </v>
      </c>
      <c r="AF14" s="245" t="str">
        <f t="shared" si="3"/>
        <v> . </v>
      </c>
      <c r="AG14" s="245" t="str">
        <f t="shared" si="3"/>
        <v> . </v>
      </c>
      <c r="AH14" s="234"/>
      <c r="AI14" s="215"/>
      <c r="AJ14" s="215"/>
      <c r="AK14" s="215"/>
      <c r="AL14" s="215"/>
      <c r="AM14" s="215"/>
      <c r="AN14" s="215"/>
      <c r="AO14" s="215"/>
      <c r="AP14" s="215"/>
      <c r="AQ14" s="215"/>
      <c r="AR14" s="215"/>
      <c r="AS14" s="215"/>
      <c r="AT14" s="215"/>
      <c r="AU14" s="215"/>
      <c r="AV14" s="215"/>
      <c r="AW14" s="215"/>
      <c r="AX14" s="215"/>
      <c r="AY14" s="215"/>
      <c r="AZ14" s="215"/>
      <c r="BA14" s="215"/>
      <c r="BB14" s="215"/>
      <c r="BC14" s="215"/>
      <c r="BD14" s="215"/>
      <c r="BE14" s="215"/>
      <c r="BF14" s="215"/>
      <c r="BG14" s="215"/>
      <c r="BH14" s="215"/>
      <c r="BI14" s="215"/>
      <c r="BJ14" s="215"/>
      <c r="BK14" s="215"/>
      <c r="BL14" s="215"/>
      <c r="BM14" s="215"/>
      <c r="BN14" s="215"/>
      <c r="BO14" s="215"/>
      <c r="BP14" s="215"/>
      <c r="BQ14" s="215"/>
      <c r="BR14" s="215"/>
      <c r="BS14" s="215"/>
      <c r="BT14" s="215"/>
      <c r="BU14" s="215"/>
      <c r="BV14" s="215"/>
      <c r="BW14" s="215"/>
      <c r="BX14" s="215"/>
      <c r="BY14" s="215"/>
      <c r="BZ14" s="215"/>
      <c r="CA14" s="215"/>
      <c r="CB14" s="215"/>
      <c r="CC14" s="215"/>
      <c r="CD14" s="215"/>
      <c r="CE14" s="215"/>
      <c r="CF14" s="215"/>
      <c r="CG14" s="215"/>
      <c r="CH14" s="215"/>
      <c r="CI14" s="215"/>
      <c r="CJ14" s="215"/>
      <c r="CK14" s="215"/>
      <c r="CL14" s="215"/>
      <c r="CM14" s="215"/>
      <c r="CN14" s="215"/>
      <c r="CO14" s="215"/>
      <c r="CP14" s="215"/>
      <c r="CQ14" s="215"/>
      <c r="CR14" s="215"/>
      <c r="CS14" s="215"/>
      <c r="CT14" s="215"/>
      <c r="CU14" s="215"/>
      <c r="CV14" s="215"/>
      <c r="CW14" s="215"/>
      <c r="CX14" s="215"/>
      <c r="CY14" s="215"/>
      <c r="CZ14" s="215"/>
      <c r="DA14" s="215"/>
      <c r="DB14" s="215"/>
      <c r="DC14" s="215"/>
      <c r="DD14" s="215"/>
      <c r="DE14" s="215"/>
      <c r="DF14" s="215"/>
      <c r="DG14" s="215"/>
      <c r="DH14" s="215"/>
      <c r="DI14" s="215"/>
      <c r="DJ14" s="215"/>
      <c r="DK14" s="215"/>
      <c r="DL14" s="215"/>
      <c r="DM14" s="215"/>
      <c r="DN14" s="215"/>
      <c r="DO14" s="215"/>
      <c r="DP14" s="215"/>
      <c r="DQ14" s="215"/>
      <c r="DR14" s="215"/>
      <c r="DS14" s="215"/>
      <c r="DT14" s="215"/>
      <c r="DU14" s="215"/>
      <c r="DV14" s="215"/>
      <c r="DW14" s="215"/>
      <c r="DX14" s="215"/>
      <c r="DY14" s="215"/>
      <c r="DZ14" s="215"/>
      <c r="EA14" s="215"/>
      <c r="EB14" s="215"/>
      <c r="EC14" s="215"/>
      <c r="ED14" s="215"/>
      <c r="EE14" s="215"/>
      <c r="EF14" s="215"/>
      <c r="EG14" s="215"/>
      <c r="EH14" s="215"/>
      <c r="EI14" s="215"/>
      <c r="EJ14" s="215"/>
      <c r="EK14" s="215"/>
      <c r="EL14" s="215"/>
      <c r="EM14" s="215"/>
      <c r="EN14" s="215"/>
      <c r="EO14" s="215"/>
      <c r="EP14" s="215"/>
      <c r="EQ14" s="215"/>
      <c r="ER14" s="215"/>
      <c r="ES14" s="215"/>
      <c r="ET14" s="215"/>
      <c r="EU14" s="215"/>
      <c r="EV14" s="215"/>
      <c r="EW14" s="215"/>
      <c r="EX14" s="215"/>
      <c r="EY14" s="215"/>
      <c r="EZ14" s="215"/>
      <c r="FA14" s="215"/>
      <c r="FB14" s="215"/>
      <c r="FC14" s="215"/>
      <c r="FD14" s="215"/>
      <c r="FE14" s="215"/>
      <c r="FF14" s="215"/>
      <c r="FG14" s="215"/>
      <c r="FH14" s="215"/>
    </row>
    <row r="15">
      <c r="A15" s="215"/>
      <c r="B15" s="215"/>
      <c r="C15" s="215"/>
      <c r="D15" s="215"/>
      <c r="E15" s="215"/>
      <c r="F15" s="215"/>
      <c r="G15" s="215"/>
      <c r="H15" s="215"/>
      <c r="I15" s="215"/>
      <c r="J15" s="215"/>
      <c r="K15" s="215"/>
      <c r="L15" s="215"/>
      <c r="M15" s="215"/>
      <c r="N15" s="215"/>
      <c r="O15" s="215"/>
      <c r="P15" s="216"/>
      <c r="Q15" s="216"/>
      <c r="R15" s="216"/>
      <c r="S15" s="216"/>
      <c r="T15" s="216"/>
      <c r="U15" s="215"/>
      <c r="V15" s="215"/>
      <c r="W15" s="215"/>
      <c r="X15" s="215"/>
      <c r="Y15" s="215"/>
      <c r="Z15" s="215"/>
      <c r="AA15" s="215"/>
      <c r="AB15" s="215"/>
      <c r="AC15" s="215"/>
      <c r="AD15" s="215"/>
      <c r="AE15" s="215"/>
      <c r="AF15" s="215"/>
      <c r="AG15" s="215"/>
      <c r="AH15" s="234"/>
      <c r="AI15" s="215"/>
      <c r="AJ15" s="215"/>
      <c r="AK15" s="215"/>
      <c r="AL15" s="215"/>
      <c r="AM15" s="215"/>
      <c r="AN15" s="215"/>
      <c r="AO15" s="215"/>
      <c r="AP15" s="215"/>
      <c r="AQ15" s="215"/>
      <c r="AR15" s="215"/>
      <c r="AS15" s="215"/>
      <c r="AT15" s="215"/>
      <c r="AU15" s="215"/>
      <c r="AV15" s="215"/>
      <c r="AW15" s="215"/>
      <c r="AX15" s="215"/>
      <c r="AY15" s="215"/>
      <c r="AZ15" s="215"/>
      <c r="BA15" s="215"/>
      <c r="BB15" s="215"/>
      <c r="BC15" s="215"/>
      <c r="BD15" s="215"/>
      <c r="BE15" s="215"/>
      <c r="BF15" s="215"/>
      <c r="BG15" s="215"/>
      <c r="BH15" s="215"/>
      <c r="BI15" s="215"/>
      <c r="BJ15" s="215"/>
      <c r="BK15" s="215"/>
      <c r="BL15" s="215"/>
      <c r="BM15" s="215"/>
      <c r="BN15" s="215"/>
      <c r="BO15" s="215"/>
      <c r="BP15" s="215"/>
      <c r="BQ15" s="215"/>
      <c r="BR15" s="215"/>
      <c r="BS15" s="215"/>
      <c r="BT15" s="215"/>
      <c r="BU15" s="215"/>
      <c r="BV15" s="215"/>
      <c r="BW15" s="215"/>
      <c r="BX15" s="215"/>
      <c r="BY15" s="215"/>
      <c r="BZ15" s="215"/>
      <c r="CA15" s="215"/>
      <c r="CB15" s="215"/>
      <c r="CC15" s="215"/>
      <c r="CD15" s="215"/>
      <c r="CE15" s="215"/>
      <c r="CF15" s="215"/>
      <c r="CG15" s="215"/>
      <c r="CH15" s="215"/>
      <c r="CI15" s="215"/>
      <c r="CJ15" s="215"/>
      <c r="CK15" s="215"/>
      <c r="CL15" s="215"/>
      <c r="CM15" s="215"/>
      <c r="CN15" s="215"/>
      <c r="CO15" s="215"/>
      <c r="CP15" s="215"/>
      <c r="CQ15" s="215"/>
      <c r="CR15" s="215"/>
      <c r="CS15" s="215"/>
      <c r="CT15" s="215"/>
      <c r="CU15" s="215"/>
      <c r="CV15" s="215"/>
      <c r="CW15" s="215"/>
      <c r="CX15" s="215"/>
      <c r="CY15" s="215"/>
      <c r="CZ15" s="215"/>
      <c r="DA15" s="215"/>
      <c r="DB15" s="215"/>
      <c r="DC15" s="215"/>
      <c r="DD15" s="215"/>
      <c r="DE15" s="215"/>
      <c r="DF15" s="215"/>
      <c r="DG15" s="215"/>
      <c r="DH15" s="215"/>
      <c r="DI15" s="215"/>
      <c r="DJ15" s="215"/>
      <c r="DK15" s="215"/>
      <c r="DL15" s="215"/>
      <c r="DM15" s="215"/>
      <c r="DN15" s="215"/>
      <c r="DO15" s="215"/>
      <c r="DP15" s="215"/>
      <c r="DQ15" s="215"/>
      <c r="DR15" s="215"/>
      <c r="DS15" s="215"/>
      <c r="DT15" s="215"/>
      <c r="DU15" s="215"/>
      <c r="DV15" s="215"/>
      <c r="DW15" s="215"/>
      <c r="DX15" s="215"/>
      <c r="DY15" s="215"/>
      <c r="DZ15" s="215"/>
      <c r="EA15" s="215"/>
      <c r="EB15" s="215"/>
      <c r="EC15" s="215"/>
      <c r="ED15" s="215"/>
      <c r="EE15" s="215"/>
      <c r="EF15" s="215"/>
      <c r="EG15" s="215"/>
      <c r="EH15" s="215"/>
      <c r="EI15" s="215"/>
      <c r="EJ15" s="215"/>
      <c r="EK15" s="215"/>
      <c r="EL15" s="215"/>
      <c r="EM15" s="215"/>
      <c r="EN15" s="215"/>
      <c r="EO15" s="215"/>
      <c r="EP15" s="215"/>
      <c r="EQ15" s="215"/>
      <c r="ER15" s="215"/>
      <c r="ES15" s="215"/>
      <c r="ET15" s="215"/>
      <c r="EU15" s="215"/>
      <c r="EV15" s="215"/>
      <c r="EW15" s="215"/>
      <c r="EX15" s="215"/>
      <c r="EY15" s="215"/>
      <c r="EZ15" s="215"/>
      <c r="FA15" s="215"/>
      <c r="FB15" s="215"/>
      <c r="FC15" s="215"/>
      <c r="FD15" s="215"/>
      <c r="FE15" s="215"/>
      <c r="FF15" s="215"/>
      <c r="FG15" s="215"/>
      <c r="FH15" s="215"/>
    </row>
    <row r="16" ht="15.0" customHeight="1">
      <c r="A16" s="221" t="s">
        <v>120</v>
      </c>
      <c r="E16" s="247">
        <f>SUM(E13:AG13)</f>
        <v>81410.12</v>
      </c>
      <c r="G16" s="215"/>
      <c r="H16" s="215"/>
      <c r="I16" s="215"/>
      <c r="J16" s="215"/>
      <c r="K16" s="215"/>
      <c r="L16" s="215"/>
      <c r="M16" s="215"/>
      <c r="N16" s="215"/>
      <c r="O16" s="215"/>
      <c r="P16" s="216"/>
      <c r="Q16" s="216"/>
      <c r="R16" s="216"/>
      <c r="S16" s="216"/>
      <c r="T16" s="216"/>
      <c r="U16" s="215"/>
      <c r="V16" s="215"/>
      <c r="W16" s="215"/>
      <c r="X16" s="215"/>
      <c r="Y16" s="215"/>
      <c r="Z16" s="215"/>
      <c r="AA16" s="215"/>
      <c r="AB16" s="215"/>
      <c r="AC16" s="215"/>
      <c r="AD16" s="215"/>
      <c r="AE16" s="215"/>
      <c r="AF16" s="215"/>
      <c r="AG16" s="215"/>
      <c r="AH16" s="234"/>
      <c r="AI16" s="215"/>
      <c r="AJ16" s="215"/>
      <c r="AK16" s="215"/>
      <c r="AL16" s="215"/>
      <c r="AM16" s="215"/>
      <c r="AN16" s="215"/>
      <c r="AO16" s="215"/>
      <c r="AP16" s="215"/>
      <c r="AQ16" s="215"/>
      <c r="AR16" s="215"/>
      <c r="AS16" s="215"/>
      <c r="AT16" s="215"/>
      <c r="AU16" s="215"/>
      <c r="AV16" s="215"/>
      <c r="AW16" s="215"/>
      <c r="AX16" s="215"/>
      <c r="AY16" s="215"/>
      <c r="AZ16" s="215"/>
      <c r="BA16" s="215"/>
      <c r="BB16" s="215"/>
      <c r="BC16" s="215"/>
      <c r="BD16" s="215"/>
      <c r="BE16" s="215"/>
      <c r="BF16" s="215"/>
      <c r="BG16" s="215"/>
      <c r="BH16" s="215"/>
      <c r="BI16" s="215"/>
      <c r="BJ16" s="215"/>
      <c r="BK16" s="215"/>
      <c r="BL16" s="215"/>
      <c r="BM16" s="215"/>
      <c r="BN16" s="215"/>
      <c r="BO16" s="215"/>
      <c r="BP16" s="215"/>
      <c r="BQ16" s="215"/>
      <c r="BR16" s="215"/>
      <c r="BS16" s="215"/>
      <c r="BT16" s="215"/>
      <c r="BU16" s="215"/>
      <c r="BV16" s="215"/>
      <c r="BW16" s="215"/>
      <c r="BX16" s="215"/>
      <c r="BY16" s="215"/>
      <c r="BZ16" s="215"/>
      <c r="CA16" s="215"/>
      <c r="CB16" s="215"/>
      <c r="CC16" s="215"/>
      <c r="CD16" s="215"/>
      <c r="CE16" s="215"/>
      <c r="CF16" s="215"/>
      <c r="CG16" s="215"/>
      <c r="CH16" s="215"/>
      <c r="CI16" s="215"/>
      <c r="CJ16" s="215"/>
      <c r="CK16" s="215"/>
      <c r="CL16" s="215"/>
      <c r="CM16" s="215"/>
      <c r="CN16" s="215"/>
      <c r="CO16" s="215"/>
      <c r="CP16" s="215"/>
      <c r="CQ16" s="215"/>
      <c r="CR16" s="215"/>
      <c r="CS16" s="215"/>
      <c r="CT16" s="215"/>
      <c r="CU16" s="215"/>
      <c r="CV16" s="215"/>
      <c r="CW16" s="215"/>
      <c r="CX16" s="215"/>
      <c r="CY16" s="215"/>
      <c r="CZ16" s="215"/>
      <c r="DA16" s="215"/>
      <c r="DB16" s="215"/>
      <c r="DC16" s="215"/>
      <c r="DD16" s="215"/>
      <c r="DE16" s="215"/>
      <c r="DF16" s="215"/>
      <c r="DG16" s="215"/>
      <c r="DH16" s="215"/>
      <c r="DI16" s="215"/>
      <c r="DJ16" s="215"/>
      <c r="DK16" s="215"/>
      <c r="DL16" s="215"/>
      <c r="DM16" s="215"/>
      <c r="DN16" s="215"/>
      <c r="DO16" s="215"/>
      <c r="DP16" s="215"/>
      <c r="DQ16" s="215"/>
      <c r="DR16" s="215"/>
      <c r="DS16" s="215"/>
      <c r="DT16" s="215"/>
      <c r="DU16" s="215"/>
      <c r="DV16" s="215"/>
      <c r="DW16" s="215"/>
      <c r="DX16" s="215"/>
      <c r="DY16" s="215"/>
      <c r="DZ16" s="215"/>
      <c r="EA16" s="215"/>
      <c r="EB16" s="215"/>
      <c r="EC16" s="215"/>
      <c r="ED16" s="215"/>
      <c r="EE16" s="215"/>
      <c r="EF16" s="215"/>
      <c r="EG16" s="215"/>
      <c r="EH16" s="215"/>
      <c r="EI16" s="215"/>
      <c r="EJ16" s="215"/>
      <c r="EK16" s="215"/>
      <c r="EL16" s="215"/>
      <c r="EM16" s="215"/>
      <c r="EN16" s="215"/>
      <c r="EO16" s="215"/>
      <c r="EP16" s="215"/>
      <c r="EQ16" s="215"/>
      <c r="ER16" s="215"/>
      <c r="ES16" s="215"/>
      <c r="ET16" s="215"/>
      <c r="EU16" s="215"/>
      <c r="EV16" s="215"/>
      <c r="EW16" s="215"/>
      <c r="EX16" s="215"/>
      <c r="EY16" s="215"/>
      <c r="EZ16" s="215"/>
      <c r="FA16" s="215"/>
      <c r="FB16" s="215"/>
      <c r="FC16" s="215"/>
      <c r="FD16" s="215"/>
      <c r="FE16" s="215"/>
      <c r="FF16" s="215"/>
      <c r="FG16" s="215"/>
      <c r="FH16" s="215"/>
    </row>
    <row r="17">
      <c r="A17" s="215"/>
      <c r="B17" s="215"/>
      <c r="C17" s="215"/>
      <c r="D17" s="215"/>
      <c r="E17" s="215"/>
      <c r="F17" s="215"/>
      <c r="G17" s="215"/>
      <c r="H17" s="215"/>
      <c r="I17" s="215"/>
      <c r="J17" s="215"/>
      <c r="K17" s="215"/>
      <c r="L17" s="215"/>
      <c r="M17" s="215"/>
      <c r="N17" s="215"/>
      <c r="O17" s="215"/>
      <c r="P17" s="216"/>
      <c r="Q17" s="216"/>
      <c r="R17" s="216"/>
      <c r="S17" s="216"/>
      <c r="T17" s="216"/>
      <c r="U17" s="215"/>
      <c r="V17" s="215"/>
      <c r="W17" s="215"/>
      <c r="X17" s="215"/>
      <c r="Y17" s="215"/>
      <c r="Z17" s="215"/>
      <c r="AA17" s="215"/>
      <c r="AB17" s="215"/>
      <c r="AC17" s="215"/>
      <c r="AD17" s="215"/>
      <c r="AE17" s="215"/>
      <c r="AF17" s="215"/>
      <c r="AG17" s="215"/>
      <c r="AH17" s="234"/>
      <c r="AI17" s="215"/>
      <c r="AJ17" s="215"/>
      <c r="AK17" s="215"/>
      <c r="AL17" s="215"/>
      <c r="AM17" s="215"/>
      <c r="AN17" s="215"/>
      <c r="AO17" s="215"/>
      <c r="AP17" s="215"/>
      <c r="AQ17" s="215"/>
      <c r="AR17" s="215"/>
      <c r="AS17" s="215"/>
      <c r="AT17" s="215"/>
      <c r="AU17" s="215"/>
      <c r="AV17" s="215"/>
      <c r="AW17" s="215"/>
      <c r="AX17" s="215"/>
      <c r="AY17" s="215"/>
      <c r="AZ17" s="215"/>
      <c r="BA17" s="215"/>
      <c r="BB17" s="215"/>
      <c r="BC17" s="215"/>
      <c r="BD17" s="215"/>
      <c r="BE17" s="215"/>
      <c r="BF17" s="215"/>
      <c r="BG17" s="215"/>
      <c r="BH17" s="215"/>
      <c r="BI17" s="215"/>
      <c r="BJ17" s="215"/>
      <c r="BK17" s="215"/>
      <c r="BL17" s="215"/>
      <c r="BM17" s="215"/>
      <c r="BN17" s="215"/>
      <c r="BO17" s="215"/>
      <c r="BP17" s="215"/>
      <c r="BQ17" s="215"/>
      <c r="BR17" s="215"/>
      <c r="BS17" s="215"/>
      <c r="BT17" s="215"/>
      <c r="BU17" s="215"/>
      <c r="BV17" s="215"/>
      <c r="BW17" s="215"/>
      <c r="BX17" s="215"/>
      <c r="BY17" s="215"/>
      <c r="BZ17" s="215"/>
      <c r="CA17" s="215"/>
      <c r="CB17" s="215"/>
      <c r="CC17" s="215"/>
      <c r="CD17" s="215"/>
      <c r="CE17" s="215"/>
      <c r="CF17" s="215"/>
      <c r="CG17" s="215"/>
      <c r="CH17" s="215"/>
      <c r="CI17" s="215"/>
      <c r="CJ17" s="215"/>
      <c r="CK17" s="215"/>
      <c r="CL17" s="215"/>
      <c r="CM17" s="215"/>
      <c r="CN17" s="215"/>
      <c r="CO17" s="215"/>
      <c r="CP17" s="215"/>
      <c r="CQ17" s="215"/>
      <c r="CR17" s="215"/>
      <c r="CS17" s="215"/>
      <c r="CT17" s="215"/>
      <c r="CU17" s="215"/>
      <c r="CV17" s="215"/>
      <c r="CW17" s="215"/>
      <c r="CX17" s="215"/>
      <c r="CY17" s="215"/>
      <c r="CZ17" s="215"/>
      <c r="DA17" s="215"/>
      <c r="DB17" s="215"/>
      <c r="DC17" s="215"/>
      <c r="DD17" s="215"/>
      <c r="DE17" s="215"/>
      <c r="DF17" s="215"/>
      <c r="DG17" s="215"/>
      <c r="DH17" s="215"/>
      <c r="DI17" s="215"/>
      <c r="DJ17" s="215"/>
      <c r="DK17" s="215"/>
      <c r="DL17" s="215"/>
      <c r="DM17" s="215"/>
      <c r="DN17" s="215"/>
      <c r="DO17" s="215"/>
      <c r="DP17" s="215"/>
      <c r="DQ17" s="215"/>
      <c r="DR17" s="215"/>
      <c r="DS17" s="215"/>
      <c r="DT17" s="215"/>
      <c r="DU17" s="215"/>
      <c r="DV17" s="215"/>
      <c r="DW17" s="215"/>
      <c r="DX17" s="215"/>
      <c r="DY17" s="215"/>
      <c r="DZ17" s="215"/>
      <c r="EA17" s="215"/>
      <c r="EB17" s="215"/>
      <c r="EC17" s="215"/>
      <c r="ED17" s="215"/>
      <c r="EE17" s="215"/>
      <c r="EF17" s="215"/>
      <c r="EG17" s="215"/>
      <c r="EH17" s="215"/>
      <c r="EI17" s="215"/>
      <c r="EJ17" s="215"/>
      <c r="EK17" s="215"/>
      <c r="EL17" s="215"/>
      <c r="EM17" s="215"/>
      <c r="EN17" s="215"/>
      <c r="EO17" s="215"/>
      <c r="EP17" s="215"/>
      <c r="EQ17" s="215"/>
      <c r="ER17" s="215"/>
      <c r="ES17" s="215"/>
      <c r="ET17" s="215"/>
      <c r="EU17" s="215"/>
      <c r="EV17" s="215"/>
      <c r="EW17" s="215"/>
      <c r="EX17" s="215"/>
      <c r="EY17" s="215"/>
      <c r="EZ17" s="215"/>
      <c r="FA17" s="215"/>
      <c r="FB17" s="215"/>
      <c r="FC17" s="215"/>
      <c r="FD17" s="215"/>
      <c r="FE17" s="215"/>
      <c r="FF17" s="215"/>
      <c r="FG17" s="215"/>
      <c r="FH17" s="215"/>
    </row>
    <row r="18">
      <c r="A18" s="215"/>
      <c r="B18" s="215"/>
      <c r="C18" s="215"/>
      <c r="D18" s="215"/>
      <c r="E18" s="248" t="s">
        <v>122</v>
      </c>
      <c r="M18" s="215"/>
      <c r="N18" s="215"/>
      <c r="O18" s="215"/>
      <c r="P18" s="216"/>
      <c r="Q18" s="216"/>
      <c r="R18" s="216"/>
      <c r="S18" s="216"/>
      <c r="T18" s="216"/>
      <c r="U18" s="215"/>
      <c r="V18" s="215"/>
      <c r="W18" s="215"/>
      <c r="X18" s="215"/>
      <c r="Y18" s="215"/>
      <c r="Z18" s="215"/>
      <c r="AA18" s="215"/>
      <c r="AB18" s="215"/>
      <c r="AC18" s="215"/>
      <c r="AD18" s="215"/>
      <c r="AE18" s="215"/>
      <c r="AF18" s="215"/>
      <c r="AG18" s="215"/>
      <c r="AH18" s="234"/>
      <c r="AI18" s="248" t="s">
        <v>123</v>
      </c>
      <c r="AJ18" s="215"/>
      <c r="AK18" s="215"/>
      <c r="AL18" s="215"/>
      <c r="AM18" s="215"/>
      <c r="AN18" s="215"/>
      <c r="AO18" s="215"/>
      <c r="AP18" s="215"/>
      <c r="AQ18" s="215"/>
      <c r="AR18" s="215"/>
      <c r="AS18" s="215"/>
      <c r="AT18" s="215"/>
      <c r="AU18" s="215"/>
      <c r="AV18" s="215"/>
      <c r="AW18" s="215"/>
      <c r="AX18" s="215"/>
      <c r="AY18" s="215"/>
      <c r="AZ18" s="215"/>
      <c r="BA18" s="215"/>
      <c r="BB18" s="215"/>
      <c r="BC18" s="215"/>
      <c r="BD18" s="215"/>
      <c r="BE18" s="215"/>
      <c r="BF18" s="215"/>
      <c r="BG18" s="215"/>
      <c r="BH18" s="215"/>
      <c r="BI18" s="215"/>
      <c r="BJ18" s="215"/>
      <c r="BK18" s="215"/>
      <c r="BL18" s="215"/>
      <c r="BM18" s="215"/>
      <c r="BN18" s="248" t="s">
        <v>73</v>
      </c>
      <c r="BO18" s="215"/>
      <c r="BP18" s="215"/>
      <c r="BQ18" s="215"/>
      <c r="BR18" s="215"/>
      <c r="BS18" s="215"/>
      <c r="BT18" s="215"/>
      <c r="BU18" s="215"/>
      <c r="BV18" s="215"/>
      <c r="BW18" s="215"/>
      <c r="BX18" s="215"/>
      <c r="BY18" s="215"/>
      <c r="BZ18" s="215"/>
      <c r="CA18" s="215"/>
      <c r="CB18" s="215"/>
      <c r="CC18" s="215"/>
      <c r="CD18" s="215"/>
      <c r="CE18" s="215"/>
      <c r="CF18" s="215"/>
      <c r="CG18" s="215"/>
      <c r="CH18" s="215"/>
      <c r="CI18" s="215"/>
      <c r="CJ18" s="215"/>
      <c r="CK18" s="215"/>
      <c r="CL18" s="215"/>
      <c r="CM18" s="215"/>
      <c r="CN18" s="215"/>
      <c r="CO18" s="215"/>
      <c r="CP18" s="215"/>
      <c r="CQ18" s="215"/>
      <c r="CR18" s="215"/>
      <c r="CS18" s="215"/>
      <c r="CT18" s="248" t="s">
        <v>124</v>
      </c>
      <c r="CU18" s="215"/>
      <c r="CV18" s="215"/>
      <c r="CW18" s="215"/>
      <c r="CX18" s="215"/>
      <c r="CY18" s="215"/>
      <c r="CZ18" s="215"/>
      <c r="DA18" s="215"/>
      <c r="DB18" s="215"/>
      <c r="DC18" s="215"/>
      <c r="DD18" s="215"/>
      <c r="DE18" s="215"/>
      <c r="DF18" s="215"/>
      <c r="DG18" s="215"/>
      <c r="DH18" s="215"/>
      <c r="DI18" s="215"/>
      <c r="DJ18" s="215"/>
      <c r="DK18" s="215"/>
      <c r="DL18" s="215"/>
      <c r="DM18" s="215"/>
      <c r="DN18" s="215"/>
      <c r="DO18" s="215"/>
      <c r="DP18" s="215"/>
      <c r="DQ18" s="215"/>
      <c r="DR18" s="215"/>
      <c r="DS18" s="215"/>
      <c r="DT18" s="215"/>
      <c r="DU18" s="215"/>
      <c r="DV18" s="215"/>
      <c r="DW18" s="215"/>
      <c r="DX18" s="215"/>
      <c r="DY18" s="215"/>
      <c r="DZ18" s="215"/>
      <c r="EA18" s="215"/>
      <c r="EB18" s="215"/>
      <c r="EC18" s="215"/>
      <c r="ED18" s="215"/>
      <c r="EE18" s="215"/>
      <c r="EF18" s="215"/>
      <c r="EG18" s="215"/>
      <c r="EH18" s="215"/>
      <c r="EI18" s="215"/>
      <c r="EJ18" s="215"/>
      <c r="EK18" s="215"/>
      <c r="EL18" s="215"/>
      <c r="EM18" s="215"/>
      <c r="EN18" s="215"/>
      <c r="EO18" s="215"/>
      <c r="EP18" s="215"/>
      <c r="EQ18" s="215"/>
      <c r="ER18" s="215"/>
      <c r="ES18" s="215"/>
      <c r="ET18" s="215"/>
      <c r="EU18" s="215"/>
      <c r="EV18" s="215"/>
      <c r="EW18" s="215"/>
      <c r="EX18" s="215"/>
      <c r="EY18" s="215"/>
      <c r="EZ18" s="215"/>
      <c r="FA18" s="215"/>
      <c r="FB18" s="215"/>
      <c r="FC18" s="215"/>
      <c r="FD18" s="215"/>
      <c r="FE18" s="215"/>
      <c r="FF18" s="215"/>
      <c r="FG18" s="215"/>
      <c r="FH18" s="215"/>
    </row>
    <row r="19" ht="14.25" customHeight="1">
      <c r="A19" s="249" t="s">
        <v>125</v>
      </c>
      <c r="B19" s="249" t="s">
        <v>126</v>
      </c>
      <c r="C19" s="249" t="s">
        <v>127</v>
      </c>
      <c r="D19" s="249" t="s">
        <v>128</v>
      </c>
      <c r="E19" s="250" t="str">
        <f t="shared" ref="E19:AG19" si="4">E7</f>
        <v>Christmas Affirm 3</v>
      </c>
      <c r="F19" s="250" t="str">
        <f t="shared" si="4"/>
        <v>Christmas Affirm 1</v>
      </c>
      <c r="G19" s="250" t="str">
        <f t="shared" si="4"/>
        <v>Christmas Affirm 2</v>
      </c>
      <c r="H19" s="250" t="str">
        <f t="shared" si="4"/>
        <v>Christmas Affirm 4</v>
      </c>
      <c r="I19" s="250" t="str">
        <f t="shared" si="4"/>
        <v>Christmas Affirm 5</v>
      </c>
      <c r="J19" s="250" t="str">
        <f t="shared" si="4"/>
        <v>Emergency Loan</v>
      </c>
      <c r="K19" s="250" t="str">
        <f t="shared" si="4"/>
        <v>James Braces</v>
      </c>
      <c r="L19" s="250" t="str">
        <f t="shared" si="4"/>
        <v>Tia Cap One</v>
      </c>
      <c r="M19" s="250" t="str">
        <f t="shared" si="4"/>
        <v>John Cap One</v>
      </c>
      <c r="N19" s="250" t="str">
        <f t="shared" si="4"/>
        <v>Upgrade Loan</v>
      </c>
      <c r="O19" s="250" t="str">
        <f t="shared" si="4"/>
        <v>Tesla</v>
      </c>
      <c r="P19" s="251" t="str">
        <f t="shared" si="4"/>
        <v>La'Kia</v>
      </c>
      <c r="Q19" s="251" t="str">
        <f t="shared" si="4"/>
        <v>Mortgage</v>
      </c>
      <c r="R19" s="252" t="str">
        <f t="shared" si="4"/>
        <v/>
      </c>
      <c r="S19" s="252" t="str">
        <f t="shared" si="4"/>
        <v/>
      </c>
      <c r="T19" s="252" t="str">
        <f t="shared" si="4"/>
        <v/>
      </c>
      <c r="U19" s="253" t="str">
        <f t="shared" si="4"/>
        <v/>
      </c>
      <c r="V19" s="253" t="str">
        <f t="shared" si="4"/>
        <v/>
      </c>
      <c r="W19" s="253" t="str">
        <f t="shared" si="4"/>
        <v/>
      </c>
      <c r="X19" s="253" t="str">
        <f t="shared" si="4"/>
        <v/>
      </c>
      <c r="Y19" s="253" t="str">
        <f t="shared" si="4"/>
        <v/>
      </c>
      <c r="Z19" s="253" t="str">
        <f t="shared" si="4"/>
        <v/>
      </c>
      <c r="AA19" s="253" t="str">
        <f t="shared" si="4"/>
        <v/>
      </c>
      <c r="AB19" s="253" t="str">
        <f t="shared" si="4"/>
        <v/>
      </c>
      <c r="AC19" s="253" t="str">
        <f t="shared" si="4"/>
        <v/>
      </c>
      <c r="AD19" s="253" t="str">
        <f t="shared" si="4"/>
        <v/>
      </c>
      <c r="AE19" s="253" t="str">
        <f t="shared" si="4"/>
        <v/>
      </c>
      <c r="AF19" s="253" t="str">
        <f t="shared" si="4"/>
        <v/>
      </c>
      <c r="AG19" s="253" t="str">
        <f t="shared" si="4"/>
        <v/>
      </c>
      <c r="AH19" s="232" t="s">
        <v>129</v>
      </c>
      <c r="AI19" s="254" t="str">
        <f t="shared" ref="AI19:BK19" si="5">E19</f>
        <v>Christmas Affirm 3</v>
      </c>
      <c r="AJ19" s="254" t="str">
        <f t="shared" si="5"/>
        <v>Christmas Affirm 1</v>
      </c>
      <c r="AK19" s="254" t="str">
        <f t="shared" si="5"/>
        <v>Christmas Affirm 2</v>
      </c>
      <c r="AL19" s="254" t="str">
        <f t="shared" si="5"/>
        <v>Christmas Affirm 4</v>
      </c>
      <c r="AM19" s="254" t="str">
        <f t="shared" si="5"/>
        <v>Christmas Affirm 5</v>
      </c>
      <c r="AN19" s="254" t="str">
        <f t="shared" si="5"/>
        <v>Emergency Loan</v>
      </c>
      <c r="AO19" s="254" t="str">
        <f t="shared" si="5"/>
        <v>James Braces</v>
      </c>
      <c r="AP19" s="254" t="str">
        <f t="shared" si="5"/>
        <v>Tia Cap One</v>
      </c>
      <c r="AQ19" s="254" t="str">
        <f t="shared" si="5"/>
        <v>John Cap One</v>
      </c>
      <c r="AR19" s="254" t="str">
        <f t="shared" si="5"/>
        <v>Upgrade Loan</v>
      </c>
      <c r="AS19" s="254" t="str">
        <f t="shared" si="5"/>
        <v>Tesla</v>
      </c>
      <c r="AT19" s="254" t="str">
        <f t="shared" si="5"/>
        <v>La'Kia</v>
      </c>
      <c r="AU19" s="254" t="str">
        <f t="shared" si="5"/>
        <v>Mortgage</v>
      </c>
      <c r="AV19" s="255" t="str">
        <f t="shared" si="5"/>
        <v/>
      </c>
      <c r="AW19" s="255" t="str">
        <f t="shared" si="5"/>
        <v/>
      </c>
      <c r="AX19" s="255" t="str">
        <f t="shared" si="5"/>
        <v/>
      </c>
      <c r="AY19" s="255" t="str">
        <f t="shared" si="5"/>
        <v/>
      </c>
      <c r="AZ19" s="255" t="str">
        <f t="shared" si="5"/>
        <v/>
      </c>
      <c r="BA19" s="255" t="str">
        <f t="shared" si="5"/>
        <v/>
      </c>
      <c r="BB19" s="255" t="str">
        <f t="shared" si="5"/>
        <v/>
      </c>
      <c r="BC19" s="255" t="str">
        <f t="shared" si="5"/>
        <v/>
      </c>
      <c r="BD19" s="255" t="str">
        <f t="shared" si="5"/>
        <v/>
      </c>
      <c r="BE19" s="255" t="str">
        <f t="shared" si="5"/>
        <v/>
      </c>
      <c r="BF19" s="255" t="str">
        <f t="shared" si="5"/>
        <v/>
      </c>
      <c r="BG19" s="255" t="str">
        <f t="shared" si="5"/>
        <v/>
      </c>
      <c r="BH19" s="255" t="str">
        <f t="shared" si="5"/>
        <v/>
      </c>
      <c r="BI19" s="255" t="str">
        <f t="shared" si="5"/>
        <v/>
      </c>
      <c r="BJ19" s="255" t="str">
        <f t="shared" si="5"/>
        <v/>
      </c>
      <c r="BK19" s="255" t="str">
        <f t="shared" si="5"/>
        <v/>
      </c>
      <c r="BL19" s="256" t="s">
        <v>129</v>
      </c>
      <c r="BM19" s="215"/>
      <c r="BN19" s="254" t="str">
        <f t="shared" ref="BN19:CP19" si="6">E19</f>
        <v>Christmas Affirm 3</v>
      </c>
      <c r="BO19" s="254" t="str">
        <f t="shared" si="6"/>
        <v>Christmas Affirm 1</v>
      </c>
      <c r="BP19" s="254" t="str">
        <f t="shared" si="6"/>
        <v>Christmas Affirm 2</v>
      </c>
      <c r="BQ19" s="254" t="str">
        <f t="shared" si="6"/>
        <v>Christmas Affirm 4</v>
      </c>
      <c r="BR19" s="254" t="str">
        <f t="shared" si="6"/>
        <v>Christmas Affirm 5</v>
      </c>
      <c r="BS19" s="254" t="str">
        <f t="shared" si="6"/>
        <v>Emergency Loan</v>
      </c>
      <c r="BT19" s="254" t="str">
        <f t="shared" si="6"/>
        <v>James Braces</v>
      </c>
      <c r="BU19" s="254" t="str">
        <f t="shared" si="6"/>
        <v>Tia Cap One</v>
      </c>
      <c r="BV19" s="254" t="str">
        <f t="shared" si="6"/>
        <v>John Cap One</v>
      </c>
      <c r="BW19" s="254" t="str">
        <f t="shared" si="6"/>
        <v>Upgrade Loan</v>
      </c>
      <c r="BX19" s="254" t="str">
        <f t="shared" si="6"/>
        <v>Tesla</v>
      </c>
      <c r="BY19" s="254" t="str">
        <f t="shared" si="6"/>
        <v>La'Kia</v>
      </c>
      <c r="BZ19" s="254" t="str">
        <f t="shared" si="6"/>
        <v>Mortgage</v>
      </c>
      <c r="CA19" s="255" t="str">
        <f t="shared" si="6"/>
        <v/>
      </c>
      <c r="CB19" s="255" t="str">
        <f t="shared" si="6"/>
        <v/>
      </c>
      <c r="CC19" s="255" t="str">
        <f t="shared" si="6"/>
        <v/>
      </c>
      <c r="CD19" s="255" t="str">
        <f t="shared" si="6"/>
        <v/>
      </c>
      <c r="CE19" s="255" t="str">
        <f t="shared" si="6"/>
        <v/>
      </c>
      <c r="CF19" s="255" t="str">
        <f t="shared" si="6"/>
        <v/>
      </c>
      <c r="CG19" s="255" t="str">
        <f t="shared" si="6"/>
        <v/>
      </c>
      <c r="CH19" s="255" t="str">
        <f t="shared" si="6"/>
        <v/>
      </c>
      <c r="CI19" s="255" t="str">
        <f t="shared" si="6"/>
        <v/>
      </c>
      <c r="CJ19" s="255" t="str">
        <f t="shared" si="6"/>
        <v/>
      </c>
      <c r="CK19" s="255" t="str">
        <f t="shared" si="6"/>
        <v/>
      </c>
      <c r="CL19" s="255" t="str">
        <f t="shared" si="6"/>
        <v/>
      </c>
      <c r="CM19" s="255" t="str">
        <f t="shared" si="6"/>
        <v/>
      </c>
      <c r="CN19" s="255" t="str">
        <f t="shared" si="6"/>
        <v/>
      </c>
      <c r="CO19" s="255" t="str">
        <f t="shared" si="6"/>
        <v/>
      </c>
      <c r="CP19" s="255" t="str">
        <f t="shared" si="6"/>
        <v/>
      </c>
      <c r="CQ19" s="255"/>
      <c r="CR19" s="257" t="s">
        <v>130</v>
      </c>
      <c r="CS19" s="215"/>
      <c r="CT19" s="254" t="str">
        <f t="shared" ref="CT19:DV19" si="7">E19</f>
        <v>Christmas Affirm 3</v>
      </c>
      <c r="CU19" s="254" t="str">
        <f t="shared" si="7"/>
        <v>Christmas Affirm 1</v>
      </c>
      <c r="CV19" s="254" t="str">
        <f t="shared" si="7"/>
        <v>Christmas Affirm 2</v>
      </c>
      <c r="CW19" s="254" t="str">
        <f t="shared" si="7"/>
        <v>Christmas Affirm 4</v>
      </c>
      <c r="CX19" s="254" t="str">
        <f t="shared" si="7"/>
        <v>Christmas Affirm 5</v>
      </c>
      <c r="CY19" s="254" t="str">
        <f t="shared" si="7"/>
        <v>Emergency Loan</v>
      </c>
      <c r="CZ19" s="254" t="str">
        <f t="shared" si="7"/>
        <v>James Braces</v>
      </c>
      <c r="DA19" s="254" t="str">
        <f t="shared" si="7"/>
        <v>Tia Cap One</v>
      </c>
      <c r="DB19" s="254" t="str">
        <f t="shared" si="7"/>
        <v>John Cap One</v>
      </c>
      <c r="DC19" s="254" t="str">
        <f t="shared" si="7"/>
        <v>Upgrade Loan</v>
      </c>
      <c r="DD19" s="254" t="str">
        <f t="shared" si="7"/>
        <v>Tesla</v>
      </c>
      <c r="DE19" s="254" t="str">
        <f t="shared" si="7"/>
        <v>La'Kia</v>
      </c>
      <c r="DF19" s="254" t="str">
        <f t="shared" si="7"/>
        <v>Mortgage</v>
      </c>
      <c r="DG19" s="255" t="str">
        <f t="shared" si="7"/>
        <v/>
      </c>
      <c r="DH19" s="255" t="str">
        <f t="shared" si="7"/>
        <v/>
      </c>
      <c r="DI19" s="255" t="str">
        <f t="shared" si="7"/>
        <v/>
      </c>
      <c r="DJ19" s="255" t="str">
        <f t="shared" si="7"/>
        <v/>
      </c>
      <c r="DK19" s="255" t="str">
        <f t="shared" si="7"/>
        <v/>
      </c>
      <c r="DL19" s="255" t="str">
        <f t="shared" si="7"/>
        <v/>
      </c>
      <c r="DM19" s="255" t="str">
        <f t="shared" si="7"/>
        <v/>
      </c>
      <c r="DN19" s="255" t="str">
        <f t="shared" si="7"/>
        <v/>
      </c>
      <c r="DO19" s="255" t="str">
        <f t="shared" si="7"/>
        <v/>
      </c>
      <c r="DP19" s="255" t="str">
        <f t="shared" si="7"/>
        <v/>
      </c>
      <c r="DQ19" s="255" t="str">
        <f t="shared" si="7"/>
        <v/>
      </c>
      <c r="DR19" s="255" t="str">
        <f t="shared" si="7"/>
        <v/>
      </c>
      <c r="DS19" s="255" t="str">
        <f t="shared" si="7"/>
        <v/>
      </c>
      <c r="DT19" s="255" t="str">
        <f t="shared" si="7"/>
        <v/>
      </c>
      <c r="DU19" s="255" t="str">
        <f t="shared" si="7"/>
        <v/>
      </c>
      <c r="DV19" s="255" t="str">
        <f t="shared" si="7"/>
        <v/>
      </c>
      <c r="DW19" s="255"/>
      <c r="DX19" s="215"/>
      <c r="DY19" s="257" t="s">
        <v>130</v>
      </c>
      <c r="DZ19" s="215"/>
      <c r="EA19" s="248" t="s">
        <v>131</v>
      </c>
      <c r="EB19" s="215"/>
      <c r="EC19" s="215"/>
      <c r="ED19" s="215"/>
      <c r="EE19" s="215"/>
      <c r="EF19" s="215"/>
      <c r="EG19" s="215"/>
      <c r="EH19" s="215"/>
      <c r="EI19" s="215"/>
      <c r="EJ19" s="215"/>
      <c r="EK19" s="215"/>
      <c r="EL19" s="215"/>
      <c r="EM19" s="215"/>
      <c r="EN19" s="215"/>
      <c r="EO19" s="215"/>
      <c r="EP19" s="215"/>
      <c r="EQ19" s="215"/>
      <c r="ER19" s="215"/>
      <c r="ES19" s="215"/>
      <c r="ET19" s="215"/>
      <c r="EU19" s="215"/>
      <c r="EV19" s="215"/>
      <c r="EW19" s="215"/>
      <c r="EX19" s="215"/>
      <c r="EY19" s="215"/>
      <c r="EZ19" s="215"/>
      <c r="FA19" s="215"/>
      <c r="FB19" s="215"/>
      <c r="FC19" s="215"/>
      <c r="FD19" s="215"/>
      <c r="FE19" s="215"/>
      <c r="FF19" s="215"/>
      <c r="FG19" s="215"/>
      <c r="FH19" s="215"/>
    </row>
    <row r="20">
      <c r="A20" s="258"/>
      <c r="B20" s="259"/>
      <c r="C20" s="260"/>
      <c r="D20" s="260"/>
      <c r="E20" s="261"/>
      <c r="F20" s="261"/>
      <c r="G20" s="261"/>
      <c r="H20" s="261"/>
      <c r="I20" s="261"/>
      <c r="J20" s="261"/>
      <c r="K20" s="261"/>
      <c r="L20" s="261"/>
      <c r="M20" s="261"/>
      <c r="N20" s="261"/>
      <c r="O20" s="262"/>
      <c r="P20" s="263"/>
      <c r="Q20" s="264"/>
      <c r="R20" s="264"/>
      <c r="S20" s="264"/>
      <c r="T20" s="264"/>
      <c r="U20" s="261"/>
      <c r="V20" s="261"/>
      <c r="W20" s="261"/>
      <c r="X20" s="261"/>
      <c r="Y20" s="261"/>
      <c r="Z20" s="261"/>
      <c r="AA20" s="262"/>
      <c r="AB20" s="262"/>
      <c r="AC20" s="261"/>
      <c r="AD20" s="261"/>
      <c r="AE20" s="261"/>
      <c r="AF20" s="261"/>
      <c r="AG20" s="261"/>
      <c r="AH20" s="265">
        <f t="shared" ref="AH20:AH100" si="13">SUM(AI20:BK20)</f>
        <v>296206.54</v>
      </c>
      <c r="AI20" s="266">
        <f t="shared" ref="AI20:BK20" si="8">E8</f>
        <v>26.86</v>
      </c>
      <c r="AJ20" s="266">
        <f t="shared" si="8"/>
        <v>35.72</v>
      </c>
      <c r="AK20" s="266">
        <f t="shared" si="8"/>
        <v>51.83</v>
      </c>
      <c r="AL20" s="266">
        <f t="shared" si="8"/>
        <v>162.21</v>
      </c>
      <c r="AM20" s="266">
        <f t="shared" si="8"/>
        <v>240.34</v>
      </c>
      <c r="AN20" s="266">
        <f t="shared" si="8"/>
        <v>609.55</v>
      </c>
      <c r="AO20" s="266">
        <f t="shared" si="8"/>
        <v>3100</v>
      </c>
      <c r="AP20" s="266">
        <f t="shared" si="8"/>
        <v>3200</v>
      </c>
      <c r="AQ20" s="266">
        <f t="shared" si="8"/>
        <v>3800</v>
      </c>
      <c r="AR20" s="266">
        <f t="shared" si="8"/>
        <v>15650.03</v>
      </c>
      <c r="AS20" s="266">
        <f t="shared" si="8"/>
        <v>38130</v>
      </c>
      <c r="AT20" s="266">
        <f t="shared" si="8"/>
        <v>50000</v>
      </c>
      <c r="AU20" s="266">
        <f t="shared" si="8"/>
        <v>181200</v>
      </c>
      <c r="AV20" s="266">
        <f t="shared" si="8"/>
        <v>0</v>
      </c>
      <c r="AW20" s="266">
        <f t="shared" si="8"/>
        <v>0</v>
      </c>
      <c r="AX20" s="266">
        <f t="shared" si="8"/>
        <v>0</v>
      </c>
      <c r="AY20" s="266">
        <f t="shared" si="8"/>
        <v>0</v>
      </c>
      <c r="AZ20" s="266">
        <f t="shared" si="8"/>
        <v>0</v>
      </c>
      <c r="BA20" s="266">
        <f t="shared" si="8"/>
        <v>0</v>
      </c>
      <c r="BB20" s="266">
        <f t="shared" si="8"/>
        <v>0</v>
      </c>
      <c r="BC20" s="266">
        <f t="shared" si="8"/>
        <v>0</v>
      </c>
      <c r="BD20" s="266">
        <f t="shared" si="8"/>
        <v>0</v>
      </c>
      <c r="BE20" s="266">
        <f t="shared" si="8"/>
        <v>0</v>
      </c>
      <c r="BF20" s="266">
        <f t="shared" si="8"/>
        <v>0</v>
      </c>
      <c r="BG20" s="266">
        <f t="shared" si="8"/>
        <v>0</v>
      </c>
      <c r="BH20" s="266">
        <f t="shared" si="8"/>
        <v>0</v>
      </c>
      <c r="BI20" s="266">
        <f t="shared" si="8"/>
        <v>0</v>
      </c>
      <c r="BJ20" s="266">
        <f t="shared" si="8"/>
        <v>0</v>
      </c>
      <c r="BK20" s="266">
        <f t="shared" si="8"/>
        <v>0</v>
      </c>
      <c r="BL20" s="265">
        <f t="shared" ref="BL20:BL356" si="16">SUM(AI20:BK20)</f>
        <v>296206.54</v>
      </c>
      <c r="BM20" s="215"/>
      <c r="BN20" s="267"/>
      <c r="BO20" s="267"/>
      <c r="BP20" s="267"/>
      <c r="BQ20" s="267"/>
      <c r="BR20" s="267"/>
      <c r="BS20" s="267"/>
      <c r="BT20" s="267"/>
      <c r="BU20" s="267"/>
      <c r="BV20" s="267"/>
      <c r="BW20" s="267"/>
      <c r="BX20" s="267"/>
      <c r="BY20" s="267"/>
      <c r="BZ20" s="267"/>
      <c r="CA20" s="267"/>
      <c r="CB20" s="267"/>
      <c r="CC20" s="267"/>
      <c r="CD20" s="267"/>
      <c r="CE20" s="267"/>
      <c r="CF20" s="267"/>
      <c r="CG20" s="267"/>
      <c r="CH20" s="267"/>
      <c r="CI20" s="267"/>
      <c r="CJ20" s="267"/>
      <c r="CK20" s="267"/>
      <c r="CL20" s="267"/>
      <c r="CM20" s="267"/>
      <c r="CN20" s="267"/>
      <c r="CO20" s="267"/>
      <c r="CP20" s="267"/>
      <c r="CQ20" s="215"/>
      <c r="CR20" s="267"/>
      <c r="CS20" s="215"/>
      <c r="CT20" s="267"/>
      <c r="CU20" s="267"/>
      <c r="CV20" s="267"/>
      <c r="CW20" s="267"/>
      <c r="CX20" s="267"/>
      <c r="CY20" s="267"/>
      <c r="CZ20" s="267"/>
      <c r="DA20" s="267"/>
      <c r="DB20" s="267"/>
      <c r="DC20" s="267"/>
      <c r="DD20" s="267"/>
      <c r="DE20" s="267"/>
      <c r="DF20" s="267"/>
      <c r="DG20" s="267"/>
      <c r="DH20" s="267"/>
      <c r="DI20" s="267"/>
      <c r="DJ20" s="267"/>
      <c r="DK20" s="267"/>
      <c r="DL20" s="267"/>
      <c r="DM20" s="267"/>
      <c r="DN20" s="267"/>
      <c r="DO20" s="267"/>
      <c r="DP20" s="267"/>
      <c r="DQ20" s="267"/>
      <c r="DR20" s="267"/>
      <c r="DS20" s="267"/>
      <c r="DT20" s="267"/>
      <c r="DU20" s="267"/>
      <c r="DV20" s="267"/>
      <c r="DW20" s="267"/>
      <c r="DX20" s="267"/>
      <c r="DY20" s="267"/>
      <c r="DZ20" s="268"/>
      <c r="EA20" s="254" t="str">
        <f t="shared" ref="EA20:FE20" si="9">E7</f>
        <v>Christmas Affirm 3</v>
      </c>
      <c r="EB20" s="254" t="str">
        <f t="shared" si="9"/>
        <v>Christmas Affirm 1</v>
      </c>
      <c r="EC20" s="254" t="str">
        <f t="shared" si="9"/>
        <v>Christmas Affirm 2</v>
      </c>
      <c r="ED20" s="254" t="str">
        <f t="shared" si="9"/>
        <v>Christmas Affirm 4</v>
      </c>
      <c r="EE20" s="254" t="str">
        <f t="shared" si="9"/>
        <v>Christmas Affirm 5</v>
      </c>
      <c r="EF20" s="254" t="str">
        <f t="shared" si="9"/>
        <v>Emergency Loan</v>
      </c>
      <c r="EG20" s="254" t="str">
        <f t="shared" si="9"/>
        <v>James Braces</v>
      </c>
      <c r="EH20" s="254" t="str">
        <f t="shared" si="9"/>
        <v>Tia Cap One</v>
      </c>
      <c r="EI20" s="254" t="str">
        <f t="shared" si="9"/>
        <v>John Cap One</v>
      </c>
      <c r="EJ20" s="254" t="str">
        <f t="shared" si="9"/>
        <v>Upgrade Loan</v>
      </c>
      <c r="EK20" s="254" t="str">
        <f t="shared" si="9"/>
        <v>Tesla</v>
      </c>
      <c r="EL20" s="254" t="str">
        <f t="shared" si="9"/>
        <v>La'Kia</v>
      </c>
      <c r="EM20" s="254" t="str">
        <f t="shared" si="9"/>
        <v>Mortgage</v>
      </c>
      <c r="EN20" s="255" t="str">
        <f t="shared" si="9"/>
        <v/>
      </c>
      <c r="EO20" s="255" t="str">
        <f t="shared" si="9"/>
        <v/>
      </c>
      <c r="EP20" s="255" t="str">
        <f t="shared" si="9"/>
        <v/>
      </c>
      <c r="EQ20" s="255" t="str">
        <f t="shared" si="9"/>
        <v/>
      </c>
      <c r="ER20" s="255" t="str">
        <f t="shared" si="9"/>
        <v/>
      </c>
      <c r="ES20" s="255" t="str">
        <f t="shared" si="9"/>
        <v/>
      </c>
      <c r="ET20" s="255" t="str">
        <f t="shared" si="9"/>
        <v/>
      </c>
      <c r="EU20" s="255" t="str">
        <f t="shared" si="9"/>
        <v/>
      </c>
      <c r="EV20" s="255" t="str">
        <f t="shared" si="9"/>
        <v/>
      </c>
      <c r="EW20" s="255" t="str">
        <f t="shared" si="9"/>
        <v/>
      </c>
      <c r="EX20" s="255" t="str">
        <f t="shared" si="9"/>
        <v/>
      </c>
      <c r="EY20" s="255" t="str">
        <f t="shared" si="9"/>
        <v/>
      </c>
      <c r="EZ20" s="255" t="str">
        <f t="shared" si="9"/>
        <v/>
      </c>
      <c r="FA20" s="255" t="str">
        <f t="shared" si="9"/>
        <v/>
      </c>
      <c r="FB20" s="255" t="str">
        <f t="shared" si="9"/>
        <v/>
      </c>
      <c r="FC20" s="255" t="str">
        <f t="shared" si="9"/>
        <v/>
      </c>
      <c r="FD20" s="255" t="str">
        <f t="shared" si="9"/>
        <v/>
      </c>
      <c r="FE20" s="255" t="str">
        <f t="shared" si="9"/>
        <v/>
      </c>
      <c r="FF20" s="215"/>
      <c r="FG20" s="215"/>
      <c r="FH20" s="215"/>
    </row>
    <row r="21" ht="11.25" customHeight="1">
      <c r="A21" s="231">
        <f t="shared" ref="A21:A356" si="19">IF(SUM(AI20:BK20)&lt;=0,"",A20+1)</f>
        <v>1</v>
      </c>
      <c r="B21" s="269">
        <v>45658.0</v>
      </c>
      <c r="C21" s="270">
        <f>IF(A21="","",IF(Calculator!snowball,IF(($E$5-DY21)&lt;0,0,$E$5-DY21),0)+D21)</f>
        <v>0</v>
      </c>
      <c r="D21" s="271"/>
      <c r="E21" s="270">
        <f t="shared" ref="E21:J21" si="10">CT21+EA22</f>
        <v>14.02</v>
      </c>
      <c r="F21" s="270">
        <f t="shared" si="10"/>
        <v>9.8</v>
      </c>
      <c r="G21" s="270">
        <f t="shared" si="10"/>
        <v>14.7</v>
      </c>
      <c r="H21" s="270">
        <f t="shared" si="10"/>
        <v>28.09</v>
      </c>
      <c r="I21" s="270">
        <f t="shared" si="10"/>
        <v>20.96</v>
      </c>
      <c r="J21" s="270">
        <f t="shared" si="10"/>
        <v>35</v>
      </c>
      <c r="K21" s="271"/>
      <c r="L21" s="270">
        <f t="shared" ref="L21:N21" si="11">DA21+EH22</f>
        <v>82</v>
      </c>
      <c r="M21" s="270">
        <f t="shared" si="11"/>
        <v>102</v>
      </c>
      <c r="N21" s="270">
        <f t="shared" si="11"/>
        <v>450.08</v>
      </c>
      <c r="O21" s="271"/>
      <c r="P21" s="272">
        <f t="shared" ref="P21:P29" si="22">DE21+EL22</f>
        <v>791.16</v>
      </c>
      <c r="Q21" s="272">
        <v>1560.81</v>
      </c>
      <c r="R21" s="272">
        <f t="shared" ref="R21:AG21" si="12">DG21+EN22</f>
        <v>0</v>
      </c>
      <c r="S21" s="272">
        <f t="shared" si="12"/>
        <v>0</v>
      </c>
      <c r="T21" s="272">
        <f t="shared" si="12"/>
        <v>0</v>
      </c>
      <c r="U21" s="270">
        <f t="shared" si="12"/>
        <v>0</v>
      </c>
      <c r="V21" s="270">
        <f t="shared" si="12"/>
        <v>0</v>
      </c>
      <c r="W21" s="270">
        <f t="shared" si="12"/>
        <v>0</v>
      </c>
      <c r="X21" s="270">
        <f t="shared" si="12"/>
        <v>0</v>
      </c>
      <c r="Y21" s="270">
        <f t="shared" si="12"/>
        <v>0</v>
      </c>
      <c r="Z21" s="270">
        <f t="shared" si="12"/>
        <v>0</v>
      </c>
      <c r="AA21" s="270">
        <f t="shared" si="12"/>
        <v>0</v>
      </c>
      <c r="AB21" s="270">
        <f t="shared" si="12"/>
        <v>0</v>
      </c>
      <c r="AC21" s="270">
        <f t="shared" si="12"/>
        <v>0</v>
      </c>
      <c r="AD21" s="270">
        <f t="shared" si="12"/>
        <v>0</v>
      </c>
      <c r="AE21" s="270">
        <f t="shared" si="12"/>
        <v>0</v>
      </c>
      <c r="AF21" s="270">
        <f t="shared" si="12"/>
        <v>0</v>
      </c>
      <c r="AG21" s="270">
        <f t="shared" si="12"/>
        <v>0</v>
      </c>
      <c r="AH21" s="265">
        <f t="shared" si="13"/>
        <v>294689.86</v>
      </c>
      <c r="AI21" s="270">
        <f t="shared" ref="AI21:AS21" si="14">IF(E$8=0,0,ROUND(AI20-(E21-BN21),2))</f>
        <v>12.84</v>
      </c>
      <c r="AJ21" s="270">
        <f t="shared" si="14"/>
        <v>25.92</v>
      </c>
      <c r="AK21" s="270">
        <f t="shared" si="14"/>
        <v>37.13</v>
      </c>
      <c r="AL21" s="270">
        <f t="shared" si="14"/>
        <v>134.12</v>
      </c>
      <c r="AM21" s="270">
        <f t="shared" si="14"/>
        <v>219.38</v>
      </c>
      <c r="AN21" s="270">
        <f t="shared" si="14"/>
        <v>589.69</v>
      </c>
      <c r="AO21" s="270">
        <f t="shared" si="14"/>
        <v>3177.5</v>
      </c>
      <c r="AP21" s="270">
        <f t="shared" si="14"/>
        <v>3202.64</v>
      </c>
      <c r="AQ21" s="270">
        <f t="shared" si="14"/>
        <v>3792.18</v>
      </c>
      <c r="AR21" s="270">
        <f t="shared" si="14"/>
        <v>15434.7</v>
      </c>
      <c r="AS21" s="270">
        <f t="shared" si="14"/>
        <v>38479.53</v>
      </c>
      <c r="AT21" s="270">
        <f t="shared" ref="AT21:BK21" si="15">IF(P$8=0,0,ROUND(AT20-(P21-BX21),2))</f>
        <v>49558.37</v>
      </c>
      <c r="AU21" s="270">
        <f t="shared" si="15"/>
        <v>180025.86</v>
      </c>
      <c r="AV21" s="270">
        <f t="shared" si="15"/>
        <v>0</v>
      </c>
      <c r="AW21" s="270">
        <f t="shared" si="15"/>
        <v>0</v>
      </c>
      <c r="AX21" s="270">
        <f t="shared" si="15"/>
        <v>0</v>
      </c>
      <c r="AY21" s="270">
        <f t="shared" si="15"/>
        <v>0</v>
      </c>
      <c r="AZ21" s="270">
        <f t="shared" si="15"/>
        <v>0</v>
      </c>
      <c r="BA21" s="270">
        <f t="shared" si="15"/>
        <v>0</v>
      </c>
      <c r="BB21" s="270">
        <f t="shared" si="15"/>
        <v>0</v>
      </c>
      <c r="BC21" s="270">
        <f t="shared" si="15"/>
        <v>0</v>
      </c>
      <c r="BD21" s="270">
        <f t="shared" si="15"/>
        <v>0</v>
      </c>
      <c r="BE21" s="270">
        <f t="shared" si="15"/>
        <v>0</v>
      </c>
      <c r="BF21" s="270">
        <f t="shared" si="15"/>
        <v>0</v>
      </c>
      <c r="BG21" s="270">
        <f t="shared" si="15"/>
        <v>0</v>
      </c>
      <c r="BH21" s="270">
        <f t="shared" si="15"/>
        <v>0</v>
      </c>
      <c r="BI21" s="270">
        <f t="shared" si="15"/>
        <v>0</v>
      </c>
      <c r="BJ21" s="270">
        <f t="shared" si="15"/>
        <v>0</v>
      </c>
      <c r="BK21" s="270">
        <f t="shared" si="15"/>
        <v>0</v>
      </c>
      <c r="BL21" s="265">
        <f t="shared" si="16"/>
        <v>294689.86</v>
      </c>
      <c r="BM21" s="215"/>
      <c r="BN21" s="270">
        <f t="shared" ref="BN21:CP21" si="17">ROUND(AI20*E$9/12,2)</f>
        <v>0</v>
      </c>
      <c r="BO21" s="270">
        <f t="shared" si="17"/>
        <v>0</v>
      </c>
      <c r="BP21" s="270">
        <f t="shared" si="17"/>
        <v>0</v>
      </c>
      <c r="BQ21" s="270">
        <f t="shared" si="17"/>
        <v>0</v>
      </c>
      <c r="BR21" s="270">
        <f t="shared" si="17"/>
        <v>0</v>
      </c>
      <c r="BS21" s="270">
        <f t="shared" si="17"/>
        <v>15.14</v>
      </c>
      <c r="BT21" s="270">
        <f t="shared" si="17"/>
        <v>77.5</v>
      </c>
      <c r="BU21" s="270">
        <f t="shared" si="17"/>
        <v>84.64</v>
      </c>
      <c r="BV21" s="270">
        <f t="shared" si="17"/>
        <v>94.18</v>
      </c>
      <c r="BW21" s="270">
        <f t="shared" si="17"/>
        <v>234.75</v>
      </c>
      <c r="BX21" s="270">
        <f t="shared" si="17"/>
        <v>349.53</v>
      </c>
      <c r="BY21" s="270">
        <f t="shared" si="17"/>
        <v>386.67</v>
      </c>
      <c r="BZ21" s="270">
        <f t="shared" si="17"/>
        <v>566.25</v>
      </c>
      <c r="CA21" s="270">
        <f t="shared" si="17"/>
        <v>0</v>
      </c>
      <c r="CB21" s="270">
        <f t="shared" si="17"/>
        <v>0</v>
      </c>
      <c r="CC21" s="270">
        <f t="shared" si="17"/>
        <v>0</v>
      </c>
      <c r="CD21" s="270">
        <f t="shared" si="17"/>
        <v>0</v>
      </c>
      <c r="CE21" s="270">
        <f t="shared" si="17"/>
        <v>0</v>
      </c>
      <c r="CF21" s="270">
        <f t="shared" si="17"/>
        <v>0</v>
      </c>
      <c r="CG21" s="270">
        <f t="shared" si="17"/>
        <v>0</v>
      </c>
      <c r="CH21" s="270">
        <f t="shared" si="17"/>
        <v>0</v>
      </c>
      <c r="CI21" s="270">
        <f t="shared" si="17"/>
        <v>0</v>
      </c>
      <c r="CJ21" s="270">
        <f t="shared" si="17"/>
        <v>0</v>
      </c>
      <c r="CK21" s="270">
        <f t="shared" si="17"/>
        <v>0</v>
      </c>
      <c r="CL21" s="270">
        <f t="shared" si="17"/>
        <v>0</v>
      </c>
      <c r="CM21" s="270">
        <f t="shared" si="17"/>
        <v>0</v>
      </c>
      <c r="CN21" s="270">
        <f t="shared" si="17"/>
        <v>0</v>
      </c>
      <c r="CO21" s="270">
        <f t="shared" si="17"/>
        <v>0</v>
      </c>
      <c r="CP21" s="270">
        <f t="shared" si="17"/>
        <v>0</v>
      </c>
      <c r="CQ21" s="215"/>
      <c r="CR21" s="270">
        <f t="shared" ref="CR21:CR356" si="27">SUM(BN21:CP21)</f>
        <v>1808.66</v>
      </c>
      <c r="CS21" s="215"/>
      <c r="CT21" s="270">
        <f t="shared" ref="CT21:DX21" si="18">IF(AI20&gt;0,IF((AI20+BN21)&lt;E$10,AI20+BN21,E$10),0)</f>
        <v>14.02</v>
      </c>
      <c r="CU21" s="270">
        <f t="shared" si="18"/>
        <v>9.8</v>
      </c>
      <c r="CV21" s="270">
        <f t="shared" si="18"/>
        <v>14.7</v>
      </c>
      <c r="CW21" s="270">
        <f t="shared" si="18"/>
        <v>28.09</v>
      </c>
      <c r="CX21" s="270">
        <f t="shared" si="18"/>
        <v>20.96</v>
      </c>
      <c r="CY21" s="270">
        <f t="shared" si="18"/>
        <v>35</v>
      </c>
      <c r="CZ21" s="270">
        <f t="shared" si="18"/>
        <v>206</v>
      </c>
      <c r="DA21" s="270">
        <f t="shared" si="18"/>
        <v>82</v>
      </c>
      <c r="DB21" s="270">
        <f t="shared" si="18"/>
        <v>102</v>
      </c>
      <c r="DC21" s="270">
        <f t="shared" si="18"/>
        <v>450.08</v>
      </c>
      <c r="DD21" s="270">
        <f t="shared" si="18"/>
        <v>695.6</v>
      </c>
      <c r="DE21" s="270">
        <f t="shared" si="18"/>
        <v>791.16</v>
      </c>
      <c r="DF21" s="270">
        <f t="shared" si="18"/>
        <v>1467.13</v>
      </c>
      <c r="DG21" s="270">
        <f t="shared" si="18"/>
        <v>0</v>
      </c>
      <c r="DH21" s="270">
        <f t="shared" si="18"/>
        <v>0</v>
      </c>
      <c r="DI21" s="270">
        <f t="shared" si="18"/>
        <v>0</v>
      </c>
      <c r="DJ21" s="270">
        <f t="shared" si="18"/>
        <v>0</v>
      </c>
      <c r="DK21" s="270">
        <f t="shared" si="18"/>
        <v>0</v>
      </c>
      <c r="DL21" s="270">
        <f t="shared" si="18"/>
        <v>0</v>
      </c>
      <c r="DM21" s="270">
        <f t="shared" si="18"/>
        <v>0</v>
      </c>
      <c r="DN21" s="270">
        <f t="shared" si="18"/>
        <v>0</v>
      </c>
      <c r="DO21" s="270">
        <f t="shared" si="18"/>
        <v>0</v>
      </c>
      <c r="DP21" s="270">
        <f t="shared" si="18"/>
        <v>0</v>
      </c>
      <c r="DQ21" s="270">
        <f t="shared" si="18"/>
        <v>0</v>
      </c>
      <c r="DR21" s="270">
        <f t="shared" si="18"/>
        <v>0</v>
      </c>
      <c r="DS21" s="270">
        <f t="shared" si="18"/>
        <v>0</v>
      </c>
      <c r="DT21" s="270">
        <f t="shared" si="18"/>
        <v>0</v>
      </c>
      <c r="DU21" s="270">
        <f t="shared" si="18"/>
        <v>0</v>
      </c>
      <c r="DV21" s="270">
        <f t="shared" si="18"/>
        <v>0</v>
      </c>
      <c r="DW21" s="271" t="str">
        <f t="shared" si="18"/>
        <v/>
      </c>
      <c r="DX21" s="270">
        <f t="shared" si="18"/>
        <v>0</v>
      </c>
      <c r="DY21" s="270">
        <f t="shared" ref="DY21:DY356" si="29">SUM(CT21:DX21)</f>
        <v>3916.54</v>
      </c>
      <c r="DZ21" s="273"/>
      <c r="EA21" s="267"/>
      <c r="EB21" s="267"/>
      <c r="EC21" s="267"/>
      <c r="ED21" s="267"/>
      <c r="EE21" s="267"/>
      <c r="EF21" s="267"/>
      <c r="EG21" s="267"/>
      <c r="EH21" s="267"/>
      <c r="EI21" s="267"/>
      <c r="EJ21" s="267"/>
      <c r="EK21" s="215"/>
      <c r="EL21" s="215"/>
      <c r="EM21" s="215"/>
      <c r="EN21" s="215"/>
      <c r="EO21" s="215"/>
      <c r="EP21" s="215"/>
      <c r="EQ21" s="215"/>
      <c r="ER21" s="215"/>
      <c r="ES21" s="215"/>
      <c r="ET21" s="215"/>
      <c r="EU21" s="215"/>
      <c r="EV21" s="215"/>
      <c r="EW21" s="215"/>
      <c r="EX21" s="215"/>
      <c r="EY21" s="215"/>
      <c r="EZ21" s="215"/>
      <c r="FA21" s="215"/>
      <c r="FB21" s="215"/>
      <c r="FC21" s="215"/>
      <c r="FD21" s="215"/>
      <c r="FE21" s="215"/>
      <c r="FF21" s="215"/>
      <c r="FG21" s="215"/>
      <c r="FH21" s="215"/>
    </row>
    <row r="22" ht="11.25" customHeight="1">
      <c r="A22" s="231">
        <f t="shared" si="19"/>
        <v>2</v>
      </c>
      <c r="B22" s="269">
        <v>45689.0</v>
      </c>
      <c r="C22" s="270">
        <v>0.0</v>
      </c>
      <c r="D22" s="271"/>
      <c r="E22" s="270">
        <f t="shared" ref="E22:J22" si="20">CT22+EA23</f>
        <v>12.84</v>
      </c>
      <c r="F22" s="270">
        <f t="shared" si="20"/>
        <v>9.8</v>
      </c>
      <c r="G22" s="270">
        <f t="shared" si="20"/>
        <v>14.7</v>
      </c>
      <c r="H22" s="270">
        <f t="shared" si="20"/>
        <v>28.09</v>
      </c>
      <c r="I22" s="270">
        <f t="shared" si="20"/>
        <v>20.96</v>
      </c>
      <c r="J22" s="270">
        <f t="shared" si="20"/>
        <v>35</v>
      </c>
      <c r="K22" s="271"/>
      <c r="L22" s="270">
        <f t="shared" ref="L22:N22" si="21">DA22+EH23</f>
        <v>82</v>
      </c>
      <c r="M22" s="270">
        <f t="shared" si="21"/>
        <v>102</v>
      </c>
      <c r="N22" s="270">
        <f t="shared" si="21"/>
        <v>450.08</v>
      </c>
      <c r="O22" s="271"/>
      <c r="P22" s="272">
        <f t="shared" si="22"/>
        <v>791.16</v>
      </c>
      <c r="Q22" s="272">
        <v>1560.81</v>
      </c>
      <c r="R22" s="272">
        <f t="shared" ref="R22:AG22" si="23">DG22+EN23</f>
        <v>0</v>
      </c>
      <c r="S22" s="272">
        <f t="shared" si="23"/>
        <v>0</v>
      </c>
      <c r="T22" s="272">
        <f t="shared" si="23"/>
        <v>0</v>
      </c>
      <c r="U22" s="270">
        <f t="shared" si="23"/>
        <v>0</v>
      </c>
      <c r="V22" s="270">
        <f t="shared" si="23"/>
        <v>0</v>
      </c>
      <c r="W22" s="270">
        <f t="shared" si="23"/>
        <v>0</v>
      </c>
      <c r="X22" s="270">
        <f t="shared" si="23"/>
        <v>0</v>
      </c>
      <c r="Y22" s="270">
        <f t="shared" si="23"/>
        <v>0</v>
      </c>
      <c r="Z22" s="270">
        <f t="shared" si="23"/>
        <v>0</v>
      </c>
      <c r="AA22" s="270">
        <f t="shared" si="23"/>
        <v>0</v>
      </c>
      <c r="AB22" s="270">
        <f t="shared" si="23"/>
        <v>0</v>
      </c>
      <c r="AC22" s="270">
        <f t="shared" si="23"/>
        <v>0</v>
      </c>
      <c r="AD22" s="270">
        <f t="shared" si="23"/>
        <v>0</v>
      </c>
      <c r="AE22" s="270">
        <f t="shared" si="23"/>
        <v>0</v>
      </c>
      <c r="AF22" s="270">
        <f t="shared" si="23"/>
        <v>0</v>
      </c>
      <c r="AG22" s="270">
        <f t="shared" si="23"/>
        <v>0</v>
      </c>
      <c r="AH22" s="265">
        <f t="shared" si="13"/>
        <v>293175.43</v>
      </c>
      <c r="AI22" s="270">
        <f t="shared" ref="AI22:AS22" si="24">IF(E$8=0,0,ROUND(AI21-(E22-BN22),2))</f>
        <v>0</v>
      </c>
      <c r="AJ22" s="270">
        <f t="shared" si="24"/>
        <v>16.12</v>
      </c>
      <c r="AK22" s="270">
        <f t="shared" si="24"/>
        <v>22.43</v>
      </c>
      <c r="AL22" s="270">
        <f t="shared" si="24"/>
        <v>106.03</v>
      </c>
      <c r="AM22" s="270">
        <f t="shared" si="24"/>
        <v>198.42</v>
      </c>
      <c r="AN22" s="270">
        <f t="shared" si="24"/>
        <v>569.34</v>
      </c>
      <c r="AO22" s="270">
        <f t="shared" si="24"/>
        <v>3256.94</v>
      </c>
      <c r="AP22" s="270">
        <f t="shared" si="24"/>
        <v>3205.35</v>
      </c>
      <c r="AQ22" s="270">
        <f t="shared" si="24"/>
        <v>3784.16</v>
      </c>
      <c r="AR22" s="270">
        <f t="shared" si="24"/>
        <v>15216.14</v>
      </c>
      <c r="AS22" s="270">
        <f t="shared" si="24"/>
        <v>38832.26</v>
      </c>
      <c r="AT22" s="270">
        <f t="shared" ref="AT22:BK22" si="25">IF(P$8=0,0,ROUND(AT21-(P22-BX22),2))</f>
        <v>49119.94</v>
      </c>
      <c r="AU22" s="270">
        <f t="shared" si="25"/>
        <v>178848.3</v>
      </c>
      <c r="AV22" s="270">
        <f t="shared" si="25"/>
        <v>0</v>
      </c>
      <c r="AW22" s="270">
        <f t="shared" si="25"/>
        <v>0</v>
      </c>
      <c r="AX22" s="270">
        <f t="shared" si="25"/>
        <v>0</v>
      </c>
      <c r="AY22" s="270">
        <f t="shared" si="25"/>
        <v>0</v>
      </c>
      <c r="AZ22" s="270">
        <f t="shared" si="25"/>
        <v>0</v>
      </c>
      <c r="BA22" s="270">
        <f t="shared" si="25"/>
        <v>0</v>
      </c>
      <c r="BB22" s="270">
        <f t="shared" si="25"/>
        <v>0</v>
      </c>
      <c r="BC22" s="270">
        <f t="shared" si="25"/>
        <v>0</v>
      </c>
      <c r="BD22" s="270">
        <f t="shared" si="25"/>
        <v>0</v>
      </c>
      <c r="BE22" s="270">
        <f t="shared" si="25"/>
        <v>0</v>
      </c>
      <c r="BF22" s="270">
        <f t="shared" si="25"/>
        <v>0</v>
      </c>
      <c r="BG22" s="270">
        <f t="shared" si="25"/>
        <v>0</v>
      </c>
      <c r="BH22" s="270">
        <f t="shared" si="25"/>
        <v>0</v>
      </c>
      <c r="BI22" s="270">
        <f t="shared" si="25"/>
        <v>0</v>
      </c>
      <c r="BJ22" s="270">
        <f t="shared" si="25"/>
        <v>0</v>
      </c>
      <c r="BK22" s="270">
        <f t="shared" si="25"/>
        <v>0</v>
      </c>
      <c r="BL22" s="265">
        <f t="shared" si="16"/>
        <v>293175.43</v>
      </c>
      <c r="BM22" s="215"/>
      <c r="BN22" s="270">
        <f t="shared" ref="BN22:CP22" si="26">ROUND(AI21*E$9/12,2)</f>
        <v>0</v>
      </c>
      <c r="BO22" s="270">
        <f t="shared" si="26"/>
        <v>0</v>
      </c>
      <c r="BP22" s="270">
        <f t="shared" si="26"/>
        <v>0</v>
      </c>
      <c r="BQ22" s="270">
        <f t="shared" si="26"/>
        <v>0</v>
      </c>
      <c r="BR22" s="270">
        <f t="shared" si="26"/>
        <v>0</v>
      </c>
      <c r="BS22" s="270">
        <f t="shared" si="26"/>
        <v>14.65</v>
      </c>
      <c r="BT22" s="270">
        <f t="shared" si="26"/>
        <v>79.44</v>
      </c>
      <c r="BU22" s="270">
        <f t="shared" si="26"/>
        <v>84.71</v>
      </c>
      <c r="BV22" s="270">
        <f t="shared" si="26"/>
        <v>93.98</v>
      </c>
      <c r="BW22" s="270">
        <f t="shared" si="26"/>
        <v>231.52</v>
      </c>
      <c r="BX22" s="270">
        <f t="shared" si="26"/>
        <v>352.73</v>
      </c>
      <c r="BY22" s="270">
        <f t="shared" si="26"/>
        <v>383.25</v>
      </c>
      <c r="BZ22" s="270">
        <f t="shared" si="26"/>
        <v>562.58</v>
      </c>
      <c r="CA22" s="270">
        <f t="shared" si="26"/>
        <v>0</v>
      </c>
      <c r="CB22" s="270">
        <f t="shared" si="26"/>
        <v>0</v>
      </c>
      <c r="CC22" s="270">
        <f t="shared" si="26"/>
        <v>0</v>
      </c>
      <c r="CD22" s="270">
        <f t="shared" si="26"/>
        <v>0</v>
      </c>
      <c r="CE22" s="270">
        <f t="shared" si="26"/>
        <v>0</v>
      </c>
      <c r="CF22" s="270">
        <f t="shared" si="26"/>
        <v>0</v>
      </c>
      <c r="CG22" s="270">
        <f t="shared" si="26"/>
        <v>0</v>
      </c>
      <c r="CH22" s="270">
        <f t="shared" si="26"/>
        <v>0</v>
      </c>
      <c r="CI22" s="270">
        <f t="shared" si="26"/>
        <v>0</v>
      </c>
      <c r="CJ22" s="270">
        <f t="shared" si="26"/>
        <v>0</v>
      </c>
      <c r="CK22" s="270">
        <f t="shared" si="26"/>
        <v>0</v>
      </c>
      <c r="CL22" s="270">
        <f t="shared" si="26"/>
        <v>0</v>
      </c>
      <c r="CM22" s="270">
        <f t="shared" si="26"/>
        <v>0</v>
      </c>
      <c r="CN22" s="270">
        <f t="shared" si="26"/>
        <v>0</v>
      </c>
      <c r="CO22" s="270">
        <f t="shared" si="26"/>
        <v>0</v>
      </c>
      <c r="CP22" s="270">
        <f t="shared" si="26"/>
        <v>0</v>
      </c>
      <c r="CQ22" s="215"/>
      <c r="CR22" s="270">
        <f t="shared" si="27"/>
        <v>1802.86</v>
      </c>
      <c r="CS22" s="215"/>
      <c r="CT22" s="270">
        <f t="shared" ref="CT22:DX22" si="28">IF(AI21&gt;0,IF((AI21+BN22)&lt;E$10,AI21+BN22,E$10),0)</f>
        <v>12.84</v>
      </c>
      <c r="CU22" s="270">
        <f t="shared" si="28"/>
        <v>9.8</v>
      </c>
      <c r="CV22" s="270">
        <f t="shared" si="28"/>
        <v>14.7</v>
      </c>
      <c r="CW22" s="270">
        <f t="shared" si="28"/>
        <v>28.09</v>
      </c>
      <c r="CX22" s="270">
        <f t="shared" si="28"/>
        <v>20.96</v>
      </c>
      <c r="CY22" s="270">
        <f t="shared" si="28"/>
        <v>35</v>
      </c>
      <c r="CZ22" s="270">
        <f t="shared" si="28"/>
        <v>206</v>
      </c>
      <c r="DA22" s="270">
        <f t="shared" si="28"/>
        <v>82</v>
      </c>
      <c r="DB22" s="270">
        <f t="shared" si="28"/>
        <v>102</v>
      </c>
      <c r="DC22" s="270">
        <f t="shared" si="28"/>
        <v>450.08</v>
      </c>
      <c r="DD22" s="270">
        <f t="shared" si="28"/>
        <v>695.6</v>
      </c>
      <c r="DE22" s="270">
        <f t="shared" si="28"/>
        <v>791.16</v>
      </c>
      <c r="DF22" s="270">
        <f t="shared" si="28"/>
        <v>1467.13</v>
      </c>
      <c r="DG22" s="270">
        <f t="shared" si="28"/>
        <v>0</v>
      </c>
      <c r="DH22" s="270">
        <f t="shared" si="28"/>
        <v>0</v>
      </c>
      <c r="DI22" s="270">
        <f t="shared" si="28"/>
        <v>0</v>
      </c>
      <c r="DJ22" s="270">
        <f t="shared" si="28"/>
        <v>0</v>
      </c>
      <c r="DK22" s="270">
        <f t="shared" si="28"/>
        <v>0</v>
      </c>
      <c r="DL22" s="270">
        <f t="shared" si="28"/>
        <v>0</v>
      </c>
      <c r="DM22" s="270">
        <f t="shared" si="28"/>
        <v>0</v>
      </c>
      <c r="DN22" s="270">
        <f t="shared" si="28"/>
        <v>0</v>
      </c>
      <c r="DO22" s="270">
        <f t="shared" si="28"/>
        <v>0</v>
      </c>
      <c r="DP22" s="270">
        <f t="shared" si="28"/>
        <v>0</v>
      </c>
      <c r="DQ22" s="270">
        <f t="shared" si="28"/>
        <v>0</v>
      </c>
      <c r="DR22" s="270">
        <f t="shared" si="28"/>
        <v>0</v>
      </c>
      <c r="DS22" s="270">
        <f t="shared" si="28"/>
        <v>0</v>
      </c>
      <c r="DT22" s="270">
        <f t="shared" si="28"/>
        <v>0</v>
      </c>
      <c r="DU22" s="270">
        <f t="shared" si="28"/>
        <v>0</v>
      </c>
      <c r="DV22" s="270">
        <f t="shared" si="28"/>
        <v>0</v>
      </c>
      <c r="DW22" s="271" t="str">
        <f t="shared" si="28"/>
        <v/>
      </c>
      <c r="DX22" s="270">
        <f t="shared" si="28"/>
        <v>0</v>
      </c>
      <c r="DY22" s="270">
        <f t="shared" si="29"/>
        <v>3915.36</v>
      </c>
      <c r="DZ22" s="274"/>
      <c r="EA22" s="275">
        <f t="shared" ref="EA22:EA356" si="38">IF(AI20&lt;=0,0,IF(CT21+$C21&gt;AI20+BN21,AI20+BN21-CT21,$C21))</f>
        <v>0</v>
      </c>
      <c r="EB22" s="270">
        <f t="shared" ref="EB22:FC22" si="30">IF(AJ20&lt;=0,0,IF($C21&lt;=SUM($EA22:EA22),0,IF(CU21+$C21-SUM($EA22:EA22)&gt;AJ20+BO21,AJ20+BO21-CU21,$C21-SUM($EA22:EA22))))</f>
        <v>0</v>
      </c>
      <c r="EC22" s="270">
        <f t="shared" si="30"/>
        <v>0</v>
      </c>
      <c r="ED22" s="270">
        <f t="shared" si="30"/>
        <v>0</v>
      </c>
      <c r="EE22" s="270">
        <f t="shared" si="30"/>
        <v>0</v>
      </c>
      <c r="EF22" s="270">
        <f t="shared" si="30"/>
        <v>0</v>
      </c>
      <c r="EG22" s="270">
        <f t="shared" si="30"/>
        <v>0</v>
      </c>
      <c r="EH22" s="270">
        <f t="shared" si="30"/>
        <v>0</v>
      </c>
      <c r="EI22" s="270">
        <f t="shared" si="30"/>
        <v>0</v>
      </c>
      <c r="EJ22" s="270">
        <f t="shared" si="30"/>
        <v>0</v>
      </c>
      <c r="EK22" s="270">
        <f t="shared" si="30"/>
        <v>0</v>
      </c>
      <c r="EL22" s="270">
        <f t="shared" si="30"/>
        <v>0</v>
      </c>
      <c r="EM22" s="270">
        <f t="shared" si="30"/>
        <v>0</v>
      </c>
      <c r="EN22" s="270">
        <f t="shared" si="30"/>
        <v>0</v>
      </c>
      <c r="EO22" s="270">
        <f t="shared" si="30"/>
        <v>0</v>
      </c>
      <c r="EP22" s="270">
        <f t="shared" si="30"/>
        <v>0</v>
      </c>
      <c r="EQ22" s="270">
        <f t="shared" si="30"/>
        <v>0</v>
      </c>
      <c r="ER22" s="270">
        <f t="shared" si="30"/>
        <v>0</v>
      </c>
      <c r="ES22" s="270">
        <f t="shared" si="30"/>
        <v>0</v>
      </c>
      <c r="ET22" s="270">
        <f t="shared" si="30"/>
        <v>0</v>
      </c>
      <c r="EU22" s="270">
        <f t="shared" si="30"/>
        <v>0</v>
      </c>
      <c r="EV22" s="270">
        <f t="shared" si="30"/>
        <v>0</v>
      </c>
      <c r="EW22" s="270">
        <f t="shared" si="30"/>
        <v>0</v>
      </c>
      <c r="EX22" s="270">
        <f t="shared" si="30"/>
        <v>0</v>
      </c>
      <c r="EY22" s="270">
        <f t="shared" si="30"/>
        <v>0</v>
      </c>
      <c r="EZ22" s="270">
        <f t="shared" si="30"/>
        <v>0</v>
      </c>
      <c r="FA22" s="270">
        <f t="shared" si="30"/>
        <v>0</v>
      </c>
      <c r="FB22" s="270">
        <f t="shared" si="30"/>
        <v>0</v>
      </c>
      <c r="FC22" s="270">
        <f t="shared" si="30"/>
        <v>0</v>
      </c>
      <c r="FD22" s="271"/>
      <c r="FE22" s="271"/>
      <c r="FF22" s="271"/>
      <c r="FG22" s="215"/>
      <c r="FH22" s="215"/>
    </row>
    <row r="23" ht="11.25" customHeight="1">
      <c r="A23" s="231">
        <f t="shared" si="19"/>
        <v>3</v>
      </c>
      <c r="B23" s="269">
        <v>45717.0</v>
      </c>
      <c r="C23" s="270">
        <f>IF(A23="","",IF(Calculator!snowball,IF(($E$5-DY23)&lt;0,0,$E$5-DY23),0)+D23)</f>
        <v>0</v>
      </c>
      <c r="D23" s="271"/>
      <c r="E23" s="270">
        <f t="shared" ref="E23:E355" si="40">CT23+EA24</f>
        <v>0</v>
      </c>
      <c r="F23" s="270">
        <v>16.12</v>
      </c>
      <c r="G23" s="270">
        <v>22.43</v>
      </c>
      <c r="H23" s="270">
        <f t="shared" ref="H23:J23" si="31">CW23+ED24</f>
        <v>28.09</v>
      </c>
      <c r="I23" s="270">
        <f t="shared" si="31"/>
        <v>20.96</v>
      </c>
      <c r="J23" s="270">
        <f t="shared" si="31"/>
        <v>35</v>
      </c>
      <c r="K23" s="270">
        <v>600.0</v>
      </c>
      <c r="L23" s="270">
        <f t="shared" ref="L23:N23" si="32">DA23+EH24</f>
        <v>82</v>
      </c>
      <c r="M23" s="270">
        <f t="shared" si="32"/>
        <v>102</v>
      </c>
      <c r="N23" s="270">
        <f t="shared" si="32"/>
        <v>450.08</v>
      </c>
      <c r="O23" s="271"/>
      <c r="P23" s="272">
        <f t="shared" si="22"/>
        <v>791.16</v>
      </c>
      <c r="Q23" s="276">
        <v>1487.37</v>
      </c>
      <c r="R23" s="272">
        <f t="shared" ref="R23:AG23" si="33">DG23+EN24</f>
        <v>0</v>
      </c>
      <c r="S23" s="272">
        <f t="shared" si="33"/>
        <v>0</v>
      </c>
      <c r="T23" s="272">
        <f t="shared" si="33"/>
        <v>0</v>
      </c>
      <c r="U23" s="270">
        <f t="shared" si="33"/>
        <v>0</v>
      </c>
      <c r="V23" s="270">
        <f t="shared" si="33"/>
        <v>0</v>
      </c>
      <c r="W23" s="270">
        <f t="shared" si="33"/>
        <v>0</v>
      </c>
      <c r="X23" s="270">
        <f t="shared" si="33"/>
        <v>0</v>
      </c>
      <c r="Y23" s="270">
        <f t="shared" si="33"/>
        <v>0</v>
      </c>
      <c r="Z23" s="270">
        <f t="shared" si="33"/>
        <v>0</v>
      </c>
      <c r="AA23" s="270">
        <f t="shared" si="33"/>
        <v>0</v>
      </c>
      <c r="AB23" s="270">
        <f t="shared" si="33"/>
        <v>0</v>
      </c>
      <c r="AC23" s="270">
        <f t="shared" si="33"/>
        <v>0</v>
      </c>
      <c r="AD23" s="270">
        <f t="shared" si="33"/>
        <v>0</v>
      </c>
      <c r="AE23" s="270">
        <f t="shared" si="33"/>
        <v>0</v>
      </c>
      <c r="AF23" s="270">
        <f t="shared" si="33"/>
        <v>0</v>
      </c>
      <c r="AG23" s="270">
        <f t="shared" si="33"/>
        <v>0</v>
      </c>
      <c r="AH23" s="265">
        <f t="shared" si="13"/>
        <v>291134.36</v>
      </c>
      <c r="AI23" s="270">
        <f t="shared" ref="AI23:AI356" si="43">IF(E$8=0,0,ROUND(AI22-(E23-BN23),2))</f>
        <v>0</v>
      </c>
      <c r="AJ23" s="277">
        <v>0.0</v>
      </c>
      <c r="AK23" s="277">
        <v>0.0</v>
      </c>
      <c r="AL23" s="270">
        <f t="shared" ref="AL23:AS23" si="34">IF(H$8=0,0,ROUND(AL22-(H23-BQ23),2))</f>
        <v>77.94</v>
      </c>
      <c r="AM23" s="270">
        <f t="shared" si="34"/>
        <v>177.46</v>
      </c>
      <c r="AN23" s="270">
        <f t="shared" si="34"/>
        <v>548.48</v>
      </c>
      <c r="AO23" s="270">
        <f t="shared" si="34"/>
        <v>2738.36</v>
      </c>
      <c r="AP23" s="270">
        <f t="shared" si="34"/>
        <v>3208.13</v>
      </c>
      <c r="AQ23" s="270">
        <f t="shared" si="34"/>
        <v>3775.94</v>
      </c>
      <c r="AR23" s="270">
        <f t="shared" si="34"/>
        <v>14994.3</v>
      </c>
      <c r="AS23" s="270">
        <f t="shared" si="34"/>
        <v>39188.22</v>
      </c>
      <c r="AT23" s="270">
        <f t="shared" ref="AT23:BK23" si="35">IF(P$8=0,0,ROUND(AT22-(P23-BX23),2))</f>
        <v>48684.74</v>
      </c>
      <c r="AU23" s="270">
        <f t="shared" si="35"/>
        <v>177740.79</v>
      </c>
      <c r="AV23" s="270">
        <f t="shared" si="35"/>
        <v>0</v>
      </c>
      <c r="AW23" s="270">
        <f t="shared" si="35"/>
        <v>0</v>
      </c>
      <c r="AX23" s="270">
        <f t="shared" si="35"/>
        <v>0</v>
      </c>
      <c r="AY23" s="270">
        <f t="shared" si="35"/>
        <v>0</v>
      </c>
      <c r="AZ23" s="270">
        <f t="shared" si="35"/>
        <v>0</v>
      </c>
      <c r="BA23" s="270">
        <f t="shared" si="35"/>
        <v>0</v>
      </c>
      <c r="BB23" s="270">
        <f t="shared" si="35"/>
        <v>0</v>
      </c>
      <c r="BC23" s="270">
        <f t="shared" si="35"/>
        <v>0</v>
      </c>
      <c r="BD23" s="270">
        <f t="shared" si="35"/>
        <v>0</v>
      </c>
      <c r="BE23" s="270">
        <f t="shared" si="35"/>
        <v>0</v>
      </c>
      <c r="BF23" s="270">
        <f t="shared" si="35"/>
        <v>0</v>
      </c>
      <c r="BG23" s="270">
        <f t="shared" si="35"/>
        <v>0</v>
      </c>
      <c r="BH23" s="270">
        <f t="shared" si="35"/>
        <v>0</v>
      </c>
      <c r="BI23" s="270">
        <f t="shared" si="35"/>
        <v>0</v>
      </c>
      <c r="BJ23" s="270">
        <f t="shared" si="35"/>
        <v>0</v>
      </c>
      <c r="BK23" s="270">
        <f t="shared" si="35"/>
        <v>0</v>
      </c>
      <c r="BL23" s="265">
        <f t="shared" si="16"/>
        <v>291134.36</v>
      </c>
      <c r="BM23" s="215"/>
      <c r="BN23" s="270">
        <f t="shared" ref="BN23:CP23" si="36">ROUND(AI22*E$9/12,2)</f>
        <v>0</v>
      </c>
      <c r="BO23" s="270">
        <f t="shared" si="36"/>
        <v>0</v>
      </c>
      <c r="BP23" s="270">
        <f t="shared" si="36"/>
        <v>0</v>
      </c>
      <c r="BQ23" s="270">
        <f t="shared" si="36"/>
        <v>0</v>
      </c>
      <c r="BR23" s="270">
        <f t="shared" si="36"/>
        <v>0</v>
      </c>
      <c r="BS23" s="270">
        <f t="shared" si="36"/>
        <v>14.14</v>
      </c>
      <c r="BT23" s="270">
        <f t="shared" si="36"/>
        <v>81.42</v>
      </c>
      <c r="BU23" s="270">
        <f t="shared" si="36"/>
        <v>84.78</v>
      </c>
      <c r="BV23" s="270">
        <f t="shared" si="36"/>
        <v>93.78</v>
      </c>
      <c r="BW23" s="270">
        <f t="shared" si="36"/>
        <v>228.24</v>
      </c>
      <c r="BX23" s="270">
        <f t="shared" si="36"/>
        <v>355.96</v>
      </c>
      <c r="BY23" s="270">
        <f t="shared" si="36"/>
        <v>379.86</v>
      </c>
      <c r="BZ23" s="270">
        <f t="shared" si="36"/>
        <v>558.9</v>
      </c>
      <c r="CA23" s="270">
        <f t="shared" si="36"/>
        <v>0</v>
      </c>
      <c r="CB23" s="270">
        <f t="shared" si="36"/>
        <v>0</v>
      </c>
      <c r="CC23" s="270">
        <f t="shared" si="36"/>
        <v>0</v>
      </c>
      <c r="CD23" s="270">
        <f t="shared" si="36"/>
        <v>0</v>
      </c>
      <c r="CE23" s="270">
        <f t="shared" si="36"/>
        <v>0</v>
      </c>
      <c r="CF23" s="270">
        <f t="shared" si="36"/>
        <v>0</v>
      </c>
      <c r="CG23" s="270">
        <f t="shared" si="36"/>
        <v>0</v>
      </c>
      <c r="CH23" s="270">
        <f t="shared" si="36"/>
        <v>0</v>
      </c>
      <c r="CI23" s="270">
        <f t="shared" si="36"/>
        <v>0</v>
      </c>
      <c r="CJ23" s="270">
        <f t="shared" si="36"/>
        <v>0</v>
      </c>
      <c r="CK23" s="270">
        <f t="shared" si="36"/>
        <v>0</v>
      </c>
      <c r="CL23" s="270">
        <f t="shared" si="36"/>
        <v>0</v>
      </c>
      <c r="CM23" s="270">
        <f t="shared" si="36"/>
        <v>0</v>
      </c>
      <c r="CN23" s="270">
        <f t="shared" si="36"/>
        <v>0</v>
      </c>
      <c r="CO23" s="270">
        <f t="shared" si="36"/>
        <v>0</v>
      </c>
      <c r="CP23" s="270">
        <f t="shared" si="36"/>
        <v>0</v>
      </c>
      <c r="CQ23" s="215"/>
      <c r="CR23" s="270">
        <f t="shared" si="27"/>
        <v>1797.08</v>
      </c>
      <c r="CS23" s="215"/>
      <c r="CT23" s="270">
        <f t="shared" ref="CT23:DX23" si="37">IF(AI22&gt;0,IF((AI22+BN23)&lt;E$10,AI22+BN23,E$10),0)</f>
        <v>0</v>
      </c>
      <c r="CU23" s="270">
        <f t="shared" si="37"/>
        <v>9.8</v>
      </c>
      <c r="CV23" s="270">
        <f t="shared" si="37"/>
        <v>14.7</v>
      </c>
      <c r="CW23" s="270">
        <f t="shared" si="37"/>
        <v>28.09</v>
      </c>
      <c r="CX23" s="270">
        <f t="shared" si="37"/>
        <v>20.96</v>
      </c>
      <c r="CY23" s="270">
        <f t="shared" si="37"/>
        <v>35</v>
      </c>
      <c r="CZ23" s="270">
        <f t="shared" si="37"/>
        <v>206</v>
      </c>
      <c r="DA23" s="270">
        <f t="shared" si="37"/>
        <v>82</v>
      </c>
      <c r="DB23" s="270">
        <f t="shared" si="37"/>
        <v>102</v>
      </c>
      <c r="DC23" s="270">
        <f t="shared" si="37"/>
        <v>450.08</v>
      </c>
      <c r="DD23" s="270">
        <f t="shared" si="37"/>
        <v>695.6</v>
      </c>
      <c r="DE23" s="270">
        <f t="shared" si="37"/>
        <v>791.16</v>
      </c>
      <c r="DF23" s="270">
        <f t="shared" si="37"/>
        <v>1467.13</v>
      </c>
      <c r="DG23" s="270">
        <f t="shared" si="37"/>
        <v>0</v>
      </c>
      <c r="DH23" s="270">
        <f t="shared" si="37"/>
        <v>0</v>
      </c>
      <c r="DI23" s="270">
        <f t="shared" si="37"/>
        <v>0</v>
      </c>
      <c r="DJ23" s="270">
        <f t="shared" si="37"/>
        <v>0</v>
      </c>
      <c r="DK23" s="270">
        <f t="shared" si="37"/>
        <v>0</v>
      </c>
      <c r="DL23" s="270">
        <f t="shared" si="37"/>
        <v>0</v>
      </c>
      <c r="DM23" s="270">
        <f t="shared" si="37"/>
        <v>0</v>
      </c>
      <c r="DN23" s="270">
        <f t="shared" si="37"/>
        <v>0</v>
      </c>
      <c r="DO23" s="270">
        <f t="shared" si="37"/>
        <v>0</v>
      </c>
      <c r="DP23" s="270">
        <f t="shared" si="37"/>
        <v>0</v>
      </c>
      <c r="DQ23" s="270">
        <f t="shared" si="37"/>
        <v>0</v>
      </c>
      <c r="DR23" s="270">
        <f t="shared" si="37"/>
        <v>0</v>
      </c>
      <c r="DS23" s="270">
        <f t="shared" si="37"/>
        <v>0</v>
      </c>
      <c r="DT23" s="270">
        <f t="shared" si="37"/>
        <v>0</v>
      </c>
      <c r="DU23" s="270">
        <f t="shared" si="37"/>
        <v>0</v>
      </c>
      <c r="DV23" s="270">
        <f t="shared" si="37"/>
        <v>0</v>
      </c>
      <c r="DW23" s="271" t="str">
        <f t="shared" si="37"/>
        <v/>
      </c>
      <c r="DX23" s="270">
        <f t="shared" si="37"/>
        <v>0</v>
      </c>
      <c r="DY23" s="270">
        <f t="shared" si="29"/>
        <v>3902.52</v>
      </c>
      <c r="DZ23" s="274"/>
      <c r="EA23" s="275">
        <f t="shared" si="38"/>
        <v>0</v>
      </c>
      <c r="EB23" s="270">
        <f t="shared" ref="EB23:FC23" si="39">IF(AJ21&lt;=0,0,IF($C22&lt;=SUM($EA23:EA23),0,IF(CU22+$C22-SUM($EA23:EA23)&gt;AJ21+BO22,AJ21+BO22-CU22,$C22-SUM($EA23:EA23))))</f>
        <v>0</v>
      </c>
      <c r="EC23" s="270">
        <f t="shared" si="39"/>
        <v>0</v>
      </c>
      <c r="ED23" s="270">
        <f t="shared" si="39"/>
        <v>0</v>
      </c>
      <c r="EE23" s="270">
        <f t="shared" si="39"/>
        <v>0</v>
      </c>
      <c r="EF23" s="270">
        <f t="shared" si="39"/>
        <v>0</v>
      </c>
      <c r="EG23" s="270">
        <f t="shared" si="39"/>
        <v>0</v>
      </c>
      <c r="EH23" s="270">
        <f t="shared" si="39"/>
        <v>0</v>
      </c>
      <c r="EI23" s="270">
        <f t="shared" si="39"/>
        <v>0</v>
      </c>
      <c r="EJ23" s="270">
        <f t="shared" si="39"/>
        <v>0</v>
      </c>
      <c r="EK23" s="270">
        <f t="shared" si="39"/>
        <v>0</v>
      </c>
      <c r="EL23" s="270">
        <f t="shared" si="39"/>
        <v>0</v>
      </c>
      <c r="EM23" s="270">
        <f t="shared" si="39"/>
        <v>0</v>
      </c>
      <c r="EN23" s="270">
        <f t="shared" si="39"/>
        <v>0</v>
      </c>
      <c r="EO23" s="270">
        <f t="shared" si="39"/>
        <v>0</v>
      </c>
      <c r="EP23" s="270">
        <f t="shared" si="39"/>
        <v>0</v>
      </c>
      <c r="EQ23" s="270">
        <f t="shared" si="39"/>
        <v>0</v>
      </c>
      <c r="ER23" s="270">
        <f t="shared" si="39"/>
        <v>0</v>
      </c>
      <c r="ES23" s="270">
        <f t="shared" si="39"/>
        <v>0</v>
      </c>
      <c r="ET23" s="270">
        <f t="shared" si="39"/>
        <v>0</v>
      </c>
      <c r="EU23" s="270">
        <f t="shared" si="39"/>
        <v>0</v>
      </c>
      <c r="EV23" s="270">
        <f t="shared" si="39"/>
        <v>0</v>
      </c>
      <c r="EW23" s="270">
        <f t="shared" si="39"/>
        <v>0</v>
      </c>
      <c r="EX23" s="270">
        <f t="shared" si="39"/>
        <v>0</v>
      </c>
      <c r="EY23" s="270">
        <f t="shared" si="39"/>
        <v>0</v>
      </c>
      <c r="EZ23" s="270">
        <f t="shared" si="39"/>
        <v>0</v>
      </c>
      <c r="FA23" s="270">
        <f t="shared" si="39"/>
        <v>0</v>
      </c>
      <c r="FB23" s="270">
        <f t="shared" si="39"/>
        <v>0</v>
      </c>
      <c r="FC23" s="270">
        <f t="shared" si="39"/>
        <v>0</v>
      </c>
      <c r="FD23" s="271"/>
      <c r="FE23" s="271"/>
      <c r="FF23" s="271"/>
      <c r="FG23" s="215"/>
      <c r="FH23" s="215"/>
    </row>
    <row r="24" ht="11.25" customHeight="1">
      <c r="A24" s="231">
        <f t="shared" si="19"/>
        <v>4</v>
      </c>
      <c r="B24" s="269">
        <v>45748.0</v>
      </c>
      <c r="C24" s="270">
        <f>IF(A24="","",IF(Calculator!snowball,IF(($E$5-DY24)&lt;0,0,$E$5-DY24),0)+D24)</f>
        <v>0</v>
      </c>
      <c r="D24" s="271"/>
      <c r="E24" s="270">
        <f t="shared" si="40"/>
        <v>0</v>
      </c>
      <c r="F24" s="270">
        <f t="shared" ref="F24:G24" si="41">CU24+EB25</f>
        <v>0</v>
      </c>
      <c r="G24" s="270">
        <f t="shared" si="41"/>
        <v>0</v>
      </c>
      <c r="H24" s="270">
        <v>78.85</v>
      </c>
      <c r="I24" s="270">
        <f>CX24+EE25</f>
        <v>20.96</v>
      </c>
      <c r="J24" s="277">
        <v>35.0</v>
      </c>
      <c r="K24" s="270">
        <f>CZ24+EG25</f>
        <v>206</v>
      </c>
      <c r="L24" s="270">
        <v>83.0</v>
      </c>
      <c r="M24" s="270">
        <v>109.0</v>
      </c>
      <c r="N24" s="270">
        <f t="shared" ref="N24:N48" si="52">DC24+EJ25</f>
        <v>450.08</v>
      </c>
      <c r="O24" s="271"/>
      <c r="P24" s="272">
        <f t="shared" si="22"/>
        <v>791.16</v>
      </c>
      <c r="Q24" s="276">
        <v>1487.37</v>
      </c>
      <c r="R24" s="272">
        <f t="shared" ref="R24:AG24" si="42">DG24+EN25</f>
        <v>0</v>
      </c>
      <c r="S24" s="272">
        <f t="shared" si="42"/>
        <v>0</v>
      </c>
      <c r="T24" s="272">
        <f t="shared" si="42"/>
        <v>0</v>
      </c>
      <c r="U24" s="270">
        <f t="shared" si="42"/>
        <v>0</v>
      </c>
      <c r="V24" s="270">
        <f t="shared" si="42"/>
        <v>0</v>
      </c>
      <c r="W24" s="270">
        <f t="shared" si="42"/>
        <v>0</v>
      </c>
      <c r="X24" s="270">
        <f t="shared" si="42"/>
        <v>0</v>
      </c>
      <c r="Y24" s="270">
        <f t="shared" si="42"/>
        <v>0</v>
      </c>
      <c r="Z24" s="270">
        <f t="shared" si="42"/>
        <v>0</v>
      </c>
      <c r="AA24" s="270">
        <f t="shared" si="42"/>
        <v>0</v>
      </c>
      <c r="AB24" s="270">
        <f t="shared" si="42"/>
        <v>0</v>
      </c>
      <c r="AC24" s="270">
        <f t="shared" si="42"/>
        <v>0</v>
      </c>
      <c r="AD24" s="270">
        <f t="shared" si="42"/>
        <v>0</v>
      </c>
      <c r="AE24" s="270">
        <f t="shared" si="42"/>
        <v>0</v>
      </c>
      <c r="AF24" s="270">
        <f t="shared" si="42"/>
        <v>0</v>
      </c>
      <c r="AG24" s="270">
        <f t="shared" si="42"/>
        <v>0</v>
      </c>
      <c r="AH24" s="265">
        <f t="shared" si="13"/>
        <v>289454.25</v>
      </c>
      <c r="AI24" s="270">
        <f t="shared" si="43"/>
        <v>0</v>
      </c>
      <c r="AJ24" s="270">
        <f t="shared" ref="AJ24:AK24" si="44">IF(F$8=0,0,ROUND(AJ23-(F24-BO24),2))</f>
        <v>0</v>
      </c>
      <c r="AK24" s="270">
        <f t="shared" si="44"/>
        <v>0</v>
      </c>
      <c r="AL24" s="277">
        <v>0.0</v>
      </c>
      <c r="AM24" s="270">
        <f t="shared" ref="AM24:AS24" si="45">IF(I$8=0,0,ROUND(AM23-(I24-BR24),2))</f>
        <v>156.5</v>
      </c>
      <c r="AN24" s="270">
        <f t="shared" si="45"/>
        <v>527.11</v>
      </c>
      <c r="AO24" s="270">
        <f t="shared" si="45"/>
        <v>2600.82</v>
      </c>
      <c r="AP24" s="270">
        <f t="shared" si="45"/>
        <v>3209.99</v>
      </c>
      <c r="AQ24" s="270">
        <f t="shared" si="45"/>
        <v>3760.52</v>
      </c>
      <c r="AR24" s="270">
        <f t="shared" si="45"/>
        <v>14769.13</v>
      </c>
      <c r="AS24" s="270">
        <f t="shared" si="45"/>
        <v>39547.45</v>
      </c>
      <c r="AT24" s="270">
        <f t="shared" ref="AT24:BK24" si="46">IF(P$8=0,0,ROUND(AT23-(P24-BX24),2))</f>
        <v>48252.81</v>
      </c>
      <c r="AU24" s="270">
        <f t="shared" si="46"/>
        <v>176629.92</v>
      </c>
      <c r="AV24" s="270">
        <f t="shared" si="46"/>
        <v>0</v>
      </c>
      <c r="AW24" s="270">
        <f t="shared" si="46"/>
        <v>0</v>
      </c>
      <c r="AX24" s="270">
        <f t="shared" si="46"/>
        <v>0</v>
      </c>
      <c r="AY24" s="270">
        <f t="shared" si="46"/>
        <v>0</v>
      </c>
      <c r="AZ24" s="270">
        <f t="shared" si="46"/>
        <v>0</v>
      </c>
      <c r="BA24" s="270">
        <f t="shared" si="46"/>
        <v>0</v>
      </c>
      <c r="BB24" s="270">
        <f t="shared" si="46"/>
        <v>0</v>
      </c>
      <c r="BC24" s="270">
        <f t="shared" si="46"/>
        <v>0</v>
      </c>
      <c r="BD24" s="270">
        <f t="shared" si="46"/>
        <v>0</v>
      </c>
      <c r="BE24" s="270">
        <f t="shared" si="46"/>
        <v>0</v>
      </c>
      <c r="BF24" s="270">
        <f t="shared" si="46"/>
        <v>0</v>
      </c>
      <c r="BG24" s="270">
        <f t="shared" si="46"/>
        <v>0</v>
      </c>
      <c r="BH24" s="270">
        <f t="shared" si="46"/>
        <v>0</v>
      </c>
      <c r="BI24" s="270">
        <f t="shared" si="46"/>
        <v>0</v>
      </c>
      <c r="BJ24" s="270">
        <f t="shared" si="46"/>
        <v>0</v>
      </c>
      <c r="BK24" s="270">
        <f t="shared" si="46"/>
        <v>0</v>
      </c>
      <c r="BL24" s="265">
        <f t="shared" si="16"/>
        <v>289454.25</v>
      </c>
      <c r="BM24" s="215"/>
      <c r="BN24" s="270">
        <f t="shared" ref="BN24:CP24" si="47">ROUND(AI23*E$9/12,2)</f>
        <v>0</v>
      </c>
      <c r="BO24" s="270">
        <f t="shared" si="47"/>
        <v>0</v>
      </c>
      <c r="BP24" s="270">
        <f t="shared" si="47"/>
        <v>0</v>
      </c>
      <c r="BQ24" s="270">
        <f t="shared" si="47"/>
        <v>0</v>
      </c>
      <c r="BR24" s="270">
        <f t="shared" si="47"/>
        <v>0</v>
      </c>
      <c r="BS24" s="270">
        <f t="shared" si="47"/>
        <v>13.63</v>
      </c>
      <c r="BT24" s="270">
        <f t="shared" si="47"/>
        <v>68.46</v>
      </c>
      <c r="BU24" s="270">
        <f t="shared" si="47"/>
        <v>84.86</v>
      </c>
      <c r="BV24" s="270">
        <f t="shared" si="47"/>
        <v>93.58</v>
      </c>
      <c r="BW24" s="270">
        <f t="shared" si="47"/>
        <v>224.91</v>
      </c>
      <c r="BX24" s="270">
        <f t="shared" si="47"/>
        <v>359.23</v>
      </c>
      <c r="BY24" s="270">
        <f t="shared" si="47"/>
        <v>376.5</v>
      </c>
      <c r="BZ24" s="270">
        <f t="shared" si="47"/>
        <v>555.44</v>
      </c>
      <c r="CA24" s="270">
        <f t="shared" si="47"/>
        <v>0</v>
      </c>
      <c r="CB24" s="270">
        <f t="shared" si="47"/>
        <v>0</v>
      </c>
      <c r="CC24" s="270">
        <f t="shared" si="47"/>
        <v>0</v>
      </c>
      <c r="CD24" s="270">
        <f t="shared" si="47"/>
        <v>0</v>
      </c>
      <c r="CE24" s="270">
        <f t="shared" si="47"/>
        <v>0</v>
      </c>
      <c r="CF24" s="270">
        <f t="shared" si="47"/>
        <v>0</v>
      </c>
      <c r="CG24" s="270">
        <f t="shared" si="47"/>
        <v>0</v>
      </c>
      <c r="CH24" s="270">
        <f t="shared" si="47"/>
        <v>0</v>
      </c>
      <c r="CI24" s="270">
        <f t="shared" si="47"/>
        <v>0</v>
      </c>
      <c r="CJ24" s="270">
        <f t="shared" si="47"/>
        <v>0</v>
      </c>
      <c r="CK24" s="270">
        <f t="shared" si="47"/>
        <v>0</v>
      </c>
      <c r="CL24" s="270">
        <f t="shared" si="47"/>
        <v>0</v>
      </c>
      <c r="CM24" s="270">
        <f t="shared" si="47"/>
        <v>0</v>
      </c>
      <c r="CN24" s="270">
        <f t="shared" si="47"/>
        <v>0</v>
      </c>
      <c r="CO24" s="270">
        <f t="shared" si="47"/>
        <v>0</v>
      </c>
      <c r="CP24" s="270">
        <f t="shared" si="47"/>
        <v>0</v>
      </c>
      <c r="CQ24" s="215"/>
      <c r="CR24" s="270">
        <f t="shared" si="27"/>
        <v>1776.61</v>
      </c>
      <c r="CS24" s="215"/>
      <c r="CT24" s="270">
        <f t="shared" ref="CT24:DX24" si="48">IF(AI23&gt;0,IF((AI23+BN24)&lt;E$10,AI23+BN24,E$10),0)</f>
        <v>0</v>
      </c>
      <c r="CU24" s="270">
        <f t="shared" si="48"/>
        <v>0</v>
      </c>
      <c r="CV24" s="270">
        <f t="shared" si="48"/>
        <v>0</v>
      </c>
      <c r="CW24" s="270">
        <f t="shared" si="48"/>
        <v>28.09</v>
      </c>
      <c r="CX24" s="270">
        <f t="shared" si="48"/>
        <v>20.96</v>
      </c>
      <c r="CY24" s="270">
        <f t="shared" si="48"/>
        <v>35</v>
      </c>
      <c r="CZ24" s="270">
        <f t="shared" si="48"/>
        <v>206</v>
      </c>
      <c r="DA24" s="270">
        <f t="shared" si="48"/>
        <v>82</v>
      </c>
      <c r="DB24" s="270">
        <f t="shared" si="48"/>
        <v>102</v>
      </c>
      <c r="DC24" s="270">
        <f t="shared" si="48"/>
        <v>450.08</v>
      </c>
      <c r="DD24" s="270">
        <f t="shared" si="48"/>
        <v>695.6</v>
      </c>
      <c r="DE24" s="270">
        <f t="shared" si="48"/>
        <v>791.16</v>
      </c>
      <c r="DF24" s="270">
        <f t="shared" si="48"/>
        <v>1467.13</v>
      </c>
      <c r="DG24" s="270">
        <f t="shared" si="48"/>
        <v>0</v>
      </c>
      <c r="DH24" s="270">
        <f t="shared" si="48"/>
        <v>0</v>
      </c>
      <c r="DI24" s="270">
        <f t="shared" si="48"/>
        <v>0</v>
      </c>
      <c r="DJ24" s="270">
        <f t="shared" si="48"/>
        <v>0</v>
      </c>
      <c r="DK24" s="270">
        <f t="shared" si="48"/>
        <v>0</v>
      </c>
      <c r="DL24" s="270">
        <f t="shared" si="48"/>
        <v>0</v>
      </c>
      <c r="DM24" s="270">
        <f t="shared" si="48"/>
        <v>0</v>
      </c>
      <c r="DN24" s="270">
        <f t="shared" si="48"/>
        <v>0</v>
      </c>
      <c r="DO24" s="270">
        <f t="shared" si="48"/>
        <v>0</v>
      </c>
      <c r="DP24" s="270">
        <f t="shared" si="48"/>
        <v>0</v>
      </c>
      <c r="DQ24" s="270">
        <f t="shared" si="48"/>
        <v>0</v>
      </c>
      <c r="DR24" s="270">
        <f t="shared" si="48"/>
        <v>0</v>
      </c>
      <c r="DS24" s="270">
        <f t="shared" si="48"/>
        <v>0</v>
      </c>
      <c r="DT24" s="270">
        <f t="shared" si="48"/>
        <v>0</v>
      </c>
      <c r="DU24" s="270">
        <f t="shared" si="48"/>
        <v>0</v>
      </c>
      <c r="DV24" s="270">
        <f t="shared" si="48"/>
        <v>0</v>
      </c>
      <c r="DW24" s="271" t="str">
        <f t="shared" si="48"/>
        <v/>
      </c>
      <c r="DX24" s="270">
        <f t="shared" si="48"/>
        <v>0</v>
      </c>
      <c r="DY24" s="270">
        <f t="shared" si="29"/>
        <v>3878.02</v>
      </c>
      <c r="DZ24" s="274"/>
      <c r="EA24" s="275">
        <f t="shared" si="38"/>
        <v>0</v>
      </c>
      <c r="EB24" s="270">
        <f t="shared" ref="EB24:FC24" si="49">IF(AJ22&lt;=0,0,IF($C23&lt;=SUM($EA24:EA24),0,IF(CU23+$C23-SUM($EA24:EA24)&gt;AJ22+BO23,AJ22+BO23-CU23,$C23-SUM($EA24:EA24))))</f>
        <v>0</v>
      </c>
      <c r="EC24" s="270">
        <f t="shared" si="49"/>
        <v>0</v>
      </c>
      <c r="ED24" s="270">
        <f t="shared" si="49"/>
        <v>0</v>
      </c>
      <c r="EE24" s="270">
        <f t="shared" si="49"/>
        <v>0</v>
      </c>
      <c r="EF24" s="270">
        <f t="shared" si="49"/>
        <v>0</v>
      </c>
      <c r="EG24" s="270">
        <f t="shared" si="49"/>
        <v>0</v>
      </c>
      <c r="EH24" s="270">
        <f t="shared" si="49"/>
        <v>0</v>
      </c>
      <c r="EI24" s="270">
        <f t="shared" si="49"/>
        <v>0</v>
      </c>
      <c r="EJ24" s="270">
        <f t="shared" si="49"/>
        <v>0</v>
      </c>
      <c r="EK24" s="270">
        <f t="shared" si="49"/>
        <v>0</v>
      </c>
      <c r="EL24" s="270">
        <f t="shared" si="49"/>
        <v>0</v>
      </c>
      <c r="EM24" s="270">
        <f t="shared" si="49"/>
        <v>0</v>
      </c>
      <c r="EN24" s="270">
        <f t="shared" si="49"/>
        <v>0</v>
      </c>
      <c r="EO24" s="270">
        <f t="shared" si="49"/>
        <v>0</v>
      </c>
      <c r="EP24" s="270">
        <f t="shared" si="49"/>
        <v>0</v>
      </c>
      <c r="EQ24" s="270">
        <f t="shared" si="49"/>
        <v>0</v>
      </c>
      <c r="ER24" s="270">
        <f t="shared" si="49"/>
        <v>0</v>
      </c>
      <c r="ES24" s="270">
        <f t="shared" si="49"/>
        <v>0</v>
      </c>
      <c r="ET24" s="270">
        <f t="shared" si="49"/>
        <v>0</v>
      </c>
      <c r="EU24" s="270">
        <f t="shared" si="49"/>
        <v>0</v>
      </c>
      <c r="EV24" s="270">
        <f t="shared" si="49"/>
        <v>0</v>
      </c>
      <c r="EW24" s="270">
        <f t="shared" si="49"/>
        <v>0</v>
      </c>
      <c r="EX24" s="270">
        <f t="shared" si="49"/>
        <v>0</v>
      </c>
      <c r="EY24" s="270">
        <f t="shared" si="49"/>
        <v>0</v>
      </c>
      <c r="EZ24" s="270">
        <f t="shared" si="49"/>
        <v>0</v>
      </c>
      <c r="FA24" s="270">
        <f t="shared" si="49"/>
        <v>0</v>
      </c>
      <c r="FB24" s="270">
        <f t="shared" si="49"/>
        <v>0</v>
      </c>
      <c r="FC24" s="270">
        <f t="shared" si="49"/>
        <v>0</v>
      </c>
      <c r="FD24" s="271"/>
      <c r="FE24" s="271"/>
      <c r="FF24" s="271"/>
      <c r="FG24" s="215"/>
      <c r="FH24" s="215"/>
    </row>
    <row r="25" ht="11.25" customHeight="1">
      <c r="A25" s="231">
        <f t="shared" si="19"/>
        <v>5</v>
      </c>
      <c r="B25" s="269">
        <v>45778.0</v>
      </c>
      <c r="C25" s="270">
        <f>IF(A25="","",IF(Calculator!snowball,IF(($E$5-DY25)&lt;0,0,$E$5-DY25),0)+D25)</f>
        <v>12.07</v>
      </c>
      <c r="D25" s="271"/>
      <c r="E25" s="270">
        <f t="shared" si="40"/>
        <v>0</v>
      </c>
      <c r="F25" s="270">
        <f t="shared" ref="F25:H25" si="50">CU25+EB26</f>
        <v>0</v>
      </c>
      <c r="G25" s="270">
        <f t="shared" si="50"/>
        <v>0</v>
      </c>
      <c r="H25" s="270">
        <f t="shared" si="50"/>
        <v>0</v>
      </c>
      <c r="I25" s="270">
        <v>156.5</v>
      </c>
      <c r="J25" s="270">
        <f t="shared" ref="J25:K25" si="51">CY25+EF26</f>
        <v>35</v>
      </c>
      <c r="K25" s="270">
        <f t="shared" si="51"/>
        <v>206</v>
      </c>
      <c r="L25" s="270">
        <v>83.0</v>
      </c>
      <c r="M25" s="270">
        <v>126.0</v>
      </c>
      <c r="N25" s="270">
        <f t="shared" si="52"/>
        <v>450.08</v>
      </c>
      <c r="O25" s="271"/>
      <c r="P25" s="272">
        <f t="shared" si="22"/>
        <v>791.16</v>
      </c>
      <c r="Q25" s="276">
        <v>1487.37</v>
      </c>
      <c r="R25" s="272">
        <f t="shared" ref="R25:AG25" si="53">DG25+EN26</f>
        <v>0</v>
      </c>
      <c r="S25" s="272">
        <f t="shared" si="53"/>
        <v>0</v>
      </c>
      <c r="T25" s="272">
        <f t="shared" si="53"/>
        <v>0</v>
      </c>
      <c r="U25" s="270">
        <f t="shared" si="53"/>
        <v>0</v>
      </c>
      <c r="V25" s="270">
        <f t="shared" si="53"/>
        <v>0</v>
      </c>
      <c r="W25" s="270">
        <f t="shared" si="53"/>
        <v>0</v>
      </c>
      <c r="X25" s="270">
        <f t="shared" si="53"/>
        <v>0</v>
      </c>
      <c r="Y25" s="270">
        <f t="shared" si="53"/>
        <v>0</v>
      </c>
      <c r="Z25" s="270">
        <f t="shared" si="53"/>
        <v>0</v>
      </c>
      <c r="AA25" s="270">
        <f t="shared" si="53"/>
        <v>0</v>
      </c>
      <c r="AB25" s="270">
        <f t="shared" si="53"/>
        <v>0</v>
      </c>
      <c r="AC25" s="270">
        <f t="shared" si="53"/>
        <v>0</v>
      </c>
      <c r="AD25" s="270">
        <f t="shared" si="53"/>
        <v>0</v>
      </c>
      <c r="AE25" s="270">
        <f t="shared" si="53"/>
        <v>0</v>
      </c>
      <c r="AF25" s="270">
        <f t="shared" si="53"/>
        <v>0</v>
      </c>
      <c r="AG25" s="270">
        <f t="shared" si="53"/>
        <v>0</v>
      </c>
      <c r="AH25" s="265">
        <f t="shared" si="13"/>
        <v>287695.09</v>
      </c>
      <c r="AI25" s="270">
        <f t="shared" si="43"/>
        <v>0</v>
      </c>
      <c r="AJ25" s="270">
        <f t="shared" ref="AJ25:AL25" si="54">IF(F$8=0,0,ROUND(AJ24-(F25-BO25),2))</f>
        <v>0</v>
      </c>
      <c r="AK25" s="270">
        <f t="shared" si="54"/>
        <v>0</v>
      </c>
      <c r="AL25" s="270">
        <f t="shared" si="54"/>
        <v>0</v>
      </c>
      <c r="AM25" s="277">
        <v>0.0</v>
      </c>
      <c r="AN25" s="270">
        <f t="shared" ref="AN25:AS25" si="55">IF(J$8=0,0,ROUND(AN24-(J25-BS25),2))</f>
        <v>505.2</v>
      </c>
      <c r="AO25" s="270">
        <f t="shared" si="55"/>
        <v>2459.84</v>
      </c>
      <c r="AP25" s="270">
        <f t="shared" si="55"/>
        <v>3211.89</v>
      </c>
      <c r="AQ25" s="270">
        <f t="shared" si="55"/>
        <v>3727.72</v>
      </c>
      <c r="AR25" s="270">
        <f t="shared" si="55"/>
        <v>14540.59</v>
      </c>
      <c r="AS25" s="270">
        <f t="shared" si="55"/>
        <v>39909.97</v>
      </c>
      <c r="AT25" s="270">
        <f t="shared" ref="AT25:BK25" si="56">IF(P$8=0,0,ROUND(AT24-(P25-BX25),2))</f>
        <v>47824.17</v>
      </c>
      <c r="AU25" s="270">
        <f t="shared" si="56"/>
        <v>175515.71</v>
      </c>
      <c r="AV25" s="270">
        <f t="shared" si="56"/>
        <v>0</v>
      </c>
      <c r="AW25" s="270">
        <f t="shared" si="56"/>
        <v>0</v>
      </c>
      <c r="AX25" s="270">
        <f t="shared" si="56"/>
        <v>0</v>
      </c>
      <c r="AY25" s="270">
        <f t="shared" si="56"/>
        <v>0</v>
      </c>
      <c r="AZ25" s="270">
        <f t="shared" si="56"/>
        <v>0</v>
      </c>
      <c r="BA25" s="270">
        <f t="shared" si="56"/>
        <v>0</v>
      </c>
      <c r="BB25" s="270">
        <f t="shared" si="56"/>
        <v>0</v>
      </c>
      <c r="BC25" s="270">
        <f t="shared" si="56"/>
        <v>0</v>
      </c>
      <c r="BD25" s="270">
        <f t="shared" si="56"/>
        <v>0</v>
      </c>
      <c r="BE25" s="270">
        <f t="shared" si="56"/>
        <v>0</v>
      </c>
      <c r="BF25" s="270">
        <f t="shared" si="56"/>
        <v>0</v>
      </c>
      <c r="BG25" s="270">
        <f t="shared" si="56"/>
        <v>0</v>
      </c>
      <c r="BH25" s="270">
        <f t="shared" si="56"/>
        <v>0</v>
      </c>
      <c r="BI25" s="270">
        <f t="shared" si="56"/>
        <v>0</v>
      </c>
      <c r="BJ25" s="270">
        <f t="shared" si="56"/>
        <v>0</v>
      </c>
      <c r="BK25" s="270">
        <f t="shared" si="56"/>
        <v>0</v>
      </c>
      <c r="BL25" s="265">
        <f t="shared" si="16"/>
        <v>287695.09</v>
      </c>
      <c r="BM25" s="215"/>
      <c r="BN25" s="270">
        <f t="shared" ref="BN25:CP25" si="57">ROUND(AI24*E$9/12,2)</f>
        <v>0</v>
      </c>
      <c r="BO25" s="270">
        <f t="shared" si="57"/>
        <v>0</v>
      </c>
      <c r="BP25" s="270">
        <f t="shared" si="57"/>
        <v>0</v>
      </c>
      <c r="BQ25" s="270">
        <f t="shared" si="57"/>
        <v>0</v>
      </c>
      <c r="BR25" s="270">
        <f t="shared" si="57"/>
        <v>0</v>
      </c>
      <c r="BS25" s="270">
        <f t="shared" si="57"/>
        <v>13.09</v>
      </c>
      <c r="BT25" s="270">
        <f t="shared" si="57"/>
        <v>65.02</v>
      </c>
      <c r="BU25" s="270">
        <f t="shared" si="57"/>
        <v>84.9</v>
      </c>
      <c r="BV25" s="270">
        <f t="shared" si="57"/>
        <v>93.2</v>
      </c>
      <c r="BW25" s="270">
        <f t="shared" si="57"/>
        <v>221.54</v>
      </c>
      <c r="BX25" s="270">
        <f t="shared" si="57"/>
        <v>362.52</v>
      </c>
      <c r="BY25" s="270">
        <f t="shared" si="57"/>
        <v>373.16</v>
      </c>
      <c r="BZ25" s="270">
        <f t="shared" si="57"/>
        <v>551.97</v>
      </c>
      <c r="CA25" s="270">
        <f t="shared" si="57"/>
        <v>0</v>
      </c>
      <c r="CB25" s="270">
        <f t="shared" si="57"/>
        <v>0</v>
      </c>
      <c r="CC25" s="270">
        <f t="shared" si="57"/>
        <v>0</v>
      </c>
      <c r="CD25" s="270">
        <f t="shared" si="57"/>
        <v>0</v>
      </c>
      <c r="CE25" s="270">
        <f t="shared" si="57"/>
        <v>0</v>
      </c>
      <c r="CF25" s="270">
        <f t="shared" si="57"/>
        <v>0</v>
      </c>
      <c r="CG25" s="270">
        <f t="shared" si="57"/>
        <v>0</v>
      </c>
      <c r="CH25" s="270">
        <f t="shared" si="57"/>
        <v>0</v>
      </c>
      <c r="CI25" s="270">
        <f t="shared" si="57"/>
        <v>0</v>
      </c>
      <c r="CJ25" s="270">
        <f t="shared" si="57"/>
        <v>0</v>
      </c>
      <c r="CK25" s="270">
        <f t="shared" si="57"/>
        <v>0</v>
      </c>
      <c r="CL25" s="270">
        <f t="shared" si="57"/>
        <v>0</v>
      </c>
      <c r="CM25" s="270">
        <f t="shared" si="57"/>
        <v>0</v>
      </c>
      <c r="CN25" s="270">
        <f t="shared" si="57"/>
        <v>0</v>
      </c>
      <c r="CO25" s="270">
        <f t="shared" si="57"/>
        <v>0</v>
      </c>
      <c r="CP25" s="270">
        <f t="shared" si="57"/>
        <v>0</v>
      </c>
      <c r="CQ25" s="215"/>
      <c r="CR25" s="270">
        <f t="shared" si="27"/>
        <v>1765.4</v>
      </c>
      <c r="CS25" s="215"/>
      <c r="CT25" s="270">
        <f t="shared" ref="CT25:DX25" si="58">IF(AI24&gt;0,IF((AI24+BN25)&lt;E$10,AI24+BN25,E$10),0)</f>
        <v>0</v>
      </c>
      <c r="CU25" s="270">
        <f t="shared" si="58"/>
        <v>0</v>
      </c>
      <c r="CV25" s="270">
        <f t="shared" si="58"/>
        <v>0</v>
      </c>
      <c r="CW25" s="270">
        <f t="shared" si="58"/>
        <v>0</v>
      </c>
      <c r="CX25" s="270">
        <f t="shared" si="58"/>
        <v>20.96</v>
      </c>
      <c r="CY25" s="270">
        <f t="shared" si="58"/>
        <v>35</v>
      </c>
      <c r="CZ25" s="270">
        <f t="shared" si="58"/>
        <v>206</v>
      </c>
      <c r="DA25" s="270">
        <f t="shared" si="58"/>
        <v>82</v>
      </c>
      <c r="DB25" s="270">
        <f t="shared" si="58"/>
        <v>102</v>
      </c>
      <c r="DC25" s="270">
        <f t="shared" si="58"/>
        <v>450.08</v>
      </c>
      <c r="DD25" s="270">
        <f t="shared" si="58"/>
        <v>695.6</v>
      </c>
      <c r="DE25" s="270">
        <f t="shared" si="58"/>
        <v>791.16</v>
      </c>
      <c r="DF25" s="270">
        <f t="shared" si="58"/>
        <v>1467.13</v>
      </c>
      <c r="DG25" s="270">
        <f t="shared" si="58"/>
        <v>0</v>
      </c>
      <c r="DH25" s="270">
        <f t="shared" si="58"/>
        <v>0</v>
      </c>
      <c r="DI25" s="270">
        <f t="shared" si="58"/>
        <v>0</v>
      </c>
      <c r="DJ25" s="270">
        <f t="shared" si="58"/>
        <v>0</v>
      </c>
      <c r="DK25" s="270">
        <f t="shared" si="58"/>
        <v>0</v>
      </c>
      <c r="DL25" s="270">
        <f t="shared" si="58"/>
        <v>0</v>
      </c>
      <c r="DM25" s="270">
        <f t="shared" si="58"/>
        <v>0</v>
      </c>
      <c r="DN25" s="270">
        <f t="shared" si="58"/>
        <v>0</v>
      </c>
      <c r="DO25" s="270">
        <f t="shared" si="58"/>
        <v>0</v>
      </c>
      <c r="DP25" s="270">
        <f t="shared" si="58"/>
        <v>0</v>
      </c>
      <c r="DQ25" s="270">
        <f t="shared" si="58"/>
        <v>0</v>
      </c>
      <c r="DR25" s="270">
        <f t="shared" si="58"/>
        <v>0</v>
      </c>
      <c r="DS25" s="270">
        <f t="shared" si="58"/>
        <v>0</v>
      </c>
      <c r="DT25" s="270">
        <f t="shared" si="58"/>
        <v>0</v>
      </c>
      <c r="DU25" s="270">
        <f t="shared" si="58"/>
        <v>0</v>
      </c>
      <c r="DV25" s="270">
        <f t="shared" si="58"/>
        <v>0</v>
      </c>
      <c r="DW25" s="271" t="str">
        <f t="shared" si="58"/>
        <v/>
      </c>
      <c r="DX25" s="270">
        <f t="shared" si="58"/>
        <v>0</v>
      </c>
      <c r="DY25" s="270">
        <f t="shared" si="29"/>
        <v>3849.93</v>
      </c>
      <c r="DZ25" s="274"/>
      <c r="EA25" s="275">
        <f t="shared" si="38"/>
        <v>0</v>
      </c>
      <c r="EB25" s="270">
        <f t="shared" ref="EB25:FC25" si="59">IF(AJ23&lt;=0,0,IF($C24&lt;=SUM($EA25:EA25),0,IF(CU24+$C24-SUM($EA25:EA25)&gt;AJ23+BO24,AJ23+BO24-CU24,$C24-SUM($EA25:EA25))))</f>
        <v>0</v>
      </c>
      <c r="EC25" s="270">
        <f t="shared" si="59"/>
        <v>0</v>
      </c>
      <c r="ED25" s="270">
        <f t="shared" si="59"/>
        <v>0</v>
      </c>
      <c r="EE25" s="270">
        <f t="shared" si="59"/>
        <v>0</v>
      </c>
      <c r="EF25" s="270">
        <f t="shared" si="59"/>
        <v>0</v>
      </c>
      <c r="EG25" s="270">
        <f t="shared" si="59"/>
        <v>0</v>
      </c>
      <c r="EH25" s="270">
        <f t="shared" si="59"/>
        <v>0</v>
      </c>
      <c r="EI25" s="270">
        <f t="shared" si="59"/>
        <v>0</v>
      </c>
      <c r="EJ25" s="270">
        <f t="shared" si="59"/>
        <v>0</v>
      </c>
      <c r="EK25" s="270">
        <f t="shared" si="59"/>
        <v>0</v>
      </c>
      <c r="EL25" s="270">
        <f t="shared" si="59"/>
        <v>0</v>
      </c>
      <c r="EM25" s="270">
        <f t="shared" si="59"/>
        <v>0</v>
      </c>
      <c r="EN25" s="270">
        <f t="shared" si="59"/>
        <v>0</v>
      </c>
      <c r="EO25" s="270">
        <f t="shared" si="59"/>
        <v>0</v>
      </c>
      <c r="EP25" s="270">
        <f t="shared" si="59"/>
        <v>0</v>
      </c>
      <c r="EQ25" s="270">
        <f t="shared" si="59"/>
        <v>0</v>
      </c>
      <c r="ER25" s="270">
        <f t="shared" si="59"/>
        <v>0</v>
      </c>
      <c r="ES25" s="270">
        <f t="shared" si="59"/>
        <v>0</v>
      </c>
      <c r="ET25" s="270">
        <f t="shared" si="59"/>
        <v>0</v>
      </c>
      <c r="EU25" s="270">
        <f t="shared" si="59"/>
        <v>0</v>
      </c>
      <c r="EV25" s="270">
        <f t="shared" si="59"/>
        <v>0</v>
      </c>
      <c r="EW25" s="270">
        <f t="shared" si="59"/>
        <v>0</v>
      </c>
      <c r="EX25" s="270">
        <f t="shared" si="59"/>
        <v>0</v>
      </c>
      <c r="EY25" s="270">
        <f t="shared" si="59"/>
        <v>0</v>
      </c>
      <c r="EZ25" s="270">
        <f t="shared" si="59"/>
        <v>0</v>
      </c>
      <c r="FA25" s="270">
        <f t="shared" si="59"/>
        <v>0</v>
      </c>
      <c r="FB25" s="270">
        <f t="shared" si="59"/>
        <v>0</v>
      </c>
      <c r="FC25" s="270">
        <f t="shared" si="59"/>
        <v>0</v>
      </c>
      <c r="FD25" s="271"/>
      <c r="FE25" s="271"/>
      <c r="FF25" s="271"/>
      <c r="FG25" s="215"/>
      <c r="FH25" s="215"/>
    </row>
    <row r="26" ht="11.25" customHeight="1">
      <c r="A26" s="231">
        <f t="shared" si="19"/>
        <v>6</v>
      </c>
      <c r="B26" s="269">
        <v>45809.0</v>
      </c>
      <c r="C26" s="270">
        <f>IF(A26="","",IF(Calculator!snowball,IF(($E$5-DY26)&lt;0,0,$E$5-DY26),0)+D26)</f>
        <v>33.03</v>
      </c>
      <c r="D26" s="271"/>
      <c r="E26" s="270">
        <f t="shared" si="40"/>
        <v>0</v>
      </c>
      <c r="F26" s="270">
        <f t="shared" ref="F26:I26" si="60">CU26+EB27</f>
        <v>0</v>
      </c>
      <c r="G26" s="270">
        <f t="shared" si="60"/>
        <v>0</v>
      </c>
      <c r="H26" s="270">
        <f t="shared" si="60"/>
        <v>0</v>
      </c>
      <c r="I26" s="270">
        <f t="shared" si="60"/>
        <v>0</v>
      </c>
      <c r="J26" s="277">
        <v>35.0</v>
      </c>
      <c r="K26" s="277">
        <v>73.0</v>
      </c>
      <c r="L26" s="277">
        <v>80.0</v>
      </c>
      <c r="M26" s="270">
        <v>133.0</v>
      </c>
      <c r="N26" s="270">
        <f t="shared" si="52"/>
        <v>450.08</v>
      </c>
      <c r="O26" s="271"/>
      <c r="P26" s="272">
        <f t="shared" si="22"/>
        <v>791.16</v>
      </c>
      <c r="Q26" s="276">
        <v>1487.37</v>
      </c>
      <c r="R26" s="272">
        <f t="shared" ref="R26:AG26" si="61">DG26+EN27</f>
        <v>0</v>
      </c>
      <c r="S26" s="272">
        <f t="shared" si="61"/>
        <v>0</v>
      </c>
      <c r="T26" s="272">
        <f t="shared" si="61"/>
        <v>0</v>
      </c>
      <c r="U26" s="270">
        <f t="shared" si="61"/>
        <v>0</v>
      </c>
      <c r="V26" s="270">
        <f t="shared" si="61"/>
        <v>0</v>
      </c>
      <c r="W26" s="270">
        <f t="shared" si="61"/>
        <v>0</v>
      </c>
      <c r="X26" s="270">
        <f t="shared" si="61"/>
        <v>0</v>
      </c>
      <c r="Y26" s="270">
        <f t="shared" si="61"/>
        <v>0</v>
      </c>
      <c r="Z26" s="270">
        <f t="shared" si="61"/>
        <v>0</v>
      </c>
      <c r="AA26" s="270">
        <f t="shared" si="61"/>
        <v>0</v>
      </c>
      <c r="AB26" s="270">
        <f t="shared" si="61"/>
        <v>0</v>
      </c>
      <c r="AC26" s="270">
        <f t="shared" si="61"/>
        <v>0</v>
      </c>
      <c r="AD26" s="270">
        <f t="shared" si="61"/>
        <v>0</v>
      </c>
      <c r="AE26" s="270">
        <f t="shared" si="61"/>
        <v>0</v>
      </c>
      <c r="AF26" s="270">
        <f t="shared" si="61"/>
        <v>0</v>
      </c>
      <c r="AG26" s="270">
        <f t="shared" si="61"/>
        <v>0</v>
      </c>
      <c r="AH26" s="278">
        <f t="shared" si="13"/>
        <v>286216.5</v>
      </c>
      <c r="AI26" s="270">
        <f t="shared" si="43"/>
        <v>0</v>
      </c>
      <c r="AJ26" s="270">
        <f t="shared" ref="AJ26:AS26" si="62">IF(F$8=0,0,ROUND(AJ25-(F26-BO26),2))</f>
        <v>0</v>
      </c>
      <c r="AK26" s="270">
        <f t="shared" si="62"/>
        <v>0</v>
      </c>
      <c r="AL26" s="270">
        <f t="shared" si="62"/>
        <v>0</v>
      </c>
      <c r="AM26" s="270">
        <f t="shared" si="62"/>
        <v>0</v>
      </c>
      <c r="AN26" s="270">
        <f t="shared" si="62"/>
        <v>482.75</v>
      </c>
      <c r="AO26" s="270">
        <f t="shared" si="62"/>
        <v>2448.34</v>
      </c>
      <c r="AP26" s="270">
        <f t="shared" si="62"/>
        <v>3216.84</v>
      </c>
      <c r="AQ26" s="270">
        <f t="shared" si="62"/>
        <v>3687.11</v>
      </c>
      <c r="AR26" s="270">
        <f t="shared" si="62"/>
        <v>14308.62</v>
      </c>
      <c r="AS26" s="270">
        <f t="shared" si="62"/>
        <v>40275.81</v>
      </c>
      <c r="AT26" s="270">
        <f t="shared" ref="AT26:BK26" si="63">IF(P$8=0,0,ROUND(AT25-(P26-BX26),2))</f>
        <v>47398.85</v>
      </c>
      <c r="AU26" s="270">
        <f t="shared" si="63"/>
        <v>174398.18</v>
      </c>
      <c r="AV26" s="270">
        <f t="shared" si="63"/>
        <v>0</v>
      </c>
      <c r="AW26" s="270">
        <f t="shared" si="63"/>
        <v>0</v>
      </c>
      <c r="AX26" s="270">
        <f t="shared" si="63"/>
        <v>0</v>
      </c>
      <c r="AY26" s="270">
        <f t="shared" si="63"/>
        <v>0</v>
      </c>
      <c r="AZ26" s="270">
        <f t="shared" si="63"/>
        <v>0</v>
      </c>
      <c r="BA26" s="270">
        <f t="shared" si="63"/>
        <v>0</v>
      </c>
      <c r="BB26" s="270">
        <f t="shared" si="63"/>
        <v>0</v>
      </c>
      <c r="BC26" s="270">
        <f t="shared" si="63"/>
        <v>0</v>
      </c>
      <c r="BD26" s="270">
        <f t="shared" si="63"/>
        <v>0</v>
      </c>
      <c r="BE26" s="270">
        <f t="shared" si="63"/>
        <v>0</v>
      </c>
      <c r="BF26" s="270">
        <f t="shared" si="63"/>
        <v>0</v>
      </c>
      <c r="BG26" s="270">
        <f t="shared" si="63"/>
        <v>0</v>
      </c>
      <c r="BH26" s="270">
        <f t="shared" si="63"/>
        <v>0</v>
      </c>
      <c r="BI26" s="270">
        <f t="shared" si="63"/>
        <v>0</v>
      </c>
      <c r="BJ26" s="270">
        <f t="shared" si="63"/>
        <v>0</v>
      </c>
      <c r="BK26" s="270">
        <f t="shared" si="63"/>
        <v>0</v>
      </c>
      <c r="BL26" s="278">
        <f t="shared" si="16"/>
        <v>286216.5</v>
      </c>
      <c r="BM26" s="215"/>
      <c r="BN26" s="270">
        <f t="shared" ref="BN26:CP26" si="64">ROUND(AI25*E$9/12,2)</f>
        <v>0</v>
      </c>
      <c r="BO26" s="270">
        <f t="shared" si="64"/>
        <v>0</v>
      </c>
      <c r="BP26" s="270">
        <f t="shared" si="64"/>
        <v>0</v>
      </c>
      <c r="BQ26" s="270">
        <f t="shared" si="64"/>
        <v>0</v>
      </c>
      <c r="BR26" s="270">
        <f t="shared" si="64"/>
        <v>0</v>
      </c>
      <c r="BS26" s="270">
        <f t="shared" si="64"/>
        <v>12.55</v>
      </c>
      <c r="BT26" s="270">
        <f t="shared" si="64"/>
        <v>61.5</v>
      </c>
      <c r="BU26" s="270">
        <f t="shared" si="64"/>
        <v>84.95</v>
      </c>
      <c r="BV26" s="270">
        <f t="shared" si="64"/>
        <v>92.39</v>
      </c>
      <c r="BW26" s="270">
        <f t="shared" si="64"/>
        <v>218.11</v>
      </c>
      <c r="BX26" s="270">
        <f t="shared" si="64"/>
        <v>365.84</v>
      </c>
      <c r="BY26" s="270">
        <f t="shared" si="64"/>
        <v>369.84</v>
      </c>
      <c r="BZ26" s="270">
        <f t="shared" si="64"/>
        <v>548.49</v>
      </c>
      <c r="CA26" s="270">
        <f t="shared" si="64"/>
        <v>0</v>
      </c>
      <c r="CB26" s="270">
        <f t="shared" si="64"/>
        <v>0</v>
      </c>
      <c r="CC26" s="270">
        <f t="shared" si="64"/>
        <v>0</v>
      </c>
      <c r="CD26" s="270">
        <f t="shared" si="64"/>
        <v>0</v>
      </c>
      <c r="CE26" s="270">
        <f t="shared" si="64"/>
        <v>0</v>
      </c>
      <c r="CF26" s="270">
        <f t="shared" si="64"/>
        <v>0</v>
      </c>
      <c r="CG26" s="270">
        <f t="shared" si="64"/>
        <v>0</v>
      </c>
      <c r="CH26" s="270">
        <f t="shared" si="64"/>
        <v>0</v>
      </c>
      <c r="CI26" s="270">
        <f t="shared" si="64"/>
        <v>0</v>
      </c>
      <c r="CJ26" s="270">
        <f t="shared" si="64"/>
        <v>0</v>
      </c>
      <c r="CK26" s="270">
        <f t="shared" si="64"/>
        <v>0</v>
      </c>
      <c r="CL26" s="270">
        <f t="shared" si="64"/>
        <v>0</v>
      </c>
      <c r="CM26" s="270">
        <f t="shared" si="64"/>
        <v>0</v>
      </c>
      <c r="CN26" s="270">
        <f t="shared" si="64"/>
        <v>0</v>
      </c>
      <c r="CO26" s="270">
        <f t="shared" si="64"/>
        <v>0</v>
      </c>
      <c r="CP26" s="270">
        <f t="shared" si="64"/>
        <v>0</v>
      </c>
      <c r="CQ26" s="215"/>
      <c r="CR26" s="270">
        <f t="shared" si="27"/>
        <v>1753.67</v>
      </c>
      <c r="CS26" s="215"/>
      <c r="CT26" s="270">
        <f t="shared" ref="CT26:DX26" si="65">IF(AI25&gt;0,IF((AI25+BN26)&lt;E$10,AI25+BN26,E$10),0)</f>
        <v>0</v>
      </c>
      <c r="CU26" s="270">
        <f t="shared" si="65"/>
        <v>0</v>
      </c>
      <c r="CV26" s="270">
        <f t="shared" si="65"/>
        <v>0</v>
      </c>
      <c r="CW26" s="270">
        <f t="shared" si="65"/>
        <v>0</v>
      </c>
      <c r="CX26" s="270">
        <f t="shared" si="65"/>
        <v>0</v>
      </c>
      <c r="CY26" s="270">
        <f t="shared" si="65"/>
        <v>35</v>
      </c>
      <c r="CZ26" s="270">
        <f t="shared" si="65"/>
        <v>206</v>
      </c>
      <c r="DA26" s="270">
        <f t="shared" si="65"/>
        <v>82</v>
      </c>
      <c r="DB26" s="270">
        <f t="shared" si="65"/>
        <v>102</v>
      </c>
      <c r="DC26" s="270">
        <f t="shared" si="65"/>
        <v>450.08</v>
      </c>
      <c r="DD26" s="270">
        <f t="shared" si="65"/>
        <v>695.6</v>
      </c>
      <c r="DE26" s="270">
        <f t="shared" si="65"/>
        <v>791.16</v>
      </c>
      <c r="DF26" s="270">
        <f t="shared" si="65"/>
        <v>1467.13</v>
      </c>
      <c r="DG26" s="270">
        <f t="shared" si="65"/>
        <v>0</v>
      </c>
      <c r="DH26" s="270">
        <f t="shared" si="65"/>
        <v>0</v>
      </c>
      <c r="DI26" s="270">
        <f t="shared" si="65"/>
        <v>0</v>
      </c>
      <c r="DJ26" s="270">
        <f t="shared" si="65"/>
        <v>0</v>
      </c>
      <c r="DK26" s="270">
        <f t="shared" si="65"/>
        <v>0</v>
      </c>
      <c r="DL26" s="270">
        <f t="shared" si="65"/>
        <v>0</v>
      </c>
      <c r="DM26" s="270">
        <f t="shared" si="65"/>
        <v>0</v>
      </c>
      <c r="DN26" s="270">
        <f t="shared" si="65"/>
        <v>0</v>
      </c>
      <c r="DO26" s="270">
        <f t="shared" si="65"/>
        <v>0</v>
      </c>
      <c r="DP26" s="270">
        <f t="shared" si="65"/>
        <v>0</v>
      </c>
      <c r="DQ26" s="270">
        <f t="shared" si="65"/>
        <v>0</v>
      </c>
      <c r="DR26" s="270">
        <f t="shared" si="65"/>
        <v>0</v>
      </c>
      <c r="DS26" s="270">
        <f t="shared" si="65"/>
        <v>0</v>
      </c>
      <c r="DT26" s="270">
        <f t="shared" si="65"/>
        <v>0</v>
      </c>
      <c r="DU26" s="270">
        <f t="shared" si="65"/>
        <v>0</v>
      </c>
      <c r="DV26" s="270">
        <f t="shared" si="65"/>
        <v>0</v>
      </c>
      <c r="DW26" s="271" t="str">
        <f t="shared" si="65"/>
        <v/>
      </c>
      <c r="DX26" s="270">
        <f t="shared" si="65"/>
        <v>0</v>
      </c>
      <c r="DY26" s="270">
        <f t="shared" si="29"/>
        <v>3828.97</v>
      </c>
      <c r="DZ26" s="271"/>
      <c r="EA26" s="270">
        <f t="shared" si="38"/>
        <v>0</v>
      </c>
      <c r="EB26" s="270">
        <f t="shared" ref="EB26:FC26" si="66">IF(AJ24&lt;=0,0,IF($C25&lt;=SUM($EA26:EA26),0,IF(CU25+$C25-SUM($EA26:EA26)&gt;AJ24+BO25,AJ24+BO25-CU25,$C25-SUM($EA26:EA26))))</f>
        <v>0</v>
      </c>
      <c r="EC26" s="270">
        <f t="shared" si="66"/>
        <v>0</v>
      </c>
      <c r="ED26" s="270">
        <f t="shared" si="66"/>
        <v>0</v>
      </c>
      <c r="EE26" s="270">
        <f t="shared" si="66"/>
        <v>12.07</v>
      </c>
      <c r="EF26" s="270">
        <f t="shared" si="66"/>
        <v>0</v>
      </c>
      <c r="EG26" s="270">
        <f t="shared" si="66"/>
        <v>0</v>
      </c>
      <c r="EH26" s="270">
        <f t="shared" si="66"/>
        <v>0</v>
      </c>
      <c r="EI26" s="270">
        <f t="shared" si="66"/>
        <v>0</v>
      </c>
      <c r="EJ26" s="270">
        <f t="shared" si="66"/>
        <v>0</v>
      </c>
      <c r="EK26" s="270">
        <f t="shared" si="66"/>
        <v>0</v>
      </c>
      <c r="EL26" s="270">
        <f t="shared" si="66"/>
        <v>0</v>
      </c>
      <c r="EM26" s="270">
        <f t="shared" si="66"/>
        <v>0</v>
      </c>
      <c r="EN26" s="270">
        <f t="shared" si="66"/>
        <v>0</v>
      </c>
      <c r="EO26" s="270">
        <f t="shared" si="66"/>
        <v>0</v>
      </c>
      <c r="EP26" s="270">
        <f t="shared" si="66"/>
        <v>0</v>
      </c>
      <c r="EQ26" s="270">
        <f t="shared" si="66"/>
        <v>0</v>
      </c>
      <c r="ER26" s="270">
        <f t="shared" si="66"/>
        <v>0</v>
      </c>
      <c r="ES26" s="270">
        <f t="shared" si="66"/>
        <v>0</v>
      </c>
      <c r="ET26" s="270">
        <f t="shared" si="66"/>
        <v>0</v>
      </c>
      <c r="EU26" s="270">
        <f t="shared" si="66"/>
        <v>0</v>
      </c>
      <c r="EV26" s="270">
        <f t="shared" si="66"/>
        <v>0</v>
      </c>
      <c r="EW26" s="270">
        <f t="shared" si="66"/>
        <v>0</v>
      </c>
      <c r="EX26" s="270">
        <f t="shared" si="66"/>
        <v>0</v>
      </c>
      <c r="EY26" s="270">
        <f t="shared" si="66"/>
        <v>0</v>
      </c>
      <c r="EZ26" s="270">
        <f t="shared" si="66"/>
        <v>0</v>
      </c>
      <c r="FA26" s="270">
        <f t="shared" si="66"/>
        <v>0</v>
      </c>
      <c r="FB26" s="270">
        <f t="shared" si="66"/>
        <v>0</v>
      </c>
      <c r="FC26" s="270">
        <f t="shared" si="66"/>
        <v>0</v>
      </c>
      <c r="FD26" s="271"/>
      <c r="FE26" s="271"/>
      <c r="FF26" s="271"/>
      <c r="FG26" s="215"/>
      <c r="FH26" s="215"/>
    </row>
    <row r="27" ht="11.25" customHeight="1">
      <c r="A27" s="231">
        <f t="shared" si="19"/>
        <v>7</v>
      </c>
      <c r="B27" s="269">
        <v>45839.0</v>
      </c>
      <c r="C27" s="270">
        <f>IF(A27="","",IF(Calculator!snowball,IF(($E$5-DY27)&lt;0,0,$E$5-DY27),0)+D27)</f>
        <v>33.03</v>
      </c>
      <c r="D27" s="271"/>
      <c r="E27" s="270">
        <f t="shared" si="40"/>
        <v>0</v>
      </c>
      <c r="F27" s="270">
        <f t="shared" ref="F27:I27" si="67">CU27+EB28</f>
        <v>0</v>
      </c>
      <c r="G27" s="270">
        <f t="shared" si="67"/>
        <v>0</v>
      </c>
      <c r="H27" s="270">
        <f t="shared" si="67"/>
        <v>0</v>
      </c>
      <c r="I27" s="270">
        <f t="shared" si="67"/>
        <v>0</v>
      </c>
      <c r="J27" s="277">
        <v>35.0</v>
      </c>
      <c r="K27" s="277">
        <v>100.0</v>
      </c>
      <c r="L27" s="277">
        <v>77.0</v>
      </c>
      <c r="M27" s="277">
        <v>129.0</v>
      </c>
      <c r="N27" s="270">
        <f t="shared" si="52"/>
        <v>450.08</v>
      </c>
      <c r="O27" s="270"/>
      <c r="P27" s="272">
        <f t="shared" si="22"/>
        <v>791.16</v>
      </c>
      <c r="Q27" s="276">
        <v>1487.37</v>
      </c>
      <c r="R27" s="272">
        <f t="shared" ref="R27:AG27" si="68">DG27+EN28</f>
        <v>0</v>
      </c>
      <c r="S27" s="272">
        <f t="shared" si="68"/>
        <v>0</v>
      </c>
      <c r="T27" s="272">
        <f t="shared" si="68"/>
        <v>0</v>
      </c>
      <c r="U27" s="270">
        <f t="shared" si="68"/>
        <v>0</v>
      </c>
      <c r="V27" s="270">
        <f t="shared" si="68"/>
        <v>0</v>
      </c>
      <c r="W27" s="270">
        <f t="shared" si="68"/>
        <v>0</v>
      </c>
      <c r="X27" s="270">
        <f t="shared" si="68"/>
        <v>0</v>
      </c>
      <c r="Y27" s="270">
        <f t="shared" si="68"/>
        <v>0</v>
      </c>
      <c r="Z27" s="270">
        <f t="shared" si="68"/>
        <v>0</v>
      </c>
      <c r="AA27" s="270">
        <f t="shared" si="68"/>
        <v>0</v>
      </c>
      <c r="AB27" s="270">
        <f t="shared" si="68"/>
        <v>0</v>
      </c>
      <c r="AC27" s="270">
        <f t="shared" si="68"/>
        <v>0</v>
      </c>
      <c r="AD27" s="270">
        <f t="shared" si="68"/>
        <v>0</v>
      </c>
      <c r="AE27" s="270">
        <f t="shared" si="68"/>
        <v>0</v>
      </c>
      <c r="AF27" s="270">
        <f t="shared" si="68"/>
        <v>0</v>
      </c>
      <c r="AG27" s="270">
        <f t="shared" si="68"/>
        <v>0</v>
      </c>
      <c r="AH27" s="278">
        <f t="shared" si="13"/>
        <v>284716.12</v>
      </c>
      <c r="AI27" s="270">
        <f t="shared" si="43"/>
        <v>0</v>
      </c>
      <c r="AJ27" s="270">
        <f t="shared" ref="AJ27:AS27" si="69">IF(F$8=0,0,ROUND(AJ26-(F27-BO27),2))</f>
        <v>0</v>
      </c>
      <c r="AK27" s="270">
        <f t="shared" si="69"/>
        <v>0</v>
      </c>
      <c r="AL27" s="270">
        <f t="shared" si="69"/>
        <v>0</v>
      </c>
      <c r="AM27" s="270">
        <f t="shared" si="69"/>
        <v>0</v>
      </c>
      <c r="AN27" s="270">
        <f t="shared" si="69"/>
        <v>459.74</v>
      </c>
      <c r="AO27" s="270">
        <f t="shared" si="69"/>
        <v>2409.55</v>
      </c>
      <c r="AP27" s="270">
        <f t="shared" si="69"/>
        <v>3224.93</v>
      </c>
      <c r="AQ27" s="270">
        <f t="shared" si="69"/>
        <v>3649.49</v>
      </c>
      <c r="AR27" s="270">
        <f t="shared" si="69"/>
        <v>14073.17</v>
      </c>
      <c r="AS27" s="270">
        <f t="shared" si="69"/>
        <v>40645</v>
      </c>
      <c r="AT27" s="270">
        <f t="shared" ref="AT27:BK27" si="70">IF(P$8=0,0,ROUND(AT26-(P27-BX27),2))</f>
        <v>46976.88</v>
      </c>
      <c r="AU27" s="270">
        <f t="shared" si="70"/>
        <v>173277.36</v>
      </c>
      <c r="AV27" s="270">
        <f t="shared" si="70"/>
        <v>0</v>
      </c>
      <c r="AW27" s="270">
        <f t="shared" si="70"/>
        <v>0</v>
      </c>
      <c r="AX27" s="270">
        <f t="shared" si="70"/>
        <v>0</v>
      </c>
      <c r="AY27" s="270">
        <f t="shared" si="70"/>
        <v>0</v>
      </c>
      <c r="AZ27" s="270">
        <f t="shared" si="70"/>
        <v>0</v>
      </c>
      <c r="BA27" s="270">
        <f t="shared" si="70"/>
        <v>0</v>
      </c>
      <c r="BB27" s="270">
        <f t="shared" si="70"/>
        <v>0</v>
      </c>
      <c r="BC27" s="270">
        <f t="shared" si="70"/>
        <v>0</v>
      </c>
      <c r="BD27" s="270">
        <f t="shared" si="70"/>
        <v>0</v>
      </c>
      <c r="BE27" s="270">
        <f t="shared" si="70"/>
        <v>0</v>
      </c>
      <c r="BF27" s="270">
        <f t="shared" si="70"/>
        <v>0</v>
      </c>
      <c r="BG27" s="270">
        <f t="shared" si="70"/>
        <v>0</v>
      </c>
      <c r="BH27" s="270">
        <f t="shared" si="70"/>
        <v>0</v>
      </c>
      <c r="BI27" s="270">
        <f t="shared" si="70"/>
        <v>0</v>
      </c>
      <c r="BJ27" s="270">
        <f t="shared" si="70"/>
        <v>0</v>
      </c>
      <c r="BK27" s="270">
        <f t="shared" si="70"/>
        <v>0</v>
      </c>
      <c r="BL27" s="278">
        <f t="shared" si="16"/>
        <v>284716.12</v>
      </c>
      <c r="BM27" s="215"/>
      <c r="BN27" s="270">
        <f t="shared" ref="BN27:CP27" si="71">ROUND(AI26*E$9/12,2)</f>
        <v>0</v>
      </c>
      <c r="BO27" s="270">
        <f t="shared" si="71"/>
        <v>0</v>
      </c>
      <c r="BP27" s="270">
        <f t="shared" si="71"/>
        <v>0</v>
      </c>
      <c r="BQ27" s="270">
        <f t="shared" si="71"/>
        <v>0</v>
      </c>
      <c r="BR27" s="270">
        <f t="shared" si="71"/>
        <v>0</v>
      </c>
      <c r="BS27" s="270">
        <f t="shared" si="71"/>
        <v>11.99</v>
      </c>
      <c r="BT27" s="270">
        <f t="shared" si="71"/>
        <v>61.21</v>
      </c>
      <c r="BU27" s="270">
        <f t="shared" si="71"/>
        <v>85.09</v>
      </c>
      <c r="BV27" s="270">
        <f t="shared" si="71"/>
        <v>91.38</v>
      </c>
      <c r="BW27" s="270">
        <f t="shared" si="71"/>
        <v>214.63</v>
      </c>
      <c r="BX27" s="270">
        <f t="shared" si="71"/>
        <v>369.19</v>
      </c>
      <c r="BY27" s="270">
        <f t="shared" si="71"/>
        <v>366.55</v>
      </c>
      <c r="BZ27" s="270">
        <f t="shared" si="71"/>
        <v>544.99</v>
      </c>
      <c r="CA27" s="270">
        <f t="shared" si="71"/>
        <v>0</v>
      </c>
      <c r="CB27" s="270">
        <f t="shared" si="71"/>
        <v>0</v>
      </c>
      <c r="CC27" s="270">
        <f t="shared" si="71"/>
        <v>0</v>
      </c>
      <c r="CD27" s="270">
        <f t="shared" si="71"/>
        <v>0</v>
      </c>
      <c r="CE27" s="270">
        <f t="shared" si="71"/>
        <v>0</v>
      </c>
      <c r="CF27" s="270">
        <f t="shared" si="71"/>
        <v>0</v>
      </c>
      <c r="CG27" s="270">
        <f t="shared" si="71"/>
        <v>0</v>
      </c>
      <c r="CH27" s="270">
        <f t="shared" si="71"/>
        <v>0</v>
      </c>
      <c r="CI27" s="270">
        <f t="shared" si="71"/>
        <v>0</v>
      </c>
      <c r="CJ27" s="270">
        <f t="shared" si="71"/>
        <v>0</v>
      </c>
      <c r="CK27" s="270">
        <f t="shared" si="71"/>
        <v>0</v>
      </c>
      <c r="CL27" s="270">
        <f t="shared" si="71"/>
        <v>0</v>
      </c>
      <c r="CM27" s="270">
        <f t="shared" si="71"/>
        <v>0</v>
      </c>
      <c r="CN27" s="270">
        <f t="shared" si="71"/>
        <v>0</v>
      </c>
      <c r="CO27" s="270">
        <f t="shared" si="71"/>
        <v>0</v>
      </c>
      <c r="CP27" s="270">
        <f t="shared" si="71"/>
        <v>0</v>
      </c>
      <c r="CQ27" s="215"/>
      <c r="CR27" s="270">
        <f t="shared" si="27"/>
        <v>1745.03</v>
      </c>
      <c r="CS27" s="215"/>
      <c r="CT27" s="270">
        <f t="shared" ref="CT27:DX27" si="72">IF(AI26&gt;0,IF((AI26+BN27)&lt;E$10,AI26+BN27,E$10),0)</f>
        <v>0</v>
      </c>
      <c r="CU27" s="270">
        <f t="shared" si="72"/>
        <v>0</v>
      </c>
      <c r="CV27" s="270">
        <f t="shared" si="72"/>
        <v>0</v>
      </c>
      <c r="CW27" s="270">
        <f t="shared" si="72"/>
        <v>0</v>
      </c>
      <c r="CX27" s="270">
        <f t="shared" si="72"/>
        <v>0</v>
      </c>
      <c r="CY27" s="270">
        <f t="shared" si="72"/>
        <v>35</v>
      </c>
      <c r="CZ27" s="270">
        <f t="shared" si="72"/>
        <v>206</v>
      </c>
      <c r="DA27" s="270">
        <f t="shared" si="72"/>
        <v>82</v>
      </c>
      <c r="DB27" s="270">
        <f t="shared" si="72"/>
        <v>102</v>
      </c>
      <c r="DC27" s="270">
        <f t="shared" si="72"/>
        <v>450.08</v>
      </c>
      <c r="DD27" s="270">
        <f t="shared" si="72"/>
        <v>695.6</v>
      </c>
      <c r="DE27" s="270">
        <f t="shared" si="72"/>
        <v>791.16</v>
      </c>
      <c r="DF27" s="270">
        <f t="shared" si="72"/>
        <v>1467.13</v>
      </c>
      <c r="DG27" s="270">
        <f t="shared" si="72"/>
        <v>0</v>
      </c>
      <c r="DH27" s="270">
        <f t="shared" si="72"/>
        <v>0</v>
      </c>
      <c r="DI27" s="270">
        <f t="shared" si="72"/>
        <v>0</v>
      </c>
      <c r="DJ27" s="270">
        <f t="shared" si="72"/>
        <v>0</v>
      </c>
      <c r="DK27" s="270">
        <f t="shared" si="72"/>
        <v>0</v>
      </c>
      <c r="DL27" s="270">
        <f t="shared" si="72"/>
        <v>0</v>
      </c>
      <c r="DM27" s="270">
        <f t="shared" si="72"/>
        <v>0</v>
      </c>
      <c r="DN27" s="270">
        <f t="shared" si="72"/>
        <v>0</v>
      </c>
      <c r="DO27" s="270">
        <f t="shared" si="72"/>
        <v>0</v>
      </c>
      <c r="DP27" s="270">
        <f t="shared" si="72"/>
        <v>0</v>
      </c>
      <c r="DQ27" s="270">
        <f t="shared" si="72"/>
        <v>0</v>
      </c>
      <c r="DR27" s="270">
        <f t="shared" si="72"/>
        <v>0</v>
      </c>
      <c r="DS27" s="270">
        <f t="shared" si="72"/>
        <v>0</v>
      </c>
      <c r="DT27" s="270">
        <f t="shared" si="72"/>
        <v>0</v>
      </c>
      <c r="DU27" s="270">
        <f t="shared" si="72"/>
        <v>0</v>
      </c>
      <c r="DV27" s="270">
        <f t="shared" si="72"/>
        <v>0</v>
      </c>
      <c r="DW27" s="271" t="str">
        <f t="shared" si="72"/>
        <v/>
      </c>
      <c r="DX27" s="270">
        <f t="shared" si="72"/>
        <v>0</v>
      </c>
      <c r="DY27" s="270">
        <f t="shared" si="29"/>
        <v>3828.97</v>
      </c>
      <c r="DZ27" s="271"/>
      <c r="EA27" s="270">
        <f t="shared" si="38"/>
        <v>0</v>
      </c>
      <c r="EB27" s="270">
        <f t="shared" ref="EB27:FC27" si="73">IF(AJ25&lt;=0,0,IF($C26&lt;=SUM($EA27:EA27),0,IF(CU26+$C26-SUM($EA27:EA27)&gt;AJ25+BO26,AJ25+BO26-CU26,$C26-SUM($EA27:EA27))))</f>
        <v>0</v>
      </c>
      <c r="EC27" s="270">
        <f t="shared" si="73"/>
        <v>0</v>
      </c>
      <c r="ED27" s="270">
        <f t="shared" si="73"/>
        <v>0</v>
      </c>
      <c r="EE27" s="270">
        <f t="shared" si="73"/>
        <v>0</v>
      </c>
      <c r="EF27" s="270">
        <f t="shared" si="73"/>
        <v>33.03</v>
      </c>
      <c r="EG27" s="270">
        <f t="shared" si="73"/>
        <v>0</v>
      </c>
      <c r="EH27" s="270">
        <f t="shared" si="73"/>
        <v>0</v>
      </c>
      <c r="EI27" s="270">
        <f t="shared" si="73"/>
        <v>0</v>
      </c>
      <c r="EJ27" s="270">
        <f t="shared" si="73"/>
        <v>0</v>
      </c>
      <c r="EK27" s="270">
        <f t="shared" si="73"/>
        <v>0</v>
      </c>
      <c r="EL27" s="270">
        <f t="shared" si="73"/>
        <v>0</v>
      </c>
      <c r="EM27" s="270">
        <f t="shared" si="73"/>
        <v>0</v>
      </c>
      <c r="EN27" s="270">
        <f t="shared" si="73"/>
        <v>0</v>
      </c>
      <c r="EO27" s="270">
        <f t="shared" si="73"/>
        <v>0</v>
      </c>
      <c r="EP27" s="270">
        <f t="shared" si="73"/>
        <v>0</v>
      </c>
      <c r="EQ27" s="270">
        <f t="shared" si="73"/>
        <v>0</v>
      </c>
      <c r="ER27" s="270">
        <f t="shared" si="73"/>
        <v>0</v>
      </c>
      <c r="ES27" s="270">
        <f t="shared" si="73"/>
        <v>0</v>
      </c>
      <c r="ET27" s="270">
        <f t="shared" si="73"/>
        <v>0</v>
      </c>
      <c r="EU27" s="270">
        <f t="shared" si="73"/>
        <v>0</v>
      </c>
      <c r="EV27" s="270">
        <f t="shared" si="73"/>
        <v>0</v>
      </c>
      <c r="EW27" s="270">
        <f t="shared" si="73"/>
        <v>0</v>
      </c>
      <c r="EX27" s="270">
        <f t="shared" si="73"/>
        <v>0</v>
      </c>
      <c r="EY27" s="270">
        <f t="shared" si="73"/>
        <v>0</v>
      </c>
      <c r="EZ27" s="270">
        <f t="shared" si="73"/>
        <v>0</v>
      </c>
      <c r="FA27" s="270">
        <f t="shared" si="73"/>
        <v>0</v>
      </c>
      <c r="FB27" s="270">
        <f t="shared" si="73"/>
        <v>0</v>
      </c>
      <c r="FC27" s="270">
        <f t="shared" si="73"/>
        <v>0</v>
      </c>
      <c r="FD27" s="271"/>
      <c r="FE27" s="271"/>
      <c r="FF27" s="271"/>
      <c r="FG27" s="215"/>
      <c r="FH27" s="215"/>
    </row>
    <row r="28" ht="11.25" customHeight="1">
      <c r="A28" s="231">
        <f t="shared" si="19"/>
        <v>8</v>
      </c>
      <c r="B28" s="269">
        <v>45870.0</v>
      </c>
      <c r="C28" s="270">
        <f>IF(A28="","",IF(Calculator!snowball,IF(($E$5-DY28)&lt;0,0,$E$5-DY28),0)+D28)</f>
        <v>33.03</v>
      </c>
      <c r="D28" s="277"/>
      <c r="E28" s="270">
        <f t="shared" si="40"/>
        <v>0</v>
      </c>
      <c r="F28" s="270">
        <f t="shared" ref="F28:I28" si="74">CU28+EB29</f>
        <v>0</v>
      </c>
      <c r="G28" s="270">
        <f t="shared" si="74"/>
        <v>0</v>
      </c>
      <c r="H28" s="270">
        <f t="shared" si="74"/>
        <v>0</v>
      </c>
      <c r="I28" s="270">
        <f t="shared" si="74"/>
        <v>0</v>
      </c>
      <c r="J28" s="277">
        <v>35.0</v>
      </c>
      <c r="K28" s="277">
        <v>98.0</v>
      </c>
      <c r="L28" s="277">
        <v>80.0</v>
      </c>
      <c r="M28" s="277">
        <v>131.0</v>
      </c>
      <c r="N28" s="270">
        <f t="shared" si="52"/>
        <v>450.08</v>
      </c>
      <c r="O28" s="270"/>
      <c r="P28" s="272">
        <f t="shared" si="22"/>
        <v>791.16</v>
      </c>
      <c r="Q28" s="276">
        <v>1487.37</v>
      </c>
      <c r="R28" s="272">
        <f t="shared" ref="R28:AG28" si="75">DG28+EN29</f>
        <v>0</v>
      </c>
      <c r="S28" s="272">
        <f t="shared" si="75"/>
        <v>0</v>
      </c>
      <c r="T28" s="272">
        <f t="shared" si="75"/>
        <v>0</v>
      </c>
      <c r="U28" s="270">
        <f t="shared" si="75"/>
        <v>0</v>
      </c>
      <c r="V28" s="270">
        <f t="shared" si="75"/>
        <v>0</v>
      </c>
      <c r="W28" s="270">
        <f t="shared" si="75"/>
        <v>0</v>
      </c>
      <c r="X28" s="270">
        <f t="shared" si="75"/>
        <v>0</v>
      </c>
      <c r="Y28" s="270">
        <f t="shared" si="75"/>
        <v>0</v>
      </c>
      <c r="Z28" s="270">
        <f t="shared" si="75"/>
        <v>0</v>
      </c>
      <c r="AA28" s="270">
        <f t="shared" si="75"/>
        <v>0</v>
      </c>
      <c r="AB28" s="270">
        <f t="shared" si="75"/>
        <v>0</v>
      </c>
      <c r="AC28" s="270">
        <f t="shared" si="75"/>
        <v>0</v>
      </c>
      <c r="AD28" s="270">
        <f t="shared" si="75"/>
        <v>0</v>
      </c>
      <c r="AE28" s="270">
        <f t="shared" si="75"/>
        <v>0</v>
      </c>
      <c r="AF28" s="270">
        <f t="shared" si="75"/>
        <v>0</v>
      </c>
      <c r="AG28" s="270">
        <f t="shared" si="75"/>
        <v>0</v>
      </c>
      <c r="AH28" s="278">
        <f t="shared" si="13"/>
        <v>283210.47</v>
      </c>
      <c r="AI28" s="270">
        <f t="shared" si="43"/>
        <v>0</v>
      </c>
      <c r="AJ28" s="270">
        <f t="shared" ref="AJ28:AS28" si="76">IF(F$8=0,0,ROUND(AJ27-(F28-BO28),2))</f>
        <v>0</v>
      </c>
      <c r="AK28" s="270">
        <f t="shared" si="76"/>
        <v>0</v>
      </c>
      <c r="AL28" s="270">
        <f t="shared" si="76"/>
        <v>0</v>
      </c>
      <c r="AM28" s="270">
        <f t="shared" si="76"/>
        <v>0</v>
      </c>
      <c r="AN28" s="270">
        <f t="shared" si="76"/>
        <v>436.16</v>
      </c>
      <c r="AO28" s="270">
        <f t="shared" si="76"/>
        <v>2371.79</v>
      </c>
      <c r="AP28" s="270">
        <f t="shared" si="76"/>
        <v>3230.23</v>
      </c>
      <c r="AQ28" s="270">
        <f t="shared" si="76"/>
        <v>3608.94</v>
      </c>
      <c r="AR28" s="270">
        <f t="shared" si="76"/>
        <v>13834.19</v>
      </c>
      <c r="AS28" s="270">
        <f t="shared" si="76"/>
        <v>41017.58</v>
      </c>
      <c r="AT28" s="270">
        <f t="shared" ref="AT28:BK28" si="77">IF(P$8=0,0,ROUND(AT27-(P28-BX28),2))</f>
        <v>46558.3</v>
      </c>
      <c r="AU28" s="270">
        <f t="shared" si="77"/>
        <v>172153.28</v>
      </c>
      <c r="AV28" s="270">
        <f t="shared" si="77"/>
        <v>0</v>
      </c>
      <c r="AW28" s="270">
        <f t="shared" si="77"/>
        <v>0</v>
      </c>
      <c r="AX28" s="270">
        <f t="shared" si="77"/>
        <v>0</v>
      </c>
      <c r="AY28" s="270">
        <f t="shared" si="77"/>
        <v>0</v>
      </c>
      <c r="AZ28" s="270">
        <f t="shared" si="77"/>
        <v>0</v>
      </c>
      <c r="BA28" s="270">
        <f t="shared" si="77"/>
        <v>0</v>
      </c>
      <c r="BB28" s="270">
        <f t="shared" si="77"/>
        <v>0</v>
      </c>
      <c r="BC28" s="270">
        <f t="shared" si="77"/>
        <v>0</v>
      </c>
      <c r="BD28" s="270">
        <f t="shared" si="77"/>
        <v>0</v>
      </c>
      <c r="BE28" s="270">
        <f t="shared" si="77"/>
        <v>0</v>
      </c>
      <c r="BF28" s="270">
        <f t="shared" si="77"/>
        <v>0</v>
      </c>
      <c r="BG28" s="270">
        <f t="shared" si="77"/>
        <v>0</v>
      </c>
      <c r="BH28" s="270">
        <f t="shared" si="77"/>
        <v>0</v>
      </c>
      <c r="BI28" s="270">
        <f t="shared" si="77"/>
        <v>0</v>
      </c>
      <c r="BJ28" s="270">
        <f t="shared" si="77"/>
        <v>0</v>
      </c>
      <c r="BK28" s="270">
        <f t="shared" si="77"/>
        <v>0</v>
      </c>
      <c r="BL28" s="278">
        <f t="shared" si="16"/>
        <v>283210.47</v>
      </c>
      <c r="BM28" s="215"/>
      <c r="BN28" s="270">
        <f t="shared" ref="BN28:CP28" si="78">ROUND(AI27*E$9/12,2)</f>
        <v>0</v>
      </c>
      <c r="BO28" s="270">
        <f t="shared" si="78"/>
        <v>0</v>
      </c>
      <c r="BP28" s="270">
        <f t="shared" si="78"/>
        <v>0</v>
      </c>
      <c r="BQ28" s="270">
        <f t="shared" si="78"/>
        <v>0</v>
      </c>
      <c r="BR28" s="270">
        <f t="shared" si="78"/>
        <v>0</v>
      </c>
      <c r="BS28" s="270">
        <f t="shared" si="78"/>
        <v>11.42</v>
      </c>
      <c r="BT28" s="270">
        <f t="shared" si="78"/>
        <v>60.24</v>
      </c>
      <c r="BU28" s="270">
        <f t="shared" si="78"/>
        <v>85.3</v>
      </c>
      <c r="BV28" s="270">
        <f t="shared" si="78"/>
        <v>90.45</v>
      </c>
      <c r="BW28" s="270">
        <f t="shared" si="78"/>
        <v>211.1</v>
      </c>
      <c r="BX28" s="270">
        <f t="shared" si="78"/>
        <v>372.58</v>
      </c>
      <c r="BY28" s="270">
        <f t="shared" si="78"/>
        <v>363.29</v>
      </c>
      <c r="BZ28" s="270">
        <f t="shared" si="78"/>
        <v>541.49</v>
      </c>
      <c r="CA28" s="270">
        <f t="shared" si="78"/>
        <v>0</v>
      </c>
      <c r="CB28" s="270">
        <f t="shared" si="78"/>
        <v>0</v>
      </c>
      <c r="CC28" s="270">
        <f t="shared" si="78"/>
        <v>0</v>
      </c>
      <c r="CD28" s="270">
        <f t="shared" si="78"/>
        <v>0</v>
      </c>
      <c r="CE28" s="270">
        <f t="shared" si="78"/>
        <v>0</v>
      </c>
      <c r="CF28" s="270">
        <f t="shared" si="78"/>
        <v>0</v>
      </c>
      <c r="CG28" s="270">
        <f t="shared" si="78"/>
        <v>0</v>
      </c>
      <c r="CH28" s="270">
        <f t="shared" si="78"/>
        <v>0</v>
      </c>
      <c r="CI28" s="270">
        <f t="shared" si="78"/>
        <v>0</v>
      </c>
      <c r="CJ28" s="270">
        <f t="shared" si="78"/>
        <v>0</v>
      </c>
      <c r="CK28" s="270">
        <f t="shared" si="78"/>
        <v>0</v>
      </c>
      <c r="CL28" s="270">
        <f t="shared" si="78"/>
        <v>0</v>
      </c>
      <c r="CM28" s="270">
        <f t="shared" si="78"/>
        <v>0</v>
      </c>
      <c r="CN28" s="270">
        <f t="shared" si="78"/>
        <v>0</v>
      </c>
      <c r="CO28" s="270">
        <f t="shared" si="78"/>
        <v>0</v>
      </c>
      <c r="CP28" s="270">
        <f t="shared" si="78"/>
        <v>0</v>
      </c>
      <c r="CQ28" s="215"/>
      <c r="CR28" s="270">
        <f t="shared" si="27"/>
        <v>1735.87</v>
      </c>
      <c r="CS28" s="215"/>
      <c r="CT28" s="270">
        <f t="shared" ref="CT28:DX28" si="79">IF(AI27&gt;0,IF((AI27+BN28)&lt;E$10,AI27+BN28,E$10),0)</f>
        <v>0</v>
      </c>
      <c r="CU28" s="270">
        <f t="shared" si="79"/>
        <v>0</v>
      </c>
      <c r="CV28" s="270">
        <f t="shared" si="79"/>
        <v>0</v>
      </c>
      <c r="CW28" s="270">
        <f t="shared" si="79"/>
        <v>0</v>
      </c>
      <c r="CX28" s="270">
        <f t="shared" si="79"/>
        <v>0</v>
      </c>
      <c r="CY28" s="270">
        <f t="shared" si="79"/>
        <v>35</v>
      </c>
      <c r="CZ28" s="270">
        <f t="shared" si="79"/>
        <v>206</v>
      </c>
      <c r="DA28" s="270">
        <f t="shared" si="79"/>
        <v>82</v>
      </c>
      <c r="DB28" s="270">
        <f t="shared" si="79"/>
        <v>102</v>
      </c>
      <c r="DC28" s="270">
        <f t="shared" si="79"/>
        <v>450.08</v>
      </c>
      <c r="DD28" s="270">
        <f t="shared" si="79"/>
        <v>695.6</v>
      </c>
      <c r="DE28" s="270">
        <f t="shared" si="79"/>
        <v>791.16</v>
      </c>
      <c r="DF28" s="270">
        <f t="shared" si="79"/>
        <v>1467.13</v>
      </c>
      <c r="DG28" s="270">
        <f t="shared" si="79"/>
        <v>0</v>
      </c>
      <c r="DH28" s="270">
        <f t="shared" si="79"/>
        <v>0</v>
      </c>
      <c r="DI28" s="270">
        <f t="shared" si="79"/>
        <v>0</v>
      </c>
      <c r="DJ28" s="270">
        <f t="shared" si="79"/>
        <v>0</v>
      </c>
      <c r="DK28" s="270">
        <f t="shared" si="79"/>
        <v>0</v>
      </c>
      <c r="DL28" s="270">
        <f t="shared" si="79"/>
        <v>0</v>
      </c>
      <c r="DM28" s="270">
        <f t="shared" si="79"/>
        <v>0</v>
      </c>
      <c r="DN28" s="270">
        <f t="shared" si="79"/>
        <v>0</v>
      </c>
      <c r="DO28" s="270">
        <f t="shared" si="79"/>
        <v>0</v>
      </c>
      <c r="DP28" s="270">
        <f t="shared" si="79"/>
        <v>0</v>
      </c>
      <c r="DQ28" s="270">
        <f t="shared" si="79"/>
        <v>0</v>
      </c>
      <c r="DR28" s="270">
        <f t="shared" si="79"/>
        <v>0</v>
      </c>
      <c r="DS28" s="270">
        <f t="shared" si="79"/>
        <v>0</v>
      </c>
      <c r="DT28" s="270">
        <f t="shared" si="79"/>
        <v>0</v>
      </c>
      <c r="DU28" s="270">
        <f t="shared" si="79"/>
        <v>0</v>
      </c>
      <c r="DV28" s="270">
        <f t="shared" si="79"/>
        <v>0</v>
      </c>
      <c r="DW28" s="271" t="str">
        <f t="shared" si="79"/>
        <v/>
      </c>
      <c r="DX28" s="270">
        <f t="shared" si="79"/>
        <v>0</v>
      </c>
      <c r="DY28" s="270">
        <f t="shared" si="29"/>
        <v>3828.97</v>
      </c>
      <c r="DZ28" s="271"/>
      <c r="EA28" s="270">
        <f t="shared" si="38"/>
        <v>0</v>
      </c>
      <c r="EB28" s="270">
        <f t="shared" ref="EB28:FC28" si="80">IF(AJ26&lt;=0,0,IF($C27&lt;=SUM($EA28:EA28),0,IF(CU27+$C27-SUM($EA28:EA28)&gt;AJ26+BO27,AJ26+BO27-CU27,$C27-SUM($EA28:EA28))))</f>
        <v>0</v>
      </c>
      <c r="EC28" s="270">
        <f t="shared" si="80"/>
        <v>0</v>
      </c>
      <c r="ED28" s="270">
        <f t="shared" si="80"/>
        <v>0</v>
      </c>
      <c r="EE28" s="270">
        <f t="shared" si="80"/>
        <v>0</v>
      </c>
      <c r="EF28" s="270">
        <f t="shared" si="80"/>
        <v>33.03</v>
      </c>
      <c r="EG28" s="270">
        <f t="shared" si="80"/>
        <v>0</v>
      </c>
      <c r="EH28" s="270">
        <f t="shared" si="80"/>
        <v>0</v>
      </c>
      <c r="EI28" s="270">
        <f t="shared" si="80"/>
        <v>0</v>
      </c>
      <c r="EJ28" s="270">
        <f t="shared" si="80"/>
        <v>0</v>
      </c>
      <c r="EK28" s="270">
        <f t="shared" si="80"/>
        <v>0</v>
      </c>
      <c r="EL28" s="270">
        <f t="shared" si="80"/>
        <v>0</v>
      </c>
      <c r="EM28" s="270">
        <f t="shared" si="80"/>
        <v>0</v>
      </c>
      <c r="EN28" s="270">
        <f t="shared" si="80"/>
        <v>0</v>
      </c>
      <c r="EO28" s="270">
        <f t="shared" si="80"/>
        <v>0</v>
      </c>
      <c r="EP28" s="270">
        <f t="shared" si="80"/>
        <v>0</v>
      </c>
      <c r="EQ28" s="270">
        <f t="shared" si="80"/>
        <v>0</v>
      </c>
      <c r="ER28" s="270">
        <f t="shared" si="80"/>
        <v>0</v>
      </c>
      <c r="ES28" s="270">
        <f t="shared" si="80"/>
        <v>0</v>
      </c>
      <c r="ET28" s="270">
        <f t="shared" si="80"/>
        <v>0</v>
      </c>
      <c r="EU28" s="270">
        <f t="shared" si="80"/>
        <v>0</v>
      </c>
      <c r="EV28" s="270">
        <f t="shared" si="80"/>
        <v>0</v>
      </c>
      <c r="EW28" s="270">
        <f t="shared" si="80"/>
        <v>0</v>
      </c>
      <c r="EX28" s="270">
        <f t="shared" si="80"/>
        <v>0</v>
      </c>
      <c r="EY28" s="270">
        <f t="shared" si="80"/>
        <v>0</v>
      </c>
      <c r="EZ28" s="270">
        <f t="shared" si="80"/>
        <v>0</v>
      </c>
      <c r="FA28" s="270">
        <f t="shared" si="80"/>
        <v>0</v>
      </c>
      <c r="FB28" s="270">
        <f t="shared" si="80"/>
        <v>0</v>
      </c>
      <c r="FC28" s="270">
        <f t="shared" si="80"/>
        <v>0</v>
      </c>
      <c r="FD28" s="271"/>
      <c r="FE28" s="271"/>
      <c r="FF28" s="271"/>
      <c r="FG28" s="215"/>
      <c r="FH28" s="215"/>
    </row>
    <row r="29" ht="11.25" customHeight="1">
      <c r="A29" s="231">
        <f t="shared" si="19"/>
        <v>9</v>
      </c>
      <c r="B29" s="269">
        <v>45901.0</v>
      </c>
      <c r="C29" s="270">
        <f>IF(A29="","",IF(Calculator!snowball,IF(($E$5-DY29)&lt;0,0,$E$5-DY29),0)+D29)</f>
        <v>33.03</v>
      </c>
      <c r="D29" s="277"/>
      <c r="E29" s="270">
        <f t="shared" si="40"/>
        <v>0</v>
      </c>
      <c r="F29" s="270">
        <f t="shared" ref="F29:I29" si="81">CU29+EB30</f>
        <v>0</v>
      </c>
      <c r="G29" s="270">
        <f t="shared" si="81"/>
        <v>0</v>
      </c>
      <c r="H29" s="270">
        <f t="shared" si="81"/>
        <v>0</v>
      </c>
      <c r="I29" s="270">
        <f t="shared" si="81"/>
        <v>0</v>
      </c>
      <c r="J29" s="277">
        <v>35.0</v>
      </c>
      <c r="K29" s="277">
        <v>206.0</v>
      </c>
      <c r="L29" s="277">
        <v>80.0</v>
      </c>
      <c r="M29" s="277">
        <v>130.0</v>
      </c>
      <c r="N29" s="270">
        <f t="shared" si="52"/>
        <v>450.08</v>
      </c>
      <c r="O29" s="270"/>
      <c r="P29" s="272">
        <f t="shared" si="22"/>
        <v>791.16</v>
      </c>
      <c r="Q29" s="276">
        <v>1461.99</v>
      </c>
      <c r="R29" s="272">
        <f t="shared" ref="R29:AG29" si="82">DG29+EN30</f>
        <v>0</v>
      </c>
      <c r="S29" s="272">
        <f t="shared" si="82"/>
        <v>0</v>
      </c>
      <c r="T29" s="272">
        <f t="shared" si="82"/>
        <v>0</v>
      </c>
      <c r="U29" s="270">
        <f t="shared" si="82"/>
        <v>0</v>
      </c>
      <c r="V29" s="270">
        <f t="shared" si="82"/>
        <v>0</v>
      </c>
      <c r="W29" s="270">
        <f t="shared" si="82"/>
        <v>0</v>
      </c>
      <c r="X29" s="270">
        <f t="shared" si="82"/>
        <v>0</v>
      </c>
      <c r="Y29" s="270">
        <f t="shared" si="82"/>
        <v>0</v>
      </c>
      <c r="Z29" s="270">
        <f t="shared" si="82"/>
        <v>0</v>
      </c>
      <c r="AA29" s="270">
        <f t="shared" si="82"/>
        <v>0</v>
      </c>
      <c r="AB29" s="270">
        <f t="shared" si="82"/>
        <v>0</v>
      </c>
      <c r="AC29" s="270">
        <f t="shared" si="82"/>
        <v>0</v>
      </c>
      <c r="AD29" s="270">
        <f t="shared" si="82"/>
        <v>0</v>
      </c>
      <c r="AE29" s="270">
        <f t="shared" si="82"/>
        <v>0</v>
      </c>
      <c r="AF29" s="270">
        <f t="shared" si="82"/>
        <v>0</v>
      </c>
      <c r="AG29" s="270">
        <f t="shared" si="82"/>
        <v>0</v>
      </c>
      <c r="AH29" s="265">
        <f t="shared" si="13"/>
        <v>281620.78</v>
      </c>
      <c r="AI29" s="270">
        <f t="shared" si="43"/>
        <v>0</v>
      </c>
      <c r="AJ29" s="270">
        <f t="shared" ref="AJ29:AS29" si="83">IF(F$8=0,0,ROUND(AJ28-(F29-BO29),2))</f>
        <v>0</v>
      </c>
      <c r="AK29" s="270">
        <f t="shared" si="83"/>
        <v>0</v>
      </c>
      <c r="AL29" s="270">
        <f t="shared" si="83"/>
        <v>0</v>
      </c>
      <c r="AM29" s="270">
        <f t="shared" si="83"/>
        <v>0</v>
      </c>
      <c r="AN29" s="270">
        <f t="shared" si="83"/>
        <v>411.99</v>
      </c>
      <c r="AO29" s="270">
        <f t="shared" si="83"/>
        <v>2225.08</v>
      </c>
      <c r="AP29" s="270">
        <f t="shared" si="83"/>
        <v>3235.67</v>
      </c>
      <c r="AQ29" s="270">
        <f t="shared" si="83"/>
        <v>3568.38</v>
      </c>
      <c r="AR29" s="270">
        <f t="shared" si="83"/>
        <v>13591.62</v>
      </c>
      <c r="AS29" s="270">
        <f t="shared" si="83"/>
        <v>41393.57</v>
      </c>
      <c r="AT29" s="270">
        <f t="shared" ref="AT29:BK29" si="84">IF(P$8=0,0,ROUND(AT28-(P29-BX29),2))</f>
        <v>46143.13</v>
      </c>
      <c r="AU29" s="270">
        <f t="shared" si="84"/>
        <v>171051.34</v>
      </c>
      <c r="AV29" s="270">
        <f t="shared" si="84"/>
        <v>0</v>
      </c>
      <c r="AW29" s="270">
        <f t="shared" si="84"/>
        <v>0</v>
      </c>
      <c r="AX29" s="270">
        <f t="shared" si="84"/>
        <v>0</v>
      </c>
      <c r="AY29" s="270">
        <f t="shared" si="84"/>
        <v>0</v>
      </c>
      <c r="AZ29" s="270">
        <f t="shared" si="84"/>
        <v>0</v>
      </c>
      <c r="BA29" s="270">
        <f t="shared" si="84"/>
        <v>0</v>
      </c>
      <c r="BB29" s="270">
        <f t="shared" si="84"/>
        <v>0</v>
      </c>
      <c r="BC29" s="270">
        <f t="shared" si="84"/>
        <v>0</v>
      </c>
      <c r="BD29" s="270">
        <f t="shared" si="84"/>
        <v>0</v>
      </c>
      <c r="BE29" s="270">
        <f t="shared" si="84"/>
        <v>0</v>
      </c>
      <c r="BF29" s="270">
        <f t="shared" si="84"/>
        <v>0</v>
      </c>
      <c r="BG29" s="270">
        <f t="shared" si="84"/>
        <v>0</v>
      </c>
      <c r="BH29" s="270">
        <f t="shared" si="84"/>
        <v>0</v>
      </c>
      <c r="BI29" s="270">
        <f t="shared" si="84"/>
        <v>0</v>
      </c>
      <c r="BJ29" s="270">
        <f t="shared" si="84"/>
        <v>0</v>
      </c>
      <c r="BK29" s="270">
        <f t="shared" si="84"/>
        <v>0</v>
      </c>
      <c r="BL29" s="265">
        <f t="shared" si="16"/>
        <v>281620.78</v>
      </c>
      <c r="BM29" s="215"/>
      <c r="BN29" s="270">
        <f t="shared" ref="BN29:CP29" si="85">ROUND(AI28*E$9/12,2)</f>
        <v>0</v>
      </c>
      <c r="BO29" s="270">
        <f t="shared" si="85"/>
        <v>0</v>
      </c>
      <c r="BP29" s="270">
        <f t="shared" si="85"/>
        <v>0</v>
      </c>
      <c r="BQ29" s="270">
        <f t="shared" si="85"/>
        <v>0</v>
      </c>
      <c r="BR29" s="270">
        <f t="shared" si="85"/>
        <v>0</v>
      </c>
      <c r="BS29" s="270">
        <f t="shared" si="85"/>
        <v>10.83</v>
      </c>
      <c r="BT29" s="270">
        <f t="shared" si="85"/>
        <v>59.29</v>
      </c>
      <c r="BU29" s="270">
        <f t="shared" si="85"/>
        <v>85.44</v>
      </c>
      <c r="BV29" s="270">
        <f t="shared" si="85"/>
        <v>89.44</v>
      </c>
      <c r="BW29" s="270">
        <f t="shared" si="85"/>
        <v>207.51</v>
      </c>
      <c r="BX29" s="270">
        <f t="shared" si="85"/>
        <v>375.99</v>
      </c>
      <c r="BY29" s="270">
        <f t="shared" si="85"/>
        <v>360.05</v>
      </c>
      <c r="BZ29" s="270">
        <f t="shared" si="85"/>
        <v>537.98</v>
      </c>
      <c r="CA29" s="270">
        <f t="shared" si="85"/>
        <v>0</v>
      </c>
      <c r="CB29" s="270">
        <f t="shared" si="85"/>
        <v>0</v>
      </c>
      <c r="CC29" s="270">
        <f t="shared" si="85"/>
        <v>0</v>
      </c>
      <c r="CD29" s="270">
        <f t="shared" si="85"/>
        <v>0</v>
      </c>
      <c r="CE29" s="270">
        <f t="shared" si="85"/>
        <v>0</v>
      </c>
      <c r="CF29" s="270">
        <f t="shared" si="85"/>
        <v>0</v>
      </c>
      <c r="CG29" s="270">
        <f t="shared" si="85"/>
        <v>0</v>
      </c>
      <c r="CH29" s="270">
        <f t="shared" si="85"/>
        <v>0</v>
      </c>
      <c r="CI29" s="270">
        <f t="shared" si="85"/>
        <v>0</v>
      </c>
      <c r="CJ29" s="270">
        <f t="shared" si="85"/>
        <v>0</v>
      </c>
      <c r="CK29" s="270">
        <f t="shared" si="85"/>
        <v>0</v>
      </c>
      <c r="CL29" s="270">
        <f t="shared" si="85"/>
        <v>0</v>
      </c>
      <c r="CM29" s="270">
        <f t="shared" si="85"/>
        <v>0</v>
      </c>
      <c r="CN29" s="270">
        <f t="shared" si="85"/>
        <v>0</v>
      </c>
      <c r="CO29" s="270">
        <f t="shared" si="85"/>
        <v>0</v>
      </c>
      <c r="CP29" s="270">
        <f t="shared" si="85"/>
        <v>0</v>
      </c>
      <c r="CQ29" s="215"/>
      <c r="CR29" s="270">
        <f t="shared" si="27"/>
        <v>1726.53</v>
      </c>
      <c r="CS29" s="215"/>
      <c r="CT29" s="270">
        <f t="shared" ref="CT29:DX29" si="86">IF(AI28&gt;0,IF((AI28+BN29)&lt;E$10,AI28+BN29,E$10),0)</f>
        <v>0</v>
      </c>
      <c r="CU29" s="270">
        <f t="shared" si="86"/>
        <v>0</v>
      </c>
      <c r="CV29" s="270">
        <f t="shared" si="86"/>
        <v>0</v>
      </c>
      <c r="CW29" s="270">
        <f t="shared" si="86"/>
        <v>0</v>
      </c>
      <c r="CX29" s="270">
        <f t="shared" si="86"/>
        <v>0</v>
      </c>
      <c r="CY29" s="270">
        <f t="shared" si="86"/>
        <v>35</v>
      </c>
      <c r="CZ29" s="270">
        <f t="shared" si="86"/>
        <v>206</v>
      </c>
      <c r="DA29" s="270">
        <f t="shared" si="86"/>
        <v>82</v>
      </c>
      <c r="DB29" s="270">
        <f t="shared" si="86"/>
        <v>102</v>
      </c>
      <c r="DC29" s="270">
        <f t="shared" si="86"/>
        <v>450.08</v>
      </c>
      <c r="DD29" s="270">
        <f t="shared" si="86"/>
        <v>695.6</v>
      </c>
      <c r="DE29" s="270">
        <f t="shared" si="86"/>
        <v>791.16</v>
      </c>
      <c r="DF29" s="270">
        <f t="shared" si="86"/>
        <v>1467.13</v>
      </c>
      <c r="DG29" s="270">
        <f t="shared" si="86"/>
        <v>0</v>
      </c>
      <c r="DH29" s="270">
        <f t="shared" si="86"/>
        <v>0</v>
      </c>
      <c r="DI29" s="270">
        <f t="shared" si="86"/>
        <v>0</v>
      </c>
      <c r="DJ29" s="270">
        <f t="shared" si="86"/>
        <v>0</v>
      </c>
      <c r="DK29" s="270">
        <f t="shared" si="86"/>
        <v>0</v>
      </c>
      <c r="DL29" s="270">
        <f t="shared" si="86"/>
        <v>0</v>
      </c>
      <c r="DM29" s="270">
        <f t="shared" si="86"/>
        <v>0</v>
      </c>
      <c r="DN29" s="270">
        <f t="shared" si="86"/>
        <v>0</v>
      </c>
      <c r="DO29" s="270">
        <f t="shared" si="86"/>
        <v>0</v>
      </c>
      <c r="DP29" s="270">
        <f t="shared" si="86"/>
        <v>0</v>
      </c>
      <c r="DQ29" s="270">
        <f t="shared" si="86"/>
        <v>0</v>
      </c>
      <c r="DR29" s="270">
        <f t="shared" si="86"/>
        <v>0</v>
      </c>
      <c r="DS29" s="270">
        <f t="shared" si="86"/>
        <v>0</v>
      </c>
      <c r="DT29" s="270">
        <f t="shared" si="86"/>
        <v>0</v>
      </c>
      <c r="DU29" s="270">
        <f t="shared" si="86"/>
        <v>0</v>
      </c>
      <c r="DV29" s="270">
        <f t="shared" si="86"/>
        <v>0</v>
      </c>
      <c r="DW29" s="271" t="str">
        <f t="shared" si="86"/>
        <v/>
      </c>
      <c r="DX29" s="270">
        <f t="shared" si="86"/>
        <v>0</v>
      </c>
      <c r="DY29" s="270">
        <f t="shared" si="29"/>
        <v>3828.97</v>
      </c>
      <c r="DZ29" s="274"/>
      <c r="EA29" s="275">
        <f t="shared" si="38"/>
        <v>0</v>
      </c>
      <c r="EB29" s="270">
        <f t="shared" ref="EB29:FC29" si="87">IF(AJ27&lt;=0,0,IF($C28&lt;=SUM($EA29:EA29),0,IF(CU28+$C28-SUM($EA29:EA29)&gt;AJ27+BO28,AJ27+BO28-CU28,$C28-SUM($EA29:EA29))))</f>
        <v>0</v>
      </c>
      <c r="EC29" s="270">
        <f t="shared" si="87"/>
        <v>0</v>
      </c>
      <c r="ED29" s="270">
        <f t="shared" si="87"/>
        <v>0</v>
      </c>
      <c r="EE29" s="270">
        <f t="shared" si="87"/>
        <v>0</v>
      </c>
      <c r="EF29" s="270">
        <f t="shared" si="87"/>
        <v>33.03</v>
      </c>
      <c r="EG29" s="270">
        <f t="shared" si="87"/>
        <v>0</v>
      </c>
      <c r="EH29" s="270">
        <f t="shared" si="87"/>
        <v>0</v>
      </c>
      <c r="EI29" s="270">
        <f t="shared" si="87"/>
        <v>0</v>
      </c>
      <c r="EJ29" s="270">
        <f t="shared" si="87"/>
        <v>0</v>
      </c>
      <c r="EK29" s="270">
        <f t="shared" si="87"/>
        <v>0</v>
      </c>
      <c r="EL29" s="270">
        <f t="shared" si="87"/>
        <v>0</v>
      </c>
      <c r="EM29" s="270">
        <f t="shared" si="87"/>
        <v>0</v>
      </c>
      <c r="EN29" s="270">
        <f t="shared" si="87"/>
        <v>0</v>
      </c>
      <c r="EO29" s="270">
        <f t="shared" si="87"/>
        <v>0</v>
      </c>
      <c r="EP29" s="270">
        <f t="shared" si="87"/>
        <v>0</v>
      </c>
      <c r="EQ29" s="270">
        <f t="shared" si="87"/>
        <v>0</v>
      </c>
      <c r="ER29" s="270">
        <f t="shared" si="87"/>
        <v>0</v>
      </c>
      <c r="ES29" s="270">
        <f t="shared" si="87"/>
        <v>0</v>
      </c>
      <c r="ET29" s="270">
        <f t="shared" si="87"/>
        <v>0</v>
      </c>
      <c r="EU29" s="270">
        <f t="shared" si="87"/>
        <v>0</v>
      </c>
      <c r="EV29" s="270">
        <f t="shared" si="87"/>
        <v>0</v>
      </c>
      <c r="EW29" s="270">
        <f t="shared" si="87"/>
        <v>0</v>
      </c>
      <c r="EX29" s="270">
        <f t="shared" si="87"/>
        <v>0</v>
      </c>
      <c r="EY29" s="270">
        <f t="shared" si="87"/>
        <v>0</v>
      </c>
      <c r="EZ29" s="270">
        <f t="shared" si="87"/>
        <v>0</v>
      </c>
      <c r="FA29" s="270">
        <f t="shared" si="87"/>
        <v>0</v>
      </c>
      <c r="FB29" s="270">
        <f t="shared" si="87"/>
        <v>0</v>
      </c>
      <c r="FC29" s="270">
        <f t="shared" si="87"/>
        <v>0</v>
      </c>
      <c r="FD29" s="271"/>
      <c r="FE29" s="271"/>
      <c r="FF29" s="271"/>
      <c r="FG29" s="215"/>
      <c r="FH29" s="215"/>
    </row>
    <row r="30" ht="11.25" customHeight="1">
      <c r="A30" s="231">
        <f t="shared" si="19"/>
        <v>10</v>
      </c>
      <c r="B30" s="269">
        <v>45931.0</v>
      </c>
      <c r="C30" s="270">
        <f>IF(A30="","",IF(Calculator!snowball,IF(($E$5-DY30)&lt;0,0,$E$5-DY30),0)+D30)</f>
        <v>43.03</v>
      </c>
      <c r="D30" s="277">
        <v>10.0</v>
      </c>
      <c r="E30" s="270">
        <f t="shared" si="40"/>
        <v>0</v>
      </c>
      <c r="F30" s="270">
        <f t="shared" ref="F30:J30" si="88">CU30+EB31</f>
        <v>0</v>
      </c>
      <c r="G30" s="270">
        <f t="shared" si="88"/>
        <v>0</v>
      </c>
      <c r="H30" s="270">
        <f t="shared" si="88"/>
        <v>0</v>
      </c>
      <c r="I30" s="270">
        <f t="shared" si="88"/>
        <v>0</v>
      </c>
      <c r="J30" s="270">
        <f t="shared" si="88"/>
        <v>78.03</v>
      </c>
      <c r="K30" s="277">
        <v>126.0</v>
      </c>
      <c r="L30" s="277">
        <v>80.0</v>
      </c>
      <c r="M30" s="277">
        <v>137.0</v>
      </c>
      <c r="N30" s="270">
        <f t="shared" si="52"/>
        <v>450.08</v>
      </c>
      <c r="O30" s="270">
        <f t="shared" ref="O30:P30" si="89">DD30+EK31</f>
        <v>695.6</v>
      </c>
      <c r="P30" s="272">
        <f t="shared" si="89"/>
        <v>791.16</v>
      </c>
      <c r="Q30" s="276">
        <v>1461.99</v>
      </c>
      <c r="R30" s="272">
        <f t="shared" ref="R30:AG30" si="90">DG30+EN31</f>
        <v>0</v>
      </c>
      <c r="S30" s="272">
        <f t="shared" si="90"/>
        <v>0</v>
      </c>
      <c r="T30" s="272">
        <f t="shared" si="90"/>
        <v>0</v>
      </c>
      <c r="U30" s="270">
        <f t="shared" si="90"/>
        <v>0</v>
      </c>
      <c r="V30" s="270">
        <f t="shared" si="90"/>
        <v>0</v>
      </c>
      <c r="W30" s="270">
        <f t="shared" si="90"/>
        <v>0</v>
      </c>
      <c r="X30" s="270">
        <f t="shared" si="90"/>
        <v>0</v>
      </c>
      <c r="Y30" s="270">
        <f t="shared" si="90"/>
        <v>0</v>
      </c>
      <c r="Z30" s="270">
        <f t="shared" si="90"/>
        <v>0</v>
      </c>
      <c r="AA30" s="270">
        <f t="shared" si="90"/>
        <v>0</v>
      </c>
      <c r="AB30" s="270">
        <f t="shared" si="90"/>
        <v>0</v>
      </c>
      <c r="AC30" s="270">
        <f t="shared" si="90"/>
        <v>0</v>
      </c>
      <c r="AD30" s="270">
        <f t="shared" si="90"/>
        <v>0</v>
      </c>
      <c r="AE30" s="270">
        <f t="shared" si="90"/>
        <v>0</v>
      </c>
      <c r="AF30" s="270">
        <f t="shared" si="90"/>
        <v>0</v>
      </c>
      <c r="AG30" s="270">
        <f t="shared" si="90"/>
        <v>0</v>
      </c>
      <c r="AH30" s="265">
        <f t="shared" si="13"/>
        <v>279360.39</v>
      </c>
      <c r="AI30" s="270">
        <f t="shared" si="43"/>
        <v>0</v>
      </c>
      <c r="AJ30" s="270">
        <f t="shared" ref="AJ30:AS30" si="91">IF(F$8=0,0,ROUND(AJ29-(F30-BO30),2))</f>
        <v>0</v>
      </c>
      <c r="AK30" s="270">
        <f t="shared" si="91"/>
        <v>0</v>
      </c>
      <c r="AL30" s="270">
        <f t="shared" si="91"/>
        <v>0</v>
      </c>
      <c r="AM30" s="270">
        <f t="shared" si="91"/>
        <v>0</v>
      </c>
      <c r="AN30" s="270">
        <f t="shared" si="91"/>
        <v>344.19</v>
      </c>
      <c r="AO30" s="270">
        <f t="shared" si="91"/>
        <v>2154.71</v>
      </c>
      <c r="AP30" s="270">
        <f t="shared" si="91"/>
        <v>3241.25</v>
      </c>
      <c r="AQ30" s="270">
        <f t="shared" si="91"/>
        <v>3519.82</v>
      </c>
      <c r="AR30" s="270">
        <f t="shared" si="91"/>
        <v>13345.41</v>
      </c>
      <c r="AS30" s="270">
        <f t="shared" si="91"/>
        <v>41077.41</v>
      </c>
      <c r="AT30" s="270">
        <f t="shared" ref="AT30:BK30" si="92">IF(P$8=0,0,ROUND(AT29-(P30-BX30),2))</f>
        <v>45731.41</v>
      </c>
      <c r="AU30" s="270">
        <f t="shared" si="92"/>
        <v>169946.19</v>
      </c>
      <c r="AV30" s="270">
        <f t="shared" si="92"/>
        <v>0</v>
      </c>
      <c r="AW30" s="270">
        <f t="shared" si="92"/>
        <v>0</v>
      </c>
      <c r="AX30" s="270">
        <f t="shared" si="92"/>
        <v>0</v>
      </c>
      <c r="AY30" s="270">
        <f t="shared" si="92"/>
        <v>0</v>
      </c>
      <c r="AZ30" s="270">
        <f t="shared" si="92"/>
        <v>0</v>
      </c>
      <c r="BA30" s="270">
        <f t="shared" si="92"/>
        <v>0</v>
      </c>
      <c r="BB30" s="270">
        <f t="shared" si="92"/>
        <v>0</v>
      </c>
      <c r="BC30" s="270">
        <f t="shared" si="92"/>
        <v>0</v>
      </c>
      <c r="BD30" s="270">
        <f t="shared" si="92"/>
        <v>0</v>
      </c>
      <c r="BE30" s="270">
        <f t="shared" si="92"/>
        <v>0</v>
      </c>
      <c r="BF30" s="270">
        <f t="shared" si="92"/>
        <v>0</v>
      </c>
      <c r="BG30" s="270">
        <f t="shared" si="92"/>
        <v>0</v>
      </c>
      <c r="BH30" s="270">
        <f t="shared" si="92"/>
        <v>0</v>
      </c>
      <c r="BI30" s="270">
        <f t="shared" si="92"/>
        <v>0</v>
      </c>
      <c r="BJ30" s="270">
        <f t="shared" si="92"/>
        <v>0</v>
      </c>
      <c r="BK30" s="270">
        <f t="shared" si="92"/>
        <v>0</v>
      </c>
      <c r="BL30" s="265">
        <f t="shared" si="16"/>
        <v>279360.39</v>
      </c>
      <c r="BM30" s="215"/>
      <c r="BN30" s="270">
        <f t="shared" ref="BN30:CP30" si="93">ROUND(AI29*E$9/12,2)</f>
        <v>0</v>
      </c>
      <c r="BO30" s="270">
        <f t="shared" si="93"/>
        <v>0</v>
      </c>
      <c r="BP30" s="270">
        <f t="shared" si="93"/>
        <v>0</v>
      </c>
      <c r="BQ30" s="270">
        <f t="shared" si="93"/>
        <v>0</v>
      </c>
      <c r="BR30" s="270">
        <f t="shared" si="93"/>
        <v>0</v>
      </c>
      <c r="BS30" s="270">
        <f t="shared" si="93"/>
        <v>10.23</v>
      </c>
      <c r="BT30" s="270">
        <f t="shared" si="93"/>
        <v>55.63</v>
      </c>
      <c r="BU30" s="270">
        <f t="shared" si="93"/>
        <v>85.58</v>
      </c>
      <c r="BV30" s="270">
        <f t="shared" si="93"/>
        <v>88.44</v>
      </c>
      <c r="BW30" s="270">
        <f t="shared" si="93"/>
        <v>203.87</v>
      </c>
      <c r="BX30" s="270">
        <f t="shared" si="93"/>
        <v>379.44</v>
      </c>
      <c r="BY30" s="270">
        <f t="shared" si="93"/>
        <v>356.84</v>
      </c>
      <c r="BZ30" s="270">
        <f t="shared" si="93"/>
        <v>534.54</v>
      </c>
      <c r="CA30" s="270">
        <f t="shared" si="93"/>
        <v>0</v>
      </c>
      <c r="CB30" s="270">
        <f t="shared" si="93"/>
        <v>0</v>
      </c>
      <c r="CC30" s="270">
        <f t="shared" si="93"/>
        <v>0</v>
      </c>
      <c r="CD30" s="270">
        <f t="shared" si="93"/>
        <v>0</v>
      </c>
      <c r="CE30" s="270">
        <f t="shared" si="93"/>
        <v>0</v>
      </c>
      <c r="CF30" s="270">
        <f t="shared" si="93"/>
        <v>0</v>
      </c>
      <c r="CG30" s="270">
        <f t="shared" si="93"/>
        <v>0</v>
      </c>
      <c r="CH30" s="270">
        <f t="shared" si="93"/>
        <v>0</v>
      </c>
      <c r="CI30" s="270">
        <f t="shared" si="93"/>
        <v>0</v>
      </c>
      <c r="CJ30" s="270">
        <f t="shared" si="93"/>
        <v>0</v>
      </c>
      <c r="CK30" s="270">
        <f t="shared" si="93"/>
        <v>0</v>
      </c>
      <c r="CL30" s="270">
        <f t="shared" si="93"/>
        <v>0</v>
      </c>
      <c r="CM30" s="270">
        <f t="shared" si="93"/>
        <v>0</v>
      </c>
      <c r="CN30" s="270">
        <f t="shared" si="93"/>
        <v>0</v>
      </c>
      <c r="CO30" s="270">
        <f t="shared" si="93"/>
        <v>0</v>
      </c>
      <c r="CP30" s="270">
        <f t="shared" si="93"/>
        <v>0</v>
      </c>
      <c r="CQ30" s="215"/>
      <c r="CR30" s="270">
        <f t="shared" si="27"/>
        <v>1714.57</v>
      </c>
      <c r="CS30" s="215"/>
      <c r="CT30" s="270">
        <f t="shared" ref="CT30:DX30" si="94">IF(AI29&gt;0,IF((AI29+BN30)&lt;E$10,AI29+BN30,E$10),0)</f>
        <v>0</v>
      </c>
      <c r="CU30" s="270">
        <f t="shared" si="94"/>
        <v>0</v>
      </c>
      <c r="CV30" s="270">
        <f t="shared" si="94"/>
        <v>0</v>
      </c>
      <c r="CW30" s="270">
        <f t="shared" si="94"/>
        <v>0</v>
      </c>
      <c r="CX30" s="270">
        <f t="shared" si="94"/>
        <v>0</v>
      </c>
      <c r="CY30" s="270">
        <f t="shared" si="94"/>
        <v>35</v>
      </c>
      <c r="CZ30" s="270">
        <f t="shared" si="94"/>
        <v>206</v>
      </c>
      <c r="DA30" s="270">
        <f t="shared" si="94"/>
        <v>82</v>
      </c>
      <c r="DB30" s="270">
        <f t="shared" si="94"/>
        <v>102</v>
      </c>
      <c r="DC30" s="270">
        <f t="shared" si="94"/>
        <v>450.08</v>
      </c>
      <c r="DD30" s="270">
        <f t="shared" si="94"/>
        <v>695.6</v>
      </c>
      <c r="DE30" s="270">
        <f t="shared" si="94"/>
        <v>791.16</v>
      </c>
      <c r="DF30" s="270">
        <f t="shared" si="94"/>
        <v>1467.13</v>
      </c>
      <c r="DG30" s="270">
        <f t="shared" si="94"/>
        <v>0</v>
      </c>
      <c r="DH30" s="270">
        <f t="shared" si="94"/>
        <v>0</v>
      </c>
      <c r="DI30" s="270">
        <f t="shared" si="94"/>
        <v>0</v>
      </c>
      <c r="DJ30" s="270">
        <f t="shared" si="94"/>
        <v>0</v>
      </c>
      <c r="DK30" s="270">
        <f t="shared" si="94"/>
        <v>0</v>
      </c>
      <c r="DL30" s="270">
        <f t="shared" si="94"/>
        <v>0</v>
      </c>
      <c r="DM30" s="270">
        <f t="shared" si="94"/>
        <v>0</v>
      </c>
      <c r="DN30" s="270">
        <f t="shared" si="94"/>
        <v>0</v>
      </c>
      <c r="DO30" s="270">
        <f t="shared" si="94"/>
        <v>0</v>
      </c>
      <c r="DP30" s="270">
        <f t="shared" si="94"/>
        <v>0</v>
      </c>
      <c r="DQ30" s="270">
        <f t="shared" si="94"/>
        <v>0</v>
      </c>
      <c r="DR30" s="270">
        <f t="shared" si="94"/>
        <v>0</v>
      </c>
      <c r="DS30" s="270">
        <f t="shared" si="94"/>
        <v>0</v>
      </c>
      <c r="DT30" s="270">
        <f t="shared" si="94"/>
        <v>0</v>
      </c>
      <c r="DU30" s="270">
        <f t="shared" si="94"/>
        <v>0</v>
      </c>
      <c r="DV30" s="270">
        <f t="shared" si="94"/>
        <v>0</v>
      </c>
      <c r="DW30" s="271" t="str">
        <f t="shared" si="94"/>
        <v/>
      </c>
      <c r="DX30" s="270">
        <f t="shared" si="94"/>
        <v>0</v>
      </c>
      <c r="DY30" s="270">
        <f t="shared" si="29"/>
        <v>3828.97</v>
      </c>
      <c r="DZ30" s="274"/>
      <c r="EA30" s="275">
        <f t="shared" si="38"/>
        <v>0</v>
      </c>
      <c r="EB30" s="270">
        <f t="shared" ref="EB30:FC30" si="95">IF(AJ28&lt;=0,0,IF($C29&lt;=SUM($EA30:EA30),0,IF(CU29+$C29-SUM($EA30:EA30)&gt;AJ28+BO29,AJ28+BO29-CU29,$C29-SUM($EA30:EA30))))</f>
        <v>0</v>
      </c>
      <c r="EC30" s="270">
        <f t="shared" si="95"/>
        <v>0</v>
      </c>
      <c r="ED30" s="270">
        <f t="shared" si="95"/>
        <v>0</v>
      </c>
      <c r="EE30" s="270">
        <f t="shared" si="95"/>
        <v>0</v>
      </c>
      <c r="EF30" s="270">
        <f t="shared" si="95"/>
        <v>33.03</v>
      </c>
      <c r="EG30" s="270">
        <f t="shared" si="95"/>
        <v>0</v>
      </c>
      <c r="EH30" s="270">
        <f t="shared" si="95"/>
        <v>0</v>
      </c>
      <c r="EI30" s="270">
        <f t="shared" si="95"/>
        <v>0</v>
      </c>
      <c r="EJ30" s="270">
        <f t="shared" si="95"/>
        <v>0</v>
      </c>
      <c r="EK30" s="270">
        <f t="shared" si="95"/>
        <v>0</v>
      </c>
      <c r="EL30" s="270">
        <f t="shared" si="95"/>
        <v>0</v>
      </c>
      <c r="EM30" s="270">
        <f t="shared" si="95"/>
        <v>0</v>
      </c>
      <c r="EN30" s="270">
        <f t="shared" si="95"/>
        <v>0</v>
      </c>
      <c r="EO30" s="270">
        <f t="shared" si="95"/>
        <v>0</v>
      </c>
      <c r="EP30" s="270">
        <f t="shared" si="95"/>
        <v>0</v>
      </c>
      <c r="EQ30" s="270">
        <f t="shared" si="95"/>
        <v>0</v>
      </c>
      <c r="ER30" s="270">
        <f t="shared" si="95"/>
        <v>0</v>
      </c>
      <c r="ES30" s="270">
        <f t="shared" si="95"/>
        <v>0</v>
      </c>
      <c r="ET30" s="270">
        <f t="shared" si="95"/>
        <v>0</v>
      </c>
      <c r="EU30" s="270">
        <f t="shared" si="95"/>
        <v>0</v>
      </c>
      <c r="EV30" s="270">
        <f t="shared" si="95"/>
        <v>0</v>
      </c>
      <c r="EW30" s="270">
        <f t="shared" si="95"/>
        <v>0</v>
      </c>
      <c r="EX30" s="270">
        <f t="shared" si="95"/>
        <v>0</v>
      </c>
      <c r="EY30" s="270">
        <f t="shared" si="95"/>
        <v>0</v>
      </c>
      <c r="EZ30" s="270">
        <f t="shared" si="95"/>
        <v>0</v>
      </c>
      <c r="FA30" s="270">
        <f t="shared" si="95"/>
        <v>0</v>
      </c>
      <c r="FB30" s="270">
        <f t="shared" si="95"/>
        <v>0</v>
      </c>
      <c r="FC30" s="270">
        <f t="shared" si="95"/>
        <v>0</v>
      </c>
      <c r="FD30" s="271"/>
      <c r="FE30" s="271"/>
      <c r="FF30" s="271"/>
      <c r="FG30" s="215"/>
      <c r="FH30" s="215"/>
    </row>
    <row r="31" ht="11.25" customHeight="1">
      <c r="A31" s="231">
        <f t="shared" si="19"/>
        <v>11</v>
      </c>
      <c r="B31" s="269">
        <v>45962.0</v>
      </c>
      <c r="C31" s="270">
        <f>IF(A31="","",IF(Calculator!snowball,IF(($E$5-DY31)&lt;0,0,$E$5-DY31),0)+D31)</f>
        <v>43.03</v>
      </c>
      <c r="D31" s="277">
        <v>10.0</v>
      </c>
      <c r="E31" s="270">
        <f t="shared" si="40"/>
        <v>0</v>
      </c>
      <c r="F31" s="270">
        <f t="shared" ref="F31:J31" si="96">CU31+EB32</f>
        <v>0</v>
      </c>
      <c r="G31" s="270">
        <f t="shared" si="96"/>
        <v>0</v>
      </c>
      <c r="H31" s="270">
        <f t="shared" si="96"/>
        <v>0</v>
      </c>
      <c r="I31" s="270">
        <f t="shared" si="96"/>
        <v>0</v>
      </c>
      <c r="J31" s="270">
        <f t="shared" si="96"/>
        <v>78.03</v>
      </c>
      <c r="K31" s="277">
        <v>127.0</v>
      </c>
      <c r="L31" s="277">
        <v>83.0</v>
      </c>
      <c r="M31" s="277">
        <v>147.0</v>
      </c>
      <c r="N31" s="270">
        <f t="shared" si="52"/>
        <v>450.08</v>
      </c>
      <c r="O31" s="270">
        <f t="shared" ref="O31:P31" si="97">DD31+EK32</f>
        <v>695.6</v>
      </c>
      <c r="P31" s="272">
        <f t="shared" si="97"/>
        <v>791.16</v>
      </c>
      <c r="Q31" s="276">
        <v>1461.99</v>
      </c>
      <c r="R31" s="272">
        <f t="shared" ref="R31:AG31" si="98">DG31+EN32</f>
        <v>0</v>
      </c>
      <c r="S31" s="272">
        <f t="shared" si="98"/>
        <v>0</v>
      </c>
      <c r="T31" s="272">
        <f t="shared" si="98"/>
        <v>0</v>
      </c>
      <c r="U31" s="270">
        <f t="shared" si="98"/>
        <v>0</v>
      </c>
      <c r="V31" s="270">
        <f t="shared" si="98"/>
        <v>0</v>
      </c>
      <c r="W31" s="270">
        <f t="shared" si="98"/>
        <v>0</v>
      </c>
      <c r="X31" s="270">
        <f t="shared" si="98"/>
        <v>0</v>
      </c>
      <c r="Y31" s="270">
        <f t="shared" si="98"/>
        <v>0</v>
      </c>
      <c r="Z31" s="270">
        <f t="shared" si="98"/>
        <v>0</v>
      </c>
      <c r="AA31" s="270">
        <f t="shared" si="98"/>
        <v>0</v>
      </c>
      <c r="AB31" s="270">
        <f t="shared" si="98"/>
        <v>0</v>
      </c>
      <c r="AC31" s="270">
        <f t="shared" si="98"/>
        <v>0</v>
      </c>
      <c r="AD31" s="270">
        <f t="shared" si="98"/>
        <v>0</v>
      </c>
      <c r="AE31" s="270">
        <f t="shared" si="98"/>
        <v>0</v>
      </c>
      <c r="AF31" s="270">
        <f t="shared" si="98"/>
        <v>0</v>
      </c>
      <c r="AG31" s="270">
        <f t="shared" si="98"/>
        <v>0</v>
      </c>
      <c r="AH31" s="265">
        <f t="shared" si="13"/>
        <v>277068.83</v>
      </c>
      <c r="AI31" s="270">
        <f t="shared" si="43"/>
        <v>0</v>
      </c>
      <c r="AJ31" s="270">
        <f t="shared" ref="AJ31:AS31" si="99">IF(F$8=0,0,ROUND(AJ30-(F31-BO31),2))</f>
        <v>0</v>
      </c>
      <c r="AK31" s="270">
        <f t="shared" si="99"/>
        <v>0</v>
      </c>
      <c r="AL31" s="270">
        <f t="shared" si="99"/>
        <v>0</v>
      </c>
      <c r="AM31" s="270">
        <f t="shared" si="99"/>
        <v>0</v>
      </c>
      <c r="AN31" s="270">
        <f t="shared" si="99"/>
        <v>274.71</v>
      </c>
      <c r="AO31" s="270">
        <f t="shared" si="99"/>
        <v>2081.58</v>
      </c>
      <c r="AP31" s="270">
        <f t="shared" si="99"/>
        <v>3243.98</v>
      </c>
      <c r="AQ31" s="270">
        <f t="shared" si="99"/>
        <v>3460.05</v>
      </c>
      <c r="AR31" s="270">
        <f t="shared" si="99"/>
        <v>13095.51</v>
      </c>
      <c r="AS31" s="270">
        <f t="shared" si="99"/>
        <v>40758.35</v>
      </c>
      <c r="AT31" s="270">
        <f t="shared" ref="AT31:BK31" si="100">IF(P$8=0,0,ROUND(AT30-(P31-BX31),2))</f>
        <v>45316.79</v>
      </c>
      <c r="AU31" s="270">
        <f t="shared" si="100"/>
        <v>168837.86</v>
      </c>
      <c r="AV31" s="270">
        <f t="shared" si="100"/>
        <v>0</v>
      </c>
      <c r="AW31" s="270">
        <f t="shared" si="100"/>
        <v>0</v>
      </c>
      <c r="AX31" s="270">
        <f t="shared" si="100"/>
        <v>0</v>
      </c>
      <c r="AY31" s="270">
        <f t="shared" si="100"/>
        <v>0</v>
      </c>
      <c r="AZ31" s="270">
        <f t="shared" si="100"/>
        <v>0</v>
      </c>
      <c r="BA31" s="270">
        <f t="shared" si="100"/>
        <v>0</v>
      </c>
      <c r="BB31" s="270">
        <f t="shared" si="100"/>
        <v>0</v>
      </c>
      <c r="BC31" s="270">
        <f t="shared" si="100"/>
        <v>0</v>
      </c>
      <c r="BD31" s="270">
        <f t="shared" si="100"/>
        <v>0</v>
      </c>
      <c r="BE31" s="270">
        <f t="shared" si="100"/>
        <v>0</v>
      </c>
      <c r="BF31" s="270">
        <f t="shared" si="100"/>
        <v>0</v>
      </c>
      <c r="BG31" s="270">
        <f t="shared" si="100"/>
        <v>0</v>
      </c>
      <c r="BH31" s="270">
        <f t="shared" si="100"/>
        <v>0</v>
      </c>
      <c r="BI31" s="270">
        <f t="shared" si="100"/>
        <v>0</v>
      </c>
      <c r="BJ31" s="270">
        <f t="shared" si="100"/>
        <v>0</v>
      </c>
      <c r="BK31" s="270">
        <f t="shared" si="100"/>
        <v>0</v>
      </c>
      <c r="BL31" s="265">
        <f t="shared" si="16"/>
        <v>277068.83</v>
      </c>
      <c r="BM31" s="215"/>
      <c r="BN31" s="270">
        <f t="shared" ref="BN31:CP31" si="101">ROUND(AI30*E$9/12,2)</f>
        <v>0</v>
      </c>
      <c r="BO31" s="270">
        <f t="shared" si="101"/>
        <v>0</v>
      </c>
      <c r="BP31" s="270">
        <f t="shared" si="101"/>
        <v>0</v>
      </c>
      <c r="BQ31" s="270">
        <f t="shared" si="101"/>
        <v>0</v>
      </c>
      <c r="BR31" s="270">
        <f t="shared" si="101"/>
        <v>0</v>
      </c>
      <c r="BS31" s="270">
        <f t="shared" si="101"/>
        <v>8.55</v>
      </c>
      <c r="BT31" s="270">
        <f t="shared" si="101"/>
        <v>53.87</v>
      </c>
      <c r="BU31" s="270">
        <f t="shared" si="101"/>
        <v>85.73</v>
      </c>
      <c r="BV31" s="270">
        <f t="shared" si="101"/>
        <v>87.23</v>
      </c>
      <c r="BW31" s="270">
        <f t="shared" si="101"/>
        <v>200.18</v>
      </c>
      <c r="BX31" s="270">
        <f t="shared" si="101"/>
        <v>376.54</v>
      </c>
      <c r="BY31" s="270">
        <f t="shared" si="101"/>
        <v>353.66</v>
      </c>
      <c r="BZ31" s="270">
        <f t="shared" si="101"/>
        <v>531.08</v>
      </c>
      <c r="CA31" s="270">
        <f t="shared" si="101"/>
        <v>0</v>
      </c>
      <c r="CB31" s="270">
        <f t="shared" si="101"/>
        <v>0</v>
      </c>
      <c r="CC31" s="270">
        <f t="shared" si="101"/>
        <v>0</v>
      </c>
      <c r="CD31" s="270">
        <f t="shared" si="101"/>
        <v>0</v>
      </c>
      <c r="CE31" s="270">
        <f t="shared" si="101"/>
        <v>0</v>
      </c>
      <c r="CF31" s="270">
        <f t="shared" si="101"/>
        <v>0</v>
      </c>
      <c r="CG31" s="270">
        <f t="shared" si="101"/>
        <v>0</v>
      </c>
      <c r="CH31" s="270">
        <f t="shared" si="101"/>
        <v>0</v>
      </c>
      <c r="CI31" s="270">
        <f t="shared" si="101"/>
        <v>0</v>
      </c>
      <c r="CJ31" s="270">
        <f t="shared" si="101"/>
        <v>0</v>
      </c>
      <c r="CK31" s="270">
        <f t="shared" si="101"/>
        <v>0</v>
      </c>
      <c r="CL31" s="270">
        <f t="shared" si="101"/>
        <v>0</v>
      </c>
      <c r="CM31" s="270">
        <f t="shared" si="101"/>
        <v>0</v>
      </c>
      <c r="CN31" s="270">
        <f t="shared" si="101"/>
        <v>0</v>
      </c>
      <c r="CO31" s="270">
        <f t="shared" si="101"/>
        <v>0</v>
      </c>
      <c r="CP31" s="270">
        <f t="shared" si="101"/>
        <v>0</v>
      </c>
      <c r="CQ31" s="215"/>
      <c r="CR31" s="270">
        <f t="shared" si="27"/>
        <v>1696.84</v>
      </c>
      <c r="CS31" s="215"/>
      <c r="CT31" s="270">
        <f t="shared" ref="CT31:DX31" si="102">IF(AI30&gt;0,IF((AI30+BN31)&lt;E$10,AI30+BN31,E$10),0)</f>
        <v>0</v>
      </c>
      <c r="CU31" s="270">
        <f t="shared" si="102"/>
        <v>0</v>
      </c>
      <c r="CV31" s="270">
        <f t="shared" si="102"/>
        <v>0</v>
      </c>
      <c r="CW31" s="270">
        <f t="shared" si="102"/>
        <v>0</v>
      </c>
      <c r="CX31" s="270">
        <f t="shared" si="102"/>
        <v>0</v>
      </c>
      <c r="CY31" s="270">
        <f t="shared" si="102"/>
        <v>35</v>
      </c>
      <c r="CZ31" s="270">
        <f t="shared" si="102"/>
        <v>206</v>
      </c>
      <c r="DA31" s="270">
        <f t="shared" si="102"/>
        <v>82</v>
      </c>
      <c r="DB31" s="270">
        <f t="shared" si="102"/>
        <v>102</v>
      </c>
      <c r="DC31" s="270">
        <f t="shared" si="102"/>
        <v>450.08</v>
      </c>
      <c r="DD31" s="270">
        <f t="shared" si="102"/>
        <v>695.6</v>
      </c>
      <c r="DE31" s="270">
        <f t="shared" si="102"/>
        <v>791.16</v>
      </c>
      <c r="DF31" s="270">
        <f t="shared" si="102"/>
        <v>1467.13</v>
      </c>
      <c r="DG31" s="270">
        <f t="shared" si="102"/>
        <v>0</v>
      </c>
      <c r="DH31" s="270">
        <f t="shared" si="102"/>
        <v>0</v>
      </c>
      <c r="DI31" s="270">
        <f t="shared" si="102"/>
        <v>0</v>
      </c>
      <c r="DJ31" s="270">
        <f t="shared" si="102"/>
        <v>0</v>
      </c>
      <c r="DK31" s="270">
        <f t="shared" si="102"/>
        <v>0</v>
      </c>
      <c r="DL31" s="270">
        <f t="shared" si="102"/>
        <v>0</v>
      </c>
      <c r="DM31" s="270">
        <f t="shared" si="102"/>
        <v>0</v>
      </c>
      <c r="DN31" s="270">
        <f t="shared" si="102"/>
        <v>0</v>
      </c>
      <c r="DO31" s="270">
        <f t="shared" si="102"/>
        <v>0</v>
      </c>
      <c r="DP31" s="270">
        <f t="shared" si="102"/>
        <v>0</v>
      </c>
      <c r="DQ31" s="270">
        <f t="shared" si="102"/>
        <v>0</v>
      </c>
      <c r="DR31" s="270">
        <f t="shared" si="102"/>
        <v>0</v>
      </c>
      <c r="DS31" s="270">
        <f t="shared" si="102"/>
        <v>0</v>
      </c>
      <c r="DT31" s="270">
        <f t="shared" si="102"/>
        <v>0</v>
      </c>
      <c r="DU31" s="270">
        <f t="shared" si="102"/>
        <v>0</v>
      </c>
      <c r="DV31" s="270">
        <f t="shared" si="102"/>
        <v>0</v>
      </c>
      <c r="DW31" s="271" t="str">
        <f t="shared" si="102"/>
        <v/>
      </c>
      <c r="DX31" s="270">
        <f t="shared" si="102"/>
        <v>0</v>
      </c>
      <c r="DY31" s="270">
        <f t="shared" si="29"/>
        <v>3828.97</v>
      </c>
      <c r="DZ31" s="274"/>
      <c r="EA31" s="275">
        <f t="shared" si="38"/>
        <v>0</v>
      </c>
      <c r="EB31" s="270">
        <f t="shared" ref="EB31:FC31" si="103">IF(AJ29&lt;=0,0,IF($C30&lt;=SUM($EA31:EA31),0,IF(CU30+$C30-SUM($EA31:EA31)&gt;AJ29+BO30,AJ29+BO30-CU30,$C30-SUM($EA31:EA31))))</f>
        <v>0</v>
      </c>
      <c r="EC31" s="270">
        <f t="shared" si="103"/>
        <v>0</v>
      </c>
      <c r="ED31" s="270">
        <f t="shared" si="103"/>
        <v>0</v>
      </c>
      <c r="EE31" s="270">
        <f t="shared" si="103"/>
        <v>0</v>
      </c>
      <c r="EF31" s="270">
        <f t="shared" si="103"/>
        <v>43.03</v>
      </c>
      <c r="EG31" s="270">
        <f t="shared" si="103"/>
        <v>0</v>
      </c>
      <c r="EH31" s="270">
        <f t="shared" si="103"/>
        <v>0</v>
      </c>
      <c r="EI31" s="270">
        <f t="shared" si="103"/>
        <v>0</v>
      </c>
      <c r="EJ31" s="270">
        <f t="shared" si="103"/>
        <v>0</v>
      </c>
      <c r="EK31" s="270">
        <f t="shared" si="103"/>
        <v>0</v>
      </c>
      <c r="EL31" s="270">
        <f t="shared" si="103"/>
        <v>0</v>
      </c>
      <c r="EM31" s="270">
        <f t="shared" si="103"/>
        <v>0</v>
      </c>
      <c r="EN31" s="270">
        <f t="shared" si="103"/>
        <v>0</v>
      </c>
      <c r="EO31" s="270">
        <f t="shared" si="103"/>
        <v>0</v>
      </c>
      <c r="EP31" s="270">
        <f t="shared" si="103"/>
        <v>0</v>
      </c>
      <c r="EQ31" s="270">
        <f t="shared" si="103"/>
        <v>0</v>
      </c>
      <c r="ER31" s="270">
        <f t="shared" si="103"/>
        <v>0</v>
      </c>
      <c r="ES31" s="270">
        <f t="shared" si="103"/>
        <v>0</v>
      </c>
      <c r="ET31" s="270">
        <f t="shared" si="103"/>
        <v>0</v>
      </c>
      <c r="EU31" s="270">
        <f t="shared" si="103"/>
        <v>0</v>
      </c>
      <c r="EV31" s="270">
        <f t="shared" si="103"/>
        <v>0</v>
      </c>
      <c r="EW31" s="270">
        <f t="shared" si="103"/>
        <v>0</v>
      </c>
      <c r="EX31" s="270">
        <f t="shared" si="103"/>
        <v>0</v>
      </c>
      <c r="EY31" s="270">
        <f t="shared" si="103"/>
        <v>0</v>
      </c>
      <c r="EZ31" s="270">
        <f t="shared" si="103"/>
        <v>0</v>
      </c>
      <c r="FA31" s="270">
        <f t="shared" si="103"/>
        <v>0</v>
      </c>
      <c r="FB31" s="270">
        <f t="shared" si="103"/>
        <v>0</v>
      </c>
      <c r="FC31" s="270">
        <f t="shared" si="103"/>
        <v>0</v>
      </c>
      <c r="FD31" s="271"/>
      <c r="FE31" s="271"/>
      <c r="FF31" s="271"/>
      <c r="FG31" s="215"/>
      <c r="FH31" s="215"/>
    </row>
    <row r="32" ht="11.25" customHeight="1">
      <c r="A32" s="231">
        <f t="shared" si="19"/>
        <v>12</v>
      </c>
      <c r="B32" s="269">
        <v>45992.0</v>
      </c>
      <c r="C32" s="270">
        <f>IF(A32="","",IF(Calculator!snowball,IF(($E$5-DY32)&lt;0,0,$E$5-DY32),0)+D32)</f>
        <v>43.03</v>
      </c>
      <c r="D32" s="277">
        <v>10.0</v>
      </c>
      <c r="E32" s="270">
        <f t="shared" si="40"/>
        <v>0</v>
      </c>
      <c r="F32" s="270">
        <f t="shared" ref="F32:I32" si="104">CU32+EB33</f>
        <v>0</v>
      </c>
      <c r="G32" s="270">
        <f t="shared" si="104"/>
        <v>0</v>
      </c>
      <c r="H32" s="270">
        <f t="shared" si="104"/>
        <v>0</v>
      </c>
      <c r="I32" s="270">
        <f t="shared" si="104"/>
        <v>0</v>
      </c>
      <c r="J32" s="277">
        <v>83.0</v>
      </c>
      <c r="K32" s="277">
        <v>122.0</v>
      </c>
      <c r="L32" s="277">
        <v>80.0</v>
      </c>
      <c r="M32" s="277">
        <v>150.0</v>
      </c>
      <c r="N32" s="270">
        <f t="shared" si="52"/>
        <v>450.08</v>
      </c>
      <c r="O32" s="270">
        <f t="shared" ref="O32:P32" si="105">DD32+EK33</f>
        <v>695.6</v>
      </c>
      <c r="P32" s="272">
        <f t="shared" si="105"/>
        <v>791.16</v>
      </c>
      <c r="Q32" s="276">
        <v>1461.99</v>
      </c>
      <c r="R32" s="272">
        <f t="shared" ref="R32:AG32" si="106">DG32+EN33</f>
        <v>0</v>
      </c>
      <c r="S32" s="272">
        <f t="shared" si="106"/>
        <v>0</v>
      </c>
      <c r="T32" s="272">
        <f t="shared" si="106"/>
        <v>0</v>
      </c>
      <c r="U32" s="270">
        <f t="shared" si="106"/>
        <v>0</v>
      </c>
      <c r="V32" s="270">
        <f t="shared" si="106"/>
        <v>0</v>
      </c>
      <c r="W32" s="270">
        <f t="shared" si="106"/>
        <v>0</v>
      </c>
      <c r="X32" s="270">
        <f t="shared" si="106"/>
        <v>0</v>
      </c>
      <c r="Y32" s="270">
        <f t="shared" si="106"/>
        <v>0</v>
      </c>
      <c r="Z32" s="270">
        <f t="shared" si="106"/>
        <v>0</v>
      </c>
      <c r="AA32" s="270">
        <f t="shared" si="106"/>
        <v>0</v>
      </c>
      <c r="AB32" s="270">
        <f t="shared" si="106"/>
        <v>0</v>
      </c>
      <c r="AC32" s="270">
        <f t="shared" si="106"/>
        <v>0</v>
      </c>
      <c r="AD32" s="270">
        <f t="shared" si="106"/>
        <v>0</v>
      </c>
      <c r="AE32" s="270">
        <f t="shared" si="106"/>
        <v>0</v>
      </c>
      <c r="AF32" s="270">
        <f t="shared" si="106"/>
        <v>0</v>
      </c>
      <c r="AG32" s="270">
        <f t="shared" si="106"/>
        <v>0</v>
      </c>
      <c r="AH32" s="265">
        <f t="shared" si="13"/>
        <v>274759.53</v>
      </c>
      <c r="AI32" s="270">
        <f t="shared" si="43"/>
        <v>0</v>
      </c>
      <c r="AJ32" s="270">
        <f t="shared" ref="AJ32:AS32" si="107">IF(F$8=0,0,ROUND(AJ31-(F32-BO32),2))</f>
        <v>0</v>
      </c>
      <c r="AK32" s="270">
        <f t="shared" si="107"/>
        <v>0</v>
      </c>
      <c r="AL32" s="270">
        <f t="shared" si="107"/>
        <v>0</v>
      </c>
      <c r="AM32" s="270">
        <f t="shared" si="107"/>
        <v>0</v>
      </c>
      <c r="AN32" s="270">
        <f t="shared" si="107"/>
        <v>198.53</v>
      </c>
      <c r="AO32" s="270">
        <f t="shared" si="107"/>
        <v>2011.62</v>
      </c>
      <c r="AP32" s="270">
        <f t="shared" si="107"/>
        <v>3249.78</v>
      </c>
      <c r="AQ32" s="270">
        <f t="shared" si="107"/>
        <v>3395.8</v>
      </c>
      <c r="AR32" s="270">
        <f t="shared" si="107"/>
        <v>12841.86</v>
      </c>
      <c r="AS32" s="270">
        <f t="shared" si="107"/>
        <v>40436.37</v>
      </c>
      <c r="AT32" s="270">
        <f t="shared" ref="AT32:BK32" si="108">IF(P$8=0,0,ROUND(AT31-(P32-BX32),2))</f>
        <v>44899.25</v>
      </c>
      <c r="AU32" s="270">
        <f t="shared" si="108"/>
        <v>167726.32</v>
      </c>
      <c r="AV32" s="270">
        <f t="shared" si="108"/>
        <v>0</v>
      </c>
      <c r="AW32" s="270">
        <f t="shared" si="108"/>
        <v>0</v>
      </c>
      <c r="AX32" s="270">
        <f t="shared" si="108"/>
        <v>0</v>
      </c>
      <c r="AY32" s="270">
        <f t="shared" si="108"/>
        <v>0</v>
      </c>
      <c r="AZ32" s="270">
        <f t="shared" si="108"/>
        <v>0</v>
      </c>
      <c r="BA32" s="270">
        <f t="shared" si="108"/>
        <v>0</v>
      </c>
      <c r="BB32" s="270">
        <f t="shared" si="108"/>
        <v>0</v>
      </c>
      <c r="BC32" s="270">
        <f t="shared" si="108"/>
        <v>0</v>
      </c>
      <c r="BD32" s="270">
        <f t="shared" si="108"/>
        <v>0</v>
      </c>
      <c r="BE32" s="270">
        <f t="shared" si="108"/>
        <v>0</v>
      </c>
      <c r="BF32" s="270">
        <f t="shared" si="108"/>
        <v>0</v>
      </c>
      <c r="BG32" s="270">
        <f t="shared" si="108"/>
        <v>0</v>
      </c>
      <c r="BH32" s="270">
        <f t="shared" si="108"/>
        <v>0</v>
      </c>
      <c r="BI32" s="270">
        <f t="shared" si="108"/>
        <v>0</v>
      </c>
      <c r="BJ32" s="270">
        <f t="shared" si="108"/>
        <v>0</v>
      </c>
      <c r="BK32" s="270">
        <f t="shared" si="108"/>
        <v>0</v>
      </c>
      <c r="BL32" s="265">
        <f t="shared" si="16"/>
        <v>274759.53</v>
      </c>
      <c r="BM32" s="215"/>
      <c r="BN32" s="270">
        <f t="shared" ref="BN32:CP32" si="109">ROUND(AI31*E$9/12,2)</f>
        <v>0</v>
      </c>
      <c r="BO32" s="270">
        <f t="shared" si="109"/>
        <v>0</v>
      </c>
      <c r="BP32" s="270">
        <f t="shared" si="109"/>
        <v>0</v>
      </c>
      <c r="BQ32" s="270">
        <f t="shared" si="109"/>
        <v>0</v>
      </c>
      <c r="BR32" s="270">
        <f t="shared" si="109"/>
        <v>0</v>
      </c>
      <c r="BS32" s="270">
        <f t="shared" si="109"/>
        <v>6.82</v>
      </c>
      <c r="BT32" s="270">
        <f t="shared" si="109"/>
        <v>52.04</v>
      </c>
      <c r="BU32" s="270">
        <f t="shared" si="109"/>
        <v>85.8</v>
      </c>
      <c r="BV32" s="270">
        <f t="shared" si="109"/>
        <v>85.75</v>
      </c>
      <c r="BW32" s="270">
        <f t="shared" si="109"/>
        <v>196.43</v>
      </c>
      <c r="BX32" s="270">
        <f t="shared" si="109"/>
        <v>373.62</v>
      </c>
      <c r="BY32" s="270">
        <f t="shared" si="109"/>
        <v>350.45</v>
      </c>
      <c r="BZ32" s="270">
        <f t="shared" si="109"/>
        <v>527.62</v>
      </c>
      <c r="CA32" s="270">
        <f t="shared" si="109"/>
        <v>0</v>
      </c>
      <c r="CB32" s="270">
        <f t="shared" si="109"/>
        <v>0</v>
      </c>
      <c r="CC32" s="270">
        <f t="shared" si="109"/>
        <v>0</v>
      </c>
      <c r="CD32" s="270">
        <f t="shared" si="109"/>
        <v>0</v>
      </c>
      <c r="CE32" s="270">
        <f t="shared" si="109"/>
        <v>0</v>
      </c>
      <c r="CF32" s="270">
        <f t="shared" si="109"/>
        <v>0</v>
      </c>
      <c r="CG32" s="270">
        <f t="shared" si="109"/>
        <v>0</v>
      </c>
      <c r="CH32" s="270">
        <f t="shared" si="109"/>
        <v>0</v>
      </c>
      <c r="CI32" s="270">
        <f t="shared" si="109"/>
        <v>0</v>
      </c>
      <c r="CJ32" s="270">
        <f t="shared" si="109"/>
        <v>0</v>
      </c>
      <c r="CK32" s="270">
        <f t="shared" si="109"/>
        <v>0</v>
      </c>
      <c r="CL32" s="270">
        <f t="shared" si="109"/>
        <v>0</v>
      </c>
      <c r="CM32" s="270">
        <f t="shared" si="109"/>
        <v>0</v>
      </c>
      <c r="CN32" s="270">
        <f t="shared" si="109"/>
        <v>0</v>
      </c>
      <c r="CO32" s="270">
        <f t="shared" si="109"/>
        <v>0</v>
      </c>
      <c r="CP32" s="270">
        <f t="shared" si="109"/>
        <v>0</v>
      </c>
      <c r="CQ32" s="215"/>
      <c r="CR32" s="270">
        <f t="shared" si="27"/>
        <v>1678.53</v>
      </c>
      <c r="CS32" s="215"/>
      <c r="CT32" s="270">
        <f t="shared" ref="CT32:DX32" si="110">IF(AI31&gt;0,IF((AI31+BN32)&lt;E$10,AI31+BN32,E$10),0)</f>
        <v>0</v>
      </c>
      <c r="CU32" s="270">
        <f t="shared" si="110"/>
        <v>0</v>
      </c>
      <c r="CV32" s="270">
        <f t="shared" si="110"/>
        <v>0</v>
      </c>
      <c r="CW32" s="270">
        <f t="shared" si="110"/>
        <v>0</v>
      </c>
      <c r="CX32" s="270">
        <f t="shared" si="110"/>
        <v>0</v>
      </c>
      <c r="CY32" s="270">
        <f t="shared" si="110"/>
        <v>35</v>
      </c>
      <c r="CZ32" s="270">
        <f t="shared" si="110"/>
        <v>206</v>
      </c>
      <c r="DA32" s="270">
        <f t="shared" si="110"/>
        <v>82</v>
      </c>
      <c r="DB32" s="270">
        <f t="shared" si="110"/>
        <v>102</v>
      </c>
      <c r="DC32" s="270">
        <f t="shared" si="110"/>
        <v>450.08</v>
      </c>
      <c r="DD32" s="270">
        <f t="shared" si="110"/>
        <v>695.6</v>
      </c>
      <c r="DE32" s="270">
        <f t="shared" si="110"/>
        <v>791.16</v>
      </c>
      <c r="DF32" s="270">
        <f t="shared" si="110"/>
        <v>1467.13</v>
      </c>
      <c r="DG32" s="270">
        <f t="shared" si="110"/>
        <v>0</v>
      </c>
      <c r="DH32" s="270">
        <f t="shared" si="110"/>
        <v>0</v>
      </c>
      <c r="DI32" s="270">
        <f t="shared" si="110"/>
        <v>0</v>
      </c>
      <c r="DJ32" s="270">
        <f t="shared" si="110"/>
        <v>0</v>
      </c>
      <c r="DK32" s="270">
        <f t="shared" si="110"/>
        <v>0</v>
      </c>
      <c r="DL32" s="270">
        <f t="shared" si="110"/>
        <v>0</v>
      </c>
      <c r="DM32" s="270">
        <f t="shared" si="110"/>
        <v>0</v>
      </c>
      <c r="DN32" s="270">
        <f t="shared" si="110"/>
        <v>0</v>
      </c>
      <c r="DO32" s="270">
        <f t="shared" si="110"/>
        <v>0</v>
      </c>
      <c r="DP32" s="270">
        <f t="shared" si="110"/>
        <v>0</v>
      </c>
      <c r="DQ32" s="270">
        <f t="shared" si="110"/>
        <v>0</v>
      </c>
      <c r="DR32" s="270">
        <f t="shared" si="110"/>
        <v>0</v>
      </c>
      <c r="DS32" s="270">
        <f t="shared" si="110"/>
        <v>0</v>
      </c>
      <c r="DT32" s="270">
        <f t="shared" si="110"/>
        <v>0</v>
      </c>
      <c r="DU32" s="270">
        <f t="shared" si="110"/>
        <v>0</v>
      </c>
      <c r="DV32" s="270">
        <f t="shared" si="110"/>
        <v>0</v>
      </c>
      <c r="DW32" s="271" t="str">
        <f t="shared" si="110"/>
        <v/>
      </c>
      <c r="DX32" s="270">
        <f t="shared" si="110"/>
        <v>0</v>
      </c>
      <c r="DY32" s="270">
        <f t="shared" si="29"/>
        <v>3828.97</v>
      </c>
      <c r="DZ32" s="274"/>
      <c r="EA32" s="275">
        <f t="shared" si="38"/>
        <v>0</v>
      </c>
      <c r="EB32" s="270">
        <f t="shared" ref="EB32:FC32" si="111">IF(AJ30&lt;=0,0,IF($C31&lt;=SUM($EA32:EA32),0,IF(CU31+$C31-SUM($EA32:EA32)&gt;AJ30+BO31,AJ30+BO31-CU31,$C31-SUM($EA32:EA32))))</f>
        <v>0</v>
      </c>
      <c r="EC32" s="270">
        <f t="shared" si="111"/>
        <v>0</v>
      </c>
      <c r="ED32" s="270">
        <f t="shared" si="111"/>
        <v>0</v>
      </c>
      <c r="EE32" s="270">
        <f t="shared" si="111"/>
        <v>0</v>
      </c>
      <c r="EF32" s="270">
        <f t="shared" si="111"/>
        <v>43.03</v>
      </c>
      <c r="EG32" s="270">
        <f t="shared" si="111"/>
        <v>0</v>
      </c>
      <c r="EH32" s="270">
        <f t="shared" si="111"/>
        <v>0</v>
      </c>
      <c r="EI32" s="270">
        <f t="shared" si="111"/>
        <v>0</v>
      </c>
      <c r="EJ32" s="270">
        <f t="shared" si="111"/>
        <v>0</v>
      </c>
      <c r="EK32" s="270">
        <f t="shared" si="111"/>
        <v>0</v>
      </c>
      <c r="EL32" s="270">
        <f t="shared" si="111"/>
        <v>0</v>
      </c>
      <c r="EM32" s="270">
        <f t="shared" si="111"/>
        <v>0</v>
      </c>
      <c r="EN32" s="270">
        <f t="shared" si="111"/>
        <v>0</v>
      </c>
      <c r="EO32" s="270">
        <f t="shared" si="111"/>
        <v>0</v>
      </c>
      <c r="EP32" s="270">
        <f t="shared" si="111"/>
        <v>0</v>
      </c>
      <c r="EQ32" s="270">
        <f t="shared" si="111"/>
        <v>0</v>
      </c>
      <c r="ER32" s="270">
        <f t="shared" si="111"/>
        <v>0</v>
      </c>
      <c r="ES32" s="270">
        <f t="shared" si="111"/>
        <v>0</v>
      </c>
      <c r="ET32" s="270">
        <f t="shared" si="111"/>
        <v>0</v>
      </c>
      <c r="EU32" s="270">
        <f t="shared" si="111"/>
        <v>0</v>
      </c>
      <c r="EV32" s="270">
        <f t="shared" si="111"/>
        <v>0</v>
      </c>
      <c r="EW32" s="270">
        <f t="shared" si="111"/>
        <v>0</v>
      </c>
      <c r="EX32" s="270">
        <f t="shared" si="111"/>
        <v>0</v>
      </c>
      <c r="EY32" s="270">
        <f t="shared" si="111"/>
        <v>0</v>
      </c>
      <c r="EZ32" s="270">
        <f t="shared" si="111"/>
        <v>0</v>
      </c>
      <c r="FA32" s="270">
        <f t="shared" si="111"/>
        <v>0</v>
      </c>
      <c r="FB32" s="270">
        <f t="shared" si="111"/>
        <v>0</v>
      </c>
      <c r="FC32" s="270">
        <f t="shared" si="111"/>
        <v>0</v>
      </c>
      <c r="FD32" s="271"/>
      <c r="FE32" s="271"/>
      <c r="FF32" s="271"/>
      <c r="FG32" s="215"/>
      <c r="FH32" s="215"/>
    </row>
    <row r="33" ht="11.25" customHeight="1">
      <c r="A33" s="231">
        <f t="shared" si="19"/>
        <v>13</v>
      </c>
      <c r="B33" s="269">
        <v>46023.0</v>
      </c>
      <c r="C33" s="270">
        <f>IF(A33="","",IF(Calculator!snowball,IF(($E$5-DY33)&lt;0,0,$E$5-DY33),0)+D33)</f>
        <v>43.03</v>
      </c>
      <c r="D33" s="277">
        <v>10.0</v>
      </c>
      <c r="E33" s="270">
        <f t="shared" si="40"/>
        <v>0</v>
      </c>
      <c r="F33" s="270">
        <f t="shared" ref="F33:I33" si="112">CU33+EB34</f>
        <v>0</v>
      </c>
      <c r="G33" s="270">
        <f t="shared" si="112"/>
        <v>0</v>
      </c>
      <c r="H33" s="270">
        <f t="shared" si="112"/>
        <v>0</v>
      </c>
      <c r="I33" s="270">
        <f t="shared" si="112"/>
        <v>0</v>
      </c>
      <c r="J33" s="277">
        <v>83.0</v>
      </c>
      <c r="K33" s="277">
        <v>125.0</v>
      </c>
      <c r="L33" s="277">
        <v>81.0</v>
      </c>
      <c r="M33" s="277">
        <v>163.0</v>
      </c>
      <c r="N33" s="270">
        <f t="shared" si="52"/>
        <v>450.08</v>
      </c>
      <c r="O33" s="270">
        <f t="shared" ref="O33:P33" si="113">DD33+EK34</f>
        <v>695.6</v>
      </c>
      <c r="P33" s="272">
        <f t="shared" si="113"/>
        <v>791.16</v>
      </c>
      <c r="Q33" s="276">
        <v>1461.99</v>
      </c>
      <c r="R33" s="272">
        <f t="shared" ref="R33:AG33" si="114">DG33+EN34</f>
        <v>0</v>
      </c>
      <c r="S33" s="272">
        <f t="shared" si="114"/>
        <v>0</v>
      </c>
      <c r="T33" s="272">
        <f t="shared" si="114"/>
        <v>0</v>
      </c>
      <c r="U33" s="270">
        <f t="shared" si="114"/>
        <v>0</v>
      </c>
      <c r="V33" s="270">
        <f t="shared" si="114"/>
        <v>0</v>
      </c>
      <c r="W33" s="270">
        <f t="shared" si="114"/>
        <v>0</v>
      </c>
      <c r="X33" s="270">
        <f t="shared" si="114"/>
        <v>0</v>
      </c>
      <c r="Y33" s="270">
        <f t="shared" si="114"/>
        <v>0</v>
      </c>
      <c r="Z33" s="270">
        <f t="shared" si="114"/>
        <v>0</v>
      </c>
      <c r="AA33" s="270">
        <f t="shared" si="114"/>
        <v>0</v>
      </c>
      <c r="AB33" s="270">
        <f t="shared" si="114"/>
        <v>0</v>
      </c>
      <c r="AC33" s="270">
        <f t="shared" si="114"/>
        <v>0</v>
      </c>
      <c r="AD33" s="270">
        <f t="shared" si="114"/>
        <v>0</v>
      </c>
      <c r="AE33" s="270">
        <f t="shared" si="114"/>
        <v>0</v>
      </c>
      <c r="AF33" s="270">
        <f t="shared" si="114"/>
        <v>0</v>
      </c>
      <c r="AG33" s="270">
        <f t="shared" si="114"/>
        <v>0</v>
      </c>
      <c r="AH33" s="265">
        <f t="shared" si="13"/>
        <v>272415.23</v>
      </c>
      <c r="AI33" s="270">
        <f t="shared" si="43"/>
        <v>0</v>
      </c>
      <c r="AJ33" s="270">
        <f t="shared" ref="AJ33:AS33" si="115">IF(F$8=0,0,ROUND(AJ32-(F33-BO33),2))</f>
        <v>0</v>
      </c>
      <c r="AK33" s="270">
        <f t="shared" si="115"/>
        <v>0</v>
      </c>
      <c r="AL33" s="270">
        <f t="shared" si="115"/>
        <v>0</v>
      </c>
      <c r="AM33" s="270">
        <f t="shared" si="115"/>
        <v>0</v>
      </c>
      <c r="AN33" s="270">
        <f t="shared" si="115"/>
        <v>120.46</v>
      </c>
      <c r="AO33" s="270">
        <f t="shared" si="115"/>
        <v>1936.91</v>
      </c>
      <c r="AP33" s="270">
        <f t="shared" si="115"/>
        <v>3254.74</v>
      </c>
      <c r="AQ33" s="270">
        <f t="shared" si="115"/>
        <v>3316.96</v>
      </c>
      <c r="AR33" s="270">
        <f t="shared" si="115"/>
        <v>12584.41</v>
      </c>
      <c r="AS33" s="270">
        <f t="shared" si="115"/>
        <v>40111.44</v>
      </c>
      <c r="AT33" s="270">
        <f t="shared" ref="AT33:BK33" si="116">IF(P$8=0,0,ROUND(AT32-(P33-BX33),2))</f>
        <v>44478.76</v>
      </c>
      <c r="AU33" s="270">
        <f t="shared" si="116"/>
        <v>166611.55</v>
      </c>
      <c r="AV33" s="270">
        <f t="shared" si="116"/>
        <v>0</v>
      </c>
      <c r="AW33" s="270">
        <f t="shared" si="116"/>
        <v>0</v>
      </c>
      <c r="AX33" s="270">
        <f t="shared" si="116"/>
        <v>0</v>
      </c>
      <c r="AY33" s="270">
        <f t="shared" si="116"/>
        <v>0</v>
      </c>
      <c r="AZ33" s="270">
        <f t="shared" si="116"/>
        <v>0</v>
      </c>
      <c r="BA33" s="270">
        <f t="shared" si="116"/>
        <v>0</v>
      </c>
      <c r="BB33" s="270">
        <f t="shared" si="116"/>
        <v>0</v>
      </c>
      <c r="BC33" s="270">
        <f t="shared" si="116"/>
        <v>0</v>
      </c>
      <c r="BD33" s="270">
        <f t="shared" si="116"/>
        <v>0</v>
      </c>
      <c r="BE33" s="270">
        <f t="shared" si="116"/>
        <v>0</v>
      </c>
      <c r="BF33" s="270">
        <f t="shared" si="116"/>
        <v>0</v>
      </c>
      <c r="BG33" s="270">
        <f t="shared" si="116"/>
        <v>0</v>
      </c>
      <c r="BH33" s="270">
        <f t="shared" si="116"/>
        <v>0</v>
      </c>
      <c r="BI33" s="270">
        <f t="shared" si="116"/>
        <v>0</v>
      </c>
      <c r="BJ33" s="270">
        <f t="shared" si="116"/>
        <v>0</v>
      </c>
      <c r="BK33" s="270">
        <f t="shared" si="116"/>
        <v>0</v>
      </c>
      <c r="BL33" s="265">
        <f t="shared" si="16"/>
        <v>272415.23</v>
      </c>
      <c r="BM33" s="215"/>
      <c r="BN33" s="270">
        <f t="shared" ref="BN33:CP33" si="117">ROUND(AI32*E$9/12,2)</f>
        <v>0</v>
      </c>
      <c r="BO33" s="270">
        <f t="shared" si="117"/>
        <v>0</v>
      </c>
      <c r="BP33" s="270">
        <f t="shared" si="117"/>
        <v>0</v>
      </c>
      <c r="BQ33" s="270">
        <f t="shared" si="117"/>
        <v>0</v>
      </c>
      <c r="BR33" s="270">
        <f t="shared" si="117"/>
        <v>0</v>
      </c>
      <c r="BS33" s="270">
        <f t="shared" si="117"/>
        <v>4.93</v>
      </c>
      <c r="BT33" s="270">
        <f t="shared" si="117"/>
        <v>50.29</v>
      </c>
      <c r="BU33" s="270">
        <f t="shared" si="117"/>
        <v>85.96</v>
      </c>
      <c r="BV33" s="270">
        <f t="shared" si="117"/>
        <v>84.16</v>
      </c>
      <c r="BW33" s="270">
        <f t="shared" si="117"/>
        <v>192.63</v>
      </c>
      <c r="BX33" s="270">
        <f t="shared" si="117"/>
        <v>370.67</v>
      </c>
      <c r="BY33" s="270">
        <f t="shared" si="117"/>
        <v>347.22</v>
      </c>
      <c r="BZ33" s="270">
        <f t="shared" si="117"/>
        <v>524.14</v>
      </c>
      <c r="CA33" s="270">
        <f t="shared" si="117"/>
        <v>0</v>
      </c>
      <c r="CB33" s="270">
        <f t="shared" si="117"/>
        <v>0</v>
      </c>
      <c r="CC33" s="270">
        <f t="shared" si="117"/>
        <v>0</v>
      </c>
      <c r="CD33" s="270">
        <f t="shared" si="117"/>
        <v>0</v>
      </c>
      <c r="CE33" s="270">
        <f t="shared" si="117"/>
        <v>0</v>
      </c>
      <c r="CF33" s="270">
        <f t="shared" si="117"/>
        <v>0</v>
      </c>
      <c r="CG33" s="270">
        <f t="shared" si="117"/>
        <v>0</v>
      </c>
      <c r="CH33" s="270">
        <f t="shared" si="117"/>
        <v>0</v>
      </c>
      <c r="CI33" s="270">
        <f t="shared" si="117"/>
        <v>0</v>
      </c>
      <c r="CJ33" s="270">
        <f t="shared" si="117"/>
        <v>0</v>
      </c>
      <c r="CK33" s="270">
        <f t="shared" si="117"/>
        <v>0</v>
      </c>
      <c r="CL33" s="270">
        <f t="shared" si="117"/>
        <v>0</v>
      </c>
      <c r="CM33" s="270">
        <f t="shared" si="117"/>
        <v>0</v>
      </c>
      <c r="CN33" s="270">
        <f t="shared" si="117"/>
        <v>0</v>
      </c>
      <c r="CO33" s="270">
        <f t="shared" si="117"/>
        <v>0</v>
      </c>
      <c r="CP33" s="270">
        <f t="shared" si="117"/>
        <v>0</v>
      </c>
      <c r="CQ33" s="215"/>
      <c r="CR33" s="270">
        <f t="shared" si="27"/>
        <v>1660</v>
      </c>
      <c r="CS33" s="215"/>
      <c r="CT33" s="270">
        <f t="shared" ref="CT33:DX33" si="118">IF(AI32&gt;0,IF((AI32+BN33)&lt;E$10,AI32+BN33,E$10),0)</f>
        <v>0</v>
      </c>
      <c r="CU33" s="270">
        <f t="shared" si="118"/>
        <v>0</v>
      </c>
      <c r="CV33" s="270">
        <f t="shared" si="118"/>
        <v>0</v>
      </c>
      <c r="CW33" s="270">
        <f t="shared" si="118"/>
        <v>0</v>
      </c>
      <c r="CX33" s="270">
        <f t="shared" si="118"/>
        <v>0</v>
      </c>
      <c r="CY33" s="270">
        <f t="shared" si="118"/>
        <v>35</v>
      </c>
      <c r="CZ33" s="270">
        <f t="shared" si="118"/>
        <v>206</v>
      </c>
      <c r="DA33" s="270">
        <f t="shared" si="118"/>
        <v>82</v>
      </c>
      <c r="DB33" s="270">
        <f t="shared" si="118"/>
        <v>102</v>
      </c>
      <c r="DC33" s="270">
        <f t="shared" si="118"/>
        <v>450.08</v>
      </c>
      <c r="DD33" s="270">
        <f t="shared" si="118"/>
        <v>695.6</v>
      </c>
      <c r="DE33" s="270">
        <f t="shared" si="118"/>
        <v>791.16</v>
      </c>
      <c r="DF33" s="270">
        <f t="shared" si="118"/>
        <v>1467.13</v>
      </c>
      <c r="DG33" s="270">
        <f t="shared" si="118"/>
        <v>0</v>
      </c>
      <c r="DH33" s="270">
        <f t="shared" si="118"/>
        <v>0</v>
      </c>
      <c r="DI33" s="270">
        <f t="shared" si="118"/>
        <v>0</v>
      </c>
      <c r="DJ33" s="270">
        <f t="shared" si="118"/>
        <v>0</v>
      </c>
      <c r="DK33" s="270">
        <f t="shared" si="118"/>
        <v>0</v>
      </c>
      <c r="DL33" s="270">
        <f t="shared" si="118"/>
        <v>0</v>
      </c>
      <c r="DM33" s="270">
        <f t="shared" si="118"/>
        <v>0</v>
      </c>
      <c r="DN33" s="270">
        <f t="shared" si="118"/>
        <v>0</v>
      </c>
      <c r="DO33" s="270">
        <f t="shared" si="118"/>
        <v>0</v>
      </c>
      <c r="DP33" s="270">
        <f t="shared" si="118"/>
        <v>0</v>
      </c>
      <c r="DQ33" s="270">
        <f t="shared" si="118"/>
        <v>0</v>
      </c>
      <c r="DR33" s="270">
        <f t="shared" si="118"/>
        <v>0</v>
      </c>
      <c r="DS33" s="270">
        <f t="shared" si="118"/>
        <v>0</v>
      </c>
      <c r="DT33" s="270">
        <f t="shared" si="118"/>
        <v>0</v>
      </c>
      <c r="DU33" s="270">
        <f t="shared" si="118"/>
        <v>0</v>
      </c>
      <c r="DV33" s="270">
        <f t="shared" si="118"/>
        <v>0</v>
      </c>
      <c r="DW33" s="271" t="str">
        <f t="shared" si="118"/>
        <v/>
      </c>
      <c r="DX33" s="270">
        <f t="shared" si="118"/>
        <v>0</v>
      </c>
      <c r="DY33" s="270">
        <f t="shared" si="29"/>
        <v>3828.97</v>
      </c>
      <c r="DZ33" s="274"/>
      <c r="EA33" s="275">
        <f t="shared" si="38"/>
        <v>0</v>
      </c>
      <c r="EB33" s="270">
        <f t="shared" ref="EB33:FC33" si="119">IF(AJ31&lt;=0,0,IF($C32&lt;=SUM($EA33:EA33),0,IF(CU32+$C32-SUM($EA33:EA33)&gt;AJ31+BO32,AJ31+BO32-CU32,$C32-SUM($EA33:EA33))))</f>
        <v>0</v>
      </c>
      <c r="EC33" s="270">
        <f t="shared" si="119"/>
        <v>0</v>
      </c>
      <c r="ED33" s="270">
        <f t="shared" si="119"/>
        <v>0</v>
      </c>
      <c r="EE33" s="270">
        <f t="shared" si="119"/>
        <v>0</v>
      </c>
      <c r="EF33" s="270">
        <f t="shared" si="119"/>
        <v>43.03</v>
      </c>
      <c r="EG33" s="270">
        <f t="shared" si="119"/>
        <v>0</v>
      </c>
      <c r="EH33" s="270">
        <f t="shared" si="119"/>
        <v>0</v>
      </c>
      <c r="EI33" s="270">
        <f t="shared" si="119"/>
        <v>0</v>
      </c>
      <c r="EJ33" s="270">
        <f t="shared" si="119"/>
        <v>0</v>
      </c>
      <c r="EK33" s="270">
        <f t="shared" si="119"/>
        <v>0</v>
      </c>
      <c r="EL33" s="270">
        <f t="shared" si="119"/>
        <v>0</v>
      </c>
      <c r="EM33" s="270">
        <f t="shared" si="119"/>
        <v>0</v>
      </c>
      <c r="EN33" s="270">
        <f t="shared" si="119"/>
        <v>0</v>
      </c>
      <c r="EO33" s="270">
        <f t="shared" si="119"/>
        <v>0</v>
      </c>
      <c r="EP33" s="270">
        <f t="shared" si="119"/>
        <v>0</v>
      </c>
      <c r="EQ33" s="270">
        <f t="shared" si="119"/>
        <v>0</v>
      </c>
      <c r="ER33" s="270">
        <f t="shared" si="119"/>
        <v>0</v>
      </c>
      <c r="ES33" s="270">
        <f t="shared" si="119"/>
        <v>0</v>
      </c>
      <c r="ET33" s="270">
        <f t="shared" si="119"/>
        <v>0</v>
      </c>
      <c r="EU33" s="270">
        <f t="shared" si="119"/>
        <v>0</v>
      </c>
      <c r="EV33" s="270">
        <f t="shared" si="119"/>
        <v>0</v>
      </c>
      <c r="EW33" s="270">
        <f t="shared" si="119"/>
        <v>0</v>
      </c>
      <c r="EX33" s="270">
        <f t="shared" si="119"/>
        <v>0</v>
      </c>
      <c r="EY33" s="270">
        <f t="shared" si="119"/>
        <v>0</v>
      </c>
      <c r="EZ33" s="270">
        <f t="shared" si="119"/>
        <v>0</v>
      </c>
      <c r="FA33" s="270">
        <f t="shared" si="119"/>
        <v>0</v>
      </c>
      <c r="FB33" s="270">
        <f t="shared" si="119"/>
        <v>0</v>
      </c>
      <c r="FC33" s="270">
        <f t="shared" si="119"/>
        <v>0</v>
      </c>
      <c r="FD33" s="271"/>
      <c r="FE33" s="271"/>
      <c r="FF33" s="271"/>
      <c r="FG33" s="215"/>
      <c r="FH33" s="215"/>
    </row>
    <row r="34" ht="11.25" customHeight="1">
      <c r="A34" s="231">
        <f t="shared" si="19"/>
        <v>14</v>
      </c>
      <c r="B34" s="269">
        <v>46054.0</v>
      </c>
      <c r="C34" s="270">
        <f>IF(A34="","",IF(Calculator!snowball,IF(($E$5-DY34)&lt;0,0,$E$5-DY34),0)+D34)</f>
        <v>43.03</v>
      </c>
      <c r="D34" s="277">
        <v>10.0</v>
      </c>
      <c r="E34" s="270">
        <f t="shared" si="40"/>
        <v>0</v>
      </c>
      <c r="F34" s="270">
        <f t="shared" ref="F34:J34" si="120">CU34+EB35</f>
        <v>0</v>
      </c>
      <c r="G34" s="270">
        <f t="shared" si="120"/>
        <v>0</v>
      </c>
      <c r="H34" s="270">
        <f t="shared" si="120"/>
        <v>0</v>
      </c>
      <c r="I34" s="270">
        <f t="shared" si="120"/>
        <v>0</v>
      </c>
      <c r="J34" s="270">
        <f t="shared" si="120"/>
        <v>78.03</v>
      </c>
      <c r="K34" s="277">
        <v>122.0</v>
      </c>
      <c r="L34" s="277">
        <v>80.0</v>
      </c>
      <c r="M34" s="277">
        <v>163.0</v>
      </c>
      <c r="N34" s="270">
        <f t="shared" si="52"/>
        <v>450.08</v>
      </c>
      <c r="O34" s="270">
        <f t="shared" ref="O34:P34" si="121">DD34+EK35</f>
        <v>695.6</v>
      </c>
      <c r="P34" s="272">
        <f t="shared" si="121"/>
        <v>791.16</v>
      </c>
      <c r="Q34" s="276">
        <v>1461.99</v>
      </c>
      <c r="R34" s="272">
        <f t="shared" ref="R34:AG34" si="122">DG34+EN35</f>
        <v>0</v>
      </c>
      <c r="S34" s="272">
        <f t="shared" si="122"/>
        <v>0</v>
      </c>
      <c r="T34" s="272">
        <f t="shared" si="122"/>
        <v>0</v>
      </c>
      <c r="U34" s="270">
        <f t="shared" si="122"/>
        <v>0</v>
      </c>
      <c r="V34" s="270">
        <f t="shared" si="122"/>
        <v>0</v>
      </c>
      <c r="W34" s="270">
        <f t="shared" si="122"/>
        <v>0</v>
      </c>
      <c r="X34" s="270">
        <f t="shared" si="122"/>
        <v>0</v>
      </c>
      <c r="Y34" s="270">
        <f t="shared" si="122"/>
        <v>0</v>
      </c>
      <c r="Z34" s="270">
        <f t="shared" si="122"/>
        <v>0</v>
      </c>
      <c r="AA34" s="270">
        <f t="shared" si="122"/>
        <v>0</v>
      </c>
      <c r="AB34" s="270">
        <f t="shared" si="122"/>
        <v>0</v>
      </c>
      <c r="AC34" s="270">
        <f t="shared" si="122"/>
        <v>0</v>
      </c>
      <c r="AD34" s="270">
        <f t="shared" si="122"/>
        <v>0</v>
      </c>
      <c r="AE34" s="270">
        <f t="shared" si="122"/>
        <v>0</v>
      </c>
      <c r="AF34" s="270">
        <f t="shared" si="122"/>
        <v>0</v>
      </c>
      <c r="AG34" s="270">
        <f t="shared" si="122"/>
        <v>0</v>
      </c>
      <c r="AH34" s="265">
        <f t="shared" si="13"/>
        <v>270061.2</v>
      </c>
      <c r="AI34" s="270">
        <f t="shared" si="43"/>
        <v>0</v>
      </c>
      <c r="AJ34" s="270">
        <f t="shared" ref="AJ34:AS34" si="123">IF(F$8=0,0,ROUND(AJ33-(F34-BO34),2))</f>
        <v>0</v>
      </c>
      <c r="AK34" s="270">
        <f t="shared" si="123"/>
        <v>0</v>
      </c>
      <c r="AL34" s="270">
        <f t="shared" si="123"/>
        <v>0</v>
      </c>
      <c r="AM34" s="270">
        <f t="shared" si="123"/>
        <v>0</v>
      </c>
      <c r="AN34" s="270">
        <f t="shared" si="123"/>
        <v>45.42</v>
      </c>
      <c r="AO34" s="270">
        <f t="shared" si="123"/>
        <v>1863.33</v>
      </c>
      <c r="AP34" s="270">
        <f t="shared" si="123"/>
        <v>3260.83</v>
      </c>
      <c r="AQ34" s="270">
        <f t="shared" si="123"/>
        <v>3236.17</v>
      </c>
      <c r="AR34" s="270">
        <f t="shared" si="123"/>
        <v>12323.1</v>
      </c>
      <c r="AS34" s="270">
        <f t="shared" si="123"/>
        <v>39783.53</v>
      </c>
      <c r="AT34" s="270">
        <f t="shared" ref="AT34:BK34" si="124">IF(P$8=0,0,ROUND(AT33-(P34-BX34),2))</f>
        <v>44055.29</v>
      </c>
      <c r="AU34" s="270">
        <f t="shared" si="124"/>
        <v>165493.53</v>
      </c>
      <c r="AV34" s="270">
        <f t="shared" si="124"/>
        <v>0</v>
      </c>
      <c r="AW34" s="270">
        <f t="shared" si="124"/>
        <v>0</v>
      </c>
      <c r="AX34" s="270">
        <f t="shared" si="124"/>
        <v>0</v>
      </c>
      <c r="AY34" s="270">
        <f t="shared" si="124"/>
        <v>0</v>
      </c>
      <c r="AZ34" s="270">
        <f t="shared" si="124"/>
        <v>0</v>
      </c>
      <c r="BA34" s="270">
        <f t="shared" si="124"/>
        <v>0</v>
      </c>
      <c r="BB34" s="270">
        <f t="shared" si="124"/>
        <v>0</v>
      </c>
      <c r="BC34" s="270">
        <f t="shared" si="124"/>
        <v>0</v>
      </c>
      <c r="BD34" s="270">
        <f t="shared" si="124"/>
        <v>0</v>
      </c>
      <c r="BE34" s="270">
        <f t="shared" si="124"/>
        <v>0</v>
      </c>
      <c r="BF34" s="270">
        <f t="shared" si="124"/>
        <v>0</v>
      </c>
      <c r="BG34" s="270">
        <f t="shared" si="124"/>
        <v>0</v>
      </c>
      <c r="BH34" s="270">
        <f t="shared" si="124"/>
        <v>0</v>
      </c>
      <c r="BI34" s="270">
        <f t="shared" si="124"/>
        <v>0</v>
      </c>
      <c r="BJ34" s="270">
        <f t="shared" si="124"/>
        <v>0</v>
      </c>
      <c r="BK34" s="270">
        <f t="shared" si="124"/>
        <v>0</v>
      </c>
      <c r="BL34" s="265">
        <f t="shared" si="16"/>
        <v>270061.2</v>
      </c>
      <c r="BM34" s="215"/>
      <c r="BN34" s="270">
        <f t="shared" ref="BN34:CP34" si="125">ROUND(AI33*E$9/12,2)</f>
        <v>0</v>
      </c>
      <c r="BO34" s="270">
        <f t="shared" si="125"/>
        <v>0</v>
      </c>
      <c r="BP34" s="270">
        <f t="shared" si="125"/>
        <v>0</v>
      </c>
      <c r="BQ34" s="270">
        <f t="shared" si="125"/>
        <v>0</v>
      </c>
      <c r="BR34" s="270">
        <f t="shared" si="125"/>
        <v>0</v>
      </c>
      <c r="BS34" s="270">
        <f t="shared" si="125"/>
        <v>2.99</v>
      </c>
      <c r="BT34" s="270">
        <f t="shared" si="125"/>
        <v>48.42</v>
      </c>
      <c r="BU34" s="270">
        <f t="shared" si="125"/>
        <v>86.09</v>
      </c>
      <c r="BV34" s="270">
        <f t="shared" si="125"/>
        <v>82.21</v>
      </c>
      <c r="BW34" s="270">
        <f t="shared" si="125"/>
        <v>188.77</v>
      </c>
      <c r="BX34" s="270">
        <f t="shared" si="125"/>
        <v>367.69</v>
      </c>
      <c r="BY34" s="270">
        <f t="shared" si="125"/>
        <v>343.97</v>
      </c>
      <c r="BZ34" s="270">
        <f t="shared" si="125"/>
        <v>520.66</v>
      </c>
      <c r="CA34" s="270">
        <f t="shared" si="125"/>
        <v>0</v>
      </c>
      <c r="CB34" s="270">
        <f t="shared" si="125"/>
        <v>0</v>
      </c>
      <c r="CC34" s="270">
        <f t="shared" si="125"/>
        <v>0</v>
      </c>
      <c r="CD34" s="270">
        <f t="shared" si="125"/>
        <v>0</v>
      </c>
      <c r="CE34" s="270">
        <f t="shared" si="125"/>
        <v>0</v>
      </c>
      <c r="CF34" s="270">
        <f t="shared" si="125"/>
        <v>0</v>
      </c>
      <c r="CG34" s="270">
        <f t="shared" si="125"/>
        <v>0</v>
      </c>
      <c r="CH34" s="270">
        <f t="shared" si="125"/>
        <v>0</v>
      </c>
      <c r="CI34" s="270">
        <f t="shared" si="125"/>
        <v>0</v>
      </c>
      <c r="CJ34" s="270">
        <f t="shared" si="125"/>
        <v>0</v>
      </c>
      <c r="CK34" s="270">
        <f t="shared" si="125"/>
        <v>0</v>
      </c>
      <c r="CL34" s="270">
        <f t="shared" si="125"/>
        <v>0</v>
      </c>
      <c r="CM34" s="270">
        <f t="shared" si="125"/>
        <v>0</v>
      </c>
      <c r="CN34" s="270">
        <f t="shared" si="125"/>
        <v>0</v>
      </c>
      <c r="CO34" s="270">
        <f t="shared" si="125"/>
        <v>0</v>
      </c>
      <c r="CP34" s="270">
        <f t="shared" si="125"/>
        <v>0</v>
      </c>
      <c r="CQ34" s="215"/>
      <c r="CR34" s="270">
        <f t="shared" si="27"/>
        <v>1640.8</v>
      </c>
      <c r="CS34" s="215"/>
      <c r="CT34" s="270">
        <f t="shared" ref="CT34:DX34" si="126">IF(AI33&gt;0,IF((AI33+BN34)&lt;E$10,AI33+BN34,E$10),0)</f>
        <v>0</v>
      </c>
      <c r="CU34" s="270">
        <f t="shared" si="126"/>
        <v>0</v>
      </c>
      <c r="CV34" s="270">
        <f t="shared" si="126"/>
        <v>0</v>
      </c>
      <c r="CW34" s="270">
        <f t="shared" si="126"/>
        <v>0</v>
      </c>
      <c r="CX34" s="270">
        <f t="shared" si="126"/>
        <v>0</v>
      </c>
      <c r="CY34" s="270">
        <f t="shared" si="126"/>
        <v>35</v>
      </c>
      <c r="CZ34" s="270">
        <f t="shared" si="126"/>
        <v>206</v>
      </c>
      <c r="DA34" s="270">
        <f t="shared" si="126"/>
        <v>82</v>
      </c>
      <c r="DB34" s="270">
        <f t="shared" si="126"/>
        <v>102</v>
      </c>
      <c r="DC34" s="270">
        <f t="shared" si="126"/>
        <v>450.08</v>
      </c>
      <c r="DD34" s="270">
        <f t="shared" si="126"/>
        <v>695.6</v>
      </c>
      <c r="DE34" s="270">
        <f t="shared" si="126"/>
        <v>791.16</v>
      </c>
      <c r="DF34" s="270">
        <f t="shared" si="126"/>
        <v>1467.13</v>
      </c>
      <c r="DG34" s="270">
        <f t="shared" si="126"/>
        <v>0</v>
      </c>
      <c r="DH34" s="270">
        <f t="shared" si="126"/>
        <v>0</v>
      </c>
      <c r="DI34" s="270">
        <f t="shared" si="126"/>
        <v>0</v>
      </c>
      <c r="DJ34" s="270">
        <f t="shared" si="126"/>
        <v>0</v>
      </c>
      <c r="DK34" s="270">
        <f t="shared" si="126"/>
        <v>0</v>
      </c>
      <c r="DL34" s="270">
        <f t="shared" si="126"/>
        <v>0</v>
      </c>
      <c r="DM34" s="270">
        <f t="shared" si="126"/>
        <v>0</v>
      </c>
      <c r="DN34" s="270">
        <f t="shared" si="126"/>
        <v>0</v>
      </c>
      <c r="DO34" s="270">
        <f t="shared" si="126"/>
        <v>0</v>
      </c>
      <c r="DP34" s="270">
        <f t="shared" si="126"/>
        <v>0</v>
      </c>
      <c r="DQ34" s="270">
        <f t="shared" si="126"/>
        <v>0</v>
      </c>
      <c r="DR34" s="270">
        <f t="shared" si="126"/>
        <v>0</v>
      </c>
      <c r="DS34" s="270">
        <f t="shared" si="126"/>
        <v>0</v>
      </c>
      <c r="DT34" s="270">
        <f t="shared" si="126"/>
        <v>0</v>
      </c>
      <c r="DU34" s="270">
        <f t="shared" si="126"/>
        <v>0</v>
      </c>
      <c r="DV34" s="270">
        <f t="shared" si="126"/>
        <v>0</v>
      </c>
      <c r="DW34" s="271" t="str">
        <f t="shared" si="126"/>
        <v/>
      </c>
      <c r="DX34" s="270">
        <f t="shared" si="126"/>
        <v>0</v>
      </c>
      <c r="DY34" s="270">
        <f t="shared" si="29"/>
        <v>3828.97</v>
      </c>
      <c r="DZ34" s="274"/>
      <c r="EA34" s="275">
        <f t="shared" si="38"/>
        <v>0</v>
      </c>
      <c r="EB34" s="270">
        <f t="shared" ref="EB34:FC34" si="127">IF(AJ32&lt;=0,0,IF($C33&lt;=SUM($EA34:EA34),0,IF(CU33+$C33-SUM($EA34:EA34)&gt;AJ32+BO33,AJ32+BO33-CU33,$C33-SUM($EA34:EA34))))</f>
        <v>0</v>
      </c>
      <c r="EC34" s="270">
        <f t="shared" si="127"/>
        <v>0</v>
      </c>
      <c r="ED34" s="270">
        <f t="shared" si="127"/>
        <v>0</v>
      </c>
      <c r="EE34" s="270">
        <f t="shared" si="127"/>
        <v>0</v>
      </c>
      <c r="EF34" s="270">
        <f t="shared" si="127"/>
        <v>43.03</v>
      </c>
      <c r="EG34" s="270">
        <f t="shared" si="127"/>
        <v>0</v>
      </c>
      <c r="EH34" s="270">
        <f t="shared" si="127"/>
        <v>0</v>
      </c>
      <c r="EI34" s="270">
        <f t="shared" si="127"/>
        <v>0</v>
      </c>
      <c r="EJ34" s="270">
        <f t="shared" si="127"/>
        <v>0</v>
      </c>
      <c r="EK34" s="270">
        <f t="shared" si="127"/>
        <v>0</v>
      </c>
      <c r="EL34" s="270">
        <f t="shared" si="127"/>
        <v>0</v>
      </c>
      <c r="EM34" s="270">
        <f t="shared" si="127"/>
        <v>0</v>
      </c>
      <c r="EN34" s="270">
        <f t="shared" si="127"/>
        <v>0</v>
      </c>
      <c r="EO34" s="270">
        <f t="shared" si="127"/>
        <v>0</v>
      </c>
      <c r="EP34" s="270">
        <f t="shared" si="127"/>
        <v>0</v>
      </c>
      <c r="EQ34" s="270">
        <f t="shared" si="127"/>
        <v>0</v>
      </c>
      <c r="ER34" s="270">
        <f t="shared" si="127"/>
        <v>0</v>
      </c>
      <c r="ES34" s="270">
        <f t="shared" si="127"/>
        <v>0</v>
      </c>
      <c r="ET34" s="270">
        <f t="shared" si="127"/>
        <v>0</v>
      </c>
      <c r="EU34" s="270">
        <f t="shared" si="127"/>
        <v>0</v>
      </c>
      <c r="EV34" s="270">
        <f t="shared" si="127"/>
        <v>0</v>
      </c>
      <c r="EW34" s="270">
        <f t="shared" si="127"/>
        <v>0</v>
      </c>
      <c r="EX34" s="270">
        <f t="shared" si="127"/>
        <v>0</v>
      </c>
      <c r="EY34" s="270">
        <f t="shared" si="127"/>
        <v>0</v>
      </c>
      <c r="EZ34" s="270">
        <f t="shared" si="127"/>
        <v>0</v>
      </c>
      <c r="FA34" s="270">
        <f t="shared" si="127"/>
        <v>0</v>
      </c>
      <c r="FB34" s="270">
        <f t="shared" si="127"/>
        <v>0</v>
      </c>
      <c r="FC34" s="270">
        <f t="shared" si="127"/>
        <v>0</v>
      </c>
      <c r="FD34" s="271"/>
      <c r="FE34" s="271"/>
      <c r="FF34" s="271"/>
      <c r="FG34" s="215"/>
      <c r="FH34" s="215"/>
    </row>
    <row r="35" ht="11.25" customHeight="1">
      <c r="A35" s="231">
        <f t="shared" si="19"/>
        <v>15</v>
      </c>
      <c r="B35" s="269">
        <v>46082.0</v>
      </c>
      <c r="C35" s="270">
        <f>IF(A35="","",IF(Calculator!snowball,IF(($E$5-DY35)&lt;0,0,$E$5-DY35),0)+D35)</f>
        <v>43.03</v>
      </c>
      <c r="D35" s="277">
        <v>10.0</v>
      </c>
      <c r="E35" s="270">
        <f t="shared" si="40"/>
        <v>0</v>
      </c>
      <c r="F35" s="270">
        <f t="shared" ref="F35:J35" si="128">CU35+EB36</f>
        <v>0</v>
      </c>
      <c r="G35" s="270">
        <f t="shared" si="128"/>
        <v>0</v>
      </c>
      <c r="H35" s="270">
        <f t="shared" si="128"/>
        <v>0</v>
      </c>
      <c r="I35" s="270">
        <f t="shared" si="128"/>
        <v>0</v>
      </c>
      <c r="J35" s="270">
        <f t="shared" si="128"/>
        <v>46.55</v>
      </c>
      <c r="K35" s="277">
        <v>113.0</v>
      </c>
      <c r="L35" s="277">
        <v>73.0</v>
      </c>
      <c r="M35" s="277">
        <v>151.0</v>
      </c>
      <c r="N35" s="270">
        <f t="shared" si="52"/>
        <v>450.08</v>
      </c>
      <c r="O35" s="270">
        <f t="shared" ref="O35:AG35" si="129">DD35+EK36</f>
        <v>695.6</v>
      </c>
      <c r="P35" s="272">
        <f t="shared" si="129"/>
        <v>791.16</v>
      </c>
      <c r="Q35" s="272">
        <f t="shared" si="129"/>
        <v>1467.13</v>
      </c>
      <c r="R35" s="272">
        <f t="shared" si="129"/>
        <v>0</v>
      </c>
      <c r="S35" s="272">
        <f t="shared" si="129"/>
        <v>0</v>
      </c>
      <c r="T35" s="272">
        <f t="shared" si="129"/>
        <v>0</v>
      </c>
      <c r="U35" s="270">
        <f t="shared" si="129"/>
        <v>0</v>
      </c>
      <c r="V35" s="270">
        <f t="shared" si="129"/>
        <v>0</v>
      </c>
      <c r="W35" s="270">
        <f t="shared" si="129"/>
        <v>0</v>
      </c>
      <c r="X35" s="270">
        <f t="shared" si="129"/>
        <v>0</v>
      </c>
      <c r="Y35" s="270">
        <f t="shared" si="129"/>
        <v>0</v>
      </c>
      <c r="Z35" s="270">
        <f t="shared" si="129"/>
        <v>0</v>
      </c>
      <c r="AA35" s="270">
        <f t="shared" si="129"/>
        <v>0</v>
      </c>
      <c r="AB35" s="270">
        <f t="shared" si="129"/>
        <v>0</v>
      </c>
      <c r="AC35" s="270">
        <f t="shared" si="129"/>
        <v>0</v>
      </c>
      <c r="AD35" s="270">
        <f t="shared" si="129"/>
        <v>0</v>
      </c>
      <c r="AE35" s="270">
        <f t="shared" si="129"/>
        <v>0</v>
      </c>
      <c r="AF35" s="270">
        <f t="shared" si="129"/>
        <v>0</v>
      </c>
      <c r="AG35" s="270">
        <f t="shared" si="129"/>
        <v>0</v>
      </c>
      <c r="AH35" s="265">
        <f t="shared" si="13"/>
        <v>267742.74</v>
      </c>
      <c r="AI35" s="270">
        <f t="shared" si="43"/>
        <v>0</v>
      </c>
      <c r="AJ35" s="270">
        <f t="shared" ref="AJ35:AS35" si="130">IF(F$8=0,0,ROUND(AJ34-(F35-BO35),2))</f>
        <v>0</v>
      </c>
      <c r="AK35" s="270">
        <f t="shared" si="130"/>
        <v>0</v>
      </c>
      <c r="AL35" s="270">
        <f t="shared" si="130"/>
        <v>0</v>
      </c>
      <c r="AM35" s="270">
        <f t="shared" si="130"/>
        <v>0</v>
      </c>
      <c r="AN35" s="270">
        <f t="shared" si="130"/>
        <v>0</v>
      </c>
      <c r="AO35" s="270">
        <f t="shared" si="130"/>
        <v>1796.91</v>
      </c>
      <c r="AP35" s="270">
        <f t="shared" si="130"/>
        <v>3274.08</v>
      </c>
      <c r="AQ35" s="270">
        <f t="shared" si="130"/>
        <v>3165.37</v>
      </c>
      <c r="AR35" s="270">
        <f t="shared" si="130"/>
        <v>12057.87</v>
      </c>
      <c r="AS35" s="270">
        <f t="shared" si="130"/>
        <v>39452.61</v>
      </c>
      <c r="AT35" s="270">
        <f t="shared" ref="AT35:BK35" si="131">IF(P$8=0,0,ROUND(AT34-(P35-BX35),2))</f>
        <v>43628.81</v>
      </c>
      <c r="AU35" s="270">
        <f t="shared" si="131"/>
        <v>164367.09</v>
      </c>
      <c r="AV35" s="270">
        <f t="shared" si="131"/>
        <v>0</v>
      </c>
      <c r="AW35" s="270">
        <f t="shared" si="131"/>
        <v>0</v>
      </c>
      <c r="AX35" s="270">
        <f t="shared" si="131"/>
        <v>0</v>
      </c>
      <c r="AY35" s="270">
        <f t="shared" si="131"/>
        <v>0</v>
      </c>
      <c r="AZ35" s="270">
        <f t="shared" si="131"/>
        <v>0</v>
      </c>
      <c r="BA35" s="270">
        <f t="shared" si="131"/>
        <v>0</v>
      </c>
      <c r="BB35" s="270">
        <f t="shared" si="131"/>
        <v>0</v>
      </c>
      <c r="BC35" s="270">
        <f t="shared" si="131"/>
        <v>0</v>
      </c>
      <c r="BD35" s="270">
        <f t="shared" si="131"/>
        <v>0</v>
      </c>
      <c r="BE35" s="270">
        <f t="shared" si="131"/>
        <v>0</v>
      </c>
      <c r="BF35" s="270">
        <f t="shared" si="131"/>
        <v>0</v>
      </c>
      <c r="BG35" s="270">
        <f t="shared" si="131"/>
        <v>0</v>
      </c>
      <c r="BH35" s="270">
        <f t="shared" si="131"/>
        <v>0</v>
      </c>
      <c r="BI35" s="270">
        <f t="shared" si="131"/>
        <v>0</v>
      </c>
      <c r="BJ35" s="270">
        <f t="shared" si="131"/>
        <v>0</v>
      </c>
      <c r="BK35" s="270">
        <f t="shared" si="131"/>
        <v>0</v>
      </c>
      <c r="BL35" s="265">
        <f t="shared" si="16"/>
        <v>267742.74</v>
      </c>
      <c r="BM35" s="215"/>
      <c r="BN35" s="270">
        <f t="shared" ref="BN35:CP35" si="132">ROUND(AI34*E$9/12,2)</f>
        <v>0</v>
      </c>
      <c r="BO35" s="270">
        <f t="shared" si="132"/>
        <v>0</v>
      </c>
      <c r="BP35" s="270">
        <f t="shared" si="132"/>
        <v>0</v>
      </c>
      <c r="BQ35" s="270">
        <f t="shared" si="132"/>
        <v>0</v>
      </c>
      <c r="BR35" s="270">
        <f t="shared" si="132"/>
        <v>0</v>
      </c>
      <c r="BS35" s="270">
        <f t="shared" si="132"/>
        <v>1.13</v>
      </c>
      <c r="BT35" s="270">
        <f t="shared" si="132"/>
        <v>46.58</v>
      </c>
      <c r="BU35" s="270">
        <f t="shared" si="132"/>
        <v>86.25</v>
      </c>
      <c r="BV35" s="270">
        <f t="shared" si="132"/>
        <v>80.2</v>
      </c>
      <c r="BW35" s="270">
        <f t="shared" si="132"/>
        <v>184.85</v>
      </c>
      <c r="BX35" s="270">
        <f t="shared" si="132"/>
        <v>364.68</v>
      </c>
      <c r="BY35" s="270">
        <f t="shared" si="132"/>
        <v>340.69</v>
      </c>
      <c r="BZ35" s="270">
        <f t="shared" si="132"/>
        <v>517.17</v>
      </c>
      <c r="CA35" s="270">
        <f t="shared" si="132"/>
        <v>0</v>
      </c>
      <c r="CB35" s="270">
        <f t="shared" si="132"/>
        <v>0</v>
      </c>
      <c r="CC35" s="270">
        <f t="shared" si="132"/>
        <v>0</v>
      </c>
      <c r="CD35" s="270">
        <f t="shared" si="132"/>
        <v>0</v>
      </c>
      <c r="CE35" s="270">
        <f t="shared" si="132"/>
        <v>0</v>
      </c>
      <c r="CF35" s="270">
        <f t="shared" si="132"/>
        <v>0</v>
      </c>
      <c r="CG35" s="270">
        <f t="shared" si="132"/>
        <v>0</v>
      </c>
      <c r="CH35" s="270">
        <f t="shared" si="132"/>
        <v>0</v>
      </c>
      <c r="CI35" s="270">
        <f t="shared" si="132"/>
        <v>0</v>
      </c>
      <c r="CJ35" s="270">
        <f t="shared" si="132"/>
        <v>0</v>
      </c>
      <c r="CK35" s="270">
        <f t="shared" si="132"/>
        <v>0</v>
      </c>
      <c r="CL35" s="270">
        <f t="shared" si="132"/>
        <v>0</v>
      </c>
      <c r="CM35" s="270">
        <f t="shared" si="132"/>
        <v>0</v>
      </c>
      <c r="CN35" s="270">
        <f t="shared" si="132"/>
        <v>0</v>
      </c>
      <c r="CO35" s="270">
        <f t="shared" si="132"/>
        <v>0</v>
      </c>
      <c r="CP35" s="270">
        <f t="shared" si="132"/>
        <v>0</v>
      </c>
      <c r="CQ35" s="215"/>
      <c r="CR35" s="270">
        <f t="shared" si="27"/>
        <v>1621.55</v>
      </c>
      <c r="CS35" s="215"/>
      <c r="CT35" s="270">
        <f t="shared" ref="CT35:DX35" si="133">IF(AI34&gt;0,IF((AI34+BN35)&lt;E$10,AI34+BN35,E$10),0)</f>
        <v>0</v>
      </c>
      <c r="CU35" s="270">
        <f t="shared" si="133"/>
        <v>0</v>
      </c>
      <c r="CV35" s="270">
        <f t="shared" si="133"/>
        <v>0</v>
      </c>
      <c r="CW35" s="270">
        <f t="shared" si="133"/>
        <v>0</v>
      </c>
      <c r="CX35" s="270">
        <f t="shared" si="133"/>
        <v>0</v>
      </c>
      <c r="CY35" s="270">
        <f t="shared" si="133"/>
        <v>35</v>
      </c>
      <c r="CZ35" s="270">
        <f t="shared" si="133"/>
        <v>206</v>
      </c>
      <c r="DA35" s="270">
        <f t="shared" si="133"/>
        <v>82</v>
      </c>
      <c r="DB35" s="270">
        <f t="shared" si="133"/>
        <v>102</v>
      </c>
      <c r="DC35" s="270">
        <f t="shared" si="133"/>
        <v>450.08</v>
      </c>
      <c r="DD35" s="270">
        <f t="shared" si="133"/>
        <v>695.6</v>
      </c>
      <c r="DE35" s="270">
        <f t="shared" si="133"/>
        <v>791.16</v>
      </c>
      <c r="DF35" s="270">
        <f t="shared" si="133"/>
        <v>1467.13</v>
      </c>
      <c r="DG35" s="270">
        <f t="shared" si="133"/>
        <v>0</v>
      </c>
      <c r="DH35" s="270">
        <f t="shared" si="133"/>
        <v>0</v>
      </c>
      <c r="DI35" s="270">
        <f t="shared" si="133"/>
        <v>0</v>
      </c>
      <c r="DJ35" s="270">
        <f t="shared" si="133"/>
        <v>0</v>
      </c>
      <c r="DK35" s="270">
        <f t="shared" si="133"/>
        <v>0</v>
      </c>
      <c r="DL35" s="270">
        <f t="shared" si="133"/>
        <v>0</v>
      </c>
      <c r="DM35" s="270">
        <f t="shared" si="133"/>
        <v>0</v>
      </c>
      <c r="DN35" s="270">
        <f t="shared" si="133"/>
        <v>0</v>
      </c>
      <c r="DO35" s="270">
        <f t="shared" si="133"/>
        <v>0</v>
      </c>
      <c r="DP35" s="270">
        <f t="shared" si="133"/>
        <v>0</v>
      </c>
      <c r="DQ35" s="270">
        <f t="shared" si="133"/>
        <v>0</v>
      </c>
      <c r="DR35" s="270">
        <f t="shared" si="133"/>
        <v>0</v>
      </c>
      <c r="DS35" s="270">
        <f t="shared" si="133"/>
        <v>0</v>
      </c>
      <c r="DT35" s="270">
        <f t="shared" si="133"/>
        <v>0</v>
      </c>
      <c r="DU35" s="270">
        <f t="shared" si="133"/>
        <v>0</v>
      </c>
      <c r="DV35" s="270">
        <f t="shared" si="133"/>
        <v>0</v>
      </c>
      <c r="DW35" s="271" t="str">
        <f t="shared" si="133"/>
        <v/>
      </c>
      <c r="DX35" s="270">
        <f t="shared" si="133"/>
        <v>0</v>
      </c>
      <c r="DY35" s="270">
        <f t="shared" si="29"/>
        <v>3828.97</v>
      </c>
      <c r="DZ35" s="274"/>
      <c r="EA35" s="275">
        <f t="shared" si="38"/>
        <v>0</v>
      </c>
      <c r="EB35" s="270">
        <f t="shared" ref="EB35:FC35" si="134">IF(AJ33&lt;=0,0,IF($C34&lt;=SUM($EA35:EA35),0,IF(CU34+$C34-SUM($EA35:EA35)&gt;AJ33+BO34,AJ33+BO34-CU34,$C34-SUM($EA35:EA35))))</f>
        <v>0</v>
      </c>
      <c r="EC35" s="270">
        <f t="shared" si="134"/>
        <v>0</v>
      </c>
      <c r="ED35" s="270">
        <f t="shared" si="134"/>
        <v>0</v>
      </c>
      <c r="EE35" s="270">
        <f t="shared" si="134"/>
        <v>0</v>
      </c>
      <c r="EF35" s="270">
        <f t="shared" si="134"/>
        <v>43.03</v>
      </c>
      <c r="EG35" s="270">
        <f t="shared" si="134"/>
        <v>0</v>
      </c>
      <c r="EH35" s="270">
        <f t="shared" si="134"/>
        <v>0</v>
      </c>
      <c r="EI35" s="270">
        <f t="shared" si="134"/>
        <v>0</v>
      </c>
      <c r="EJ35" s="270">
        <f t="shared" si="134"/>
        <v>0</v>
      </c>
      <c r="EK35" s="270">
        <f t="shared" si="134"/>
        <v>0</v>
      </c>
      <c r="EL35" s="270">
        <f t="shared" si="134"/>
        <v>0</v>
      </c>
      <c r="EM35" s="270">
        <f t="shared" si="134"/>
        <v>0</v>
      </c>
      <c r="EN35" s="270">
        <f t="shared" si="134"/>
        <v>0</v>
      </c>
      <c r="EO35" s="270">
        <f t="shared" si="134"/>
        <v>0</v>
      </c>
      <c r="EP35" s="270">
        <f t="shared" si="134"/>
        <v>0</v>
      </c>
      <c r="EQ35" s="270">
        <f t="shared" si="134"/>
        <v>0</v>
      </c>
      <c r="ER35" s="270">
        <f t="shared" si="134"/>
        <v>0</v>
      </c>
      <c r="ES35" s="270">
        <f t="shared" si="134"/>
        <v>0</v>
      </c>
      <c r="ET35" s="270">
        <f t="shared" si="134"/>
        <v>0</v>
      </c>
      <c r="EU35" s="270">
        <f t="shared" si="134"/>
        <v>0</v>
      </c>
      <c r="EV35" s="270">
        <f t="shared" si="134"/>
        <v>0</v>
      </c>
      <c r="EW35" s="270">
        <f t="shared" si="134"/>
        <v>0</v>
      </c>
      <c r="EX35" s="270">
        <f t="shared" si="134"/>
        <v>0</v>
      </c>
      <c r="EY35" s="270">
        <f t="shared" si="134"/>
        <v>0</v>
      </c>
      <c r="EZ35" s="270">
        <f t="shared" si="134"/>
        <v>0</v>
      </c>
      <c r="FA35" s="270">
        <f t="shared" si="134"/>
        <v>0</v>
      </c>
      <c r="FB35" s="270">
        <f t="shared" si="134"/>
        <v>0</v>
      </c>
      <c r="FC35" s="270">
        <f t="shared" si="134"/>
        <v>0</v>
      </c>
      <c r="FD35" s="271"/>
      <c r="FE35" s="271"/>
      <c r="FF35" s="271"/>
      <c r="FG35" s="215"/>
      <c r="FH35" s="215"/>
    </row>
    <row r="36" ht="11.25" customHeight="1">
      <c r="A36" s="231">
        <f t="shared" si="19"/>
        <v>16</v>
      </c>
      <c r="B36" s="269">
        <v>46113.0</v>
      </c>
      <c r="C36" s="270">
        <f>IF(A36="","",IF(Calculator!snowball,IF(($E$5-DY36)&lt;0,0,$E$5-DY36),0)+D36)</f>
        <v>78.03</v>
      </c>
      <c r="D36" s="277">
        <v>10.0</v>
      </c>
      <c r="E36" s="270">
        <f t="shared" si="40"/>
        <v>0</v>
      </c>
      <c r="F36" s="270">
        <f t="shared" ref="F36:J36" si="135">CU36+EB37</f>
        <v>0</v>
      </c>
      <c r="G36" s="270">
        <f t="shared" si="135"/>
        <v>0</v>
      </c>
      <c r="H36" s="270">
        <f t="shared" si="135"/>
        <v>0</v>
      </c>
      <c r="I36" s="270">
        <f t="shared" si="135"/>
        <v>0</v>
      </c>
      <c r="J36" s="270">
        <f t="shared" si="135"/>
        <v>0</v>
      </c>
      <c r="K36" s="277">
        <v>125.0</v>
      </c>
      <c r="L36" s="277">
        <v>80.0</v>
      </c>
      <c r="M36" s="277">
        <v>151.0</v>
      </c>
      <c r="N36" s="270">
        <f t="shared" si="52"/>
        <v>450.08</v>
      </c>
      <c r="O36" s="270">
        <f t="shared" ref="O36:AG36" si="136">DD36+EK37</f>
        <v>695.6</v>
      </c>
      <c r="P36" s="272">
        <f t="shared" si="136"/>
        <v>791.16</v>
      </c>
      <c r="Q36" s="272">
        <f t="shared" si="136"/>
        <v>1467.13</v>
      </c>
      <c r="R36" s="272">
        <f t="shared" si="136"/>
        <v>0</v>
      </c>
      <c r="S36" s="272">
        <f t="shared" si="136"/>
        <v>0</v>
      </c>
      <c r="T36" s="272">
        <f t="shared" si="136"/>
        <v>0</v>
      </c>
      <c r="U36" s="270">
        <f t="shared" si="136"/>
        <v>0</v>
      </c>
      <c r="V36" s="270">
        <f t="shared" si="136"/>
        <v>0</v>
      </c>
      <c r="W36" s="270">
        <f t="shared" si="136"/>
        <v>0</v>
      </c>
      <c r="X36" s="270">
        <f t="shared" si="136"/>
        <v>0</v>
      </c>
      <c r="Y36" s="270">
        <f t="shared" si="136"/>
        <v>0</v>
      </c>
      <c r="Z36" s="270">
        <f t="shared" si="136"/>
        <v>0</v>
      </c>
      <c r="AA36" s="270">
        <f t="shared" si="136"/>
        <v>0</v>
      </c>
      <c r="AB36" s="270">
        <f t="shared" si="136"/>
        <v>0</v>
      </c>
      <c r="AC36" s="270">
        <f t="shared" si="136"/>
        <v>0</v>
      </c>
      <c r="AD36" s="270">
        <f t="shared" si="136"/>
        <v>0</v>
      </c>
      <c r="AE36" s="270">
        <f t="shared" si="136"/>
        <v>0</v>
      </c>
      <c r="AF36" s="270">
        <f t="shared" si="136"/>
        <v>0</v>
      </c>
      <c r="AG36" s="270">
        <f t="shared" si="136"/>
        <v>0</v>
      </c>
      <c r="AH36" s="265">
        <f t="shared" si="13"/>
        <v>265434.31</v>
      </c>
      <c r="AI36" s="270">
        <f t="shared" si="43"/>
        <v>0</v>
      </c>
      <c r="AJ36" s="270">
        <f t="shared" ref="AJ36:AS36" si="137">IF(F$8=0,0,ROUND(AJ35-(F36-BO36),2))</f>
        <v>0</v>
      </c>
      <c r="AK36" s="270">
        <f t="shared" si="137"/>
        <v>0</v>
      </c>
      <c r="AL36" s="270">
        <f t="shared" si="137"/>
        <v>0</v>
      </c>
      <c r="AM36" s="270">
        <f t="shared" si="137"/>
        <v>0</v>
      </c>
      <c r="AN36" s="270">
        <f t="shared" si="137"/>
        <v>0</v>
      </c>
      <c r="AO36" s="270">
        <f t="shared" si="137"/>
        <v>1716.83</v>
      </c>
      <c r="AP36" s="270">
        <f t="shared" si="137"/>
        <v>3280.68</v>
      </c>
      <c r="AQ36" s="270">
        <f t="shared" si="137"/>
        <v>3092.82</v>
      </c>
      <c r="AR36" s="270">
        <f t="shared" si="137"/>
        <v>11788.66</v>
      </c>
      <c r="AS36" s="270">
        <f t="shared" si="137"/>
        <v>39118.66</v>
      </c>
      <c r="AT36" s="270">
        <f t="shared" ref="AT36:BK36" si="138">IF(P$8=0,0,ROUND(AT35-(P36-BX36),2))</f>
        <v>43199.3</v>
      </c>
      <c r="AU36" s="270">
        <f t="shared" si="138"/>
        <v>163237.36</v>
      </c>
      <c r="AV36" s="270">
        <f t="shared" si="138"/>
        <v>0</v>
      </c>
      <c r="AW36" s="270">
        <f t="shared" si="138"/>
        <v>0</v>
      </c>
      <c r="AX36" s="270">
        <f t="shared" si="138"/>
        <v>0</v>
      </c>
      <c r="AY36" s="270">
        <f t="shared" si="138"/>
        <v>0</v>
      </c>
      <c r="AZ36" s="270">
        <f t="shared" si="138"/>
        <v>0</v>
      </c>
      <c r="BA36" s="270">
        <f t="shared" si="138"/>
        <v>0</v>
      </c>
      <c r="BB36" s="270">
        <f t="shared" si="138"/>
        <v>0</v>
      </c>
      <c r="BC36" s="270">
        <f t="shared" si="138"/>
        <v>0</v>
      </c>
      <c r="BD36" s="270">
        <f t="shared" si="138"/>
        <v>0</v>
      </c>
      <c r="BE36" s="270">
        <f t="shared" si="138"/>
        <v>0</v>
      </c>
      <c r="BF36" s="270">
        <f t="shared" si="138"/>
        <v>0</v>
      </c>
      <c r="BG36" s="270">
        <f t="shared" si="138"/>
        <v>0</v>
      </c>
      <c r="BH36" s="270">
        <f t="shared" si="138"/>
        <v>0</v>
      </c>
      <c r="BI36" s="270">
        <f t="shared" si="138"/>
        <v>0</v>
      </c>
      <c r="BJ36" s="270">
        <f t="shared" si="138"/>
        <v>0</v>
      </c>
      <c r="BK36" s="270">
        <f t="shared" si="138"/>
        <v>0</v>
      </c>
      <c r="BL36" s="265">
        <f t="shared" si="16"/>
        <v>265434.31</v>
      </c>
      <c r="BM36" s="215"/>
      <c r="BN36" s="270">
        <f t="shared" ref="BN36:CP36" si="139">ROUND(AI35*E$9/12,2)</f>
        <v>0</v>
      </c>
      <c r="BO36" s="270">
        <f t="shared" si="139"/>
        <v>0</v>
      </c>
      <c r="BP36" s="270">
        <f t="shared" si="139"/>
        <v>0</v>
      </c>
      <c r="BQ36" s="270">
        <f t="shared" si="139"/>
        <v>0</v>
      </c>
      <c r="BR36" s="270">
        <f t="shared" si="139"/>
        <v>0</v>
      </c>
      <c r="BS36" s="270">
        <f t="shared" si="139"/>
        <v>0</v>
      </c>
      <c r="BT36" s="270">
        <f t="shared" si="139"/>
        <v>44.92</v>
      </c>
      <c r="BU36" s="270">
        <f t="shared" si="139"/>
        <v>86.6</v>
      </c>
      <c r="BV36" s="270">
        <f t="shared" si="139"/>
        <v>78.45</v>
      </c>
      <c r="BW36" s="270">
        <f t="shared" si="139"/>
        <v>180.87</v>
      </c>
      <c r="BX36" s="270">
        <f t="shared" si="139"/>
        <v>361.65</v>
      </c>
      <c r="BY36" s="270">
        <f t="shared" si="139"/>
        <v>337.4</v>
      </c>
      <c r="BZ36" s="270">
        <f t="shared" si="139"/>
        <v>513.65</v>
      </c>
      <c r="CA36" s="270">
        <f t="shared" si="139"/>
        <v>0</v>
      </c>
      <c r="CB36" s="270">
        <f t="shared" si="139"/>
        <v>0</v>
      </c>
      <c r="CC36" s="270">
        <f t="shared" si="139"/>
        <v>0</v>
      </c>
      <c r="CD36" s="270">
        <f t="shared" si="139"/>
        <v>0</v>
      </c>
      <c r="CE36" s="270">
        <f t="shared" si="139"/>
        <v>0</v>
      </c>
      <c r="CF36" s="270">
        <f t="shared" si="139"/>
        <v>0</v>
      </c>
      <c r="CG36" s="270">
        <f t="shared" si="139"/>
        <v>0</v>
      </c>
      <c r="CH36" s="270">
        <f t="shared" si="139"/>
        <v>0</v>
      </c>
      <c r="CI36" s="270">
        <f t="shared" si="139"/>
        <v>0</v>
      </c>
      <c r="CJ36" s="270">
        <f t="shared" si="139"/>
        <v>0</v>
      </c>
      <c r="CK36" s="270">
        <f t="shared" si="139"/>
        <v>0</v>
      </c>
      <c r="CL36" s="270">
        <f t="shared" si="139"/>
        <v>0</v>
      </c>
      <c r="CM36" s="270">
        <f t="shared" si="139"/>
        <v>0</v>
      </c>
      <c r="CN36" s="270">
        <f t="shared" si="139"/>
        <v>0</v>
      </c>
      <c r="CO36" s="270">
        <f t="shared" si="139"/>
        <v>0</v>
      </c>
      <c r="CP36" s="270">
        <f t="shared" si="139"/>
        <v>0</v>
      </c>
      <c r="CQ36" s="215"/>
      <c r="CR36" s="270">
        <f t="shared" si="27"/>
        <v>1603.54</v>
      </c>
      <c r="CS36" s="215"/>
      <c r="CT36" s="270">
        <f t="shared" ref="CT36:DX36" si="140">IF(AI35&gt;0,IF((AI35+BN36)&lt;E$10,AI35+BN36,E$10),0)</f>
        <v>0</v>
      </c>
      <c r="CU36" s="270">
        <f t="shared" si="140"/>
        <v>0</v>
      </c>
      <c r="CV36" s="270">
        <f t="shared" si="140"/>
        <v>0</v>
      </c>
      <c r="CW36" s="270">
        <f t="shared" si="140"/>
        <v>0</v>
      </c>
      <c r="CX36" s="270">
        <f t="shared" si="140"/>
        <v>0</v>
      </c>
      <c r="CY36" s="270">
        <f t="shared" si="140"/>
        <v>0</v>
      </c>
      <c r="CZ36" s="270">
        <f t="shared" si="140"/>
        <v>206</v>
      </c>
      <c r="DA36" s="270">
        <f t="shared" si="140"/>
        <v>82</v>
      </c>
      <c r="DB36" s="270">
        <f t="shared" si="140"/>
        <v>102</v>
      </c>
      <c r="DC36" s="270">
        <f t="shared" si="140"/>
        <v>450.08</v>
      </c>
      <c r="DD36" s="270">
        <f t="shared" si="140"/>
        <v>695.6</v>
      </c>
      <c r="DE36" s="270">
        <f t="shared" si="140"/>
        <v>791.16</v>
      </c>
      <c r="DF36" s="270">
        <f t="shared" si="140"/>
        <v>1467.13</v>
      </c>
      <c r="DG36" s="270">
        <f t="shared" si="140"/>
        <v>0</v>
      </c>
      <c r="DH36" s="270">
        <f t="shared" si="140"/>
        <v>0</v>
      </c>
      <c r="DI36" s="270">
        <f t="shared" si="140"/>
        <v>0</v>
      </c>
      <c r="DJ36" s="270">
        <f t="shared" si="140"/>
        <v>0</v>
      </c>
      <c r="DK36" s="270">
        <f t="shared" si="140"/>
        <v>0</v>
      </c>
      <c r="DL36" s="270">
        <f t="shared" si="140"/>
        <v>0</v>
      </c>
      <c r="DM36" s="270">
        <f t="shared" si="140"/>
        <v>0</v>
      </c>
      <c r="DN36" s="270">
        <f t="shared" si="140"/>
        <v>0</v>
      </c>
      <c r="DO36" s="270">
        <f t="shared" si="140"/>
        <v>0</v>
      </c>
      <c r="DP36" s="270">
        <f t="shared" si="140"/>
        <v>0</v>
      </c>
      <c r="DQ36" s="270">
        <f t="shared" si="140"/>
        <v>0</v>
      </c>
      <c r="DR36" s="270">
        <f t="shared" si="140"/>
        <v>0</v>
      </c>
      <c r="DS36" s="270">
        <f t="shared" si="140"/>
        <v>0</v>
      </c>
      <c r="DT36" s="270">
        <f t="shared" si="140"/>
        <v>0</v>
      </c>
      <c r="DU36" s="270">
        <f t="shared" si="140"/>
        <v>0</v>
      </c>
      <c r="DV36" s="270">
        <f t="shared" si="140"/>
        <v>0</v>
      </c>
      <c r="DW36" s="271" t="str">
        <f t="shared" si="140"/>
        <v/>
      </c>
      <c r="DX36" s="270">
        <f t="shared" si="140"/>
        <v>0</v>
      </c>
      <c r="DY36" s="270">
        <f t="shared" si="29"/>
        <v>3793.97</v>
      </c>
      <c r="DZ36" s="274"/>
      <c r="EA36" s="275">
        <f t="shared" si="38"/>
        <v>0</v>
      </c>
      <c r="EB36" s="270">
        <f t="shared" ref="EB36:FC36" si="141">IF(AJ34&lt;=0,0,IF($C35&lt;=SUM($EA36:EA36),0,IF(CU35+$C35-SUM($EA36:EA36)&gt;AJ34+BO35,AJ34+BO35-CU35,$C35-SUM($EA36:EA36))))</f>
        <v>0</v>
      </c>
      <c r="EC36" s="270">
        <f t="shared" si="141"/>
        <v>0</v>
      </c>
      <c r="ED36" s="270">
        <f t="shared" si="141"/>
        <v>0</v>
      </c>
      <c r="EE36" s="270">
        <f t="shared" si="141"/>
        <v>0</v>
      </c>
      <c r="EF36" s="270">
        <f t="shared" si="141"/>
        <v>11.55</v>
      </c>
      <c r="EG36" s="270">
        <f t="shared" si="141"/>
        <v>31.48</v>
      </c>
      <c r="EH36" s="270">
        <f t="shared" si="141"/>
        <v>0</v>
      </c>
      <c r="EI36" s="270">
        <f t="shared" si="141"/>
        <v>0</v>
      </c>
      <c r="EJ36" s="270">
        <f t="shared" si="141"/>
        <v>0</v>
      </c>
      <c r="EK36" s="270">
        <f t="shared" si="141"/>
        <v>0</v>
      </c>
      <c r="EL36" s="270">
        <f t="shared" si="141"/>
        <v>0</v>
      </c>
      <c r="EM36" s="270">
        <f t="shared" si="141"/>
        <v>0</v>
      </c>
      <c r="EN36" s="270">
        <f t="shared" si="141"/>
        <v>0</v>
      </c>
      <c r="EO36" s="270">
        <f t="shared" si="141"/>
        <v>0</v>
      </c>
      <c r="EP36" s="270">
        <f t="shared" si="141"/>
        <v>0</v>
      </c>
      <c r="EQ36" s="270">
        <f t="shared" si="141"/>
        <v>0</v>
      </c>
      <c r="ER36" s="270">
        <f t="shared" si="141"/>
        <v>0</v>
      </c>
      <c r="ES36" s="270">
        <f t="shared" si="141"/>
        <v>0</v>
      </c>
      <c r="ET36" s="270">
        <f t="shared" si="141"/>
        <v>0</v>
      </c>
      <c r="EU36" s="270">
        <f t="shared" si="141"/>
        <v>0</v>
      </c>
      <c r="EV36" s="270">
        <f t="shared" si="141"/>
        <v>0</v>
      </c>
      <c r="EW36" s="270">
        <f t="shared" si="141"/>
        <v>0</v>
      </c>
      <c r="EX36" s="270">
        <f t="shared" si="141"/>
        <v>0</v>
      </c>
      <c r="EY36" s="270">
        <f t="shared" si="141"/>
        <v>0</v>
      </c>
      <c r="EZ36" s="270">
        <f t="shared" si="141"/>
        <v>0</v>
      </c>
      <c r="FA36" s="270">
        <f t="shared" si="141"/>
        <v>0</v>
      </c>
      <c r="FB36" s="270">
        <f t="shared" si="141"/>
        <v>0</v>
      </c>
      <c r="FC36" s="270">
        <f t="shared" si="141"/>
        <v>0</v>
      </c>
      <c r="FD36" s="271"/>
      <c r="FE36" s="271"/>
      <c r="FF36" s="271"/>
      <c r="FG36" s="215"/>
      <c r="FH36" s="215"/>
    </row>
    <row r="37" ht="11.25" customHeight="1">
      <c r="A37" s="231">
        <f t="shared" si="19"/>
        <v>17</v>
      </c>
      <c r="B37" s="269">
        <v>46143.0</v>
      </c>
      <c r="C37" s="270">
        <f>IF(A37="","",IF(Calculator!snowball,IF(($E$5-DY37)&lt;0,0,$E$5-DY37),0)+D37)</f>
        <v>78.03</v>
      </c>
      <c r="D37" s="277">
        <v>10.0</v>
      </c>
      <c r="E37" s="270">
        <f t="shared" si="40"/>
        <v>0</v>
      </c>
      <c r="F37" s="270">
        <f t="shared" ref="F37:J37" si="142">CU37+EB38</f>
        <v>0</v>
      </c>
      <c r="G37" s="270">
        <f t="shared" si="142"/>
        <v>0</v>
      </c>
      <c r="H37" s="270">
        <f t="shared" si="142"/>
        <v>0</v>
      </c>
      <c r="I37" s="270">
        <f t="shared" si="142"/>
        <v>0</v>
      </c>
      <c r="J37" s="270">
        <f t="shared" si="142"/>
        <v>0</v>
      </c>
      <c r="K37" s="277">
        <v>125.0</v>
      </c>
      <c r="L37" s="277">
        <v>80.0</v>
      </c>
      <c r="M37" s="277">
        <v>151.0</v>
      </c>
      <c r="N37" s="270">
        <f t="shared" si="52"/>
        <v>450.08</v>
      </c>
      <c r="O37" s="270">
        <f t="shared" ref="O37:P37" si="143">DD37+EK38</f>
        <v>695.6</v>
      </c>
      <c r="P37" s="272">
        <f t="shared" si="143"/>
        <v>791.16</v>
      </c>
      <c r="Q37" s="276">
        <v>1467.13</v>
      </c>
      <c r="R37" s="272">
        <f t="shared" ref="R37:AG37" si="144">DG37+EN38</f>
        <v>0</v>
      </c>
      <c r="S37" s="272">
        <f t="shared" si="144"/>
        <v>0</v>
      </c>
      <c r="T37" s="272">
        <f t="shared" si="144"/>
        <v>0</v>
      </c>
      <c r="U37" s="270">
        <f t="shared" si="144"/>
        <v>0</v>
      </c>
      <c r="V37" s="270">
        <f t="shared" si="144"/>
        <v>0</v>
      </c>
      <c r="W37" s="270">
        <f t="shared" si="144"/>
        <v>0</v>
      </c>
      <c r="X37" s="270">
        <f t="shared" si="144"/>
        <v>0</v>
      </c>
      <c r="Y37" s="270">
        <f t="shared" si="144"/>
        <v>0</v>
      </c>
      <c r="Z37" s="270">
        <f t="shared" si="144"/>
        <v>0</v>
      </c>
      <c r="AA37" s="270">
        <f t="shared" si="144"/>
        <v>0</v>
      </c>
      <c r="AB37" s="270">
        <f t="shared" si="144"/>
        <v>0</v>
      </c>
      <c r="AC37" s="270">
        <f t="shared" si="144"/>
        <v>0</v>
      </c>
      <c r="AD37" s="270">
        <f t="shared" si="144"/>
        <v>0</v>
      </c>
      <c r="AE37" s="270">
        <f t="shared" si="144"/>
        <v>0</v>
      </c>
      <c r="AF37" s="270">
        <f t="shared" si="144"/>
        <v>0</v>
      </c>
      <c r="AG37" s="270">
        <f t="shared" si="144"/>
        <v>0</v>
      </c>
      <c r="AH37" s="265">
        <f t="shared" si="13"/>
        <v>263108.76</v>
      </c>
      <c r="AI37" s="270">
        <f t="shared" si="43"/>
        <v>0</v>
      </c>
      <c r="AJ37" s="270">
        <f t="shared" ref="AJ37:AS37" si="145">IF(F$8=0,0,ROUND(AJ36-(F37-BO37),2))</f>
        <v>0</v>
      </c>
      <c r="AK37" s="270">
        <f t="shared" si="145"/>
        <v>0</v>
      </c>
      <c r="AL37" s="270">
        <f t="shared" si="145"/>
        <v>0</v>
      </c>
      <c r="AM37" s="270">
        <f t="shared" si="145"/>
        <v>0</v>
      </c>
      <c r="AN37" s="270">
        <f t="shared" si="145"/>
        <v>0</v>
      </c>
      <c r="AO37" s="270">
        <f t="shared" si="145"/>
        <v>1634.75</v>
      </c>
      <c r="AP37" s="270">
        <f t="shared" si="145"/>
        <v>3287.45</v>
      </c>
      <c r="AQ37" s="270">
        <f t="shared" si="145"/>
        <v>3018.47</v>
      </c>
      <c r="AR37" s="270">
        <f t="shared" si="145"/>
        <v>11515.41</v>
      </c>
      <c r="AS37" s="270">
        <f t="shared" si="145"/>
        <v>38781.65</v>
      </c>
      <c r="AT37" s="270">
        <f t="shared" ref="AT37:BK37" si="146">IF(P$8=0,0,ROUND(AT36-(P37-BX37),2))</f>
        <v>42766.73</v>
      </c>
      <c r="AU37" s="270">
        <f t="shared" si="146"/>
        <v>162104.3</v>
      </c>
      <c r="AV37" s="270">
        <f t="shared" si="146"/>
        <v>0</v>
      </c>
      <c r="AW37" s="270">
        <f t="shared" si="146"/>
        <v>0</v>
      </c>
      <c r="AX37" s="270">
        <f t="shared" si="146"/>
        <v>0</v>
      </c>
      <c r="AY37" s="270">
        <f t="shared" si="146"/>
        <v>0</v>
      </c>
      <c r="AZ37" s="270">
        <f t="shared" si="146"/>
        <v>0</v>
      </c>
      <c r="BA37" s="270">
        <f t="shared" si="146"/>
        <v>0</v>
      </c>
      <c r="BB37" s="270">
        <f t="shared" si="146"/>
        <v>0</v>
      </c>
      <c r="BC37" s="270">
        <f t="shared" si="146"/>
        <v>0</v>
      </c>
      <c r="BD37" s="270">
        <f t="shared" si="146"/>
        <v>0</v>
      </c>
      <c r="BE37" s="270">
        <f t="shared" si="146"/>
        <v>0</v>
      </c>
      <c r="BF37" s="270">
        <f t="shared" si="146"/>
        <v>0</v>
      </c>
      <c r="BG37" s="270">
        <f t="shared" si="146"/>
        <v>0</v>
      </c>
      <c r="BH37" s="270">
        <f t="shared" si="146"/>
        <v>0</v>
      </c>
      <c r="BI37" s="270">
        <f t="shared" si="146"/>
        <v>0</v>
      </c>
      <c r="BJ37" s="270">
        <f t="shared" si="146"/>
        <v>0</v>
      </c>
      <c r="BK37" s="270">
        <f t="shared" si="146"/>
        <v>0</v>
      </c>
      <c r="BL37" s="265">
        <f t="shared" si="16"/>
        <v>263108.76</v>
      </c>
      <c r="BM37" s="215"/>
      <c r="BN37" s="270">
        <f t="shared" ref="BN37:CP37" si="147">ROUND(AI36*E$9/12,2)</f>
        <v>0</v>
      </c>
      <c r="BO37" s="270">
        <f t="shared" si="147"/>
        <v>0</v>
      </c>
      <c r="BP37" s="270">
        <f t="shared" si="147"/>
        <v>0</v>
      </c>
      <c r="BQ37" s="270">
        <f t="shared" si="147"/>
        <v>0</v>
      </c>
      <c r="BR37" s="270">
        <f t="shared" si="147"/>
        <v>0</v>
      </c>
      <c r="BS37" s="270">
        <f t="shared" si="147"/>
        <v>0</v>
      </c>
      <c r="BT37" s="270">
        <f t="shared" si="147"/>
        <v>42.92</v>
      </c>
      <c r="BU37" s="270">
        <f t="shared" si="147"/>
        <v>86.77</v>
      </c>
      <c r="BV37" s="270">
        <f t="shared" si="147"/>
        <v>76.65</v>
      </c>
      <c r="BW37" s="270">
        <f t="shared" si="147"/>
        <v>176.83</v>
      </c>
      <c r="BX37" s="270">
        <f t="shared" si="147"/>
        <v>358.59</v>
      </c>
      <c r="BY37" s="270">
        <f t="shared" si="147"/>
        <v>334.07</v>
      </c>
      <c r="BZ37" s="270">
        <f t="shared" si="147"/>
        <v>510.12</v>
      </c>
      <c r="CA37" s="270">
        <f t="shared" si="147"/>
        <v>0</v>
      </c>
      <c r="CB37" s="270">
        <f t="shared" si="147"/>
        <v>0</v>
      </c>
      <c r="CC37" s="270">
        <f t="shared" si="147"/>
        <v>0</v>
      </c>
      <c r="CD37" s="270">
        <f t="shared" si="147"/>
        <v>0</v>
      </c>
      <c r="CE37" s="270">
        <f t="shared" si="147"/>
        <v>0</v>
      </c>
      <c r="CF37" s="270">
        <f t="shared" si="147"/>
        <v>0</v>
      </c>
      <c r="CG37" s="270">
        <f t="shared" si="147"/>
        <v>0</v>
      </c>
      <c r="CH37" s="270">
        <f t="shared" si="147"/>
        <v>0</v>
      </c>
      <c r="CI37" s="270">
        <f t="shared" si="147"/>
        <v>0</v>
      </c>
      <c r="CJ37" s="270">
        <f t="shared" si="147"/>
        <v>0</v>
      </c>
      <c r="CK37" s="270">
        <f t="shared" si="147"/>
        <v>0</v>
      </c>
      <c r="CL37" s="270">
        <f t="shared" si="147"/>
        <v>0</v>
      </c>
      <c r="CM37" s="270">
        <f t="shared" si="147"/>
        <v>0</v>
      </c>
      <c r="CN37" s="270">
        <f t="shared" si="147"/>
        <v>0</v>
      </c>
      <c r="CO37" s="270">
        <f t="shared" si="147"/>
        <v>0</v>
      </c>
      <c r="CP37" s="270">
        <f t="shared" si="147"/>
        <v>0</v>
      </c>
      <c r="CQ37" s="215"/>
      <c r="CR37" s="270">
        <f t="shared" si="27"/>
        <v>1585.95</v>
      </c>
      <c r="CS37" s="215"/>
      <c r="CT37" s="270">
        <f t="shared" ref="CT37:DX37" si="148">IF(AI36&gt;0,IF((AI36+BN37)&lt;E$10,AI36+BN37,E$10),0)</f>
        <v>0</v>
      </c>
      <c r="CU37" s="270">
        <f t="shared" si="148"/>
        <v>0</v>
      </c>
      <c r="CV37" s="270">
        <f t="shared" si="148"/>
        <v>0</v>
      </c>
      <c r="CW37" s="270">
        <f t="shared" si="148"/>
        <v>0</v>
      </c>
      <c r="CX37" s="270">
        <f t="shared" si="148"/>
        <v>0</v>
      </c>
      <c r="CY37" s="270">
        <f t="shared" si="148"/>
        <v>0</v>
      </c>
      <c r="CZ37" s="270">
        <f t="shared" si="148"/>
        <v>206</v>
      </c>
      <c r="DA37" s="270">
        <f t="shared" si="148"/>
        <v>82</v>
      </c>
      <c r="DB37" s="270">
        <f t="shared" si="148"/>
        <v>102</v>
      </c>
      <c r="DC37" s="270">
        <f t="shared" si="148"/>
        <v>450.08</v>
      </c>
      <c r="DD37" s="270">
        <f t="shared" si="148"/>
        <v>695.6</v>
      </c>
      <c r="DE37" s="270">
        <f t="shared" si="148"/>
        <v>791.16</v>
      </c>
      <c r="DF37" s="270">
        <f t="shared" si="148"/>
        <v>1467.13</v>
      </c>
      <c r="DG37" s="270">
        <f t="shared" si="148"/>
        <v>0</v>
      </c>
      <c r="DH37" s="270">
        <f t="shared" si="148"/>
        <v>0</v>
      </c>
      <c r="DI37" s="270">
        <f t="shared" si="148"/>
        <v>0</v>
      </c>
      <c r="DJ37" s="270">
        <f t="shared" si="148"/>
        <v>0</v>
      </c>
      <c r="DK37" s="270">
        <f t="shared" si="148"/>
        <v>0</v>
      </c>
      <c r="DL37" s="270">
        <f t="shared" si="148"/>
        <v>0</v>
      </c>
      <c r="DM37" s="270">
        <f t="shared" si="148"/>
        <v>0</v>
      </c>
      <c r="DN37" s="270">
        <f t="shared" si="148"/>
        <v>0</v>
      </c>
      <c r="DO37" s="270">
        <f t="shared" si="148"/>
        <v>0</v>
      </c>
      <c r="DP37" s="270">
        <f t="shared" si="148"/>
        <v>0</v>
      </c>
      <c r="DQ37" s="270">
        <f t="shared" si="148"/>
        <v>0</v>
      </c>
      <c r="DR37" s="270">
        <f t="shared" si="148"/>
        <v>0</v>
      </c>
      <c r="DS37" s="270">
        <f t="shared" si="148"/>
        <v>0</v>
      </c>
      <c r="DT37" s="270">
        <f t="shared" si="148"/>
        <v>0</v>
      </c>
      <c r="DU37" s="270">
        <f t="shared" si="148"/>
        <v>0</v>
      </c>
      <c r="DV37" s="270">
        <f t="shared" si="148"/>
        <v>0</v>
      </c>
      <c r="DW37" s="271" t="str">
        <f t="shared" si="148"/>
        <v/>
      </c>
      <c r="DX37" s="270">
        <f t="shared" si="148"/>
        <v>0</v>
      </c>
      <c r="DY37" s="270">
        <f t="shared" si="29"/>
        <v>3793.97</v>
      </c>
      <c r="DZ37" s="274"/>
      <c r="EA37" s="275">
        <f t="shared" si="38"/>
        <v>0</v>
      </c>
      <c r="EB37" s="270">
        <f t="shared" ref="EB37:FC37" si="149">IF(AJ35&lt;=0,0,IF($C36&lt;=SUM($EA37:EA37),0,IF(CU36+$C36-SUM($EA37:EA37)&gt;AJ35+BO36,AJ35+BO36-CU36,$C36-SUM($EA37:EA37))))</f>
        <v>0</v>
      </c>
      <c r="EC37" s="270">
        <f t="shared" si="149"/>
        <v>0</v>
      </c>
      <c r="ED37" s="270">
        <f t="shared" si="149"/>
        <v>0</v>
      </c>
      <c r="EE37" s="270">
        <f t="shared" si="149"/>
        <v>0</v>
      </c>
      <c r="EF37" s="270">
        <f t="shared" si="149"/>
        <v>0</v>
      </c>
      <c r="EG37" s="270">
        <f t="shared" si="149"/>
        <v>78.03</v>
      </c>
      <c r="EH37" s="270">
        <f t="shared" si="149"/>
        <v>0</v>
      </c>
      <c r="EI37" s="270">
        <f t="shared" si="149"/>
        <v>0</v>
      </c>
      <c r="EJ37" s="270">
        <f t="shared" si="149"/>
        <v>0</v>
      </c>
      <c r="EK37" s="270">
        <f t="shared" si="149"/>
        <v>0</v>
      </c>
      <c r="EL37" s="270">
        <f t="shared" si="149"/>
        <v>0</v>
      </c>
      <c r="EM37" s="270">
        <f t="shared" si="149"/>
        <v>0</v>
      </c>
      <c r="EN37" s="270">
        <f t="shared" si="149"/>
        <v>0</v>
      </c>
      <c r="EO37" s="270">
        <f t="shared" si="149"/>
        <v>0</v>
      </c>
      <c r="EP37" s="270">
        <f t="shared" si="149"/>
        <v>0</v>
      </c>
      <c r="EQ37" s="270">
        <f t="shared" si="149"/>
        <v>0</v>
      </c>
      <c r="ER37" s="270">
        <f t="shared" si="149"/>
        <v>0</v>
      </c>
      <c r="ES37" s="270">
        <f t="shared" si="149"/>
        <v>0</v>
      </c>
      <c r="ET37" s="270">
        <f t="shared" si="149"/>
        <v>0</v>
      </c>
      <c r="EU37" s="270">
        <f t="shared" si="149"/>
        <v>0</v>
      </c>
      <c r="EV37" s="270">
        <f t="shared" si="149"/>
        <v>0</v>
      </c>
      <c r="EW37" s="270">
        <f t="shared" si="149"/>
        <v>0</v>
      </c>
      <c r="EX37" s="270">
        <f t="shared" si="149"/>
        <v>0</v>
      </c>
      <c r="EY37" s="270">
        <f t="shared" si="149"/>
        <v>0</v>
      </c>
      <c r="EZ37" s="270">
        <f t="shared" si="149"/>
        <v>0</v>
      </c>
      <c r="FA37" s="270">
        <f t="shared" si="149"/>
        <v>0</v>
      </c>
      <c r="FB37" s="270">
        <f t="shared" si="149"/>
        <v>0</v>
      </c>
      <c r="FC37" s="270">
        <f t="shared" si="149"/>
        <v>0</v>
      </c>
      <c r="FD37" s="271"/>
      <c r="FE37" s="271"/>
      <c r="FF37" s="271"/>
      <c r="FG37" s="215"/>
      <c r="FH37" s="215"/>
    </row>
    <row r="38" ht="11.25" customHeight="1">
      <c r="A38" s="231">
        <f t="shared" si="19"/>
        <v>18</v>
      </c>
      <c r="B38" s="269">
        <v>46174.0</v>
      </c>
      <c r="C38" s="270">
        <f>IF(A38="","",IF(Calculator!snowball,IF(($E$5-DY38)&lt;0,0,$E$5-DY38),0)+D38)</f>
        <v>78.03</v>
      </c>
      <c r="D38" s="277">
        <v>10.0</v>
      </c>
      <c r="E38" s="270">
        <f t="shared" si="40"/>
        <v>0</v>
      </c>
      <c r="F38" s="270">
        <f t="shared" ref="F38:J38" si="150">CU38+EB39</f>
        <v>0</v>
      </c>
      <c r="G38" s="270">
        <f t="shared" si="150"/>
        <v>0</v>
      </c>
      <c r="H38" s="270">
        <f t="shared" si="150"/>
        <v>0</v>
      </c>
      <c r="I38" s="270">
        <f t="shared" si="150"/>
        <v>0</v>
      </c>
      <c r="J38" s="270">
        <f t="shared" si="150"/>
        <v>0</v>
      </c>
      <c r="K38" s="277">
        <v>125.0</v>
      </c>
      <c r="L38" s="277">
        <v>80.0</v>
      </c>
      <c r="M38" s="277">
        <v>151.0</v>
      </c>
      <c r="N38" s="270">
        <f t="shared" si="52"/>
        <v>450.08</v>
      </c>
      <c r="O38" s="270">
        <f t="shared" ref="O38:AG38" si="151">DD38+EK39</f>
        <v>695.6</v>
      </c>
      <c r="P38" s="272">
        <f t="shared" si="151"/>
        <v>791.16</v>
      </c>
      <c r="Q38" s="272">
        <f t="shared" si="151"/>
        <v>1467.13</v>
      </c>
      <c r="R38" s="272">
        <f t="shared" si="151"/>
        <v>0</v>
      </c>
      <c r="S38" s="272">
        <f t="shared" si="151"/>
        <v>0</v>
      </c>
      <c r="T38" s="272">
        <f t="shared" si="151"/>
        <v>0</v>
      </c>
      <c r="U38" s="270">
        <f t="shared" si="151"/>
        <v>0</v>
      </c>
      <c r="V38" s="270">
        <f t="shared" si="151"/>
        <v>0</v>
      </c>
      <c r="W38" s="270">
        <f t="shared" si="151"/>
        <v>0</v>
      </c>
      <c r="X38" s="270">
        <f t="shared" si="151"/>
        <v>0</v>
      </c>
      <c r="Y38" s="270">
        <f t="shared" si="151"/>
        <v>0</v>
      </c>
      <c r="Z38" s="270">
        <f t="shared" si="151"/>
        <v>0</v>
      </c>
      <c r="AA38" s="270">
        <f t="shared" si="151"/>
        <v>0</v>
      </c>
      <c r="AB38" s="270">
        <f t="shared" si="151"/>
        <v>0</v>
      </c>
      <c r="AC38" s="270">
        <f t="shared" si="151"/>
        <v>0</v>
      </c>
      <c r="AD38" s="270">
        <f t="shared" si="151"/>
        <v>0</v>
      </c>
      <c r="AE38" s="270">
        <f t="shared" si="151"/>
        <v>0</v>
      </c>
      <c r="AF38" s="270">
        <f t="shared" si="151"/>
        <v>0</v>
      </c>
      <c r="AG38" s="270">
        <f t="shared" si="151"/>
        <v>0</v>
      </c>
      <c r="AH38" s="265">
        <f t="shared" si="13"/>
        <v>260765.88</v>
      </c>
      <c r="AI38" s="270">
        <f t="shared" si="43"/>
        <v>0</v>
      </c>
      <c r="AJ38" s="270">
        <f t="shared" ref="AJ38:AS38" si="152">IF(F$8=0,0,ROUND(AJ37-(F38-BO38),2))</f>
        <v>0</v>
      </c>
      <c r="AK38" s="270">
        <f t="shared" si="152"/>
        <v>0</v>
      </c>
      <c r="AL38" s="270">
        <f t="shared" si="152"/>
        <v>0</v>
      </c>
      <c r="AM38" s="270">
        <f t="shared" si="152"/>
        <v>0</v>
      </c>
      <c r="AN38" s="270">
        <f t="shared" si="152"/>
        <v>0</v>
      </c>
      <c r="AO38" s="270">
        <f t="shared" si="152"/>
        <v>1550.62</v>
      </c>
      <c r="AP38" s="270">
        <f t="shared" si="152"/>
        <v>3294.4</v>
      </c>
      <c r="AQ38" s="270">
        <f t="shared" si="152"/>
        <v>2942.28</v>
      </c>
      <c r="AR38" s="270">
        <f t="shared" si="152"/>
        <v>11238.06</v>
      </c>
      <c r="AS38" s="270">
        <f t="shared" si="152"/>
        <v>38441.55</v>
      </c>
      <c r="AT38" s="270">
        <f t="shared" ref="AT38:BK38" si="153">IF(P$8=0,0,ROUND(AT37-(P38-BX38),2))</f>
        <v>42331.07</v>
      </c>
      <c r="AU38" s="270">
        <f t="shared" si="153"/>
        <v>160967.9</v>
      </c>
      <c r="AV38" s="270">
        <f t="shared" si="153"/>
        <v>0</v>
      </c>
      <c r="AW38" s="270">
        <f t="shared" si="153"/>
        <v>0</v>
      </c>
      <c r="AX38" s="270">
        <f t="shared" si="153"/>
        <v>0</v>
      </c>
      <c r="AY38" s="270">
        <f t="shared" si="153"/>
        <v>0</v>
      </c>
      <c r="AZ38" s="270">
        <f t="shared" si="153"/>
        <v>0</v>
      </c>
      <c r="BA38" s="270">
        <f t="shared" si="153"/>
        <v>0</v>
      </c>
      <c r="BB38" s="270">
        <f t="shared" si="153"/>
        <v>0</v>
      </c>
      <c r="BC38" s="270">
        <f t="shared" si="153"/>
        <v>0</v>
      </c>
      <c r="BD38" s="270">
        <f t="shared" si="153"/>
        <v>0</v>
      </c>
      <c r="BE38" s="270">
        <f t="shared" si="153"/>
        <v>0</v>
      </c>
      <c r="BF38" s="270">
        <f t="shared" si="153"/>
        <v>0</v>
      </c>
      <c r="BG38" s="270">
        <f t="shared" si="153"/>
        <v>0</v>
      </c>
      <c r="BH38" s="270">
        <f t="shared" si="153"/>
        <v>0</v>
      </c>
      <c r="BI38" s="270">
        <f t="shared" si="153"/>
        <v>0</v>
      </c>
      <c r="BJ38" s="270">
        <f t="shared" si="153"/>
        <v>0</v>
      </c>
      <c r="BK38" s="270">
        <f t="shared" si="153"/>
        <v>0</v>
      </c>
      <c r="BL38" s="265">
        <f t="shared" si="16"/>
        <v>260765.88</v>
      </c>
      <c r="BM38" s="215"/>
      <c r="BN38" s="270">
        <f t="shared" ref="BN38:CP38" si="154">ROUND(AI37*E$9/12,2)</f>
        <v>0</v>
      </c>
      <c r="BO38" s="270">
        <f t="shared" si="154"/>
        <v>0</v>
      </c>
      <c r="BP38" s="270">
        <f t="shared" si="154"/>
        <v>0</v>
      </c>
      <c r="BQ38" s="270">
        <f t="shared" si="154"/>
        <v>0</v>
      </c>
      <c r="BR38" s="270">
        <f t="shared" si="154"/>
        <v>0</v>
      </c>
      <c r="BS38" s="270">
        <f t="shared" si="154"/>
        <v>0</v>
      </c>
      <c r="BT38" s="270">
        <f t="shared" si="154"/>
        <v>40.87</v>
      </c>
      <c r="BU38" s="270">
        <f t="shared" si="154"/>
        <v>86.95</v>
      </c>
      <c r="BV38" s="270">
        <f t="shared" si="154"/>
        <v>74.81</v>
      </c>
      <c r="BW38" s="270">
        <f t="shared" si="154"/>
        <v>172.73</v>
      </c>
      <c r="BX38" s="270">
        <f t="shared" si="154"/>
        <v>355.5</v>
      </c>
      <c r="BY38" s="270">
        <f t="shared" si="154"/>
        <v>330.73</v>
      </c>
      <c r="BZ38" s="270">
        <f t="shared" si="154"/>
        <v>506.58</v>
      </c>
      <c r="CA38" s="270">
        <f t="shared" si="154"/>
        <v>0</v>
      </c>
      <c r="CB38" s="270">
        <f t="shared" si="154"/>
        <v>0</v>
      </c>
      <c r="CC38" s="270">
        <f t="shared" si="154"/>
        <v>0</v>
      </c>
      <c r="CD38" s="270">
        <f t="shared" si="154"/>
        <v>0</v>
      </c>
      <c r="CE38" s="270">
        <f t="shared" si="154"/>
        <v>0</v>
      </c>
      <c r="CF38" s="270">
        <f t="shared" si="154"/>
        <v>0</v>
      </c>
      <c r="CG38" s="270">
        <f t="shared" si="154"/>
        <v>0</v>
      </c>
      <c r="CH38" s="270">
        <f t="shared" si="154"/>
        <v>0</v>
      </c>
      <c r="CI38" s="270">
        <f t="shared" si="154"/>
        <v>0</v>
      </c>
      <c r="CJ38" s="270">
        <f t="shared" si="154"/>
        <v>0</v>
      </c>
      <c r="CK38" s="270">
        <f t="shared" si="154"/>
        <v>0</v>
      </c>
      <c r="CL38" s="270">
        <f t="shared" si="154"/>
        <v>0</v>
      </c>
      <c r="CM38" s="270">
        <f t="shared" si="154"/>
        <v>0</v>
      </c>
      <c r="CN38" s="270">
        <f t="shared" si="154"/>
        <v>0</v>
      </c>
      <c r="CO38" s="270">
        <f t="shared" si="154"/>
        <v>0</v>
      </c>
      <c r="CP38" s="270">
        <f t="shared" si="154"/>
        <v>0</v>
      </c>
      <c r="CQ38" s="215"/>
      <c r="CR38" s="270">
        <f t="shared" si="27"/>
        <v>1568.17</v>
      </c>
      <c r="CS38" s="215"/>
      <c r="CT38" s="270">
        <f t="shared" ref="CT38:DX38" si="155">IF(AI37&gt;0,IF((AI37+BN38)&lt;E$10,AI37+BN38,E$10),0)</f>
        <v>0</v>
      </c>
      <c r="CU38" s="270">
        <f t="shared" si="155"/>
        <v>0</v>
      </c>
      <c r="CV38" s="270">
        <f t="shared" si="155"/>
        <v>0</v>
      </c>
      <c r="CW38" s="270">
        <f t="shared" si="155"/>
        <v>0</v>
      </c>
      <c r="CX38" s="270">
        <f t="shared" si="155"/>
        <v>0</v>
      </c>
      <c r="CY38" s="270">
        <f t="shared" si="155"/>
        <v>0</v>
      </c>
      <c r="CZ38" s="270">
        <f t="shared" si="155"/>
        <v>206</v>
      </c>
      <c r="DA38" s="270">
        <f t="shared" si="155"/>
        <v>82</v>
      </c>
      <c r="DB38" s="270">
        <f t="shared" si="155"/>
        <v>102</v>
      </c>
      <c r="DC38" s="270">
        <f t="shared" si="155"/>
        <v>450.08</v>
      </c>
      <c r="DD38" s="270">
        <f t="shared" si="155"/>
        <v>695.6</v>
      </c>
      <c r="DE38" s="270">
        <f t="shared" si="155"/>
        <v>791.16</v>
      </c>
      <c r="DF38" s="270">
        <f t="shared" si="155"/>
        <v>1467.13</v>
      </c>
      <c r="DG38" s="270">
        <f t="shared" si="155"/>
        <v>0</v>
      </c>
      <c r="DH38" s="270">
        <f t="shared" si="155"/>
        <v>0</v>
      </c>
      <c r="DI38" s="270">
        <f t="shared" si="155"/>
        <v>0</v>
      </c>
      <c r="DJ38" s="270">
        <f t="shared" si="155"/>
        <v>0</v>
      </c>
      <c r="DK38" s="270">
        <f t="shared" si="155"/>
        <v>0</v>
      </c>
      <c r="DL38" s="270">
        <f t="shared" si="155"/>
        <v>0</v>
      </c>
      <c r="DM38" s="270">
        <f t="shared" si="155"/>
        <v>0</v>
      </c>
      <c r="DN38" s="270">
        <f t="shared" si="155"/>
        <v>0</v>
      </c>
      <c r="DO38" s="270">
        <f t="shared" si="155"/>
        <v>0</v>
      </c>
      <c r="DP38" s="270">
        <f t="shared" si="155"/>
        <v>0</v>
      </c>
      <c r="DQ38" s="270">
        <f t="shared" si="155"/>
        <v>0</v>
      </c>
      <c r="DR38" s="270">
        <f t="shared" si="155"/>
        <v>0</v>
      </c>
      <c r="DS38" s="270">
        <f t="shared" si="155"/>
        <v>0</v>
      </c>
      <c r="DT38" s="270">
        <f t="shared" si="155"/>
        <v>0</v>
      </c>
      <c r="DU38" s="270">
        <f t="shared" si="155"/>
        <v>0</v>
      </c>
      <c r="DV38" s="270">
        <f t="shared" si="155"/>
        <v>0</v>
      </c>
      <c r="DW38" s="271" t="str">
        <f t="shared" si="155"/>
        <v/>
      </c>
      <c r="DX38" s="270">
        <f t="shared" si="155"/>
        <v>0</v>
      </c>
      <c r="DY38" s="270">
        <f t="shared" si="29"/>
        <v>3793.97</v>
      </c>
      <c r="DZ38" s="274"/>
      <c r="EA38" s="275">
        <f t="shared" si="38"/>
        <v>0</v>
      </c>
      <c r="EB38" s="270">
        <f t="shared" ref="EB38:FC38" si="156">IF(AJ36&lt;=0,0,IF($C37&lt;=SUM($EA38:EA38),0,IF(CU37+$C37-SUM($EA38:EA38)&gt;AJ36+BO37,AJ36+BO37-CU37,$C37-SUM($EA38:EA38))))</f>
        <v>0</v>
      </c>
      <c r="EC38" s="270">
        <f t="shared" si="156"/>
        <v>0</v>
      </c>
      <c r="ED38" s="270">
        <f t="shared" si="156"/>
        <v>0</v>
      </c>
      <c r="EE38" s="270">
        <f t="shared" si="156"/>
        <v>0</v>
      </c>
      <c r="EF38" s="270">
        <f t="shared" si="156"/>
        <v>0</v>
      </c>
      <c r="EG38" s="270">
        <f t="shared" si="156"/>
        <v>78.03</v>
      </c>
      <c r="EH38" s="270">
        <f t="shared" si="156"/>
        <v>0</v>
      </c>
      <c r="EI38" s="270">
        <f t="shared" si="156"/>
        <v>0</v>
      </c>
      <c r="EJ38" s="270">
        <f t="shared" si="156"/>
        <v>0</v>
      </c>
      <c r="EK38" s="270">
        <f t="shared" si="156"/>
        <v>0</v>
      </c>
      <c r="EL38" s="270">
        <f t="shared" si="156"/>
        <v>0</v>
      </c>
      <c r="EM38" s="270">
        <f t="shared" si="156"/>
        <v>0</v>
      </c>
      <c r="EN38" s="270">
        <f t="shared" si="156"/>
        <v>0</v>
      </c>
      <c r="EO38" s="270">
        <f t="shared" si="156"/>
        <v>0</v>
      </c>
      <c r="EP38" s="270">
        <f t="shared" si="156"/>
        <v>0</v>
      </c>
      <c r="EQ38" s="270">
        <f t="shared" si="156"/>
        <v>0</v>
      </c>
      <c r="ER38" s="270">
        <f t="shared" si="156"/>
        <v>0</v>
      </c>
      <c r="ES38" s="270">
        <f t="shared" si="156"/>
        <v>0</v>
      </c>
      <c r="ET38" s="270">
        <f t="shared" si="156"/>
        <v>0</v>
      </c>
      <c r="EU38" s="270">
        <f t="shared" si="156"/>
        <v>0</v>
      </c>
      <c r="EV38" s="270">
        <f t="shared" si="156"/>
        <v>0</v>
      </c>
      <c r="EW38" s="270">
        <f t="shared" si="156"/>
        <v>0</v>
      </c>
      <c r="EX38" s="270">
        <f t="shared" si="156"/>
        <v>0</v>
      </c>
      <c r="EY38" s="270">
        <f t="shared" si="156"/>
        <v>0</v>
      </c>
      <c r="EZ38" s="270">
        <f t="shared" si="156"/>
        <v>0</v>
      </c>
      <c r="FA38" s="270">
        <f t="shared" si="156"/>
        <v>0</v>
      </c>
      <c r="FB38" s="270">
        <f t="shared" si="156"/>
        <v>0</v>
      </c>
      <c r="FC38" s="270">
        <f t="shared" si="156"/>
        <v>0</v>
      </c>
      <c r="FD38" s="271"/>
      <c r="FE38" s="271"/>
      <c r="FF38" s="271"/>
      <c r="FG38" s="215"/>
      <c r="FH38" s="215"/>
    </row>
    <row r="39" ht="11.25" customHeight="1">
      <c r="A39" s="231">
        <f t="shared" si="19"/>
        <v>19</v>
      </c>
      <c r="B39" s="269">
        <v>46204.0</v>
      </c>
      <c r="C39" s="270">
        <f>IF(A39="","",IF(Calculator!snowball,IF(($E$5-DY39)&lt;0,0,$E$5-DY39),0)+D39)</f>
        <v>118.03</v>
      </c>
      <c r="D39" s="277">
        <v>50.0</v>
      </c>
      <c r="E39" s="270">
        <f t="shared" si="40"/>
        <v>0</v>
      </c>
      <c r="F39" s="270">
        <f t="shared" ref="F39:J39" si="157">CU39+EB40</f>
        <v>0</v>
      </c>
      <c r="G39" s="270">
        <f t="shared" si="157"/>
        <v>0</v>
      </c>
      <c r="H39" s="270">
        <f t="shared" si="157"/>
        <v>0</v>
      </c>
      <c r="I39" s="270">
        <f t="shared" si="157"/>
        <v>0</v>
      </c>
      <c r="J39" s="270">
        <f t="shared" si="157"/>
        <v>0</v>
      </c>
      <c r="K39" s="277">
        <v>175.0</v>
      </c>
      <c r="L39" s="277">
        <v>80.0</v>
      </c>
      <c r="M39" s="277">
        <v>151.0</v>
      </c>
      <c r="N39" s="270">
        <f t="shared" si="52"/>
        <v>450.08</v>
      </c>
      <c r="O39" s="270">
        <f t="shared" ref="O39:AG39" si="158">DD39+EK40</f>
        <v>695.6</v>
      </c>
      <c r="P39" s="272">
        <f t="shared" si="158"/>
        <v>791.16</v>
      </c>
      <c r="Q39" s="272">
        <f t="shared" si="158"/>
        <v>1467.13</v>
      </c>
      <c r="R39" s="272">
        <f t="shared" si="158"/>
        <v>0</v>
      </c>
      <c r="S39" s="272">
        <f t="shared" si="158"/>
        <v>0</v>
      </c>
      <c r="T39" s="272">
        <f t="shared" si="158"/>
        <v>0</v>
      </c>
      <c r="U39" s="270">
        <f t="shared" si="158"/>
        <v>0</v>
      </c>
      <c r="V39" s="270">
        <f t="shared" si="158"/>
        <v>0</v>
      </c>
      <c r="W39" s="270">
        <f t="shared" si="158"/>
        <v>0</v>
      </c>
      <c r="X39" s="270">
        <f t="shared" si="158"/>
        <v>0</v>
      </c>
      <c r="Y39" s="270">
        <f t="shared" si="158"/>
        <v>0</v>
      </c>
      <c r="Z39" s="270">
        <f t="shared" si="158"/>
        <v>0</v>
      </c>
      <c r="AA39" s="270">
        <f t="shared" si="158"/>
        <v>0</v>
      </c>
      <c r="AB39" s="270">
        <f t="shared" si="158"/>
        <v>0</v>
      </c>
      <c r="AC39" s="270">
        <f t="shared" si="158"/>
        <v>0</v>
      </c>
      <c r="AD39" s="270">
        <f t="shared" si="158"/>
        <v>0</v>
      </c>
      <c r="AE39" s="270">
        <f t="shared" si="158"/>
        <v>0</v>
      </c>
      <c r="AF39" s="270">
        <f t="shared" si="158"/>
        <v>0</v>
      </c>
      <c r="AG39" s="270">
        <f t="shared" si="158"/>
        <v>0</v>
      </c>
      <c r="AH39" s="265">
        <f t="shared" si="13"/>
        <v>258355.43</v>
      </c>
      <c r="AI39" s="270">
        <f t="shared" si="43"/>
        <v>0</v>
      </c>
      <c r="AJ39" s="270">
        <f t="shared" ref="AJ39:AS39" si="159">IF(F$8=0,0,ROUND(AJ38-(F39-BO39),2))</f>
        <v>0</v>
      </c>
      <c r="AK39" s="270">
        <f t="shared" si="159"/>
        <v>0</v>
      </c>
      <c r="AL39" s="270">
        <f t="shared" si="159"/>
        <v>0</v>
      </c>
      <c r="AM39" s="270">
        <f t="shared" si="159"/>
        <v>0</v>
      </c>
      <c r="AN39" s="270">
        <f t="shared" si="159"/>
        <v>0</v>
      </c>
      <c r="AO39" s="270">
        <f t="shared" si="159"/>
        <v>1414.39</v>
      </c>
      <c r="AP39" s="270">
        <f t="shared" si="159"/>
        <v>3301.54</v>
      </c>
      <c r="AQ39" s="270">
        <f t="shared" si="159"/>
        <v>2864.2</v>
      </c>
      <c r="AR39" s="270">
        <f t="shared" si="159"/>
        <v>10956.55</v>
      </c>
      <c r="AS39" s="270">
        <f t="shared" si="159"/>
        <v>38098.33</v>
      </c>
      <c r="AT39" s="270">
        <f t="shared" ref="AT39:BK39" si="160">IF(P$8=0,0,ROUND(AT38-(P39-BX39),2))</f>
        <v>41892.29</v>
      </c>
      <c r="AU39" s="270">
        <f t="shared" si="160"/>
        <v>159828.13</v>
      </c>
      <c r="AV39" s="270">
        <f t="shared" si="160"/>
        <v>0</v>
      </c>
      <c r="AW39" s="270">
        <f t="shared" si="160"/>
        <v>0</v>
      </c>
      <c r="AX39" s="270">
        <f t="shared" si="160"/>
        <v>0</v>
      </c>
      <c r="AY39" s="270">
        <f t="shared" si="160"/>
        <v>0</v>
      </c>
      <c r="AZ39" s="270">
        <f t="shared" si="160"/>
        <v>0</v>
      </c>
      <c r="BA39" s="270">
        <f t="shared" si="160"/>
        <v>0</v>
      </c>
      <c r="BB39" s="270">
        <f t="shared" si="160"/>
        <v>0</v>
      </c>
      <c r="BC39" s="270">
        <f t="shared" si="160"/>
        <v>0</v>
      </c>
      <c r="BD39" s="270">
        <f t="shared" si="160"/>
        <v>0</v>
      </c>
      <c r="BE39" s="270">
        <f t="shared" si="160"/>
        <v>0</v>
      </c>
      <c r="BF39" s="270">
        <f t="shared" si="160"/>
        <v>0</v>
      </c>
      <c r="BG39" s="270">
        <f t="shared" si="160"/>
        <v>0</v>
      </c>
      <c r="BH39" s="270">
        <f t="shared" si="160"/>
        <v>0</v>
      </c>
      <c r="BI39" s="270">
        <f t="shared" si="160"/>
        <v>0</v>
      </c>
      <c r="BJ39" s="270">
        <f t="shared" si="160"/>
        <v>0</v>
      </c>
      <c r="BK39" s="270">
        <f t="shared" si="160"/>
        <v>0</v>
      </c>
      <c r="BL39" s="265">
        <f t="shared" si="16"/>
        <v>258355.43</v>
      </c>
      <c r="BM39" s="215"/>
      <c r="BN39" s="270">
        <f t="shared" ref="BN39:CP39" si="161">ROUND(AI38*E$9/12,2)</f>
        <v>0</v>
      </c>
      <c r="BO39" s="270">
        <f t="shared" si="161"/>
        <v>0</v>
      </c>
      <c r="BP39" s="270">
        <f t="shared" si="161"/>
        <v>0</v>
      </c>
      <c r="BQ39" s="270">
        <f t="shared" si="161"/>
        <v>0</v>
      </c>
      <c r="BR39" s="270">
        <f t="shared" si="161"/>
        <v>0</v>
      </c>
      <c r="BS39" s="270">
        <f t="shared" si="161"/>
        <v>0</v>
      </c>
      <c r="BT39" s="270">
        <f t="shared" si="161"/>
        <v>38.77</v>
      </c>
      <c r="BU39" s="270">
        <f t="shared" si="161"/>
        <v>87.14</v>
      </c>
      <c r="BV39" s="270">
        <f t="shared" si="161"/>
        <v>72.92</v>
      </c>
      <c r="BW39" s="270">
        <f t="shared" si="161"/>
        <v>168.57</v>
      </c>
      <c r="BX39" s="270">
        <f t="shared" si="161"/>
        <v>352.38</v>
      </c>
      <c r="BY39" s="270">
        <f t="shared" si="161"/>
        <v>327.36</v>
      </c>
      <c r="BZ39" s="270">
        <f t="shared" si="161"/>
        <v>503.02</v>
      </c>
      <c r="CA39" s="270">
        <f t="shared" si="161"/>
        <v>0</v>
      </c>
      <c r="CB39" s="270">
        <f t="shared" si="161"/>
        <v>0</v>
      </c>
      <c r="CC39" s="270">
        <f t="shared" si="161"/>
        <v>0</v>
      </c>
      <c r="CD39" s="270">
        <f t="shared" si="161"/>
        <v>0</v>
      </c>
      <c r="CE39" s="270">
        <f t="shared" si="161"/>
        <v>0</v>
      </c>
      <c r="CF39" s="270">
        <f t="shared" si="161"/>
        <v>0</v>
      </c>
      <c r="CG39" s="270">
        <f t="shared" si="161"/>
        <v>0</v>
      </c>
      <c r="CH39" s="270">
        <f t="shared" si="161"/>
        <v>0</v>
      </c>
      <c r="CI39" s="270">
        <f t="shared" si="161"/>
        <v>0</v>
      </c>
      <c r="CJ39" s="270">
        <f t="shared" si="161"/>
        <v>0</v>
      </c>
      <c r="CK39" s="270">
        <f t="shared" si="161"/>
        <v>0</v>
      </c>
      <c r="CL39" s="270">
        <f t="shared" si="161"/>
        <v>0</v>
      </c>
      <c r="CM39" s="270">
        <f t="shared" si="161"/>
        <v>0</v>
      </c>
      <c r="CN39" s="270">
        <f t="shared" si="161"/>
        <v>0</v>
      </c>
      <c r="CO39" s="270">
        <f t="shared" si="161"/>
        <v>0</v>
      </c>
      <c r="CP39" s="270">
        <f t="shared" si="161"/>
        <v>0</v>
      </c>
      <c r="CQ39" s="215"/>
      <c r="CR39" s="270">
        <f t="shared" si="27"/>
        <v>1550.16</v>
      </c>
      <c r="CS39" s="215"/>
      <c r="CT39" s="270">
        <f t="shared" ref="CT39:DX39" si="162">IF(AI38&gt;0,IF((AI38+BN39)&lt;E$10,AI38+BN39,E$10),0)</f>
        <v>0</v>
      </c>
      <c r="CU39" s="270">
        <f t="shared" si="162"/>
        <v>0</v>
      </c>
      <c r="CV39" s="270">
        <f t="shared" si="162"/>
        <v>0</v>
      </c>
      <c r="CW39" s="270">
        <f t="shared" si="162"/>
        <v>0</v>
      </c>
      <c r="CX39" s="270">
        <f t="shared" si="162"/>
        <v>0</v>
      </c>
      <c r="CY39" s="270">
        <f t="shared" si="162"/>
        <v>0</v>
      </c>
      <c r="CZ39" s="270">
        <f t="shared" si="162"/>
        <v>206</v>
      </c>
      <c r="DA39" s="270">
        <f t="shared" si="162"/>
        <v>82</v>
      </c>
      <c r="DB39" s="270">
        <f t="shared" si="162"/>
        <v>102</v>
      </c>
      <c r="DC39" s="270">
        <f t="shared" si="162"/>
        <v>450.08</v>
      </c>
      <c r="DD39" s="270">
        <f t="shared" si="162"/>
        <v>695.6</v>
      </c>
      <c r="DE39" s="270">
        <f t="shared" si="162"/>
        <v>791.16</v>
      </c>
      <c r="DF39" s="270">
        <f t="shared" si="162"/>
        <v>1467.13</v>
      </c>
      <c r="DG39" s="270">
        <f t="shared" si="162"/>
        <v>0</v>
      </c>
      <c r="DH39" s="270">
        <f t="shared" si="162"/>
        <v>0</v>
      </c>
      <c r="DI39" s="270">
        <f t="shared" si="162"/>
        <v>0</v>
      </c>
      <c r="DJ39" s="270">
        <f t="shared" si="162"/>
        <v>0</v>
      </c>
      <c r="DK39" s="270">
        <f t="shared" si="162"/>
        <v>0</v>
      </c>
      <c r="DL39" s="270">
        <f t="shared" si="162"/>
        <v>0</v>
      </c>
      <c r="DM39" s="270">
        <f t="shared" si="162"/>
        <v>0</v>
      </c>
      <c r="DN39" s="270">
        <f t="shared" si="162"/>
        <v>0</v>
      </c>
      <c r="DO39" s="270">
        <f t="shared" si="162"/>
        <v>0</v>
      </c>
      <c r="DP39" s="270">
        <f t="shared" si="162"/>
        <v>0</v>
      </c>
      <c r="DQ39" s="270">
        <f t="shared" si="162"/>
        <v>0</v>
      </c>
      <c r="DR39" s="270">
        <f t="shared" si="162"/>
        <v>0</v>
      </c>
      <c r="DS39" s="270">
        <f t="shared" si="162"/>
        <v>0</v>
      </c>
      <c r="DT39" s="270">
        <f t="shared" si="162"/>
        <v>0</v>
      </c>
      <c r="DU39" s="270">
        <f t="shared" si="162"/>
        <v>0</v>
      </c>
      <c r="DV39" s="270">
        <f t="shared" si="162"/>
        <v>0</v>
      </c>
      <c r="DW39" s="271" t="str">
        <f t="shared" si="162"/>
        <v/>
      </c>
      <c r="DX39" s="270">
        <f t="shared" si="162"/>
        <v>0</v>
      </c>
      <c r="DY39" s="270">
        <f t="shared" si="29"/>
        <v>3793.97</v>
      </c>
      <c r="DZ39" s="274"/>
      <c r="EA39" s="275">
        <f t="shared" si="38"/>
        <v>0</v>
      </c>
      <c r="EB39" s="270">
        <f t="shared" ref="EB39:FC39" si="163">IF(AJ37&lt;=0,0,IF($C38&lt;=SUM($EA39:EA39),0,IF(CU38+$C38-SUM($EA39:EA39)&gt;AJ37+BO38,AJ37+BO38-CU38,$C38-SUM($EA39:EA39))))</f>
        <v>0</v>
      </c>
      <c r="EC39" s="270">
        <f t="shared" si="163"/>
        <v>0</v>
      </c>
      <c r="ED39" s="270">
        <f t="shared" si="163"/>
        <v>0</v>
      </c>
      <c r="EE39" s="270">
        <f t="shared" si="163"/>
        <v>0</v>
      </c>
      <c r="EF39" s="270">
        <f t="shared" si="163"/>
        <v>0</v>
      </c>
      <c r="EG39" s="270">
        <f t="shared" si="163"/>
        <v>78.03</v>
      </c>
      <c r="EH39" s="270">
        <f t="shared" si="163"/>
        <v>0</v>
      </c>
      <c r="EI39" s="270">
        <f t="shared" si="163"/>
        <v>0</v>
      </c>
      <c r="EJ39" s="270">
        <f t="shared" si="163"/>
        <v>0</v>
      </c>
      <c r="EK39" s="270">
        <f t="shared" si="163"/>
        <v>0</v>
      </c>
      <c r="EL39" s="270">
        <f t="shared" si="163"/>
        <v>0</v>
      </c>
      <c r="EM39" s="270">
        <f t="shared" si="163"/>
        <v>0</v>
      </c>
      <c r="EN39" s="270">
        <f t="shared" si="163"/>
        <v>0</v>
      </c>
      <c r="EO39" s="270">
        <f t="shared" si="163"/>
        <v>0</v>
      </c>
      <c r="EP39" s="270">
        <f t="shared" si="163"/>
        <v>0</v>
      </c>
      <c r="EQ39" s="270">
        <f t="shared" si="163"/>
        <v>0</v>
      </c>
      <c r="ER39" s="270">
        <f t="shared" si="163"/>
        <v>0</v>
      </c>
      <c r="ES39" s="270">
        <f t="shared" si="163"/>
        <v>0</v>
      </c>
      <c r="ET39" s="270">
        <f t="shared" si="163"/>
        <v>0</v>
      </c>
      <c r="EU39" s="270">
        <f t="shared" si="163"/>
        <v>0</v>
      </c>
      <c r="EV39" s="270">
        <f t="shared" si="163"/>
        <v>0</v>
      </c>
      <c r="EW39" s="270">
        <f t="shared" si="163"/>
        <v>0</v>
      </c>
      <c r="EX39" s="270">
        <f t="shared" si="163"/>
        <v>0</v>
      </c>
      <c r="EY39" s="270">
        <f t="shared" si="163"/>
        <v>0</v>
      </c>
      <c r="EZ39" s="270">
        <f t="shared" si="163"/>
        <v>0</v>
      </c>
      <c r="FA39" s="270">
        <f t="shared" si="163"/>
        <v>0</v>
      </c>
      <c r="FB39" s="270">
        <f t="shared" si="163"/>
        <v>0</v>
      </c>
      <c r="FC39" s="270">
        <f t="shared" si="163"/>
        <v>0</v>
      </c>
      <c r="FD39" s="271"/>
      <c r="FE39" s="271"/>
      <c r="FF39" s="271"/>
      <c r="FG39" s="215"/>
      <c r="FH39" s="215"/>
    </row>
    <row r="40" ht="11.25" customHeight="1">
      <c r="A40" s="231">
        <f t="shared" si="19"/>
        <v>20</v>
      </c>
      <c r="B40" s="269">
        <v>46235.0</v>
      </c>
      <c r="C40" s="270">
        <f>IF(A40="","",IF(Calculator!snowball,IF(($E$5-DY40)&lt;0,0,$E$5-DY40),0)+D40)</f>
        <v>118.03</v>
      </c>
      <c r="D40" s="277">
        <v>50.0</v>
      </c>
      <c r="E40" s="270">
        <f t="shared" si="40"/>
        <v>0</v>
      </c>
      <c r="F40" s="270">
        <f t="shared" ref="F40:J40" si="164">CU40+EB41</f>
        <v>0</v>
      </c>
      <c r="G40" s="270">
        <f t="shared" si="164"/>
        <v>0</v>
      </c>
      <c r="H40" s="270">
        <f t="shared" si="164"/>
        <v>0</v>
      </c>
      <c r="I40" s="270">
        <f t="shared" si="164"/>
        <v>0</v>
      </c>
      <c r="J40" s="270">
        <f t="shared" si="164"/>
        <v>0</v>
      </c>
      <c r="K40" s="277">
        <v>175.0</v>
      </c>
      <c r="L40" s="277">
        <v>80.0</v>
      </c>
      <c r="M40" s="277">
        <v>151.0</v>
      </c>
      <c r="N40" s="270">
        <f t="shared" si="52"/>
        <v>450.08</v>
      </c>
      <c r="O40" s="270">
        <f t="shared" ref="O40:AG40" si="165">DD40+EK41</f>
        <v>695.6</v>
      </c>
      <c r="P40" s="272">
        <f t="shared" si="165"/>
        <v>791.16</v>
      </c>
      <c r="Q40" s="272">
        <f t="shared" si="165"/>
        <v>1467.13</v>
      </c>
      <c r="R40" s="272">
        <f t="shared" si="165"/>
        <v>0</v>
      </c>
      <c r="S40" s="272">
        <f t="shared" si="165"/>
        <v>0</v>
      </c>
      <c r="T40" s="272">
        <f t="shared" si="165"/>
        <v>0</v>
      </c>
      <c r="U40" s="270">
        <f t="shared" si="165"/>
        <v>0</v>
      </c>
      <c r="V40" s="270">
        <f t="shared" si="165"/>
        <v>0</v>
      </c>
      <c r="W40" s="270">
        <f t="shared" si="165"/>
        <v>0</v>
      </c>
      <c r="X40" s="270">
        <f t="shared" si="165"/>
        <v>0</v>
      </c>
      <c r="Y40" s="270">
        <f t="shared" si="165"/>
        <v>0</v>
      </c>
      <c r="Z40" s="270">
        <f t="shared" si="165"/>
        <v>0</v>
      </c>
      <c r="AA40" s="270">
        <f t="shared" si="165"/>
        <v>0</v>
      </c>
      <c r="AB40" s="270">
        <f t="shared" si="165"/>
        <v>0</v>
      </c>
      <c r="AC40" s="270">
        <f t="shared" si="165"/>
        <v>0</v>
      </c>
      <c r="AD40" s="270">
        <f t="shared" si="165"/>
        <v>0</v>
      </c>
      <c r="AE40" s="270">
        <f t="shared" si="165"/>
        <v>0</v>
      </c>
      <c r="AF40" s="270">
        <f t="shared" si="165"/>
        <v>0</v>
      </c>
      <c r="AG40" s="270">
        <f t="shared" si="165"/>
        <v>0</v>
      </c>
      <c r="AH40" s="265">
        <f t="shared" si="13"/>
        <v>255925.91</v>
      </c>
      <c r="AI40" s="270">
        <f t="shared" si="43"/>
        <v>0</v>
      </c>
      <c r="AJ40" s="270">
        <f t="shared" ref="AJ40:AS40" si="166">IF(F$8=0,0,ROUND(AJ39-(F40-BO40),2))</f>
        <v>0</v>
      </c>
      <c r="AK40" s="270">
        <f t="shared" si="166"/>
        <v>0</v>
      </c>
      <c r="AL40" s="270">
        <f t="shared" si="166"/>
        <v>0</v>
      </c>
      <c r="AM40" s="270">
        <f t="shared" si="166"/>
        <v>0</v>
      </c>
      <c r="AN40" s="270">
        <f t="shared" si="166"/>
        <v>0</v>
      </c>
      <c r="AO40" s="270">
        <f t="shared" si="166"/>
        <v>1274.75</v>
      </c>
      <c r="AP40" s="270">
        <f t="shared" si="166"/>
        <v>3308.87</v>
      </c>
      <c r="AQ40" s="270">
        <f t="shared" si="166"/>
        <v>2784.18</v>
      </c>
      <c r="AR40" s="270">
        <f t="shared" si="166"/>
        <v>10670.82</v>
      </c>
      <c r="AS40" s="270">
        <f t="shared" si="166"/>
        <v>37751.96</v>
      </c>
      <c r="AT40" s="270">
        <f t="shared" ref="AT40:BK40" si="167">IF(P$8=0,0,ROUND(AT39-(P40-BX40),2))</f>
        <v>41450.36</v>
      </c>
      <c r="AU40" s="270">
        <f t="shared" si="167"/>
        <v>158684.97</v>
      </c>
      <c r="AV40" s="270">
        <f t="shared" si="167"/>
        <v>0</v>
      </c>
      <c r="AW40" s="270">
        <f t="shared" si="167"/>
        <v>0</v>
      </c>
      <c r="AX40" s="270">
        <f t="shared" si="167"/>
        <v>0</v>
      </c>
      <c r="AY40" s="270">
        <f t="shared" si="167"/>
        <v>0</v>
      </c>
      <c r="AZ40" s="270">
        <f t="shared" si="167"/>
        <v>0</v>
      </c>
      <c r="BA40" s="270">
        <f t="shared" si="167"/>
        <v>0</v>
      </c>
      <c r="BB40" s="270">
        <f t="shared" si="167"/>
        <v>0</v>
      </c>
      <c r="BC40" s="270">
        <f t="shared" si="167"/>
        <v>0</v>
      </c>
      <c r="BD40" s="270">
        <f t="shared" si="167"/>
        <v>0</v>
      </c>
      <c r="BE40" s="270">
        <f t="shared" si="167"/>
        <v>0</v>
      </c>
      <c r="BF40" s="270">
        <f t="shared" si="167"/>
        <v>0</v>
      </c>
      <c r="BG40" s="270">
        <f t="shared" si="167"/>
        <v>0</v>
      </c>
      <c r="BH40" s="270">
        <f t="shared" si="167"/>
        <v>0</v>
      </c>
      <c r="BI40" s="270">
        <f t="shared" si="167"/>
        <v>0</v>
      </c>
      <c r="BJ40" s="270">
        <f t="shared" si="167"/>
        <v>0</v>
      </c>
      <c r="BK40" s="270">
        <f t="shared" si="167"/>
        <v>0</v>
      </c>
      <c r="BL40" s="265">
        <f t="shared" si="16"/>
        <v>255925.91</v>
      </c>
      <c r="BM40" s="215"/>
      <c r="BN40" s="270">
        <f t="shared" ref="BN40:CP40" si="168">ROUND(AI39*E$9/12,2)</f>
        <v>0</v>
      </c>
      <c r="BO40" s="270">
        <f t="shared" si="168"/>
        <v>0</v>
      </c>
      <c r="BP40" s="270">
        <f t="shared" si="168"/>
        <v>0</v>
      </c>
      <c r="BQ40" s="270">
        <f t="shared" si="168"/>
        <v>0</v>
      </c>
      <c r="BR40" s="270">
        <f t="shared" si="168"/>
        <v>0</v>
      </c>
      <c r="BS40" s="270">
        <f t="shared" si="168"/>
        <v>0</v>
      </c>
      <c r="BT40" s="270">
        <f t="shared" si="168"/>
        <v>35.36</v>
      </c>
      <c r="BU40" s="270">
        <f t="shared" si="168"/>
        <v>87.33</v>
      </c>
      <c r="BV40" s="270">
        <f t="shared" si="168"/>
        <v>70.98</v>
      </c>
      <c r="BW40" s="270">
        <f t="shared" si="168"/>
        <v>164.35</v>
      </c>
      <c r="BX40" s="270">
        <f t="shared" si="168"/>
        <v>349.23</v>
      </c>
      <c r="BY40" s="270">
        <f t="shared" si="168"/>
        <v>323.97</v>
      </c>
      <c r="BZ40" s="270">
        <f t="shared" si="168"/>
        <v>499.46</v>
      </c>
      <c r="CA40" s="270">
        <f t="shared" si="168"/>
        <v>0</v>
      </c>
      <c r="CB40" s="270">
        <f t="shared" si="168"/>
        <v>0</v>
      </c>
      <c r="CC40" s="270">
        <f t="shared" si="168"/>
        <v>0</v>
      </c>
      <c r="CD40" s="270">
        <f t="shared" si="168"/>
        <v>0</v>
      </c>
      <c r="CE40" s="270">
        <f t="shared" si="168"/>
        <v>0</v>
      </c>
      <c r="CF40" s="270">
        <f t="shared" si="168"/>
        <v>0</v>
      </c>
      <c r="CG40" s="270">
        <f t="shared" si="168"/>
        <v>0</v>
      </c>
      <c r="CH40" s="270">
        <f t="shared" si="168"/>
        <v>0</v>
      </c>
      <c r="CI40" s="270">
        <f t="shared" si="168"/>
        <v>0</v>
      </c>
      <c r="CJ40" s="270">
        <f t="shared" si="168"/>
        <v>0</v>
      </c>
      <c r="CK40" s="270">
        <f t="shared" si="168"/>
        <v>0</v>
      </c>
      <c r="CL40" s="270">
        <f t="shared" si="168"/>
        <v>0</v>
      </c>
      <c r="CM40" s="270">
        <f t="shared" si="168"/>
        <v>0</v>
      </c>
      <c r="CN40" s="270">
        <f t="shared" si="168"/>
        <v>0</v>
      </c>
      <c r="CO40" s="270">
        <f t="shared" si="168"/>
        <v>0</v>
      </c>
      <c r="CP40" s="270">
        <f t="shared" si="168"/>
        <v>0</v>
      </c>
      <c r="CQ40" s="215"/>
      <c r="CR40" s="270">
        <f t="shared" si="27"/>
        <v>1530.68</v>
      </c>
      <c r="CS40" s="215"/>
      <c r="CT40" s="270">
        <f t="shared" ref="CT40:DX40" si="169">IF(AI39&gt;0,IF((AI39+BN40)&lt;E$10,AI39+BN40,E$10),0)</f>
        <v>0</v>
      </c>
      <c r="CU40" s="270">
        <f t="shared" si="169"/>
        <v>0</v>
      </c>
      <c r="CV40" s="270">
        <f t="shared" si="169"/>
        <v>0</v>
      </c>
      <c r="CW40" s="270">
        <f t="shared" si="169"/>
        <v>0</v>
      </c>
      <c r="CX40" s="270">
        <f t="shared" si="169"/>
        <v>0</v>
      </c>
      <c r="CY40" s="270">
        <f t="shared" si="169"/>
        <v>0</v>
      </c>
      <c r="CZ40" s="270">
        <f t="shared" si="169"/>
        <v>206</v>
      </c>
      <c r="DA40" s="270">
        <f t="shared" si="169"/>
        <v>82</v>
      </c>
      <c r="DB40" s="270">
        <f t="shared" si="169"/>
        <v>102</v>
      </c>
      <c r="DC40" s="270">
        <f t="shared" si="169"/>
        <v>450.08</v>
      </c>
      <c r="DD40" s="270">
        <f t="shared" si="169"/>
        <v>695.6</v>
      </c>
      <c r="DE40" s="270">
        <f t="shared" si="169"/>
        <v>791.16</v>
      </c>
      <c r="DF40" s="270">
        <f t="shared" si="169"/>
        <v>1467.13</v>
      </c>
      <c r="DG40" s="270">
        <f t="shared" si="169"/>
        <v>0</v>
      </c>
      <c r="DH40" s="270">
        <f t="shared" si="169"/>
        <v>0</v>
      </c>
      <c r="DI40" s="270">
        <f t="shared" si="169"/>
        <v>0</v>
      </c>
      <c r="DJ40" s="270">
        <f t="shared" si="169"/>
        <v>0</v>
      </c>
      <c r="DK40" s="270">
        <f t="shared" si="169"/>
        <v>0</v>
      </c>
      <c r="DL40" s="270">
        <f t="shared" si="169"/>
        <v>0</v>
      </c>
      <c r="DM40" s="270">
        <f t="shared" si="169"/>
        <v>0</v>
      </c>
      <c r="DN40" s="270">
        <f t="shared" si="169"/>
        <v>0</v>
      </c>
      <c r="DO40" s="270">
        <f t="shared" si="169"/>
        <v>0</v>
      </c>
      <c r="DP40" s="270">
        <f t="shared" si="169"/>
        <v>0</v>
      </c>
      <c r="DQ40" s="270">
        <f t="shared" si="169"/>
        <v>0</v>
      </c>
      <c r="DR40" s="270">
        <f t="shared" si="169"/>
        <v>0</v>
      </c>
      <c r="DS40" s="270">
        <f t="shared" si="169"/>
        <v>0</v>
      </c>
      <c r="DT40" s="270">
        <f t="shared" si="169"/>
        <v>0</v>
      </c>
      <c r="DU40" s="270">
        <f t="shared" si="169"/>
        <v>0</v>
      </c>
      <c r="DV40" s="270">
        <f t="shared" si="169"/>
        <v>0</v>
      </c>
      <c r="DW40" s="271" t="str">
        <f t="shared" si="169"/>
        <v/>
      </c>
      <c r="DX40" s="270">
        <f t="shared" si="169"/>
        <v>0</v>
      </c>
      <c r="DY40" s="270">
        <f t="shared" si="29"/>
        <v>3793.97</v>
      </c>
      <c r="DZ40" s="274"/>
      <c r="EA40" s="275">
        <f t="shared" si="38"/>
        <v>0</v>
      </c>
      <c r="EB40" s="270">
        <f t="shared" ref="EB40:FC40" si="170">IF(AJ38&lt;=0,0,IF($C39&lt;=SUM($EA40:EA40),0,IF(CU39+$C39-SUM($EA40:EA40)&gt;AJ38+BO39,AJ38+BO39-CU39,$C39-SUM($EA40:EA40))))</f>
        <v>0</v>
      </c>
      <c r="EC40" s="270">
        <f t="shared" si="170"/>
        <v>0</v>
      </c>
      <c r="ED40" s="270">
        <f t="shared" si="170"/>
        <v>0</v>
      </c>
      <c r="EE40" s="270">
        <f t="shared" si="170"/>
        <v>0</v>
      </c>
      <c r="EF40" s="270">
        <f t="shared" si="170"/>
        <v>0</v>
      </c>
      <c r="EG40" s="270">
        <f t="shared" si="170"/>
        <v>118.03</v>
      </c>
      <c r="EH40" s="270">
        <f t="shared" si="170"/>
        <v>0</v>
      </c>
      <c r="EI40" s="270">
        <f t="shared" si="170"/>
        <v>0</v>
      </c>
      <c r="EJ40" s="270">
        <f t="shared" si="170"/>
        <v>0</v>
      </c>
      <c r="EK40" s="270">
        <f t="shared" si="170"/>
        <v>0</v>
      </c>
      <c r="EL40" s="270">
        <f t="shared" si="170"/>
        <v>0</v>
      </c>
      <c r="EM40" s="270">
        <f t="shared" si="170"/>
        <v>0</v>
      </c>
      <c r="EN40" s="270">
        <f t="shared" si="170"/>
        <v>0</v>
      </c>
      <c r="EO40" s="270">
        <f t="shared" si="170"/>
        <v>0</v>
      </c>
      <c r="EP40" s="270">
        <f t="shared" si="170"/>
        <v>0</v>
      </c>
      <c r="EQ40" s="270">
        <f t="shared" si="170"/>
        <v>0</v>
      </c>
      <c r="ER40" s="270">
        <f t="shared" si="170"/>
        <v>0</v>
      </c>
      <c r="ES40" s="270">
        <f t="shared" si="170"/>
        <v>0</v>
      </c>
      <c r="ET40" s="270">
        <f t="shared" si="170"/>
        <v>0</v>
      </c>
      <c r="EU40" s="270">
        <f t="shared" si="170"/>
        <v>0</v>
      </c>
      <c r="EV40" s="270">
        <f t="shared" si="170"/>
        <v>0</v>
      </c>
      <c r="EW40" s="270">
        <f t="shared" si="170"/>
        <v>0</v>
      </c>
      <c r="EX40" s="270">
        <f t="shared" si="170"/>
        <v>0</v>
      </c>
      <c r="EY40" s="270">
        <f t="shared" si="170"/>
        <v>0</v>
      </c>
      <c r="EZ40" s="270">
        <f t="shared" si="170"/>
        <v>0</v>
      </c>
      <c r="FA40" s="270">
        <f t="shared" si="170"/>
        <v>0</v>
      </c>
      <c r="FB40" s="270">
        <f t="shared" si="170"/>
        <v>0</v>
      </c>
      <c r="FC40" s="270">
        <f t="shared" si="170"/>
        <v>0</v>
      </c>
      <c r="FD40" s="271"/>
      <c r="FE40" s="271"/>
      <c r="FF40" s="271"/>
      <c r="FG40" s="215"/>
      <c r="FH40" s="215"/>
    </row>
    <row r="41" ht="11.25" customHeight="1">
      <c r="A41" s="231">
        <f t="shared" si="19"/>
        <v>21</v>
      </c>
      <c r="B41" s="269">
        <v>46266.0</v>
      </c>
      <c r="C41" s="270">
        <f>IF(A41="","",IF(Calculator!snowball,IF(($E$5-DY41)&lt;0,0,$E$5-DY41),0)+D41)</f>
        <v>118.03</v>
      </c>
      <c r="D41" s="277">
        <v>50.0</v>
      </c>
      <c r="E41" s="270">
        <f t="shared" si="40"/>
        <v>0</v>
      </c>
      <c r="F41" s="270">
        <f t="shared" ref="F41:J41" si="171">CU41+EB42</f>
        <v>0</v>
      </c>
      <c r="G41" s="270">
        <f t="shared" si="171"/>
        <v>0</v>
      </c>
      <c r="H41" s="270">
        <f t="shared" si="171"/>
        <v>0</v>
      </c>
      <c r="I41" s="270">
        <f t="shared" si="171"/>
        <v>0</v>
      </c>
      <c r="J41" s="270">
        <f t="shared" si="171"/>
        <v>0</v>
      </c>
      <c r="K41" s="277">
        <v>175.0</v>
      </c>
      <c r="L41" s="270">
        <f t="shared" ref="L41:L43" si="179">DA41+EH42</f>
        <v>82</v>
      </c>
      <c r="M41" s="277">
        <v>151.0</v>
      </c>
      <c r="N41" s="270">
        <f t="shared" si="52"/>
        <v>450.08</v>
      </c>
      <c r="O41" s="270">
        <f t="shared" ref="O41:AG41" si="172">DD41+EK42</f>
        <v>695.6</v>
      </c>
      <c r="P41" s="272">
        <f t="shared" si="172"/>
        <v>791.16</v>
      </c>
      <c r="Q41" s="272">
        <f t="shared" si="172"/>
        <v>1467.13</v>
      </c>
      <c r="R41" s="272">
        <f t="shared" si="172"/>
        <v>0</v>
      </c>
      <c r="S41" s="272">
        <f t="shared" si="172"/>
        <v>0</v>
      </c>
      <c r="T41" s="272">
        <f t="shared" si="172"/>
        <v>0</v>
      </c>
      <c r="U41" s="270">
        <f t="shared" si="172"/>
        <v>0</v>
      </c>
      <c r="V41" s="270">
        <f t="shared" si="172"/>
        <v>0</v>
      </c>
      <c r="W41" s="270">
        <f t="shared" si="172"/>
        <v>0</v>
      </c>
      <c r="X41" s="270">
        <f t="shared" si="172"/>
        <v>0</v>
      </c>
      <c r="Y41" s="270">
        <f t="shared" si="172"/>
        <v>0</v>
      </c>
      <c r="Z41" s="270">
        <f t="shared" si="172"/>
        <v>0</v>
      </c>
      <c r="AA41" s="270">
        <f t="shared" si="172"/>
        <v>0</v>
      </c>
      <c r="AB41" s="270">
        <f t="shared" si="172"/>
        <v>0</v>
      </c>
      <c r="AC41" s="270">
        <f t="shared" si="172"/>
        <v>0</v>
      </c>
      <c r="AD41" s="270">
        <f t="shared" si="172"/>
        <v>0</v>
      </c>
      <c r="AE41" s="270">
        <f t="shared" si="172"/>
        <v>0</v>
      </c>
      <c r="AF41" s="270">
        <f t="shared" si="172"/>
        <v>0</v>
      </c>
      <c r="AG41" s="270">
        <f t="shared" si="172"/>
        <v>0</v>
      </c>
      <c r="AH41" s="265">
        <f t="shared" si="13"/>
        <v>253475.06</v>
      </c>
      <c r="AI41" s="270">
        <f t="shared" si="43"/>
        <v>0</v>
      </c>
      <c r="AJ41" s="270">
        <f t="shared" ref="AJ41:AS41" si="173">IF(F$8=0,0,ROUND(AJ40-(F41-BO41),2))</f>
        <v>0</v>
      </c>
      <c r="AK41" s="270">
        <f t="shared" si="173"/>
        <v>0</v>
      </c>
      <c r="AL41" s="270">
        <f t="shared" si="173"/>
        <v>0</v>
      </c>
      <c r="AM41" s="270">
        <f t="shared" si="173"/>
        <v>0</v>
      </c>
      <c r="AN41" s="270">
        <f t="shared" si="173"/>
        <v>0</v>
      </c>
      <c r="AO41" s="270">
        <f t="shared" si="173"/>
        <v>1131.62</v>
      </c>
      <c r="AP41" s="270">
        <f t="shared" si="173"/>
        <v>3314.39</v>
      </c>
      <c r="AQ41" s="270">
        <f t="shared" si="173"/>
        <v>2702.18</v>
      </c>
      <c r="AR41" s="270">
        <f t="shared" si="173"/>
        <v>10380.8</v>
      </c>
      <c r="AS41" s="270">
        <f t="shared" si="173"/>
        <v>37402.42</v>
      </c>
      <c r="AT41" s="270">
        <f t="shared" ref="AT41:BK41" si="174">IF(P$8=0,0,ROUND(AT40-(P41-BX41),2))</f>
        <v>41005.26</v>
      </c>
      <c r="AU41" s="270">
        <f t="shared" si="174"/>
        <v>157538.39</v>
      </c>
      <c r="AV41" s="270">
        <f t="shared" si="174"/>
        <v>0</v>
      </c>
      <c r="AW41" s="270">
        <f t="shared" si="174"/>
        <v>0</v>
      </c>
      <c r="AX41" s="270">
        <f t="shared" si="174"/>
        <v>0</v>
      </c>
      <c r="AY41" s="270">
        <f t="shared" si="174"/>
        <v>0</v>
      </c>
      <c r="AZ41" s="270">
        <f t="shared" si="174"/>
        <v>0</v>
      </c>
      <c r="BA41" s="270">
        <f t="shared" si="174"/>
        <v>0</v>
      </c>
      <c r="BB41" s="270">
        <f t="shared" si="174"/>
        <v>0</v>
      </c>
      <c r="BC41" s="270">
        <f t="shared" si="174"/>
        <v>0</v>
      </c>
      <c r="BD41" s="270">
        <f t="shared" si="174"/>
        <v>0</v>
      </c>
      <c r="BE41" s="270">
        <f t="shared" si="174"/>
        <v>0</v>
      </c>
      <c r="BF41" s="270">
        <f t="shared" si="174"/>
        <v>0</v>
      </c>
      <c r="BG41" s="270">
        <f t="shared" si="174"/>
        <v>0</v>
      </c>
      <c r="BH41" s="270">
        <f t="shared" si="174"/>
        <v>0</v>
      </c>
      <c r="BI41" s="270">
        <f t="shared" si="174"/>
        <v>0</v>
      </c>
      <c r="BJ41" s="270">
        <f t="shared" si="174"/>
        <v>0</v>
      </c>
      <c r="BK41" s="270">
        <f t="shared" si="174"/>
        <v>0</v>
      </c>
      <c r="BL41" s="265">
        <f t="shared" si="16"/>
        <v>253475.06</v>
      </c>
      <c r="BM41" s="215"/>
      <c r="BN41" s="270">
        <f t="shared" ref="BN41:CP41" si="175">ROUND(AI40*E$9/12,2)</f>
        <v>0</v>
      </c>
      <c r="BO41" s="270">
        <f t="shared" si="175"/>
        <v>0</v>
      </c>
      <c r="BP41" s="270">
        <f t="shared" si="175"/>
        <v>0</v>
      </c>
      <c r="BQ41" s="270">
        <f t="shared" si="175"/>
        <v>0</v>
      </c>
      <c r="BR41" s="270">
        <f t="shared" si="175"/>
        <v>0</v>
      </c>
      <c r="BS41" s="270">
        <f t="shared" si="175"/>
        <v>0</v>
      </c>
      <c r="BT41" s="270">
        <f t="shared" si="175"/>
        <v>31.87</v>
      </c>
      <c r="BU41" s="270">
        <f t="shared" si="175"/>
        <v>87.52</v>
      </c>
      <c r="BV41" s="270">
        <f t="shared" si="175"/>
        <v>69</v>
      </c>
      <c r="BW41" s="270">
        <f t="shared" si="175"/>
        <v>160.06</v>
      </c>
      <c r="BX41" s="270">
        <f t="shared" si="175"/>
        <v>346.06</v>
      </c>
      <c r="BY41" s="270">
        <f t="shared" si="175"/>
        <v>320.55</v>
      </c>
      <c r="BZ41" s="270">
        <f t="shared" si="175"/>
        <v>495.89</v>
      </c>
      <c r="CA41" s="270">
        <f t="shared" si="175"/>
        <v>0</v>
      </c>
      <c r="CB41" s="270">
        <f t="shared" si="175"/>
        <v>0</v>
      </c>
      <c r="CC41" s="270">
        <f t="shared" si="175"/>
        <v>0</v>
      </c>
      <c r="CD41" s="270">
        <f t="shared" si="175"/>
        <v>0</v>
      </c>
      <c r="CE41" s="270">
        <f t="shared" si="175"/>
        <v>0</v>
      </c>
      <c r="CF41" s="270">
        <f t="shared" si="175"/>
        <v>0</v>
      </c>
      <c r="CG41" s="270">
        <f t="shared" si="175"/>
        <v>0</v>
      </c>
      <c r="CH41" s="270">
        <f t="shared" si="175"/>
        <v>0</v>
      </c>
      <c r="CI41" s="270">
        <f t="shared" si="175"/>
        <v>0</v>
      </c>
      <c r="CJ41" s="270">
        <f t="shared" si="175"/>
        <v>0</v>
      </c>
      <c r="CK41" s="270">
        <f t="shared" si="175"/>
        <v>0</v>
      </c>
      <c r="CL41" s="270">
        <f t="shared" si="175"/>
        <v>0</v>
      </c>
      <c r="CM41" s="270">
        <f t="shared" si="175"/>
        <v>0</v>
      </c>
      <c r="CN41" s="270">
        <f t="shared" si="175"/>
        <v>0</v>
      </c>
      <c r="CO41" s="270">
        <f t="shared" si="175"/>
        <v>0</v>
      </c>
      <c r="CP41" s="270">
        <f t="shared" si="175"/>
        <v>0</v>
      </c>
      <c r="CQ41" s="215"/>
      <c r="CR41" s="270">
        <f t="shared" si="27"/>
        <v>1510.95</v>
      </c>
      <c r="CS41" s="215"/>
      <c r="CT41" s="270">
        <f t="shared" ref="CT41:DX41" si="176">IF(AI40&gt;0,IF((AI40+BN41)&lt;E$10,AI40+BN41,E$10),0)</f>
        <v>0</v>
      </c>
      <c r="CU41" s="270">
        <f t="shared" si="176"/>
        <v>0</v>
      </c>
      <c r="CV41" s="270">
        <f t="shared" si="176"/>
        <v>0</v>
      </c>
      <c r="CW41" s="270">
        <f t="shared" si="176"/>
        <v>0</v>
      </c>
      <c r="CX41" s="270">
        <f t="shared" si="176"/>
        <v>0</v>
      </c>
      <c r="CY41" s="270">
        <f t="shared" si="176"/>
        <v>0</v>
      </c>
      <c r="CZ41" s="270">
        <f t="shared" si="176"/>
        <v>206</v>
      </c>
      <c r="DA41" s="270">
        <f t="shared" si="176"/>
        <v>82</v>
      </c>
      <c r="DB41" s="270">
        <f t="shared" si="176"/>
        <v>102</v>
      </c>
      <c r="DC41" s="270">
        <f t="shared" si="176"/>
        <v>450.08</v>
      </c>
      <c r="DD41" s="270">
        <f t="shared" si="176"/>
        <v>695.6</v>
      </c>
      <c r="DE41" s="270">
        <f t="shared" si="176"/>
        <v>791.16</v>
      </c>
      <c r="DF41" s="270">
        <f t="shared" si="176"/>
        <v>1467.13</v>
      </c>
      <c r="DG41" s="270">
        <f t="shared" si="176"/>
        <v>0</v>
      </c>
      <c r="DH41" s="270">
        <f t="shared" si="176"/>
        <v>0</v>
      </c>
      <c r="DI41" s="270">
        <f t="shared" si="176"/>
        <v>0</v>
      </c>
      <c r="DJ41" s="270">
        <f t="shared" si="176"/>
        <v>0</v>
      </c>
      <c r="DK41" s="270">
        <f t="shared" si="176"/>
        <v>0</v>
      </c>
      <c r="DL41" s="270">
        <f t="shared" si="176"/>
        <v>0</v>
      </c>
      <c r="DM41" s="270">
        <f t="shared" si="176"/>
        <v>0</v>
      </c>
      <c r="DN41" s="270">
        <f t="shared" si="176"/>
        <v>0</v>
      </c>
      <c r="DO41" s="270">
        <f t="shared" si="176"/>
        <v>0</v>
      </c>
      <c r="DP41" s="270">
        <f t="shared" si="176"/>
        <v>0</v>
      </c>
      <c r="DQ41" s="270">
        <f t="shared" si="176"/>
        <v>0</v>
      </c>
      <c r="DR41" s="270">
        <f t="shared" si="176"/>
        <v>0</v>
      </c>
      <c r="DS41" s="270">
        <f t="shared" si="176"/>
        <v>0</v>
      </c>
      <c r="DT41" s="270">
        <f t="shared" si="176"/>
        <v>0</v>
      </c>
      <c r="DU41" s="270">
        <f t="shared" si="176"/>
        <v>0</v>
      </c>
      <c r="DV41" s="270">
        <f t="shared" si="176"/>
        <v>0</v>
      </c>
      <c r="DW41" s="271" t="str">
        <f t="shared" si="176"/>
        <v/>
      </c>
      <c r="DX41" s="270">
        <f t="shared" si="176"/>
        <v>0</v>
      </c>
      <c r="DY41" s="270">
        <f t="shared" si="29"/>
        <v>3793.97</v>
      </c>
      <c r="DZ41" s="274"/>
      <c r="EA41" s="275">
        <f t="shared" si="38"/>
        <v>0</v>
      </c>
      <c r="EB41" s="270">
        <f t="shared" ref="EB41:FC41" si="177">IF(AJ39&lt;=0,0,IF($C40&lt;=SUM($EA41:EA41),0,IF(CU40+$C40-SUM($EA41:EA41)&gt;AJ39+BO40,AJ39+BO40-CU40,$C40-SUM($EA41:EA41))))</f>
        <v>0</v>
      </c>
      <c r="EC41" s="270">
        <f t="shared" si="177"/>
        <v>0</v>
      </c>
      <c r="ED41" s="270">
        <f t="shared" si="177"/>
        <v>0</v>
      </c>
      <c r="EE41" s="270">
        <f t="shared" si="177"/>
        <v>0</v>
      </c>
      <c r="EF41" s="270">
        <f t="shared" si="177"/>
        <v>0</v>
      </c>
      <c r="EG41" s="270">
        <f t="shared" si="177"/>
        <v>118.03</v>
      </c>
      <c r="EH41" s="270">
        <f t="shared" si="177"/>
        <v>0</v>
      </c>
      <c r="EI41" s="270">
        <f t="shared" si="177"/>
        <v>0</v>
      </c>
      <c r="EJ41" s="270">
        <f t="shared" si="177"/>
        <v>0</v>
      </c>
      <c r="EK41" s="270">
        <f t="shared" si="177"/>
        <v>0</v>
      </c>
      <c r="EL41" s="270">
        <f t="shared" si="177"/>
        <v>0</v>
      </c>
      <c r="EM41" s="270">
        <f t="shared" si="177"/>
        <v>0</v>
      </c>
      <c r="EN41" s="270">
        <f t="shared" si="177"/>
        <v>0</v>
      </c>
      <c r="EO41" s="270">
        <f t="shared" si="177"/>
        <v>0</v>
      </c>
      <c r="EP41" s="270">
        <f t="shared" si="177"/>
        <v>0</v>
      </c>
      <c r="EQ41" s="270">
        <f t="shared" si="177"/>
        <v>0</v>
      </c>
      <c r="ER41" s="270">
        <f t="shared" si="177"/>
        <v>0</v>
      </c>
      <c r="ES41" s="270">
        <f t="shared" si="177"/>
        <v>0</v>
      </c>
      <c r="ET41" s="270">
        <f t="shared" si="177"/>
        <v>0</v>
      </c>
      <c r="EU41" s="270">
        <f t="shared" si="177"/>
        <v>0</v>
      </c>
      <c r="EV41" s="270">
        <f t="shared" si="177"/>
        <v>0</v>
      </c>
      <c r="EW41" s="270">
        <f t="shared" si="177"/>
        <v>0</v>
      </c>
      <c r="EX41" s="270">
        <f t="shared" si="177"/>
        <v>0</v>
      </c>
      <c r="EY41" s="270">
        <f t="shared" si="177"/>
        <v>0</v>
      </c>
      <c r="EZ41" s="270">
        <f t="shared" si="177"/>
        <v>0</v>
      </c>
      <c r="FA41" s="270">
        <f t="shared" si="177"/>
        <v>0</v>
      </c>
      <c r="FB41" s="270">
        <f t="shared" si="177"/>
        <v>0</v>
      </c>
      <c r="FC41" s="270">
        <f t="shared" si="177"/>
        <v>0</v>
      </c>
      <c r="FD41" s="271"/>
      <c r="FE41" s="271"/>
      <c r="FF41" s="271"/>
      <c r="FG41" s="215"/>
      <c r="FH41" s="215"/>
    </row>
    <row r="42" ht="11.25" customHeight="1">
      <c r="A42" s="231">
        <f t="shared" si="19"/>
        <v>22</v>
      </c>
      <c r="B42" s="269">
        <v>46296.0</v>
      </c>
      <c r="C42" s="270">
        <f>IF(A42="","",IF(Calculator!snowball,IF(($E$5-DY42)&lt;0,0,$E$5-DY42),0)+D42)</f>
        <v>118.03</v>
      </c>
      <c r="D42" s="277">
        <v>50.0</v>
      </c>
      <c r="E42" s="270">
        <f t="shared" si="40"/>
        <v>0</v>
      </c>
      <c r="F42" s="270">
        <f t="shared" ref="F42:J42" si="178">CU42+EB43</f>
        <v>0</v>
      </c>
      <c r="G42" s="270">
        <f t="shared" si="178"/>
        <v>0</v>
      </c>
      <c r="H42" s="270">
        <f t="shared" si="178"/>
        <v>0</v>
      </c>
      <c r="I42" s="270">
        <f t="shared" si="178"/>
        <v>0</v>
      </c>
      <c r="J42" s="270">
        <f t="shared" si="178"/>
        <v>0</v>
      </c>
      <c r="K42" s="277">
        <v>175.0</v>
      </c>
      <c r="L42" s="270">
        <f t="shared" si="179"/>
        <v>82</v>
      </c>
      <c r="M42" s="277">
        <v>151.0</v>
      </c>
      <c r="N42" s="270">
        <f t="shared" si="52"/>
        <v>450.08</v>
      </c>
      <c r="O42" s="270">
        <f t="shared" ref="O42:AG42" si="180">DD42+EK43</f>
        <v>695.6</v>
      </c>
      <c r="P42" s="272">
        <f t="shared" si="180"/>
        <v>791.16</v>
      </c>
      <c r="Q42" s="272">
        <f t="shared" si="180"/>
        <v>1467.13</v>
      </c>
      <c r="R42" s="272">
        <f t="shared" si="180"/>
        <v>0</v>
      </c>
      <c r="S42" s="272">
        <f t="shared" si="180"/>
        <v>0</v>
      </c>
      <c r="T42" s="272">
        <f t="shared" si="180"/>
        <v>0</v>
      </c>
      <c r="U42" s="270">
        <f t="shared" si="180"/>
        <v>0</v>
      </c>
      <c r="V42" s="270">
        <f t="shared" si="180"/>
        <v>0</v>
      </c>
      <c r="W42" s="270">
        <f t="shared" si="180"/>
        <v>0</v>
      </c>
      <c r="X42" s="270">
        <f t="shared" si="180"/>
        <v>0</v>
      </c>
      <c r="Y42" s="270">
        <f t="shared" si="180"/>
        <v>0</v>
      </c>
      <c r="Z42" s="270">
        <f t="shared" si="180"/>
        <v>0</v>
      </c>
      <c r="AA42" s="270">
        <f t="shared" si="180"/>
        <v>0</v>
      </c>
      <c r="AB42" s="270">
        <f t="shared" si="180"/>
        <v>0</v>
      </c>
      <c r="AC42" s="270">
        <f t="shared" si="180"/>
        <v>0</v>
      </c>
      <c r="AD42" s="270">
        <f t="shared" si="180"/>
        <v>0</v>
      </c>
      <c r="AE42" s="270">
        <f t="shared" si="180"/>
        <v>0</v>
      </c>
      <c r="AF42" s="270">
        <f t="shared" si="180"/>
        <v>0</v>
      </c>
      <c r="AG42" s="270">
        <f t="shared" si="180"/>
        <v>0</v>
      </c>
      <c r="AH42" s="265">
        <f t="shared" si="13"/>
        <v>251004.56</v>
      </c>
      <c r="AI42" s="270">
        <f t="shared" si="43"/>
        <v>0</v>
      </c>
      <c r="AJ42" s="270">
        <f t="shared" ref="AJ42:AS42" si="181">IF(F$8=0,0,ROUND(AJ41-(F42-BO42),2))</f>
        <v>0</v>
      </c>
      <c r="AK42" s="270">
        <f t="shared" si="181"/>
        <v>0</v>
      </c>
      <c r="AL42" s="270">
        <f t="shared" si="181"/>
        <v>0</v>
      </c>
      <c r="AM42" s="270">
        <f t="shared" si="181"/>
        <v>0</v>
      </c>
      <c r="AN42" s="270">
        <f t="shared" si="181"/>
        <v>0</v>
      </c>
      <c r="AO42" s="270">
        <f t="shared" si="181"/>
        <v>984.91</v>
      </c>
      <c r="AP42" s="270">
        <f t="shared" si="181"/>
        <v>3320.06</v>
      </c>
      <c r="AQ42" s="270">
        <f t="shared" si="181"/>
        <v>2618.15</v>
      </c>
      <c r="AR42" s="270">
        <f t="shared" si="181"/>
        <v>10086.43</v>
      </c>
      <c r="AS42" s="270">
        <f t="shared" si="181"/>
        <v>37049.68</v>
      </c>
      <c r="AT42" s="270">
        <f t="shared" ref="AT42:BK42" si="182">IF(P$8=0,0,ROUND(AT41-(P42-BX42),2))</f>
        <v>40556.96</v>
      </c>
      <c r="AU42" s="270">
        <f t="shared" si="182"/>
        <v>156388.37</v>
      </c>
      <c r="AV42" s="270">
        <f t="shared" si="182"/>
        <v>0</v>
      </c>
      <c r="AW42" s="270">
        <f t="shared" si="182"/>
        <v>0</v>
      </c>
      <c r="AX42" s="270">
        <f t="shared" si="182"/>
        <v>0</v>
      </c>
      <c r="AY42" s="270">
        <f t="shared" si="182"/>
        <v>0</v>
      </c>
      <c r="AZ42" s="270">
        <f t="shared" si="182"/>
        <v>0</v>
      </c>
      <c r="BA42" s="270">
        <f t="shared" si="182"/>
        <v>0</v>
      </c>
      <c r="BB42" s="270">
        <f t="shared" si="182"/>
        <v>0</v>
      </c>
      <c r="BC42" s="270">
        <f t="shared" si="182"/>
        <v>0</v>
      </c>
      <c r="BD42" s="270">
        <f t="shared" si="182"/>
        <v>0</v>
      </c>
      <c r="BE42" s="270">
        <f t="shared" si="182"/>
        <v>0</v>
      </c>
      <c r="BF42" s="270">
        <f t="shared" si="182"/>
        <v>0</v>
      </c>
      <c r="BG42" s="270">
        <f t="shared" si="182"/>
        <v>0</v>
      </c>
      <c r="BH42" s="270">
        <f t="shared" si="182"/>
        <v>0</v>
      </c>
      <c r="BI42" s="270">
        <f t="shared" si="182"/>
        <v>0</v>
      </c>
      <c r="BJ42" s="270">
        <f t="shared" si="182"/>
        <v>0</v>
      </c>
      <c r="BK42" s="270">
        <f t="shared" si="182"/>
        <v>0</v>
      </c>
      <c r="BL42" s="265">
        <f t="shared" si="16"/>
        <v>251004.56</v>
      </c>
      <c r="BM42" s="215"/>
      <c r="BN42" s="270">
        <f t="shared" ref="BN42:CP42" si="183">ROUND(AI41*E$9/12,2)</f>
        <v>0</v>
      </c>
      <c r="BO42" s="270">
        <f t="shared" si="183"/>
        <v>0</v>
      </c>
      <c r="BP42" s="270">
        <f t="shared" si="183"/>
        <v>0</v>
      </c>
      <c r="BQ42" s="270">
        <f t="shared" si="183"/>
        <v>0</v>
      </c>
      <c r="BR42" s="270">
        <f t="shared" si="183"/>
        <v>0</v>
      </c>
      <c r="BS42" s="270">
        <f t="shared" si="183"/>
        <v>0</v>
      </c>
      <c r="BT42" s="270">
        <f t="shared" si="183"/>
        <v>28.29</v>
      </c>
      <c r="BU42" s="270">
        <f t="shared" si="183"/>
        <v>87.67</v>
      </c>
      <c r="BV42" s="270">
        <f t="shared" si="183"/>
        <v>66.97</v>
      </c>
      <c r="BW42" s="270">
        <f t="shared" si="183"/>
        <v>155.71</v>
      </c>
      <c r="BX42" s="270">
        <f t="shared" si="183"/>
        <v>342.86</v>
      </c>
      <c r="BY42" s="270">
        <f t="shared" si="183"/>
        <v>317.11</v>
      </c>
      <c r="BZ42" s="270">
        <f t="shared" si="183"/>
        <v>492.31</v>
      </c>
      <c r="CA42" s="270">
        <f t="shared" si="183"/>
        <v>0</v>
      </c>
      <c r="CB42" s="270">
        <f t="shared" si="183"/>
        <v>0</v>
      </c>
      <c r="CC42" s="270">
        <f t="shared" si="183"/>
        <v>0</v>
      </c>
      <c r="CD42" s="270">
        <f t="shared" si="183"/>
        <v>0</v>
      </c>
      <c r="CE42" s="270">
        <f t="shared" si="183"/>
        <v>0</v>
      </c>
      <c r="CF42" s="270">
        <f t="shared" si="183"/>
        <v>0</v>
      </c>
      <c r="CG42" s="270">
        <f t="shared" si="183"/>
        <v>0</v>
      </c>
      <c r="CH42" s="270">
        <f t="shared" si="183"/>
        <v>0</v>
      </c>
      <c r="CI42" s="270">
        <f t="shared" si="183"/>
        <v>0</v>
      </c>
      <c r="CJ42" s="270">
        <f t="shared" si="183"/>
        <v>0</v>
      </c>
      <c r="CK42" s="270">
        <f t="shared" si="183"/>
        <v>0</v>
      </c>
      <c r="CL42" s="270">
        <f t="shared" si="183"/>
        <v>0</v>
      </c>
      <c r="CM42" s="270">
        <f t="shared" si="183"/>
        <v>0</v>
      </c>
      <c r="CN42" s="270">
        <f t="shared" si="183"/>
        <v>0</v>
      </c>
      <c r="CO42" s="270">
        <f t="shared" si="183"/>
        <v>0</v>
      </c>
      <c r="CP42" s="270">
        <f t="shared" si="183"/>
        <v>0</v>
      </c>
      <c r="CQ42" s="215"/>
      <c r="CR42" s="270">
        <f t="shared" si="27"/>
        <v>1490.92</v>
      </c>
      <c r="CS42" s="215"/>
      <c r="CT42" s="270">
        <f t="shared" ref="CT42:DX42" si="184">IF(AI41&gt;0,IF((AI41+BN42)&lt;E$10,AI41+BN42,E$10),0)</f>
        <v>0</v>
      </c>
      <c r="CU42" s="270">
        <f t="shared" si="184"/>
        <v>0</v>
      </c>
      <c r="CV42" s="270">
        <f t="shared" si="184"/>
        <v>0</v>
      </c>
      <c r="CW42" s="270">
        <f t="shared" si="184"/>
        <v>0</v>
      </c>
      <c r="CX42" s="270">
        <f t="shared" si="184"/>
        <v>0</v>
      </c>
      <c r="CY42" s="270">
        <f t="shared" si="184"/>
        <v>0</v>
      </c>
      <c r="CZ42" s="270">
        <f t="shared" si="184"/>
        <v>206</v>
      </c>
      <c r="DA42" s="270">
        <f t="shared" si="184"/>
        <v>82</v>
      </c>
      <c r="DB42" s="270">
        <f t="shared" si="184"/>
        <v>102</v>
      </c>
      <c r="DC42" s="270">
        <f t="shared" si="184"/>
        <v>450.08</v>
      </c>
      <c r="DD42" s="270">
        <f t="shared" si="184"/>
        <v>695.6</v>
      </c>
      <c r="DE42" s="270">
        <f t="shared" si="184"/>
        <v>791.16</v>
      </c>
      <c r="DF42" s="270">
        <f t="shared" si="184"/>
        <v>1467.13</v>
      </c>
      <c r="DG42" s="270">
        <f t="shared" si="184"/>
        <v>0</v>
      </c>
      <c r="DH42" s="270">
        <f t="shared" si="184"/>
        <v>0</v>
      </c>
      <c r="DI42" s="270">
        <f t="shared" si="184"/>
        <v>0</v>
      </c>
      <c r="DJ42" s="270">
        <f t="shared" si="184"/>
        <v>0</v>
      </c>
      <c r="DK42" s="270">
        <f t="shared" si="184"/>
        <v>0</v>
      </c>
      <c r="DL42" s="270">
        <f t="shared" si="184"/>
        <v>0</v>
      </c>
      <c r="DM42" s="270">
        <f t="shared" si="184"/>
        <v>0</v>
      </c>
      <c r="DN42" s="270">
        <f t="shared" si="184"/>
        <v>0</v>
      </c>
      <c r="DO42" s="270">
        <f t="shared" si="184"/>
        <v>0</v>
      </c>
      <c r="DP42" s="270">
        <f t="shared" si="184"/>
        <v>0</v>
      </c>
      <c r="DQ42" s="270">
        <f t="shared" si="184"/>
        <v>0</v>
      </c>
      <c r="DR42" s="270">
        <f t="shared" si="184"/>
        <v>0</v>
      </c>
      <c r="DS42" s="270">
        <f t="shared" si="184"/>
        <v>0</v>
      </c>
      <c r="DT42" s="270">
        <f t="shared" si="184"/>
        <v>0</v>
      </c>
      <c r="DU42" s="270">
        <f t="shared" si="184"/>
        <v>0</v>
      </c>
      <c r="DV42" s="270">
        <f t="shared" si="184"/>
        <v>0</v>
      </c>
      <c r="DW42" s="271" t="str">
        <f t="shared" si="184"/>
        <v/>
      </c>
      <c r="DX42" s="270">
        <f t="shared" si="184"/>
        <v>0</v>
      </c>
      <c r="DY42" s="270">
        <f t="shared" si="29"/>
        <v>3793.97</v>
      </c>
      <c r="DZ42" s="274"/>
      <c r="EA42" s="275">
        <f t="shared" si="38"/>
        <v>0</v>
      </c>
      <c r="EB42" s="270">
        <f t="shared" ref="EB42:FC42" si="185">IF(AJ40&lt;=0,0,IF($C41&lt;=SUM($EA42:EA42),0,IF(CU41+$C41-SUM($EA42:EA42)&gt;AJ40+BO41,AJ40+BO41-CU41,$C41-SUM($EA42:EA42))))</f>
        <v>0</v>
      </c>
      <c r="EC42" s="270">
        <f t="shared" si="185"/>
        <v>0</v>
      </c>
      <c r="ED42" s="270">
        <f t="shared" si="185"/>
        <v>0</v>
      </c>
      <c r="EE42" s="270">
        <f t="shared" si="185"/>
        <v>0</v>
      </c>
      <c r="EF42" s="270">
        <f t="shared" si="185"/>
        <v>0</v>
      </c>
      <c r="EG42" s="270">
        <f t="shared" si="185"/>
        <v>118.03</v>
      </c>
      <c r="EH42" s="270">
        <f t="shared" si="185"/>
        <v>0</v>
      </c>
      <c r="EI42" s="270">
        <f t="shared" si="185"/>
        <v>0</v>
      </c>
      <c r="EJ42" s="270">
        <f t="shared" si="185"/>
        <v>0</v>
      </c>
      <c r="EK42" s="270">
        <f t="shared" si="185"/>
        <v>0</v>
      </c>
      <c r="EL42" s="270">
        <f t="shared" si="185"/>
        <v>0</v>
      </c>
      <c r="EM42" s="270">
        <f t="shared" si="185"/>
        <v>0</v>
      </c>
      <c r="EN42" s="270">
        <f t="shared" si="185"/>
        <v>0</v>
      </c>
      <c r="EO42" s="270">
        <f t="shared" si="185"/>
        <v>0</v>
      </c>
      <c r="EP42" s="270">
        <f t="shared" si="185"/>
        <v>0</v>
      </c>
      <c r="EQ42" s="270">
        <f t="shared" si="185"/>
        <v>0</v>
      </c>
      <c r="ER42" s="270">
        <f t="shared" si="185"/>
        <v>0</v>
      </c>
      <c r="ES42" s="270">
        <f t="shared" si="185"/>
        <v>0</v>
      </c>
      <c r="ET42" s="270">
        <f t="shared" si="185"/>
        <v>0</v>
      </c>
      <c r="EU42" s="270">
        <f t="shared" si="185"/>
        <v>0</v>
      </c>
      <c r="EV42" s="270">
        <f t="shared" si="185"/>
        <v>0</v>
      </c>
      <c r="EW42" s="270">
        <f t="shared" si="185"/>
        <v>0</v>
      </c>
      <c r="EX42" s="270">
        <f t="shared" si="185"/>
        <v>0</v>
      </c>
      <c r="EY42" s="270">
        <f t="shared" si="185"/>
        <v>0</v>
      </c>
      <c r="EZ42" s="270">
        <f t="shared" si="185"/>
        <v>0</v>
      </c>
      <c r="FA42" s="270">
        <f t="shared" si="185"/>
        <v>0</v>
      </c>
      <c r="FB42" s="270">
        <f t="shared" si="185"/>
        <v>0</v>
      </c>
      <c r="FC42" s="270">
        <f t="shared" si="185"/>
        <v>0</v>
      </c>
      <c r="FD42" s="271"/>
      <c r="FE42" s="271"/>
      <c r="FF42" s="271"/>
      <c r="FG42" s="215"/>
      <c r="FH42" s="215"/>
    </row>
    <row r="43" ht="11.25" customHeight="1">
      <c r="A43" s="231">
        <f t="shared" si="19"/>
        <v>23</v>
      </c>
      <c r="B43" s="269">
        <v>46327.0</v>
      </c>
      <c r="C43" s="270">
        <f>IF(A43="","",IF(Calculator!snowball,IF(($E$5-DY43)&lt;0,0,$E$5-DY43),0)+D43)</f>
        <v>118.03</v>
      </c>
      <c r="D43" s="277">
        <v>50.0</v>
      </c>
      <c r="E43" s="270">
        <f t="shared" si="40"/>
        <v>0</v>
      </c>
      <c r="F43" s="270">
        <f t="shared" ref="F43:J43" si="186">CU43+EB44</f>
        <v>0</v>
      </c>
      <c r="G43" s="270">
        <f t="shared" si="186"/>
        <v>0</v>
      </c>
      <c r="H43" s="270">
        <f t="shared" si="186"/>
        <v>0</v>
      </c>
      <c r="I43" s="270">
        <f t="shared" si="186"/>
        <v>0</v>
      </c>
      <c r="J43" s="270">
        <f t="shared" si="186"/>
        <v>0</v>
      </c>
      <c r="K43" s="277">
        <v>175.0</v>
      </c>
      <c r="L43" s="270">
        <f t="shared" si="179"/>
        <v>82</v>
      </c>
      <c r="M43" s="277">
        <v>151.0</v>
      </c>
      <c r="N43" s="270">
        <f t="shared" si="52"/>
        <v>450.08</v>
      </c>
      <c r="O43" s="270">
        <f t="shared" ref="O43:AG43" si="187">DD43+EK44</f>
        <v>695.6</v>
      </c>
      <c r="P43" s="272">
        <f t="shared" si="187"/>
        <v>791.16</v>
      </c>
      <c r="Q43" s="272">
        <f t="shared" si="187"/>
        <v>1467.13</v>
      </c>
      <c r="R43" s="272">
        <f t="shared" si="187"/>
        <v>0</v>
      </c>
      <c r="S43" s="272">
        <f t="shared" si="187"/>
        <v>0</v>
      </c>
      <c r="T43" s="272">
        <f t="shared" si="187"/>
        <v>0</v>
      </c>
      <c r="U43" s="270">
        <f t="shared" si="187"/>
        <v>0</v>
      </c>
      <c r="V43" s="270">
        <f t="shared" si="187"/>
        <v>0</v>
      </c>
      <c r="W43" s="270">
        <f t="shared" si="187"/>
        <v>0</v>
      </c>
      <c r="X43" s="270">
        <f t="shared" si="187"/>
        <v>0</v>
      </c>
      <c r="Y43" s="270">
        <f t="shared" si="187"/>
        <v>0</v>
      </c>
      <c r="Z43" s="270">
        <f t="shared" si="187"/>
        <v>0</v>
      </c>
      <c r="AA43" s="270">
        <f t="shared" si="187"/>
        <v>0</v>
      </c>
      <c r="AB43" s="270">
        <f t="shared" si="187"/>
        <v>0</v>
      </c>
      <c r="AC43" s="270">
        <f t="shared" si="187"/>
        <v>0</v>
      </c>
      <c r="AD43" s="270">
        <f t="shared" si="187"/>
        <v>0</v>
      </c>
      <c r="AE43" s="270">
        <f t="shared" si="187"/>
        <v>0</v>
      </c>
      <c r="AF43" s="270">
        <f t="shared" si="187"/>
        <v>0</v>
      </c>
      <c r="AG43" s="270">
        <f t="shared" si="187"/>
        <v>0</v>
      </c>
      <c r="AH43" s="265">
        <f t="shared" si="13"/>
        <v>248514.1</v>
      </c>
      <c r="AI43" s="270">
        <f t="shared" si="43"/>
        <v>0</v>
      </c>
      <c r="AJ43" s="270">
        <f t="shared" ref="AJ43:AS43" si="188">IF(F$8=0,0,ROUND(AJ42-(F43-BO43),2))</f>
        <v>0</v>
      </c>
      <c r="AK43" s="270">
        <f t="shared" si="188"/>
        <v>0</v>
      </c>
      <c r="AL43" s="270">
        <f t="shared" si="188"/>
        <v>0</v>
      </c>
      <c r="AM43" s="270">
        <f t="shared" si="188"/>
        <v>0</v>
      </c>
      <c r="AN43" s="270">
        <f t="shared" si="188"/>
        <v>0</v>
      </c>
      <c r="AO43" s="270">
        <f t="shared" si="188"/>
        <v>834.53</v>
      </c>
      <c r="AP43" s="270">
        <f t="shared" si="188"/>
        <v>3325.88</v>
      </c>
      <c r="AQ43" s="270">
        <f t="shared" si="188"/>
        <v>2532.04</v>
      </c>
      <c r="AR43" s="270">
        <f t="shared" si="188"/>
        <v>9787.65</v>
      </c>
      <c r="AS43" s="270">
        <f t="shared" si="188"/>
        <v>36693.7</v>
      </c>
      <c r="AT43" s="270">
        <f t="shared" ref="AT43:BK43" si="189">IF(P$8=0,0,ROUND(AT42-(P43-BX43),2))</f>
        <v>40105.42</v>
      </c>
      <c r="AU43" s="270">
        <f t="shared" si="189"/>
        <v>155234.88</v>
      </c>
      <c r="AV43" s="270">
        <f t="shared" si="189"/>
        <v>0</v>
      </c>
      <c r="AW43" s="270">
        <f t="shared" si="189"/>
        <v>0</v>
      </c>
      <c r="AX43" s="270">
        <f t="shared" si="189"/>
        <v>0</v>
      </c>
      <c r="AY43" s="270">
        <f t="shared" si="189"/>
        <v>0</v>
      </c>
      <c r="AZ43" s="270">
        <f t="shared" si="189"/>
        <v>0</v>
      </c>
      <c r="BA43" s="270">
        <f t="shared" si="189"/>
        <v>0</v>
      </c>
      <c r="BB43" s="270">
        <f t="shared" si="189"/>
        <v>0</v>
      </c>
      <c r="BC43" s="270">
        <f t="shared" si="189"/>
        <v>0</v>
      </c>
      <c r="BD43" s="270">
        <f t="shared" si="189"/>
        <v>0</v>
      </c>
      <c r="BE43" s="270">
        <f t="shared" si="189"/>
        <v>0</v>
      </c>
      <c r="BF43" s="270">
        <f t="shared" si="189"/>
        <v>0</v>
      </c>
      <c r="BG43" s="270">
        <f t="shared" si="189"/>
        <v>0</v>
      </c>
      <c r="BH43" s="270">
        <f t="shared" si="189"/>
        <v>0</v>
      </c>
      <c r="BI43" s="270">
        <f t="shared" si="189"/>
        <v>0</v>
      </c>
      <c r="BJ43" s="270">
        <f t="shared" si="189"/>
        <v>0</v>
      </c>
      <c r="BK43" s="270">
        <f t="shared" si="189"/>
        <v>0</v>
      </c>
      <c r="BL43" s="265">
        <f t="shared" si="16"/>
        <v>248514.1</v>
      </c>
      <c r="BM43" s="215"/>
      <c r="BN43" s="270">
        <f t="shared" ref="BN43:CP43" si="190">ROUND(AI42*E$9/12,2)</f>
        <v>0</v>
      </c>
      <c r="BO43" s="270">
        <f t="shared" si="190"/>
        <v>0</v>
      </c>
      <c r="BP43" s="270">
        <f t="shared" si="190"/>
        <v>0</v>
      </c>
      <c r="BQ43" s="270">
        <f t="shared" si="190"/>
        <v>0</v>
      </c>
      <c r="BR43" s="270">
        <f t="shared" si="190"/>
        <v>0</v>
      </c>
      <c r="BS43" s="270">
        <f t="shared" si="190"/>
        <v>0</v>
      </c>
      <c r="BT43" s="270">
        <f t="shared" si="190"/>
        <v>24.62</v>
      </c>
      <c r="BU43" s="270">
        <f t="shared" si="190"/>
        <v>87.82</v>
      </c>
      <c r="BV43" s="270">
        <f t="shared" si="190"/>
        <v>64.89</v>
      </c>
      <c r="BW43" s="270">
        <f t="shared" si="190"/>
        <v>151.3</v>
      </c>
      <c r="BX43" s="270">
        <f t="shared" si="190"/>
        <v>339.62</v>
      </c>
      <c r="BY43" s="270">
        <f t="shared" si="190"/>
        <v>313.64</v>
      </c>
      <c r="BZ43" s="270">
        <f t="shared" si="190"/>
        <v>488.71</v>
      </c>
      <c r="CA43" s="270">
        <f t="shared" si="190"/>
        <v>0</v>
      </c>
      <c r="CB43" s="270">
        <f t="shared" si="190"/>
        <v>0</v>
      </c>
      <c r="CC43" s="270">
        <f t="shared" si="190"/>
        <v>0</v>
      </c>
      <c r="CD43" s="270">
        <f t="shared" si="190"/>
        <v>0</v>
      </c>
      <c r="CE43" s="270">
        <f t="shared" si="190"/>
        <v>0</v>
      </c>
      <c r="CF43" s="270">
        <f t="shared" si="190"/>
        <v>0</v>
      </c>
      <c r="CG43" s="270">
        <f t="shared" si="190"/>
        <v>0</v>
      </c>
      <c r="CH43" s="270">
        <f t="shared" si="190"/>
        <v>0</v>
      </c>
      <c r="CI43" s="270">
        <f t="shared" si="190"/>
        <v>0</v>
      </c>
      <c r="CJ43" s="270">
        <f t="shared" si="190"/>
        <v>0</v>
      </c>
      <c r="CK43" s="270">
        <f t="shared" si="190"/>
        <v>0</v>
      </c>
      <c r="CL43" s="270">
        <f t="shared" si="190"/>
        <v>0</v>
      </c>
      <c r="CM43" s="270">
        <f t="shared" si="190"/>
        <v>0</v>
      </c>
      <c r="CN43" s="270">
        <f t="shared" si="190"/>
        <v>0</v>
      </c>
      <c r="CO43" s="270">
        <f t="shared" si="190"/>
        <v>0</v>
      </c>
      <c r="CP43" s="270">
        <f t="shared" si="190"/>
        <v>0</v>
      </c>
      <c r="CQ43" s="215"/>
      <c r="CR43" s="270">
        <f t="shared" si="27"/>
        <v>1470.6</v>
      </c>
      <c r="CS43" s="215"/>
      <c r="CT43" s="270">
        <f t="shared" ref="CT43:DX43" si="191">IF(AI42&gt;0,IF((AI42+BN43)&lt;E$10,AI42+BN43,E$10),0)</f>
        <v>0</v>
      </c>
      <c r="CU43" s="270">
        <f t="shared" si="191"/>
        <v>0</v>
      </c>
      <c r="CV43" s="270">
        <f t="shared" si="191"/>
        <v>0</v>
      </c>
      <c r="CW43" s="270">
        <f t="shared" si="191"/>
        <v>0</v>
      </c>
      <c r="CX43" s="270">
        <f t="shared" si="191"/>
        <v>0</v>
      </c>
      <c r="CY43" s="270">
        <f t="shared" si="191"/>
        <v>0</v>
      </c>
      <c r="CZ43" s="270">
        <f t="shared" si="191"/>
        <v>206</v>
      </c>
      <c r="DA43" s="270">
        <f t="shared" si="191"/>
        <v>82</v>
      </c>
      <c r="DB43" s="270">
        <f t="shared" si="191"/>
        <v>102</v>
      </c>
      <c r="DC43" s="270">
        <f t="shared" si="191"/>
        <v>450.08</v>
      </c>
      <c r="DD43" s="270">
        <f t="shared" si="191"/>
        <v>695.6</v>
      </c>
      <c r="DE43" s="270">
        <f t="shared" si="191"/>
        <v>791.16</v>
      </c>
      <c r="DF43" s="270">
        <f t="shared" si="191"/>
        <v>1467.13</v>
      </c>
      <c r="DG43" s="270">
        <f t="shared" si="191"/>
        <v>0</v>
      </c>
      <c r="DH43" s="270">
        <f t="shared" si="191"/>
        <v>0</v>
      </c>
      <c r="DI43" s="270">
        <f t="shared" si="191"/>
        <v>0</v>
      </c>
      <c r="DJ43" s="270">
        <f t="shared" si="191"/>
        <v>0</v>
      </c>
      <c r="DK43" s="270">
        <f t="shared" si="191"/>
        <v>0</v>
      </c>
      <c r="DL43" s="270">
        <f t="shared" si="191"/>
        <v>0</v>
      </c>
      <c r="DM43" s="270">
        <f t="shared" si="191"/>
        <v>0</v>
      </c>
      <c r="DN43" s="270">
        <f t="shared" si="191"/>
        <v>0</v>
      </c>
      <c r="DO43" s="270">
        <f t="shared" si="191"/>
        <v>0</v>
      </c>
      <c r="DP43" s="270">
        <f t="shared" si="191"/>
        <v>0</v>
      </c>
      <c r="DQ43" s="270">
        <f t="shared" si="191"/>
        <v>0</v>
      </c>
      <c r="DR43" s="270">
        <f t="shared" si="191"/>
        <v>0</v>
      </c>
      <c r="DS43" s="270">
        <f t="shared" si="191"/>
        <v>0</v>
      </c>
      <c r="DT43" s="270">
        <f t="shared" si="191"/>
        <v>0</v>
      </c>
      <c r="DU43" s="270">
        <f t="shared" si="191"/>
        <v>0</v>
      </c>
      <c r="DV43" s="270">
        <f t="shared" si="191"/>
        <v>0</v>
      </c>
      <c r="DW43" s="271" t="str">
        <f t="shared" si="191"/>
        <v/>
      </c>
      <c r="DX43" s="270">
        <f t="shared" si="191"/>
        <v>0</v>
      </c>
      <c r="DY43" s="270">
        <f t="shared" si="29"/>
        <v>3793.97</v>
      </c>
      <c r="DZ43" s="274"/>
      <c r="EA43" s="275">
        <f t="shared" si="38"/>
        <v>0</v>
      </c>
      <c r="EB43" s="270">
        <f t="shared" ref="EB43:FC43" si="192">IF(AJ41&lt;=0,0,IF($C42&lt;=SUM($EA43:EA43),0,IF(CU42+$C42-SUM($EA43:EA43)&gt;AJ41+BO42,AJ41+BO42-CU42,$C42-SUM($EA43:EA43))))</f>
        <v>0</v>
      </c>
      <c r="EC43" s="270">
        <f t="shared" si="192"/>
        <v>0</v>
      </c>
      <c r="ED43" s="270">
        <f t="shared" si="192"/>
        <v>0</v>
      </c>
      <c r="EE43" s="270">
        <f t="shared" si="192"/>
        <v>0</v>
      </c>
      <c r="EF43" s="270">
        <f t="shared" si="192"/>
        <v>0</v>
      </c>
      <c r="EG43" s="270">
        <f t="shared" si="192"/>
        <v>118.03</v>
      </c>
      <c r="EH43" s="270">
        <f t="shared" si="192"/>
        <v>0</v>
      </c>
      <c r="EI43" s="270">
        <f t="shared" si="192"/>
        <v>0</v>
      </c>
      <c r="EJ43" s="270">
        <f t="shared" si="192"/>
        <v>0</v>
      </c>
      <c r="EK43" s="270">
        <f t="shared" si="192"/>
        <v>0</v>
      </c>
      <c r="EL43" s="270">
        <f t="shared" si="192"/>
        <v>0</v>
      </c>
      <c r="EM43" s="270">
        <f t="shared" si="192"/>
        <v>0</v>
      </c>
      <c r="EN43" s="270">
        <f t="shared" si="192"/>
        <v>0</v>
      </c>
      <c r="EO43" s="270">
        <f t="shared" si="192"/>
        <v>0</v>
      </c>
      <c r="EP43" s="270">
        <f t="shared" si="192"/>
        <v>0</v>
      </c>
      <c r="EQ43" s="270">
        <f t="shared" si="192"/>
        <v>0</v>
      </c>
      <c r="ER43" s="270">
        <f t="shared" si="192"/>
        <v>0</v>
      </c>
      <c r="ES43" s="270">
        <f t="shared" si="192"/>
        <v>0</v>
      </c>
      <c r="ET43" s="270">
        <f t="shared" si="192"/>
        <v>0</v>
      </c>
      <c r="EU43" s="270">
        <f t="shared" si="192"/>
        <v>0</v>
      </c>
      <c r="EV43" s="270">
        <f t="shared" si="192"/>
        <v>0</v>
      </c>
      <c r="EW43" s="270">
        <f t="shared" si="192"/>
        <v>0</v>
      </c>
      <c r="EX43" s="270">
        <f t="shared" si="192"/>
        <v>0</v>
      </c>
      <c r="EY43" s="270">
        <f t="shared" si="192"/>
        <v>0</v>
      </c>
      <c r="EZ43" s="270">
        <f t="shared" si="192"/>
        <v>0</v>
      </c>
      <c r="FA43" s="270">
        <f t="shared" si="192"/>
        <v>0</v>
      </c>
      <c r="FB43" s="270">
        <f t="shared" si="192"/>
        <v>0</v>
      </c>
      <c r="FC43" s="270">
        <f t="shared" si="192"/>
        <v>0</v>
      </c>
      <c r="FD43" s="271"/>
      <c r="FE43" s="271"/>
      <c r="FF43" s="271"/>
      <c r="FG43" s="215"/>
      <c r="FH43" s="215"/>
    </row>
    <row r="44" ht="11.25" customHeight="1">
      <c r="A44" s="231">
        <f t="shared" si="19"/>
        <v>24</v>
      </c>
      <c r="B44" s="269">
        <v>46357.0</v>
      </c>
      <c r="C44" s="270">
        <f>IF(A44="","",IF(Calculator!snowball,IF(($E$5-DY44)&lt;0,0,$E$5-DY44),0)+D44)</f>
        <v>118.03</v>
      </c>
      <c r="D44" s="277">
        <v>50.0</v>
      </c>
      <c r="E44" s="270">
        <f t="shared" si="40"/>
        <v>0</v>
      </c>
      <c r="F44" s="270">
        <f t="shared" ref="F44:L44" si="193">CU44+EB45</f>
        <v>0</v>
      </c>
      <c r="G44" s="270">
        <f t="shared" si="193"/>
        <v>0</v>
      </c>
      <c r="H44" s="270">
        <f t="shared" si="193"/>
        <v>0</v>
      </c>
      <c r="I44" s="270">
        <f t="shared" si="193"/>
        <v>0</v>
      </c>
      <c r="J44" s="270">
        <f t="shared" si="193"/>
        <v>0</v>
      </c>
      <c r="K44" s="270">
        <f t="shared" si="193"/>
        <v>324.03</v>
      </c>
      <c r="L44" s="270">
        <f t="shared" si="193"/>
        <v>82</v>
      </c>
      <c r="M44" s="277">
        <v>151.0</v>
      </c>
      <c r="N44" s="270">
        <f t="shared" si="52"/>
        <v>450.08</v>
      </c>
      <c r="O44" s="270">
        <f t="shared" ref="O44:AG44" si="194">DD44+EK45</f>
        <v>695.6</v>
      </c>
      <c r="P44" s="272">
        <f t="shared" si="194"/>
        <v>791.16</v>
      </c>
      <c r="Q44" s="272">
        <f t="shared" si="194"/>
        <v>1467.13</v>
      </c>
      <c r="R44" s="272">
        <f t="shared" si="194"/>
        <v>0</v>
      </c>
      <c r="S44" s="272">
        <f t="shared" si="194"/>
        <v>0</v>
      </c>
      <c r="T44" s="272">
        <f t="shared" si="194"/>
        <v>0</v>
      </c>
      <c r="U44" s="270">
        <f t="shared" si="194"/>
        <v>0</v>
      </c>
      <c r="V44" s="270">
        <f t="shared" si="194"/>
        <v>0</v>
      </c>
      <c r="W44" s="270">
        <f t="shared" si="194"/>
        <v>0</v>
      </c>
      <c r="X44" s="270">
        <f t="shared" si="194"/>
        <v>0</v>
      </c>
      <c r="Y44" s="270">
        <f t="shared" si="194"/>
        <v>0</v>
      </c>
      <c r="Z44" s="270">
        <f t="shared" si="194"/>
        <v>0</v>
      </c>
      <c r="AA44" s="270">
        <f t="shared" si="194"/>
        <v>0</v>
      </c>
      <c r="AB44" s="270">
        <f t="shared" si="194"/>
        <v>0</v>
      </c>
      <c r="AC44" s="270">
        <f t="shared" si="194"/>
        <v>0</v>
      </c>
      <c r="AD44" s="270">
        <f t="shared" si="194"/>
        <v>0</v>
      </c>
      <c r="AE44" s="270">
        <f t="shared" si="194"/>
        <v>0</v>
      </c>
      <c r="AF44" s="270">
        <f t="shared" si="194"/>
        <v>0</v>
      </c>
      <c r="AG44" s="270">
        <f t="shared" si="194"/>
        <v>0</v>
      </c>
      <c r="AH44" s="265">
        <f t="shared" si="13"/>
        <v>245854.36</v>
      </c>
      <c r="AI44" s="270">
        <f t="shared" si="43"/>
        <v>0</v>
      </c>
      <c r="AJ44" s="270">
        <f t="shared" ref="AJ44:AS44" si="195">IF(F$8=0,0,ROUND(AJ43-(F44-BO44),2))</f>
        <v>0</v>
      </c>
      <c r="AK44" s="270">
        <f t="shared" si="195"/>
        <v>0</v>
      </c>
      <c r="AL44" s="270">
        <f t="shared" si="195"/>
        <v>0</v>
      </c>
      <c r="AM44" s="270">
        <f t="shared" si="195"/>
        <v>0</v>
      </c>
      <c r="AN44" s="270">
        <f t="shared" si="195"/>
        <v>0</v>
      </c>
      <c r="AO44" s="270">
        <f t="shared" si="195"/>
        <v>531.36</v>
      </c>
      <c r="AP44" s="270">
        <f t="shared" si="195"/>
        <v>3331.85</v>
      </c>
      <c r="AQ44" s="270">
        <f t="shared" si="195"/>
        <v>2443.79</v>
      </c>
      <c r="AR44" s="270">
        <f t="shared" si="195"/>
        <v>9484.38</v>
      </c>
      <c r="AS44" s="270">
        <f t="shared" si="195"/>
        <v>36334.46</v>
      </c>
      <c r="AT44" s="270">
        <f t="shared" ref="AT44:BK44" si="196">IF(P$8=0,0,ROUND(AT43-(P44-BX44),2))</f>
        <v>39650.62</v>
      </c>
      <c r="AU44" s="270">
        <f t="shared" si="196"/>
        <v>154077.9</v>
      </c>
      <c r="AV44" s="270">
        <f t="shared" si="196"/>
        <v>0</v>
      </c>
      <c r="AW44" s="270">
        <f t="shared" si="196"/>
        <v>0</v>
      </c>
      <c r="AX44" s="270">
        <f t="shared" si="196"/>
        <v>0</v>
      </c>
      <c r="AY44" s="270">
        <f t="shared" si="196"/>
        <v>0</v>
      </c>
      <c r="AZ44" s="270">
        <f t="shared" si="196"/>
        <v>0</v>
      </c>
      <c r="BA44" s="270">
        <f t="shared" si="196"/>
        <v>0</v>
      </c>
      <c r="BB44" s="270">
        <f t="shared" si="196"/>
        <v>0</v>
      </c>
      <c r="BC44" s="270">
        <f t="shared" si="196"/>
        <v>0</v>
      </c>
      <c r="BD44" s="270">
        <f t="shared" si="196"/>
        <v>0</v>
      </c>
      <c r="BE44" s="270">
        <f t="shared" si="196"/>
        <v>0</v>
      </c>
      <c r="BF44" s="270">
        <f t="shared" si="196"/>
        <v>0</v>
      </c>
      <c r="BG44" s="270">
        <f t="shared" si="196"/>
        <v>0</v>
      </c>
      <c r="BH44" s="270">
        <f t="shared" si="196"/>
        <v>0</v>
      </c>
      <c r="BI44" s="270">
        <f t="shared" si="196"/>
        <v>0</v>
      </c>
      <c r="BJ44" s="270">
        <f t="shared" si="196"/>
        <v>0</v>
      </c>
      <c r="BK44" s="270">
        <f t="shared" si="196"/>
        <v>0</v>
      </c>
      <c r="BL44" s="265">
        <f t="shared" si="16"/>
        <v>245854.36</v>
      </c>
      <c r="BM44" s="215"/>
      <c r="BN44" s="270">
        <f t="shared" ref="BN44:CP44" si="197">ROUND(AI43*E$9/12,2)</f>
        <v>0</v>
      </c>
      <c r="BO44" s="270">
        <f t="shared" si="197"/>
        <v>0</v>
      </c>
      <c r="BP44" s="270">
        <f t="shared" si="197"/>
        <v>0</v>
      </c>
      <c r="BQ44" s="270">
        <f t="shared" si="197"/>
        <v>0</v>
      </c>
      <c r="BR44" s="270">
        <f t="shared" si="197"/>
        <v>0</v>
      </c>
      <c r="BS44" s="270">
        <f t="shared" si="197"/>
        <v>0</v>
      </c>
      <c r="BT44" s="270">
        <f t="shared" si="197"/>
        <v>20.86</v>
      </c>
      <c r="BU44" s="270">
        <f t="shared" si="197"/>
        <v>87.97</v>
      </c>
      <c r="BV44" s="270">
        <f t="shared" si="197"/>
        <v>62.75</v>
      </c>
      <c r="BW44" s="270">
        <f t="shared" si="197"/>
        <v>146.81</v>
      </c>
      <c r="BX44" s="270">
        <f t="shared" si="197"/>
        <v>336.36</v>
      </c>
      <c r="BY44" s="270">
        <f t="shared" si="197"/>
        <v>310.15</v>
      </c>
      <c r="BZ44" s="270">
        <f t="shared" si="197"/>
        <v>485.11</v>
      </c>
      <c r="CA44" s="270">
        <f t="shared" si="197"/>
        <v>0</v>
      </c>
      <c r="CB44" s="270">
        <f t="shared" si="197"/>
        <v>0</v>
      </c>
      <c r="CC44" s="270">
        <f t="shared" si="197"/>
        <v>0</v>
      </c>
      <c r="CD44" s="270">
        <f t="shared" si="197"/>
        <v>0</v>
      </c>
      <c r="CE44" s="270">
        <f t="shared" si="197"/>
        <v>0</v>
      </c>
      <c r="CF44" s="270">
        <f t="shared" si="197"/>
        <v>0</v>
      </c>
      <c r="CG44" s="270">
        <f t="shared" si="197"/>
        <v>0</v>
      </c>
      <c r="CH44" s="270">
        <f t="shared" si="197"/>
        <v>0</v>
      </c>
      <c r="CI44" s="270">
        <f t="shared" si="197"/>
        <v>0</v>
      </c>
      <c r="CJ44" s="270">
        <f t="shared" si="197"/>
        <v>0</v>
      </c>
      <c r="CK44" s="270">
        <f t="shared" si="197"/>
        <v>0</v>
      </c>
      <c r="CL44" s="270">
        <f t="shared" si="197"/>
        <v>0</v>
      </c>
      <c r="CM44" s="270">
        <f t="shared" si="197"/>
        <v>0</v>
      </c>
      <c r="CN44" s="270">
        <f t="shared" si="197"/>
        <v>0</v>
      </c>
      <c r="CO44" s="270">
        <f t="shared" si="197"/>
        <v>0</v>
      </c>
      <c r="CP44" s="270">
        <f t="shared" si="197"/>
        <v>0</v>
      </c>
      <c r="CQ44" s="215"/>
      <c r="CR44" s="270">
        <f t="shared" si="27"/>
        <v>1450.01</v>
      </c>
      <c r="CS44" s="215"/>
      <c r="CT44" s="270">
        <f t="shared" ref="CT44:DX44" si="198">IF(AI43&gt;0,IF((AI43+BN44)&lt;E$10,AI43+BN44,E$10),0)</f>
        <v>0</v>
      </c>
      <c r="CU44" s="270">
        <f t="shared" si="198"/>
        <v>0</v>
      </c>
      <c r="CV44" s="270">
        <f t="shared" si="198"/>
        <v>0</v>
      </c>
      <c r="CW44" s="270">
        <f t="shared" si="198"/>
        <v>0</v>
      </c>
      <c r="CX44" s="270">
        <f t="shared" si="198"/>
        <v>0</v>
      </c>
      <c r="CY44" s="270">
        <f t="shared" si="198"/>
        <v>0</v>
      </c>
      <c r="CZ44" s="270">
        <f t="shared" si="198"/>
        <v>206</v>
      </c>
      <c r="DA44" s="270">
        <f t="shared" si="198"/>
        <v>82</v>
      </c>
      <c r="DB44" s="270">
        <f t="shared" si="198"/>
        <v>102</v>
      </c>
      <c r="DC44" s="270">
        <f t="shared" si="198"/>
        <v>450.08</v>
      </c>
      <c r="DD44" s="270">
        <f t="shared" si="198"/>
        <v>695.6</v>
      </c>
      <c r="DE44" s="270">
        <f t="shared" si="198"/>
        <v>791.16</v>
      </c>
      <c r="DF44" s="270">
        <f t="shared" si="198"/>
        <v>1467.13</v>
      </c>
      <c r="DG44" s="270">
        <f t="shared" si="198"/>
        <v>0</v>
      </c>
      <c r="DH44" s="270">
        <f t="shared" si="198"/>
        <v>0</v>
      </c>
      <c r="DI44" s="270">
        <f t="shared" si="198"/>
        <v>0</v>
      </c>
      <c r="DJ44" s="270">
        <f t="shared" si="198"/>
        <v>0</v>
      </c>
      <c r="DK44" s="270">
        <f t="shared" si="198"/>
        <v>0</v>
      </c>
      <c r="DL44" s="270">
        <f t="shared" si="198"/>
        <v>0</v>
      </c>
      <c r="DM44" s="270">
        <f t="shared" si="198"/>
        <v>0</v>
      </c>
      <c r="DN44" s="270">
        <f t="shared" si="198"/>
        <v>0</v>
      </c>
      <c r="DO44" s="270">
        <f t="shared" si="198"/>
        <v>0</v>
      </c>
      <c r="DP44" s="270">
        <f t="shared" si="198"/>
        <v>0</v>
      </c>
      <c r="DQ44" s="270">
        <f t="shared" si="198"/>
        <v>0</v>
      </c>
      <c r="DR44" s="270">
        <f t="shared" si="198"/>
        <v>0</v>
      </c>
      <c r="DS44" s="270">
        <f t="shared" si="198"/>
        <v>0</v>
      </c>
      <c r="DT44" s="270">
        <f t="shared" si="198"/>
        <v>0</v>
      </c>
      <c r="DU44" s="270">
        <f t="shared" si="198"/>
        <v>0</v>
      </c>
      <c r="DV44" s="270">
        <f t="shared" si="198"/>
        <v>0</v>
      </c>
      <c r="DW44" s="271" t="str">
        <f t="shared" si="198"/>
        <v/>
      </c>
      <c r="DX44" s="270">
        <f t="shared" si="198"/>
        <v>0</v>
      </c>
      <c r="DY44" s="270">
        <f t="shared" si="29"/>
        <v>3793.97</v>
      </c>
      <c r="DZ44" s="274"/>
      <c r="EA44" s="275">
        <f t="shared" si="38"/>
        <v>0</v>
      </c>
      <c r="EB44" s="270">
        <f t="shared" ref="EB44:FC44" si="199">IF(AJ42&lt;=0,0,IF($C43&lt;=SUM($EA44:EA44),0,IF(CU43+$C43-SUM($EA44:EA44)&gt;AJ42+BO43,AJ42+BO43-CU43,$C43-SUM($EA44:EA44))))</f>
        <v>0</v>
      </c>
      <c r="EC44" s="270">
        <f t="shared" si="199"/>
        <v>0</v>
      </c>
      <c r="ED44" s="270">
        <f t="shared" si="199"/>
        <v>0</v>
      </c>
      <c r="EE44" s="270">
        <f t="shared" si="199"/>
        <v>0</v>
      </c>
      <c r="EF44" s="270">
        <f t="shared" si="199"/>
        <v>0</v>
      </c>
      <c r="EG44" s="270">
        <f t="shared" si="199"/>
        <v>118.03</v>
      </c>
      <c r="EH44" s="270">
        <f t="shared" si="199"/>
        <v>0</v>
      </c>
      <c r="EI44" s="270">
        <f t="shared" si="199"/>
        <v>0</v>
      </c>
      <c r="EJ44" s="270">
        <f t="shared" si="199"/>
        <v>0</v>
      </c>
      <c r="EK44" s="270">
        <f t="shared" si="199"/>
        <v>0</v>
      </c>
      <c r="EL44" s="270">
        <f t="shared" si="199"/>
        <v>0</v>
      </c>
      <c r="EM44" s="270">
        <f t="shared" si="199"/>
        <v>0</v>
      </c>
      <c r="EN44" s="270">
        <f t="shared" si="199"/>
        <v>0</v>
      </c>
      <c r="EO44" s="270">
        <f t="shared" si="199"/>
        <v>0</v>
      </c>
      <c r="EP44" s="270">
        <f t="shared" si="199"/>
        <v>0</v>
      </c>
      <c r="EQ44" s="270">
        <f t="shared" si="199"/>
        <v>0</v>
      </c>
      <c r="ER44" s="270">
        <f t="shared" si="199"/>
        <v>0</v>
      </c>
      <c r="ES44" s="270">
        <f t="shared" si="199"/>
        <v>0</v>
      </c>
      <c r="ET44" s="270">
        <f t="shared" si="199"/>
        <v>0</v>
      </c>
      <c r="EU44" s="270">
        <f t="shared" si="199"/>
        <v>0</v>
      </c>
      <c r="EV44" s="270">
        <f t="shared" si="199"/>
        <v>0</v>
      </c>
      <c r="EW44" s="270">
        <f t="shared" si="199"/>
        <v>0</v>
      </c>
      <c r="EX44" s="270">
        <f t="shared" si="199"/>
        <v>0</v>
      </c>
      <c r="EY44" s="270">
        <f t="shared" si="199"/>
        <v>0</v>
      </c>
      <c r="EZ44" s="270">
        <f t="shared" si="199"/>
        <v>0</v>
      </c>
      <c r="FA44" s="270">
        <f t="shared" si="199"/>
        <v>0</v>
      </c>
      <c r="FB44" s="270">
        <f t="shared" si="199"/>
        <v>0</v>
      </c>
      <c r="FC44" s="270">
        <f t="shared" si="199"/>
        <v>0</v>
      </c>
      <c r="FD44" s="271"/>
      <c r="FE44" s="271"/>
      <c r="FF44" s="271"/>
      <c r="FG44" s="215"/>
      <c r="FH44" s="215"/>
    </row>
    <row r="45" ht="11.25" customHeight="1">
      <c r="A45" s="231">
        <f t="shared" si="19"/>
        <v>25</v>
      </c>
      <c r="B45" s="269">
        <v>46388.0</v>
      </c>
      <c r="C45" s="270">
        <f>IF(A45="","",IF(Calculator!snowball,IF(($E$5-DY45)&lt;0,0,$E$5-DY45),0)+D45)</f>
        <v>118.03</v>
      </c>
      <c r="D45" s="277">
        <v>50.0</v>
      </c>
      <c r="E45" s="270">
        <f t="shared" si="40"/>
        <v>0</v>
      </c>
      <c r="F45" s="270">
        <f t="shared" ref="F45:L45" si="200">CU45+EB46</f>
        <v>0</v>
      </c>
      <c r="G45" s="270">
        <f t="shared" si="200"/>
        <v>0</v>
      </c>
      <c r="H45" s="270">
        <f t="shared" si="200"/>
        <v>0</v>
      </c>
      <c r="I45" s="270">
        <f t="shared" si="200"/>
        <v>0</v>
      </c>
      <c r="J45" s="270">
        <f t="shared" si="200"/>
        <v>0</v>
      </c>
      <c r="K45" s="270">
        <f t="shared" si="200"/>
        <v>324.03</v>
      </c>
      <c r="L45" s="270">
        <f t="shared" si="200"/>
        <v>82</v>
      </c>
      <c r="M45" s="277">
        <v>151.0</v>
      </c>
      <c r="N45" s="270">
        <f t="shared" si="52"/>
        <v>450.08</v>
      </c>
      <c r="O45" s="270">
        <f t="shared" ref="O45:AG45" si="201">DD45+EK46</f>
        <v>695.6</v>
      </c>
      <c r="P45" s="272">
        <f t="shared" si="201"/>
        <v>791.16</v>
      </c>
      <c r="Q45" s="272">
        <f t="shared" si="201"/>
        <v>1467.13</v>
      </c>
      <c r="R45" s="272">
        <f t="shared" si="201"/>
        <v>0</v>
      </c>
      <c r="S45" s="272">
        <f t="shared" si="201"/>
        <v>0</v>
      </c>
      <c r="T45" s="272">
        <f t="shared" si="201"/>
        <v>0</v>
      </c>
      <c r="U45" s="270">
        <f t="shared" si="201"/>
        <v>0</v>
      </c>
      <c r="V45" s="270">
        <f t="shared" si="201"/>
        <v>0</v>
      </c>
      <c r="W45" s="270">
        <f t="shared" si="201"/>
        <v>0</v>
      </c>
      <c r="X45" s="270">
        <f t="shared" si="201"/>
        <v>0</v>
      </c>
      <c r="Y45" s="270">
        <f t="shared" si="201"/>
        <v>0</v>
      </c>
      <c r="Z45" s="270">
        <f t="shared" si="201"/>
        <v>0</v>
      </c>
      <c r="AA45" s="270">
        <f t="shared" si="201"/>
        <v>0</v>
      </c>
      <c r="AB45" s="270">
        <f t="shared" si="201"/>
        <v>0</v>
      </c>
      <c r="AC45" s="270">
        <f t="shared" si="201"/>
        <v>0</v>
      </c>
      <c r="AD45" s="270">
        <f t="shared" si="201"/>
        <v>0</v>
      </c>
      <c r="AE45" s="270">
        <f t="shared" si="201"/>
        <v>0</v>
      </c>
      <c r="AF45" s="270">
        <f t="shared" si="201"/>
        <v>0</v>
      </c>
      <c r="AG45" s="270">
        <f t="shared" si="201"/>
        <v>0</v>
      </c>
      <c r="AH45" s="265">
        <f t="shared" si="13"/>
        <v>243170.38</v>
      </c>
      <c r="AI45" s="270">
        <f t="shared" si="43"/>
        <v>0</v>
      </c>
      <c r="AJ45" s="270">
        <f t="shared" ref="AJ45:AS45" si="202">IF(F$8=0,0,ROUND(AJ44-(F45-BO45),2))</f>
        <v>0</v>
      </c>
      <c r="AK45" s="270">
        <f t="shared" si="202"/>
        <v>0</v>
      </c>
      <c r="AL45" s="270">
        <f t="shared" si="202"/>
        <v>0</v>
      </c>
      <c r="AM45" s="270">
        <f t="shared" si="202"/>
        <v>0</v>
      </c>
      <c r="AN45" s="270">
        <f t="shared" si="202"/>
        <v>0</v>
      </c>
      <c r="AO45" s="270">
        <f t="shared" si="202"/>
        <v>220.61</v>
      </c>
      <c r="AP45" s="270">
        <f t="shared" si="202"/>
        <v>3337.98</v>
      </c>
      <c r="AQ45" s="270">
        <f t="shared" si="202"/>
        <v>2353.36</v>
      </c>
      <c r="AR45" s="270">
        <f t="shared" si="202"/>
        <v>9176.57</v>
      </c>
      <c r="AS45" s="270">
        <f t="shared" si="202"/>
        <v>35971.93</v>
      </c>
      <c r="AT45" s="270">
        <f t="shared" ref="AT45:BK45" si="203">IF(P$8=0,0,ROUND(AT44-(P45-BX45),2))</f>
        <v>39192.53</v>
      </c>
      <c r="AU45" s="270">
        <f t="shared" si="203"/>
        <v>152917.4</v>
      </c>
      <c r="AV45" s="270">
        <f t="shared" si="203"/>
        <v>0</v>
      </c>
      <c r="AW45" s="270">
        <f t="shared" si="203"/>
        <v>0</v>
      </c>
      <c r="AX45" s="270">
        <f t="shared" si="203"/>
        <v>0</v>
      </c>
      <c r="AY45" s="270">
        <f t="shared" si="203"/>
        <v>0</v>
      </c>
      <c r="AZ45" s="270">
        <f t="shared" si="203"/>
        <v>0</v>
      </c>
      <c r="BA45" s="270">
        <f t="shared" si="203"/>
        <v>0</v>
      </c>
      <c r="BB45" s="270">
        <f t="shared" si="203"/>
        <v>0</v>
      </c>
      <c r="BC45" s="270">
        <f t="shared" si="203"/>
        <v>0</v>
      </c>
      <c r="BD45" s="270">
        <f t="shared" si="203"/>
        <v>0</v>
      </c>
      <c r="BE45" s="270">
        <f t="shared" si="203"/>
        <v>0</v>
      </c>
      <c r="BF45" s="270">
        <f t="shared" si="203"/>
        <v>0</v>
      </c>
      <c r="BG45" s="270">
        <f t="shared" si="203"/>
        <v>0</v>
      </c>
      <c r="BH45" s="270">
        <f t="shared" si="203"/>
        <v>0</v>
      </c>
      <c r="BI45" s="270">
        <f t="shared" si="203"/>
        <v>0</v>
      </c>
      <c r="BJ45" s="270">
        <f t="shared" si="203"/>
        <v>0</v>
      </c>
      <c r="BK45" s="270">
        <f t="shared" si="203"/>
        <v>0</v>
      </c>
      <c r="BL45" s="265">
        <f t="shared" si="16"/>
        <v>243170.38</v>
      </c>
      <c r="BM45" s="215"/>
      <c r="BN45" s="270">
        <f t="shared" ref="BN45:CP45" si="204">ROUND(AI44*E$9/12,2)</f>
        <v>0</v>
      </c>
      <c r="BO45" s="270">
        <f t="shared" si="204"/>
        <v>0</v>
      </c>
      <c r="BP45" s="270">
        <f t="shared" si="204"/>
        <v>0</v>
      </c>
      <c r="BQ45" s="270">
        <f t="shared" si="204"/>
        <v>0</v>
      </c>
      <c r="BR45" s="270">
        <f t="shared" si="204"/>
        <v>0</v>
      </c>
      <c r="BS45" s="270">
        <f t="shared" si="204"/>
        <v>0</v>
      </c>
      <c r="BT45" s="270">
        <f t="shared" si="204"/>
        <v>13.28</v>
      </c>
      <c r="BU45" s="270">
        <f t="shared" si="204"/>
        <v>88.13</v>
      </c>
      <c r="BV45" s="270">
        <f t="shared" si="204"/>
        <v>60.57</v>
      </c>
      <c r="BW45" s="270">
        <f t="shared" si="204"/>
        <v>142.27</v>
      </c>
      <c r="BX45" s="270">
        <f t="shared" si="204"/>
        <v>333.07</v>
      </c>
      <c r="BY45" s="270">
        <f t="shared" si="204"/>
        <v>306.63</v>
      </c>
      <c r="BZ45" s="270">
        <f t="shared" si="204"/>
        <v>481.49</v>
      </c>
      <c r="CA45" s="270">
        <f t="shared" si="204"/>
        <v>0</v>
      </c>
      <c r="CB45" s="270">
        <f t="shared" si="204"/>
        <v>0</v>
      </c>
      <c r="CC45" s="270">
        <f t="shared" si="204"/>
        <v>0</v>
      </c>
      <c r="CD45" s="270">
        <f t="shared" si="204"/>
        <v>0</v>
      </c>
      <c r="CE45" s="270">
        <f t="shared" si="204"/>
        <v>0</v>
      </c>
      <c r="CF45" s="270">
        <f t="shared" si="204"/>
        <v>0</v>
      </c>
      <c r="CG45" s="270">
        <f t="shared" si="204"/>
        <v>0</v>
      </c>
      <c r="CH45" s="270">
        <f t="shared" si="204"/>
        <v>0</v>
      </c>
      <c r="CI45" s="270">
        <f t="shared" si="204"/>
        <v>0</v>
      </c>
      <c r="CJ45" s="270">
        <f t="shared" si="204"/>
        <v>0</v>
      </c>
      <c r="CK45" s="270">
        <f t="shared" si="204"/>
        <v>0</v>
      </c>
      <c r="CL45" s="270">
        <f t="shared" si="204"/>
        <v>0</v>
      </c>
      <c r="CM45" s="270">
        <f t="shared" si="204"/>
        <v>0</v>
      </c>
      <c r="CN45" s="270">
        <f t="shared" si="204"/>
        <v>0</v>
      </c>
      <c r="CO45" s="270">
        <f t="shared" si="204"/>
        <v>0</v>
      </c>
      <c r="CP45" s="270">
        <f t="shared" si="204"/>
        <v>0</v>
      </c>
      <c r="CQ45" s="215"/>
      <c r="CR45" s="270">
        <f t="shared" si="27"/>
        <v>1425.44</v>
      </c>
      <c r="CS45" s="215"/>
      <c r="CT45" s="270">
        <f t="shared" ref="CT45:DX45" si="205">IF(AI44&gt;0,IF((AI44+BN45)&lt;E$10,AI44+BN45,E$10),0)</f>
        <v>0</v>
      </c>
      <c r="CU45" s="270">
        <f t="shared" si="205"/>
        <v>0</v>
      </c>
      <c r="CV45" s="270">
        <f t="shared" si="205"/>
        <v>0</v>
      </c>
      <c r="CW45" s="270">
        <f t="shared" si="205"/>
        <v>0</v>
      </c>
      <c r="CX45" s="270">
        <f t="shared" si="205"/>
        <v>0</v>
      </c>
      <c r="CY45" s="270">
        <f t="shared" si="205"/>
        <v>0</v>
      </c>
      <c r="CZ45" s="270">
        <f t="shared" si="205"/>
        <v>206</v>
      </c>
      <c r="DA45" s="270">
        <f t="shared" si="205"/>
        <v>82</v>
      </c>
      <c r="DB45" s="270">
        <f t="shared" si="205"/>
        <v>102</v>
      </c>
      <c r="DC45" s="270">
        <f t="shared" si="205"/>
        <v>450.08</v>
      </c>
      <c r="DD45" s="270">
        <f t="shared" si="205"/>
        <v>695.6</v>
      </c>
      <c r="DE45" s="270">
        <f t="shared" si="205"/>
        <v>791.16</v>
      </c>
      <c r="DF45" s="270">
        <f t="shared" si="205"/>
        <v>1467.13</v>
      </c>
      <c r="DG45" s="270">
        <f t="shared" si="205"/>
        <v>0</v>
      </c>
      <c r="DH45" s="270">
        <f t="shared" si="205"/>
        <v>0</v>
      </c>
      <c r="DI45" s="270">
        <f t="shared" si="205"/>
        <v>0</v>
      </c>
      <c r="DJ45" s="270">
        <f t="shared" si="205"/>
        <v>0</v>
      </c>
      <c r="DK45" s="270">
        <f t="shared" si="205"/>
        <v>0</v>
      </c>
      <c r="DL45" s="270">
        <f t="shared" si="205"/>
        <v>0</v>
      </c>
      <c r="DM45" s="270">
        <f t="shared" si="205"/>
        <v>0</v>
      </c>
      <c r="DN45" s="270">
        <f t="shared" si="205"/>
        <v>0</v>
      </c>
      <c r="DO45" s="270">
        <f t="shared" si="205"/>
        <v>0</v>
      </c>
      <c r="DP45" s="270">
        <f t="shared" si="205"/>
        <v>0</v>
      </c>
      <c r="DQ45" s="270">
        <f t="shared" si="205"/>
        <v>0</v>
      </c>
      <c r="DR45" s="270">
        <f t="shared" si="205"/>
        <v>0</v>
      </c>
      <c r="DS45" s="270">
        <f t="shared" si="205"/>
        <v>0</v>
      </c>
      <c r="DT45" s="270">
        <f t="shared" si="205"/>
        <v>0</v>
      </c>
      <c r="DU45" s="270">
        <f t="shared" si="205"/>
        <v>0</v>
      </c>
      <c r="DV45" s="270">
        <f t="shared" si="205"/>
        <v>0</v>
      </c>
      <c r="DW45" s="271" t="str">
        <f t="shared" si="205"/>
        <v/>
      </c>
      <c r="DX45" s="270">
        <f t="shared" si="205"/>
        <v>0</v>
      </c>
      <c r="DY45" s="270">
        <f t="shared" si="29"/>
        <v>3793.97</v>
      </c>
      <c r="DZ45" s="274"/>
      <c r="EA45" s="275">
        <f t="shared" si="38"/>
        <v>0</v>
      </c>
      <c r="EB45" s="270">
        <f t="shared" ref="EB45:FC45" si="206">IF(AJ43&lt;=0,0,IF($C44&lt;=SUM($EA45:EA45),0,IF(CU44+$C44-SUM($EA45:EA45)&gt;AJ43+BO44,AJ43+BO44-CU44,$C44-SUM($EA45:EA45))))</f>
        <v>0</v>
      </c>
      <c r="EC45" s="270">
        <f t="shared" si="206"/>
        <v>0</v>
      </c>
      <c r="ED45" s="270">
        <f t="shared" si="206"/>
        <v>0</v>
      </c>
      <c r="EE45" s="270">
        <f t="shared" si="206"/>
        <v>0</v>
      </c>
      <c r="EF45" s="270">
        <f t="shared" si="206"/>
        <v>0</v>
      </c>
      <c r="EG45" s="270">
        <f t="shared" si="206"/>
        <v>118.03</v>
      </c>
      <c r="EH45" s="270">
        <f t="shared" si="206"/>
        <v>0</v>
      </c>
      <c r="EI45" s="270">
        <f t="shared" si="206"/>
        <v>0</v>
      </c>
      <c r="EJ45" s="270">
        <f t="shared" si="206"/>
        <v>0</v>
      </c>
      <c r="EK45" s="270">
        <f t="shared" si="206"/>
        <v>0</v>
      </c>
      <c r="EL45" s="270">
        <f t="shared" si="206"/>
        <v>0</v>
      </c>
      <c r="EM45" s="270">
        <f t="shared" si="206"/>
        <v>0</v>
      </c>
      <c r="EN45" s="270">
        <f t="shared" si="206"/>
        <v>0</v>
      </c>
      <c r="EO45" s="270">
        <f t="shared" si="206"/>
        <v>0</v>
      </c>
      <c r="EP45" s="270">
        <f t="shared" si="206"/>
        <v>0</v>
      </c>
      <c r="EQ45" s="270">
        <f t="shared" si="206"/>
        <v>0</v>
      </c>
      <c r="ER45" s="270">
        <f t="shared" si="206"/>
        <v>0</v>
      </c>
      <c r="ES45" s="270">
        <f t="shared" si="206"/>
        <v>0</v>
      </c>
      <c r="ET45" s="270">
        <f t="shared" si="206"/>
        <v>0</v>
      </c>
      <c r="EU45" s="270">
        <f t="shared" si="206"/>
        <v>0</v>
      </c>
      <c r="EV45" s="270">
        <f t="shared" si="206"/>
        <v>0</v>
      </c>
      <c r="EW45" s="270">
        <f t="shared" si="206"/>
        <v>0</v>
      </c>
      <c r="EX45" s="270">
        <f t="shared" si="206"/>
        <v>0</v>
      </c>
      <c r="EY45" s="270">
        <f t="shared" si="206"/>
        <v>0</v>
      </c>
      <c r="EZ45" s="270">
        <f t="shared" si="206"/>
        <v>0</v>
      </c>
      <c r="FA45" s="270">
        <f t="shared" si="206"/>
        <v>0</v>
      </c>
      <c r="FB45" s="270">
        <f t="shared" si="206"/>
        <v>0</v>
      </c>
      <c r="FC45" s="270">
        <f t="shared" si="206"/>
        <v>0</v>
      </c>
      <c r="FD45" s="271"/>
      <c r="FE45" s="271"/>
      <c r="FF45" s="271"/>
      <c r="FG45" s="215"/>
      <c r="FH45" s="215"/>
    </row>
    <row r="46" ht="11.25" customHeight="1">
      <c r="A46" s="231">
        <f t="shared" si="19"/>
        <v>26</v>
      </c>
      <c r="B46" s="269">
        <v>46419.0</v>
      </c>
      <c r="C46" s="270">
        <f>IF(A46="","",IF(Calculator!snowball,IF(($E$5-DY46)&lt;0,0,$E$5-DY46),0)+D46)</f>
        <v>68.03</v>
      </c>
      <c r="D46" s="277">
        <v>0.0</v>
      </c>
      <c r="E46" s="270">
        <f t="shared" si="40"/>
        <v>0</v>
      </c>
      <c r="F46" s="270">
        <f t="shared" ref="F46:L46" si="207">CU46+EB47</f>
        <v>0</v>
      </c>
      <c r="G46" s="270">
        <f t="shared" si="207"/>
        <v>0</v>
      </c>
      <c r="H46" s="270">
        <f t="shared" si="207"/>
        <v>0</v>
      </c>
      <c r="I46" s="270">
        <f t="shared" si="207"/>
        <v>0</v>
      </c>
      <c r="J46" s="270">
        <f t="shared" si="207"/>
        <v>0</v>
      </c>
      <c r="K46" s="270">
        <f t="shared" si="207"/>
        <v>226.13</v>
      </c>
      <c r="L46" s="270">
        <f t="shared" si="207"/>
        <v>129.9</v>
      </c>
      <c r="M46" s="277">
        <v>151.0</v>
      </c>
      <c r="N46" s="270">
        <f t="shared" si="52"/>
        <v>450.08</v>
      </c>
      <c r="O46" s="270">
        <f t="shared" ref="O46:AG46" si="208">DD46+EK47</f>
        <v>695.6</v>
      </c>
      <c r="P46" s="272">
        <f t="shared" si="208"/>
        <v>791.16</v>
      </c>
      <c r="Q46" s="272">
        <f t="shared" si="208"/>
        <v>1467.13</v>
      </c>
      <c r="R46" s="272">
        <f t="shared" si="208"/>
        <v>0</v>
      </c>
      <c r="S46" s="272">
        <f t="shared" si="208"/>
        <v>0</v>
      </c>
      <c r="T46" s="272">
        <f t="shared" si="208"/>
        <v>0</v>
      </c>
      <c r="U46" s="270">
        <f t="shared" si="208"/>
        <v>0</v>
      </c>
      <c r="V46" s="270">
        <f t="shared" si="208"/>
        <v>0</v>
      </c>
      <c r="W46" s="270">
        <f t="shared" si="208"/>
        <v>0</v>
      </c>
      <c r="X46" s="270">
        <f t="shared" si="208"/>
        <v>0</v>
      </c>
      <c r="Y46" s="270">
        <f t="shared" si="208"/>
        <v>0</v>
      </c>
      <c r="Z46" s="270">
        <f t="shared" si="208"/>
        <v>0</v>
      </c>
      <c r="AA46" s="270">
        <f t="shared" si="208"/>
        <v>0</v>
      </c>
      <c r="AB46" s="270">
        <f t="shared" si="208"/>
        <v>0</v>
      </c>
      <c r="AC46" s="270">
        <f t="shared" si="208"/>
        <v>0</v>
      </c>
      <c r="AD46" s="270">
        <f t="shared" si="208"/>
        <v>0</v>
      </c>
      <c r="AE46" s="270">
        <f t="shared" si="208"/>
        <v>0</v>
      </c>
      <c r="AF46" s="270">
        <f t="shared" si="208"/>
        <v>0</v>
      </c>
      <c r="AG46" s="270">
        <f t="shared" si="208"/>
        <v>0</v>
      </c>
      <c r="AH46" s="265">
        <f t="shared" si="13"/>
        <v>240511.73</v>
      </c>
      <c r="AI46" s="270">
        <f t="shared" si="43"/>
        <v>0</v>
      </c>
      <c r="AJ46" s="270">
        <f t="shared" ref="AJ46:AS46" si="209">IF(F$8=0,0,ROUND(AJ45-(F46-BO46),2))</f>
        <v>0</v>
      </c>
      <c r="AK46" s="270">
        <f t="shared" si="209"/>
        <v>0</v>
      </c>
      <c r="AL46" s="270">
        <f t="shared" si="209"/>
        <v>0</v>
      </c>
      <c r="AM46" s="270">
        <f t="shared" si="209"/>
        <v>0</v>
      </c>
      <c r="AN46" s="270">
        <f t="shared" si="209"/>
        <v>0</v>
      </c>
      <c r="AO46" s="270">
        <f t="shared" si="209"/>
        <v>0</v>
      </c>
      <c r="AP46" s="270">
        <f t="shared" si="209"/>
        <v>3296.37</v>
      </c>
      <c r="AQ46" s="270">
        <f t="shared" si="209"/>
        <v>2260.68</v>
      </c>
      <c r="AR46" s="270">
        <f t="shared" si="209"/>
        <v>8864.14</v>
      </c>
      <c r="AS46" s="270">
        <f t="shared" si="209"/>
        <v>35606.07</v>
      </c>
      <c r="AT46" s="270">
        <f t="shared" ref="AT46:BK46" si="210">IF(P$8=0,0,ROUND(AT45-(P46-BX46),2))</f>
        <v>38731.11</v>
      </c>
      <c r="AU46" s="270">
        <f t="shared" si="210"/>
        <v>151753.36</v>
      </c>
      <c r="AV46" s="270">
        <f t="shared" si="210"/>
        <v>0</v>
      </c>
      <c r="AW46" s="270">
        <f t="shared" si="210"/>
        <v>0</v>
      </c>
      <c r="AX46" s="270">
        <f t="shared" si="210"/>
        <v>0</v>
      </c>
      <c r="AY46" s="270">
        <f t="shared" si="210"/>
        <v>0</v>
      </c>
      <c r="AZ46" s="270">
        <f t="shared" si="210"/>
        <v>0</v>
      </c>
      <c r="BA46" s="270">
        <f t="shared" si="210"/>
        <v>0</v>
      </c>
      <c r="BB46" s="270">
        <f t="shared" si="210"/>
        <v>0</v>
      </c>
      <c r="BC46" s="270">
        <f t="shared" si="210"/>
        <v>0</v>
      </c>
      <c r="BD46" s="270">
        <f t="shared" si="210"/>
        <v>0</v>
      </c>
      <c r="BE46" s="270">
        <f t="shared" si="210"/>
        <v>0</v>
      </c>
      <c r="BF46" s="270">
        <f t="shared" si="210"/>
        <v>0</v>
      </c>
      <c r="BG46" s="270">
        <f t="shared" si="210"/>
        <v>0</v>
      </c>
      <c r="BH46" s="270">
        <f t="shared" si="210"/>
        <v>0</v>
      </c>
      <c r="BI46" s="270">
        <f t="shared" si="210"/>
        <v>0</v>
      </c>
      <c r="BJ46" s="270">
        <f t="shared" si="210"/>
        <v>0</v>
      </c>
      <c r="BK46" s="270">
        <f t="shared" si="210"/>
        <v>0</v>
      </c>
      <c r="BL46" s="265">
        <f t="shared" si="16"/>
        <v>240511.73</v>
      </c>
      <c r="BM46" s="215"/>
      <c r="BN46" s="270">
        <f t="shared" ref="BN46:CP46" si="211">ROUND(AI45*E$9/12,2)</f>
        <v>0</v>
      </c>
      <c r="BO46" s="270">
        <f t="shared" si="211"/>
        <v>0</v>
      </c>
      <c r="BP46" s="270">
        <f t="shared" si="211"/>
        <v>0</v>
      </c>
      <c r="BQ46" s="270">
        <f t="shared" si="211"/>
        <v>0</v>
      </c>
      <c r="BR46" s="270">
        <f t="shared" si="211"/>
        <v>0</v>
      </c>
      <c r="BS46" s="270">
        <f t="shared" si="211"/>
        <v>0</v>
      </c>
      <c r="BT46" s="270">
        <f t="shared" si="211"/>
        <v>5.52</v>
      </c>
      <c r="BU46" s="270">
        <f t="shared" si="211"/>
        <v>88.29</v>
      </c>
      <c r="BV46" s="270">
        <f t="shared" si="211"/>
        <v>58.32</v>
      </c>
      <c r="BW46" s="270">
        <f t="shared" si="211"/>
        <v>137.65</v>
      </c>
      <c r="BX46" s="270">
        <f t="shared" si="211"/>
        <v>329.74</v>
      </c>
      <c r="BY46" s="270">
        <f t="shared" si="211"/>
        <v>303.09</v>
      </c>
      <c r="BZ46" s="270">
        <f t="shared" si="211"/>
        <v>477.87</v>
      </c>
      <c r="CA46" s="270">
        <f t="shared" si="211"/>
        <v>0</v>
      </c>
      <c r="CB46" s="270">
        <f t="shared" si="211"/>
        <v>0</v>
      </c>
      <c r="CC46" s="270">
        <f t="shared" si="211"/>
        <v>0</v>
      </c>
      <c r="CD46" s="270">
        <f t="shared" si="211"/>
        <v>0</v>
      </c>
      <c r="CE46" s="270">
        <f t="shared" si="211"/>
        <v>0</v>
      </c>
      <c r="CF46" s="270">
        <f t="shared" si="211"/>
        <v>0</v>
      </c>
      <c r="CG46" s="270">
        <f t="shared" si="211"/>
        <v>0</v>
      </c>
      <c r="CH46" s="270">
        <f t="shared" si="211"/>
        <v>0</v>
      </c>
      <c r="CI46" s="270">
        <f t="shared" si="211"/>
        <v>0</v>
      </c>
      <c r="CJ46" s="270">
        <f t="shared" si="211"/>
        <v>0</v>
      </c>
      <c r="CK46" s="270">
        <f t="shared" si="211"/>
        <v>0</v>
      </c>
      <c r="CL46" s="270">
        <f t="shared" si="211"/>
        <v>0</v>
      </c>
      <c r="CM46" s="270">
        <f t="shared" si="211"/>
        <v>0</v>
      </c>
      <c r="CN46" s="270">
        <f t="shared" si="211"/>
        <v>0</v>
      </c>
      <c r="CO46" s="270">
        <f t="shared" si="211"/>
        <v>0</v>
      </c>
      <c r="CP46" s="270">
        <f t="shared" si="211"/>
        <v>0</v>
      </c>
      <c r="CQ46" s="215"/>
      <c r="CR46" s="270">
        <f t="shared" si="27"/>
        <v>1400.48</v>
      </c>
      <c r="CS46" s="215"/>
      <c r="CT46" s="270">
        <f t="shared" ref="CT46:DX46" si="212">IF(AI45&gt;0,IF((AI45+BN46)&lt;E$10,AI45+BN46,E$10),0)</f>
        <v>0</v>
      </c>
      <c r="CU46" s="270">
        <f t="shared" si="212"/>
        <v>0</v>
      </c>
      <c r="CV46" s="270">
        <f t="shared" si="212"/>
        <v>0</v>
      </c>
      <c r="CW46" s="270">
        <f t="shared" si="212"/>
        <v>0</v>
      </c>
      <c r="CX46" s="270">
        <f t="shared" si="212"/>
        <v>0</v>
      </c>
      <c r="CY46" s="270">
        <f t="shared" si="212"/>
        <v>0</v>
      </c>
      <c r="CZ46" s="270">
        <f t="shared" si="212"/>
        <v>206</v>
      </c>
      <c r="DA46" s="270">
        <f t="shared" si="212"/>
        <v>82</v>
      </c>
      <c r="DB46" s="270">
        <f t="shared" si="212"/>
        <v>102</v>
      </c>
      <c r="DC46" s="270">
        <f t="shared" si="212"/>
        <v>450.08</v>
      </c>
      <c r="DD46" s="270">
        <f t="shared" si="212"/>
        <v>695.6</v>
      </c>
      <c r="DE46" s="270">
        <f t="shared" si="212"/>
        <v>791.16</v>
      </c>
      <c r="DF46" s="270">
        <f t="shared" si="212"/>
        <v>1467.13</v>
      </c>
      <c r="DG46" s="270">
        <f t="shared" si="212"/>
        <v>0</v>
      </c>
      <c r="DH46" s="270">
        <f t="shared" si="212"/>
        <v>0</v>
      </c>
      <c r="DI46" s="270">
        <f t="shared" si="212"/>
        <v>0</v>
      </c>
      <c r="DJ46" s="270">
        <f t="shared" si="212"/>
        <v>0</v>
      </c>
      <c r="DK46" s="270">
        <f t="shared" si="212"/>
        <v>0</v>
      </c>
      <c r="DL46" s="270">
        <f t="shared" si="212"/>
        <v>0</v>
      </c>
      <c r="DM46" s="270">
        <f t="shared" si="212"/>
        <v>0</v>
      </c>
      <c r="DN46" s="270">
        <f t="shared" si="212"/>
        <v>0</v>
      </c>
      <c r="DO46" s="270">
        <f t="shared" si="212"/>
        <v>0</v>
      </c>
      <c r="DP46" s="270">
        <f t="shared" si="212"/>
        <v>0</v>
      </c>
      <c r="DQ46" s="270">
        <f t="shared" si="212"/>
        <v>0</v>
      </c>
      <c r="DR46" s="270">
        <f t="shared" si="212"/>
        <v>0</v>
      </c>
      <c r="DS46" s="270">
        <f t="shared" si="212"/>
        <v>0</v>
      </c>
      <c r="DT46" s="270">
        <f t="shared" si="212"/>
        <v>0</v>
      </c>
      <c r="DU46" s="270">
        <f t="shared" si="212"/>
        <v>0</v>
      </c>
      <c r="DV46" s="270">
        <f t="shared" si="212"/>
        <v>0</v>
      </c>
      <c r="DW46" s="271" t="str">
        <f t="shared" si="212"/>
        <v/>
      </c>
      <c r="DX46" s="270">
        <f t="shared" si="212"/>
        <v>0</v>
      </c>
      <c r="DY46" s="270">
        <f t="shared" si="29"/>
        <v>3793.97</v>
      </c>
      <c r="DZ46" s="274"/>
      <c r="EA46" s="275">
        <f t="shared" si="38"/>
        <v>0</v>
      </c>
      <c r="EB46" s="270">
        <f t="shared" ref="EB46:FC46" si="213">IF(AJ44&lt;=0,0,IF($C45&lt;=SUM($EA46:EA46),0,IF(CU45+$C45-SUM($EA46:EA46)&gt;AJ44+BO45,AJ44+BO45-CU45,$C45-SUM($EA46:EA46))))</f>
        <v>0</v>
      </c>
      <c r="EC46" s="270">
        <f t="shared" si="213"/>
        <v>0</v>
      </c>
      <c r="ED46" s="270">
        <f t="shared" si="213"/>
        <v>0</v>
      </c>
      <c r="EE46" s="270">
        <f t="shared" si="213"/>
        <v>0</v>
      </c>
      <c r="EF46" s="270">
        <f t="shared" si="213"/>
        <v>0</v>
      </c>
      <c r="EG46" s="270">
        <f t="shared" si="213"/>
        <v>118.03</v>
      </c>
      <c r="EH46" s="270">
        <f t="shared" si="213"/>
        <v>0</v>
      </c>
      <c r="EI46" s="270">
        <f t="shared" si="213"/>
        <v>0</v>
      </c>
      <c r="EJ46" s="270">
        <f t="shared" si="213"/>
        <v>0</v>
      </c>
      <c r="EK46" s="270">
        <f t="shared" si="213"/>
        <v>0</v>
      </c>
      <c r="EL46" s="270">
        <f t="shared" si="213"/>
        <v>0</v>
      </c>
      <c r="EM46" s="270">
        <f t="shared" si="213"/>
        <v>0</v>
      </c>
      <c r="EN46" s="270">
        <f t="shared" si="213"/>
        <v>0</v>
      </c>
      <c r="EO46" s="270">
        <f t="shared" si="213"/>
        <v>0</v>
      </c>
      <c r="EP46" s="270">
        <f t="shared" si="213"/>
        <v>0</v>
      </c>
      <c r="EQ46" s="270">
        <f t="shared" si="213"/>
        <v>0</v>
      </c>
      <c r="ER46" s="270">
        <f t="shared" si="213"/>
        <v>0</v>
      </c>
      <c r="ES46" s="270">
        <f t="shared" si="213"/>
        <v>0</v>
      </c>
      <c r="ET46" s="270">
        <f t="shared" si="213"/>
        <v>0</v>
      </c>
      <c r="EU46" s="270">
        <f t="shared" si="213"/>
        <v>0</v>
      </c>
      <c r="EV46" s="270">
        <f t="shared" si="213"/>
        <v>0</v>
      </c>
      <c r="EW46" s="270">
        <f t="shared" si="213"/>
        <v>0</v>
      </c>
      <c r="EX46" s="270">
        <f t="shared" si="213"/>
        <v>0</v>
      </c>
      <c r="EY46" s="270">
        <f t="shared" si="213"/>
        <v>0</v>
      </c>
      <c r="EZ46" s="270">
        <f t="shared" si="213"/>
        <v>0</v>
      </c>
      <c r="FA46" s="270">
        <f t="shared" si="213"/>
        <v>0</v>
      </c>
      <c r="FB46" s="270">
        <f t="shared" si="213"/>
        <v>0</v>
      </c>
      <c r="FC46" s="270">
        <f t="shared" si="213"/>
        <v>0</v>
      </c>
      <c r="FD46" s="271"/>
      <c r="FE46" s="271"/>
      <c r="FF46" s="271"/>
      <c r="FG46" s="215"/>
      <c r="FH46" s="215"/>
    </row>
    <row r="47" ht="11.25" customHeight="1">
      <c r="A47" s="231">
        <f t="shared" si="19"/>
        <v>27</v>
      </c>
      <c r="B47" s="269">
        <v>46447.0</v>
      </c>
      <c r="C47" s="270">
        <f>IF(A47="","",IF(Calculator!snowball,IF(($E$5-DY47)&lt;0,0,$E$5-DY47),0)+D47)</f>
        <v>284.03</v>
      </c>
      <c r="D47" s="277">
        <v>10.0</v>
      </c>
      <c r="E47" s="270">
        <f t="shared" si="40"/>
        <v>0</v>
      </c>
      <c r="F47" s="270">
        <f t="shared" ref="F47:L47" si="214">CU47+EB48</f>
        <v>0</v>
      </c>
      <c r="G47" s="270">
        <f t="shared" si="214"/>
        <v>0</v>
      </c>
      <c r="H47" s="270">
        <f t="shared" si="214"/>
        <v>0</v>
      </c>
      <c r="I47" s="270">
        <f t="shared" si="214"/>
        <v>0</v>
      </c>
      <c r="J47" s="270">
        <f t="shared" si="214"/>
        <v>0</v>
      </c>
      <c r="K47" s="270">
        <f t="shared" si="214"/>
        <v>0</v>
      </c>
      <c r="L47" s="270">
        <f t="shared" si="214"/>
        <v>366.03</v>
      </c>
      <c r="M47" s="277">
        <v>151.0</v>
      </c>
      <c r="N47" s="270">
        <f t="shared" si="52"/>
        <v>450.08</v>
      </c>
      <c r="O47" s="270">
        <f t="shared" ref="O47:AG47" si="215">DD47+EK48</f>
        <v>695.6</v>
      </c>
      <c r="P47" s="272">
        <f t="shared" si="215"/>
        <v>791.16</v>
      </c>
      <c r="Q47" s="272">
        <f t="shared" si="215"/>
        <v>1467.13</v>
      </c>
      <c r="R47" s="272">
        <f t="shared" si="215"/>
        <v>0</v>
      </c>
      <c r="S47" s="272">
        <f t="shared" si="215"/>
        <v>0</v>
      </c>
      <c r="T47" s="272">
        <f t="shared" si="215"/>
        <v>0</v>
      </c>
      <c r="U47" s="270">
        <f t="shared" si="215"/>
        <v>0</v>
      </c>
      <c r="V47" s="270">
        <f t="shared" si="215"/>
        <v>0</v>
      </c>
      <c r="W47" s="270">
        <f t="shared" si="215"/>
        <v>0</v>
      </c>
      <c r="X47" s="270">
        <f t="shared" si="215"/>
        <v>0</v>
      </c>
      <c r="Y47" s="270">
        <f t="shared" si="215"/>
        <v>0</v>
      </c>
      <c r="Z47" s="270">
        <f t="shared" si="215"/>
        <v>0</v>
      </c>
      <c r="AA47" s="270">
        <f t="shared" si="215"/>
        <v>0</v>
      </c>
      <c r="AB47" s="270">
        <f t="shared" si="215"/>
        <v>0</v>
      </c>
      <c r="AC47" s="270">
        <f t="shared" si="215"/>
        <v>0</v>
      </c>
      <c r="AD47" s="270">
        <f t="shared" si="215"/>
        <v>0</v>
      </c>
      <c r="AE47" s="270">
        <f t="shared" si="215"/>
        <v>0</v>
      </c>
      <c r="AF47" s="270">
        <f t="shared" si="215"/>
        <v>0</v>
      </c>
      <c r="AG47" s="270">
        <f t="shared" si="215"/>
        <v>0</v>
      </c>
      <c r="AH47" s="265">
        <f t="shared" si="13"/>
        <v>237819.21</v>
      </c>
      <c r="AI47" s="270">
        <f t="shared" si="43"/>
        <v>0</v>
      </c>
      <c r="AJ47" s="270">
        <f t="shared" ref="AJ47:AS47" si="216">IF(F$8=0,0,ROUND(AJ46-(F47-BO47),2))</f>
        <v>0</v>
      </c>
      <c r="AK47" s="270">
        <f t="shared" si="216"/>
        <v>0</v>
      </c>
      <c r="AL47" s="270">
        <f t="shared" si="216"/>
        <v>0</v>
      </c>
      <c r="AM47" s="270">
        <f t="shared" si="216"/>
        <v>0</v>
      </c>
      <c r="AN47" s="270">
        <f t="shared" si="216"/>
        <v>0</v>
      </c>
      <c r="AO47" s="270">
        <f t="shared" si="216"/>
        <v>0</v>
      </c>
      <c r="AP47" s="270">
        <f t="shared" si="216"/>
        <v>3017.53</v>
      </c>
      <c r="AQ47" s="270">
        <f t="shared" si="216"/>
        <v>2165.71</v>
      </c>
      <c r="AR47" s="270">
        <f t="shared" si="216"/>
        <v>8547.02</v>
      </c>
      <c r="AS47" s="270">
        <f t="shared" si="216"/>
        <v>35236.86</v>
      </c>
      <c r="AT47" s="270">
        <f t="shared" ref="AT47:BK47" si="217">IF(P$8=0,0,ROUND(AT46-(P47-BX47),2))</f>
        <v>38266.34</v>
      </c>
      <c r="AU47" s="270">
        <f t="shared" si="217"/>
        <v>150585.75</v>
      </c>
      <c r="AV47" s="270">
        <f t="shared" si="217"/>
        <v>0</v>
      </c>
      <c r="AW47" s="270">
        <f t="shared" si="217"/>
        <v>0</v>
      </c>
      <c r="AX47" s="270">
        <f t="shared" si="217"/>
        <v>0</v>
      </c>
      <c r="AY47" s="270">
        <f t="shared" si="217"/>
        <v>0</v>
      </c>
      <c r="AZ47" s="270">
        <f t="shared" si="217"/>
        <v>0</v>
      </c>
      <c r="BA47" s="270">
        <f t="shared" si="217"/>
        <v>0</v>
      </c>
      <c r="BB47" s="270">
        <f t="shared" si="217"/>
        <v>0</v>
      </c>
      <c r="BC47" s="270">
        <f t="shared" si="217"/>
        <v>0</v>
      </c>
      <c r="BD47" s="270">
        <f t="shared" si="217"/>
        <v>0</v>
      </c>
      <c r="BE47" s="270">
        <f t="shared" si="217"/>
        <v>0</v>
      </c>
      <c r="BF47" s="270">
        <f t="shared" si="217"/>
        <v>0</v>
      </c>
      <c r="BG47" s="270">
        <f t="shared" si="217"/>
        <v>0</v>
      </c>
      <c r="BH47" s="270">
        <f t="shared" si="217"/>
        <v>0</v>
      </c>
      <c r="BI47" s="270">
        <f t="shared" si="217"/>
        <v>0</v>
      </c>
      <c r="BJ47" s="270">
        <f t="shared" si="217"/>
        <v>0</v>
      </c>
      <c r="BK47" s="270">
        <f t="shared" si="217"/>
        <v>0</v>
      </c>
      <c r="BL47" s="265">
        <f t="shared" si="16"/>
        <v>237819.21</v>
      </c>
      <c r="BM47" s="215"/>
      <c r="BN47" s="270">
        <f t="shared" ref="BN47:CP47" si="218">ROUND(AI46*E$9/12,2)</f>
        <v>0</v>
      </c>
      <c r="BO47" s="270">
        <f t="shared" si="218"/>
        <v>0</v>
      </c>
      <c r="BP47" s="270">
        <f t="shared" si="218"/>
        <v>0</v>
      </c>
      <c r="BQ47" s="270">
        <f t="shared" si="218"/>
        <v>0</v>
      </c>
      <c r="BR47" s="270">
        <f t="shared" si="218"/>
        <v>0</v>
      </c>
      <c r="BS47" s="270">
        <f t="shared" si="218"/>
        <v>0</v>
      </c>
      <c r="BT47" s="270">
        <f t="shared" si="218"/>
        <v>0</v>
      </c>
      <c r="BU47" s="270">
        <f t="shared" si="218"/>
        <v>87.19</v>
      </c>
      <c r="BV47" s="270">
        <f t="shared" si="218"/>
        <v>56.03</v>
      </c>
      <c r="BW47" s="270">
        <f t="shared" si="218"/>
        <v>132.96</v>
      </c>
      <c r="BX47" s="270">
        <f t="shared" si="218"/>
        <v>326.39</v>
      </c>
      <c r="BY47" s="270">
        <f t="shared" si="218"/>
        <v>299.52</v>
      </c>
      <c r="BZ47" s="270">
        <f t="shared" si="218"/>
        <v>474.23</v>
      </c>
      <c r="CA47" s="270">
        <f t="shared" si="218"/>
        <v>0</v>
      </c>
      <c r="CB47" s="270">
        <f t="shared" si="218"/>
        <v>0</v>
      </c>
      <c r="CC47" s="270">
        <f t="shared" si="218"/>
        <v>0</v>
      </c>
      <c r="CD47" s="270">
        <f t="shared" si="218"/>
        <v>0</v>
      </c>
      <c r="CE47" s="270">
        <f t="shared" si="218"/>
        <v>0</v>
      </c>
      <c r="CF47" s="270">
        <f t="shared" si="218"/>
        <v>0</v>
      </c>
      <c r="CG47" s="270">
        <f t="shared" si="218"/>
        <v>0</v>
      </c>
      <c r="CH47" s="270">
        <f t="shared" si="218"/>
        <v>0</v>
      </c>
      <c r="CI47" s="270">
        <f t="shared" si="218"/>
        <v>0</v>
      </c>
      <c r="CJ47" s="270">
        <f t="shared" si="218"/>
        <v>0</v>
      </c>
      <c r="CK47" s="270">
        <f t="shared" si="218"/>
        <v>0</v>
      </c>
      <c r="CL47" s="270">
        <f t="shared" si="218"/>
        <v>0</v>
      </c>
      <c r="CM47" s="270">
        <f t="shared" si="218"/>
        <v>0</v>
      </c>
      <c r="CN47" s="270">
        <f t="shared" si="218"/>
        <v>0</v>
      </c>
      <c r="CO47" s="270">
        <f t="shared" si="218"/>
        <v>0</v>
      </c>
      <c r="CP47" s="270">
        <f t="shared" si="218"/>
        <v>0</v>
      </c>
      <c r="CQ47" s="215"/>
      <c r="CR47" s="270">
        <f t="shared" si="27"/>
        <v>1376.32</v>
      </c>
      <c r="CS47" s="215"/>
      <c r="CT47" s="270">
        <f t="shared" ref="CT47:DX47" si="219">IF(AI46&gt;0,IF((AI46+BN47)&lt;E$10,AI46+BN47,E$10),0)</f>
        <v>0</v>
      </c>
      <c r="CU47" s="270">
        <f t="shared" si="219"/>
        <v>0</v>
      </c>
      <c r="CV47" s="270">
        <f t="shared" si="219"/>
        <v>0</v>
      </c>
      <c r="CW47" s="270">
        <f t="shared" si="219"/>
        <v>0</v>
      </c>
      <c r="CX47" s="270">
        <f t="shared" si="219"/>
        <v>0</v>
      </c>
      <c r="CY47" s="270">
        <f t="shared" si="219"/>
        <v>0</v>
      </c>
      <c r="CZ47" s="270">
        <f t="shared" si="219"/>
        <v>0</v>
      </c>
      <c r="DA47" s="270">
        <f t="shared" si="219"/>
        <v>82</v>
      </c>
      <c r="DB47" s="270">
        <f t="shared" si="219"/>
        <v>102</v>
      </c>
      <c r="DC47" s="270">
        <f t="shared" si="219"/>
        <v>450.08</v>
      </c>
      <c r="DD47" s="270">
        <f t="shared" si="219"/>
        <v>695.6</v>
      </c>
      <c r="DE47" s="270">
        <f t="shared" si="219"/>
        <v>791.16</v>
      </c>
      <c r="DF47" s="270">
        <f t="shared" si="219"/>
        <v>1467.13</v>
      </c>
      <c r="DG47" s="270">
        <f t="shared" si="219"/>
        <v>0</v>
      </c>
      <c r="DH47" s="270">
        <f t="shared" si="219"/>
        <v>0</v>
      </c>
      <c r="DI47" s="270">
        <f t="shared" si="219"/>
        <v>0</v>
      </c>
      <c r="DJ47" s="270">
        <f t="shared" si="219"/>
        <v>0</v>
      </c>
      <c r="DK47" s="270">
        <f t="shared" si="219"/>
        <v>0</v>
      </c>
      <c r="DL47" s="270">
        <f t="shared" si="219"/>
        <v>0</v>
      </c>
      <c r="DM47" s="270">
        <f t="shared" si="219"/>
        <v>0</v>
      </c>
      <c r="DN47" s="270">
        <f t="shared" si="219"/>
        <v>0</v>
      </c>
      <c r="DO47" s="270">
        <f t="shared" si="219"/>
        <v>0</v>
      </c>
      <c r="DP47" s="270">
        <f t="shared" si="219"/>
        <v>0</v>
      </c>
      <c r="DQ47" s="270">
        <f t="shared" si="219"/>
        <v>0</v>
      </c>
      <c r="DR47" s="270">
        <f t="shared" si="219"/>
        <v>0</v>
      </c>
      <c r="DS47" s="270">
        <f t="shared" si="219"/>
        <v>0</v>
      </c>
      <c r="DT47" s="270">
        <f t="shared" si="219"/>
        <v>0</v>
      </c>
      <c r="DU47" s="270">
        <f t="shared" si="219"/>
        <v>0</v>
      </c>
      <c r="DV47" s="270">
        <f t="shared" si="219"/>
        <v>0</v>
      </c>
      <c r="DW47" s="271" t="str">
        <f t="shared" si="219"/>
        <v/>
      </c>
      <c r="DX47" s="270">
        <f t="shared" si="219"/>
        <v>0</v>
      </c>
      <c r="DY47" s="270">
        <f t="shared" si="29"/>
        <v>3587.97</v>
      </c>
      <c r="DZ47" s="274"/>
      <c r="EA47" s="275">
        <f t="shared" si="38"/>
        <v>0</v>
      </c>
      <c r="EB47" s="270">
        <f t="shared" ref="EB47:FC47" si="220">IF(AJ45&lt;=0,0,IF($C46&lt;=SUM($EA47:EA47),0,IF(CU46+$C46-SUM($EA47:EA47)&gt;AJ45+BO46,AJ45+BO46-CU46,$C46-SUM($EA47:EA47))))</f>
        <v>0</v>
      </c>
      <c r="EC47" s="270">
        <f t="shared" si="220"/>
        <v>0</v>
      </c>
      <c r="ED47" s="270">
        <f t="shared" si="220"/>
        <v>0</v>
      </c>
      <c r="EE47" s="270">
        <f t="shared" si="220"/>
        <v>0</v>
      </c>
      <c r="EF47" s="270">
        <f t="shared" si="220"/>
        <v>0</v>
      </c>
      <c r="EG47" s="270">
        <f t="shared" si="220"/>
        <v>20.13</v>
      </c>
      <c r="EH47" s="270">
        <f t="shared" si="220"/>
        <v>47.9</v>
      </c>
      <c r="EI47" s="270">
        <f t="shared" si="220"/>
        <v>0</v>
      </c>
      <c r="EJ47" s="270">
        <f t="shared" si="220"/>
        <v>0</v>
      </c>
      <c r="EK47" s="270">
        <f t="shared" si="220"/>
        <v>0</v>
      </c>
      <c r="EL47" s="270">
        <f t="shared" si="220"/>
        <v>0</v>
      </c>
      <c r="EM47" s="270">
        <f t="shared" si="220"/>
        <v>0</v>
      </c>
      <c r="EN47" s="270">
        <f t="shared" si="220"/>
        <v>0</v>
      </c>
      <c r="EO47" s="270">
        <f t="shared" si="220"/>
        <v>0</v>
      </c>
      <c r="EP47" s="270">
        <f t="shared" si="220"/>
        <v>0</v>
      </c>
      <c r="EQ47" s="270">
        <f t="shared" si="220"/>
        <v>0</v>
      </c>
      <c r="ER47" s="270">
        <f t="shared" si="220"/>
        <v>0</v>
      </c>
      <c r="ES47" s="270">
        <f t="shared" si="220"/>
        <v>0</v>
      </c>
      <c r="ET47" s="270">
        <f t="shared" si="220"/>
        <v>0</v>
      </c>
      <c r="EU47" s="270">
        <f t="shared" si="220"/>
        <v>0</v>
      </c>
      <c r="EV47" s="270">
        <f t="shared" si="220"/>
        <v>0</v>
      </c>
      <c r="EW47" s="270">
        <f t="shared" si="220"/>
        <v>0</v>
      </c>
      <c r="EX47" s="270">
        <f t="shared" si="220"/>
        <v>0</v>
      </c>
      <c r="EY47" s="270">
        <f t="shared" si="220"/>
        <v>0</v>
      </c>
      <c r="EZ47" s="270">
        <f t="shared" si="220"/>
        <v>0</v>
      </c>
      <c r="FA47" s="270">
        <f t="shared" si="220"/>
        <v>0</v>
      </c>
      <c r="FB47" s="270">
        <f t="shared" si="220"/>
        <v>0</v>
      </c>
      <c r="FC47" s="270">
        <f t="shared" si="220"/>
        <v>0</v>
      </c>
      <c r="FD47" s="271"/>
      <c r="FE47" s="271"/>
      <c r="FF47" s="271"/>
      <c r="FG47" s="215"/>
      <c r="FH47" s="215"/>
    </row>
    <row r="48" ht="11.25" customHeight="1">
      <c r="A48" s="231">
        <f t="shared" si="19"/>
        <v>28</v>
      </c>
      <c r="B48" s="269">
        <v>46478.0</v>
      </c>
      <c r="C48" s="270">
        <f>IF(A48="","",IF(Calculator!snowball,IF(($E$5-DY48)&lt;0,0,$E$5-DY48),0)+D48)</f>
        <v>284.03</v>
      </c>
      <c r="D48" s="277">
        <v>10.0</v>
      </c>
      <c r="E48" s="270">
        <f t="shared" si="40"/>
        <v>0</v>
      </c>
      <c r="F48" s="270">
        <f t="shared" ref="F48:L48" si="221">CU48+EB49</f>
        <v>0</v>
      </c>
      <c r="G48" s="270">
        <f t="shared" si="221"/>
        <v>0</v>
      </c>
      <c r="H48" s="270">
        <f t="shared" si="221"/>
        <v>0</v>
      </c>
      <c r="I48" s="270">
        <f t="shared" si="221"/>
        <v>0</v>
      </c>
      <c r="J48" s="270">
        <f t="shared" si="221"/>
        <v>0</v>
      </c>
      <c r="K48" s="270">
        <f t="shared" si="221"/>
        <v>0</v>
      </c>
      <c r="L48" s="270">
        <f t="shared" si="221"/>
        <v>366.03</v>
      </c>
      <c r="M48" s="277">
        <v>151.0</v>
      </c>
      <c r="N48" s="270">
        <f t="shared" si="52"/>
        <v>450.08</v>
      </c>
      <c r="O48" s="270">
        <f t="shared" ref="O48:AG48" si="222">DD48+EK49</f>
        <v>695.6</v>
      </c>
      <c r="P48" s="272">
        <f t="shared" si="222"/>
        <v>791.16</v>
      </c>
      <c r="Q48" s="272">
        <f t="shared" si="222"/>
        <v>1467.13</v>
      </c>
      <c r="R48" s="272">
        <f t="shared" si="222"/>
        <v>0</v>
      </c>
      <c r="S48" s="272">
        <f t="shared" si="222"/>
        <v>0</v>
      </c>
      <c r="T48" s="272">
        <f t="shared" si="222"/>
        <v>0</v>
      </c>
      <c r="U48" s="270">
        <f t="shared" si="222"/>
        <v>0</v>
      </c>
      <c r="V48" s="270">
        <f t="shared" si="222"/>
        <v>0</v>
      </c>
      <c r="W48" s="270">
        <f t="shared" si="222"/>
        <v>0</v>
      </c>
      <c r="X48" s="270">
        <f t="shared" si="222"/>
        <v>0</v>
      </c>
      <c r="Y48" s="270">
        <f t="shared" si="222"/>
        <v>0</v>
      </c>
      <c r="Z48" s="270">
        <f t="shared" si="222"/>
        <v>0</v>
      </c>
      <c r="AA48" s="270">
        <f t="shared" si="222"/>
        <v>0</v>
      </c>
      <c r="AB48" s="270">
        <f t="shared" si="222"/>
        <v>0</v>
      </c>
      <c r="AC48" s="270">
        <f t="shared" si="222"/>
        <v>0</v>
      </c>
      <c r="AD48" s="270">
        <f t="shared" si="222"/>
        <v>0</v>
      </c>
      <c r="AE48" s="270">
        <f t="shared" si="222"/>
        <v>0</v>
      </c>
      <c r="AF48" s="270">
        <f t="shared" si="222"/>
        <v>0</v>
      </c>
      <c r="AG48" s="270">
        <f t="shared" si="222"/>
        <v>0</v>
      </c>
      <c r="AH48" s="265">
        <f t="shared" si="13"/>
        <v>232370.52</v>
      </c>
      <c r="AI48" s="270">
        <f t="shared" si="43"/>
        <v>0</v>
      </c>
      <c r="AJ48" s="270">
        <f t="shared" ref="AJ48:AO48" si="223">IF(F$8=0,0,ROUND(AJ47-(F48-BO48),2))</f>
        <v>0</v>
      </c>
      <c r="AK48" s="270">
        <f t="shared" si="223"/>
        <v>0</v>
      </c>
      <c r="AL48" s="270">
        <f t="shared" si="223"/>
        <v>0</v>
      </c>
      <c r="AM48" s="270">
        <f t="shared" si="223"/>
        <v>0</v>
      </c>
      <c r="AN48" s="270">
        <f t="shared" si="223"/>
        <v>0</v>
      </c>
      <c r="AO48" s="270">
        <f t="shared" si="223"/>
        <v>0</v>
      </c>
      <c r="AP48" s="270">
        <v>0.0</v>
      </c>
      <c r="AQ48" s="270">
        <f t="shared" ref="AQ48:AS48" si="224">IF(M$8=0,0,ROUND(AQ47-(M48-BV48),2))</f>
        <v>2068.38</v>
      </c>
      <c r="AR48" s="270">
        <f t="shared" si="224"/>
        <v>8225.15</v>
      </c>
      <c r="AS48" s="270">
        <f t="shared" si="224"/>
        <v>34864.26</v>
      </c>
      <c r="AT48" s="270">
        <f t="shared" ref="AT48:BK48" si="225">IF(P$8=0,0,ROUND(AT47-(P48-BX48),2))</f>
        <v>37798.18</v>
      </c>
      <c r="AU48" s="270">
        <f t="shared" si="225"/>
        <v>149414.55</v>
      </c>
      <c r="AV48" s="270">
        <f t="shared" si="225"/>
        <v>0</v>
      </c>
      <c r="AW48" s="270">
        <f t="shared" si="225"/>
        <v>0</v>
      </c>
      <c r="AX48" s="270">
        <f t="shared" si="225"/>
        <v>0</v>
      </c>
      <c r="AY48" s="270">
        <f t="shared" si="225"/>
        <v>0</v>
      </c>
      <c r="AZ48" s="270">
        <f t="shared" si="225"/>
        <v>0</v>
      </c>
      <c r="BA48" s="270">
        <f t="shared" si="225"/>
        <v>0</v>
      </c>
      <c r="BB48" s="270">
        <f t="shared" si="225"/>
        <v>0</v>
      </c>
      <c r="BC48" s="270">
        <f t="shared" si="225"/>
        <v>0</v>
      </c>
      <c r="BD48" s="270">
        <f t="shared" si="225"/>
        <v>0</v>
      </c>
      <c r="BE48" s="270">
        <f t="shared" si="225"/>
        <v>0</v>
      </c>
      <c r="BF48" s="270">
        <f t="shared" si="225"/>
        <v>0</v>
      </c>
      <c r="BG48" s="270">
        <f t="shared" si="225"/>
        <v>0</v>
      </c>
      <c r="BH48" s="270">
        <f t="shared" si="225"/>
        <v>0</v>
      </c>
      <c r="BI48" s="270">
        <f t="shared" si="225"/>
        <v>0</v>
      </c>
      <c r="BJ48" s="270">
        <f t="shared" si="225"/>
        <v>0</v>
      </c>
      <c r="BK48" s="270">
        <f t="shared" si="225"/>
        <v>0</v>
      </c>
      <c r="BL48" s="265">
        <f t="shared" si="16"/>
        <v>232370.52</v>
      </c>
      <c r="BM48" s="215"/>
      <c r="BN48" s="270">
        <f t="shared" ref="BN48:CP48" si="226">ROUND(AI47*E$9/12,2)</f>
        <v>0</v>
      </c>
      <c r="BO48" s="270">
        <f t="shared" si="226"/>
        <v>0</v>
      </c>
      <c r="BP48" s="270">
        <f t="shared" si="226"/>
        <v>0</v>
      </c>
      <c r="BQ48" s="270">
        <f t="shared" si="226"/>
        <v>0</v>
      </c>
      <c r="BR48" s="270">
        <f t="shared" si="226"/>
        <v>0</v>
      </c>
      <c r="BS48" s="270">
        <f t="shared" si="226"/>
        <v>0</v>
      </c>
      <c r="BT48" s="270">
        <f t="shared" si="226"/>
        <v>0</v>
      </c>
      <c r="BU48" s="270">
        <f t="shared" si="226"/>
        <v>79.81</v>
      </c>
      <c r="BV48" s="270">
        <f t="shared" si="226"/>
        <v>53.67</v>
      </c>
      <c r="BW48" s="270">
        <f t="shared" si="226"/>
        <v>128.21</v>
      </c>
      <c r="BX48" s="270">
        <f t="shared" si="226"/>
        <v>323</v>
      </c>
      <c r="BY48" s="270">
        <f t="shared" si="226"/>
        <v>295.93</v>
      </c>
      <c r="BZ48" s="270">
        <f t="shared" si="226"/>
        <v>470.58</v>
      </c>
      <c r="CA48" s="270">
        <f t="shared" si="226"/>
        <v>0</v>
      </c>
      <c r="CB48" s="270">
        <f t="shared" si="226"/>
        <v>0</v>
      </c>
      <c r="CC48" s="270">
        <f t="shared" si="226"/>
        <v>0</v>
      </c>
      <c r="CD48" s="270">
        <f t="shared" si="226"/>
        <v>0</v>
      </c>
      <c r="CE48" s="270">
        <f t="shared" si="226"/>
        <v>0</v>
      </c>
      <c r="CF48" s="270">
        <f t="shared" si="226"/>
        <v>0</v>
      </c>
      <c r="CG48" s="270">
        <f t="shared" si="226"/>
        <v>0</v>
      </c>
      <c r="CH48" s="270">
        <f t="shared" si="226"/>
        <v>0</v>
      </c>
      <c r="CI48" s="270">
        <f t="shared" si="226"/>
        <v>0</v>
      </c>
      <c r="CJ48" s="270">
        <f t="shared" si="226"/>
        <v>0</v>
      </c>
      <c r="CK48" s="270">
        <f t="shared" si="226"/>
        <v>0</v>
      </c>
      <c r="CL48" s="270">
        <f t="shared" si="226"/>
        <v>0</v>
      </c>
      <c r="CM48" s="270">
        <f t="shared" si="226"/>
        <v>0</v>
      </c>
      <c r="CN48" s="270">
        <f t="shared" si="226"/>
        <v>0</v>
      </c>
      <c r="CO48" s="270">
        <f t="shared" si="226"/>
        <v>0</v>
      </c>
      <c r="CP48" s="270">
        <f t="shared" si="226"/>
        <v>0</v>
      </c>
      <c r="CQ48" s="215"/>
      <c r="CR48" s="270">
        <f t="shared" si="27"/>
        <v>1351.2</v>
      </c>
      <c r="CS48" s="215"/>
      <c r="CT48" s="270">
        <f t="shared" ref="CT48:DX48" si="227">IF(AI47&gt;0,IF((AI47+BN48)&lt;E$10,AI47+BN48,E$10),0)</f>
        <v>0</v>
      </c>
      <c r="CU48" s="270">
        <f t="shared" si="227"/>
        <v>0</v>
      </c>
      <c r="CV48" s="270">
        <f t="shared" si="227"/>
        <v>0</v>
      </c>
      <c r="CW48" s="270">
        <f t="shared" si="227"/>
        <v>0</v>
      </c>
      <c r="CX48" s="270">
        <f t="shared" si="227"/>
        <v>0</v>
      </c>
      <c r="CY48" s="270">
        <f t="shared" si="227"/>
        <v>0</v>
      </c>
      <c r="CZ48" s="270">
        <f t="shared" si="227"/>
        <v>0</v>
      </c>
      <c r="DA48" s="270">
        <f t="shared" si="227"/>
        <v>82</v>
      </c>
      <c r="DB48" s="270">
        <f t="shared" si="227"/>
        <v>102</v>
      </c>
      <c r="DC48" s="270">
        <f t="shared" si="227"/>
        <v>450.08</v>
      </c>
      <c r="DD48" s="270">
        <f t="shared" si="227"/>
        <v>695.6</v>
      </c>
      <c r="DE48" s="270">
        <f t="shared" si="227"/>
        <v>791.16</v>
      </c>
      <c r="DF48" s="270">
        <f t="shared" si="227"/>
        <v>1467.13</v>
      </c>
      <c r="DG48" s="270">
        <f t="shared" si="227"/>
        <v>0</v>
      </c>
      <c r="DH48" s="270">
        <f t="shared" si="227"/>
        <v>0</v>
      </c>
      <c r="DI48" s="270">
        <f t="shared" si="227"/>
        <v>0</v>
      </c>
      <c r="DJ48" s="270">
        <f t="shared" si="227"/>
        <v>0</v>
      </c>
      <c r="DK48" s="270">
        <f t="shared" si="227"/>
        <v>0</v>
      </c>
      <c r="DL48" s="270">
        <f t="shared" si="227"/>
        <v>0</v>
      </c>
      <c r="DM48" s="270">
        <f t="shared" si="227"/>
        <v>0</v>
      </c>
      <c r="DN48" s="270">
        <f t="shared" si="227"/>
        <v>0</v>
      </c>
      <c r="DO48" s="270">
        <f t="shared" si="227"/>
        <v>0</v>
      </c>
      <c r="DP48" s="270">
        <f t="shared" si="227"/>
        <v>0</v>
      </c>
      <c r="DQ48" s="270">
        <f t="shared" si="227"/>
        <v>0</v>
      </c>
      <c r="DR48" s="270">
        <f t="shared" si="227"/>
        <v>0</v>
      </c>
      <c r="DS48" s="270">
        <f t="shared" si="227"/>
        <v>0</v>
      </c>
      <c r="DT48" s="270">
        <f t="shared" si="227"/>
        <v>0</v>
      </c>
      <c r="DU48" s="270">
        <f t="shared" si="227"/>
        <v>0</v>
      </c>
      <c r="DV48" s="270">
        <f t="shared" si="227"/>
        <v>0</v>
      </c>
      <c r="DW48" s="271" t="str">
        <f t="shared" si="227"/>
        <v/>
      </c>
      <c r="DX48" s="270">
        <f t="shared" si="227"/>
        <v>0</v>
      </c>
      <c r="DY48" s="270">
        <f t="shared" si="29"/>
        <v>3587.97</v>
      </c>
      <c r="DZ48" s="274"/>
      <c r="EA48" s="275">
        <f t="shared" si="38"/>
        <v>0</v>
      </c>
      <c r="EB48" s="270">
        <f t="shared" ref="EB48:FC48" si="228">IF(AJ46&lt;=0,0,IF($C47&lt;=SUM($EA48:EA48),0,IF(CU47+$C47-SUM($EA48:EA48)&gt;AJ46+BO47,AJ46+BO47-CU47,$C47-SUM($EA48:EA48))))</f>
        <v>0</v>
      </c>
      <c r="EC48" s="270">
        <f t="shared" si="228"/>
        <v>0</v>
      </c>
      <c r="ED48" s="270">
        <f t="shared" si="228"/>
        <v>0</v>
      </c>
      <c r="EE48" s="270">
        <f t="shared" si="228"/>
        <v>0</v>
      </c>
      <c r="EF48" s="270">
        <f t="shared" si="228"/>
        <v>0</v>
      </c>
      <c r="EG48" s="270">
        <f t="shared" si="228"/>
        <v>0</v>
      </c>
      <c r="EH48" s="270">
        <f t="shared" si="228"/>
        <v>284.03</v>
      </c>
      <c r="EI48" s="270">
        <f t="shared" si="228"/>
        <v>0</v>
      </c>
      <c r="EJ48" s="270">
        <f t="shared" si="228"/>
        <v>0</v>
      </c>
      <c r="EK48" s="270">
        <f t="shared" si="228"/>
        <v>0</v>
      </c>
      <c r="EL48" s="270">
        <f t="shared" si="228"/>
        <v>0</v>
      </c>
      <c r="EM48" s="270">
        <f t="shared" si="228"/>
        <v>0</v>
      </c>
      <c r="EN48" s="270">
        <f t="shared" si="228"/>
        <v>0</v>
      </c>
      <c r="EO48" s="270">
        <f t="shared" si="228"/>
        <v>0</v>
      </c>
      <c r="EP48" s="270">
        <f t="shared" si="228"/>
        <v>0</v>
      </c>
      <c r="EQ48" s="270">
        <f t="shared" si="228"/>
        <v>0</v>
      </c>
      <c r="ER48" s="270">
        <f t="shared" si="228"/>
        <v>0</v>
      </c>
      <c r="ES48" s="270">
        <f t="shared" si="228"/>
        <v>0</v>
      </c>
      <c r="ET48" s="270">
        <f t="shared" si="228"/>
        <v>0</v>
      </c>
      <c r="EU48" s="270">
        <f t="shared" si="228"/>
        <v>0</v>
      </c>
      <c r="EV48" s="270">
        <f t="shared" si="228"/>
        <v>0</v>
      </c>
      <c r="EW48" s="270">
        <f t="shared" si="228"/>
        <v>0</v>
      </c>
      <c r="EX48" s="270">
        <f t="shared" si="228"/>
        <v>0</v>
      </c>
      <c r="EY48" s="270">
        <f t="shared" si="228"/>
        <v>0</v>
      </c>
      <c r="EZ48" s="270">
        <f t="shared" si="228"/>
        <v>0</v>
      </c>
      <c r="FA48" s="270">
        <f t="shared" si="228"/>
        <v>0</v>
      </c>
      <c r="FB48" s="270">
        <f t="shared" si="228"/>
        <v>0</v>
      </c>
      <c r="FC48" s="270">
        <f t="shared" si="228"/>
        <v>0</v>
      </c>
      <c r="FD48" s="271"/>
      <c r="FE48" s="271"/>
      <c r="FF48" s="271"/>
      <c r="FG48" s="215"/>
      <c r="FH48" s="215"/>
    </row>
    <row r="49" ht="11.25" customHeight="1">
      <c r="A49" s="231">
        <f t="shared" si="19"/>
        <v>29</v>
      </c>
      <c r="B49" s="269">
        <v>46508.0</v>
      </c>
      <c r="C49" s="270">
        <f>IF(A49="","",IF(Calculator!snowball,IF(($E$5-DY49)&lt;0,0,$E$5-DY49),0)+D49)</f>
        <v>366.03</v>
      </c>
      <c r="D49" s="277">
        <v>10.0</v>
      </c>
      <c r="E49" s="270">
        <f t="shared" si="40"/>
        <v>0</v>
      </c>
      <c r="F49" s="270">
        <f t="shared" ref="F49:AG49" si="229">CU49+EB50</f>
        <v>0</v>
      </c>
      <c r="G49" s="270">
        <f t="shared" si="229"/>
        <v>0</v>
      </c>
      <c r="H49" s="270">
        <f t="shared" si="229"/>
        <v>0</v>
      </c>
      <c r="I49" s="270">
        <f t="shared" si="229"/>
        <v>0</v>
      </c>
      <c r="J49" s="270">
        <f t="shared" si="229"/>
        <v>0</v>
      </c>
      <c r="K49" s="270">
        <f t="shared" si="229"/>
        <v>0</v>
      </c>
      <c r="L49" s="270">
        <f t="shared" si="229"/>
        <v>0</v>
      </c>
      <c r="M49" s="270">
        <f t="shared" si="229"/>
        <v>468.03</v>
      </c>
      <c r="N49" s="270">
        <f t="shared" si="229"/>
        <v>450.08</v>
      </c>
      <c r="O49" s="270">
        <f t="shared" si="229"/>
        <v>695.6</v>
      </c>
      <c r="P49" s="272">
        <f t="shared" si="229"/>
        <v>791.16</v>
      </c>
      <c r="Q49" s="272">
        <f t="shared" si="229"/>
        <v>1467.13</v>
      </c>
      <c r="R49" s="272">
        <f t="shared" si="229"/>
        <v>0</v>
      </c>
      <c r="S49" s="272">
        <f t="shared" si="229"/>
        <v>0</v>
      </c>
      <c r="T49" s="272">
        <f t="shared" si="229"/>
        <v>0</v>
      </c>
      <c r="U49" s="270">
        <f t="shared" si="229"/>
        <v>0</v>
      </c>
      <c r="V49" s="270">
        <f t="shared" si="229"/>
        <v>0</v>
      </c>
      <c r="W49" s="270">
        <f t="shared" si="229"/>
        <v>0</v>
      </c>
      <c r="X49" s="270">
        <f t="shared" si="229"/>
        <v>0</v>
      </c>
      <c r="Y49" s="270">
        <f t="shared" si="229"/>
        <v>0</v>
      </c>
      <c r="Z49" s="270">
        <f t="shared" si="229"/>
        <v>0</v>
      </c>
      <c r="AA49" s="270">
        <f t="shared" si="229"/>
        <v>0</v>
      </c>
      <c r="AB49" s="270">
        <f t="shared" si="229"/>
        <v>0</v>
      </c>
      <c r="AC49" s="270">
        <f t="shared" si="229"/>
        <v>0</v>
      </c>
      <c r="AD49" s="270">
        <f t="shared" si="229"/>
        <v>0</v>
      </c>
      <c r="AE49" s="270">
        <f t="shared" si="229"/>
        <v>0</v>
      </c>
      <c r="AF49" s="270">
        <f t="shared" si="229"/>
        <v>0</v>
      </c>
      <c r="AG49" s="270">
        <f t="shared" si="229"/>
        <v>0</v>
      </c>
      <c r="AH49" s="265">
        <f t="shared" si="13"/>
        <v>229604.65</v>
      </c>
      <c r="AI49" s="270">
        <f t="shared" si="43"/>
        <v>0</v>
      </c>
      <c r="AJ49" s="270">
        <f t="shared" ref="AJ49:AO49" si="230">IF(F$8=0,0,ROUND(AJ48-(F49-BO49),2))</f>
        <v>0</v>
      </c>
      <c r="AK49" s="270">
        <f t="shared" si="230"/>
        <v>0</v>
      </c>
      <c r="AL49" s="270">
        <f t="shared" si="230"/>
        <v>0</v>
      </c>
      <c r="AM49" s="270">
        <f t="shared" si="230"/>
        <v>0</v>
      </c>
      <c r="AN49" s="270">
        <f t="shared" si="230"/>
        <v>0</v>
      </c>
      <c r="AO49" s="270">
        <f t="shared" si="230"/>
        <v>0</v>
      </c>
      <c r="AP49" s="270">
        <v>0.0</v>
      </c>
      <c r="AQ49" s="270">
        <f t="shared" ref="AQ49:AS49" si="231">IF(M$8=0,0,ROUND(AQ48-(M49-BV49),2))</f>
        <v>1651.61</v>
      </c>
      <c r="AR49" s="270">
        <f t="shared" si="231"/>
        <v>7898.45</v>
      </c>
      <c r="AS49" s="270">
        <f t="shared" si="231"/>
        <v>34488.25</v>
      </c>
      <c r="AT49" s="270">
        <f t="shared" ref="AT49:BK49" si="232">IF(P$8=0,0,ROUND(AT48-(P49-BX49),2))</f>
        <v>37326.61</v>
      </c>
      <c r="AU49" s="270">
        <f t="shared" si="232"/>
        <v>148239.73</v>
      </c>
      <c r="AV49" s="270">
        <f t="shared" si="232"/>
        <v>0</v>
      </c>
      <c r="AW49" s="270">
        <f t="shared" si="232"/>
        <v>0</v>
      </c>
      <c r="AX49" s="270">
        <f t="shared" si="232"/>
        <v>0</v>
      </c>
      <c r="AY49" s="270">
        <f t="shared" si="232"/>
        <v>0</v>
      </c>
      <c r="AZ49" s="270">
        <f t="shared" si="232"/>
        <v>0</v>
      </c>
      <c r="BA49" s="270">
        <f t="shared" si="232"/>
        <v>0</v>
      </c>
      <c r="BB49" s="270">
        <f t="shared" si="232"/>
        <v>0</v>
      </c>
      <c r="BC49" s="270">
        <f t="shared" si="232"/>
        <v>0</v>
      </c>
      <c r="BD49" s="270">
        <f t="shared" si="232"/>
        <v>0</v>
      </c>
      <c r="BE49" s="270">
        <f t="shared" si="232"/>
        <v>0</v>
      </c>
      <c r="BF49" s="270">
        <f t="shared" si="232"/>
        <v>0</v>
      </c>
      <c r="BG49" s="270">
        <f t="shared" si="232"/>
        <v>0</v>
      </c>
      <c r="BH49" s="270">
        <f t="shared" si="232"/>
        <v>0</v>
      </c>
      <c r="BI49" s="270">
        <f t="shared" si="232"/>
        <v>0</v>
      </c>
      <c r="BJ49" s="270">
        <f t="shared" si="232"/>
        <v>0</v>
      </c>
      <c r="BK49" s="270">
        <f t="shared" si="232"/>
        <v>0</v>
      </c>
      <c r="BL49" s="265">
        <f t="shared" si="16"/>
        <v>229604.65</v>
      </c>
      <c r="BM49" s="215"/>
      <c r="BN49" s="270">
        <f t="shared" ref="BN49:CP49" si="233">ROUND(AI48*E$9/12,2)</f>
        <v>0</v>
      </c>
      <c r="BO49" s="270">
        <f t="shared" si="233"/>
        <v>0</v>
      </c>
      <c r="BP49" s="270">
        <f t="shared" si="233"/>
        <v>0</v>
      </c>
      <c r="BQ49" s="270">
        <f t="shared" si="233"/>
        <v>0</v>
      </c>
      <c r="BR49" s="270">
        <f t="shared" si="233"/>
        <v>0</v>
      </c>
      <c r="BS49" s="270">
        <f t="shared" si="233"/>
        <v>0</v>
      </c>
      <c r="BT49" s="270">
        <f t="shared" si="233"/>
        <v>0</v>
      </c>
      <c r="BU49" s="270">
        <f t="shared" si="233"/>
        <v>0</v>
      </c>
      <c r="BV49" s="270">
        <f t="shared" si="233"/>
        <v>51.26</v>
      </c>
      <c r="BW49" s="270">
        <f t="shared" si="233"/>
        <v>123.38</v>
      </c>
      <c r="BX49" s="270">
        <f t="shared" si="233"/>
        <v>319.59</v>
      </c>
      <c r="BY49" s="270">
        <f t="shared" si="233"/>
        <v>292.31</v>
      </c>
      <c r="BZ49" s="270">
        <f t="shared" si="233"/>
        <v>466.92</v>
      </c>
      <c r="CA49" s="270">
        <f t="shared" si="233"/>
        <v>0</v>
      </c>
      <c r="CB49" s="270">
        <f t="shared" si="233"/>
        <v>0</v>
      </c>
      <c r="CC49" s="270">
        <f t="shared" si="233"/>
        <v>0</v>
      </c>
      <c r="CD49" s="270">
        <f t="shared" si="233"/>
        <v>0</v>
      </c>
      <c r="CE49" s="270">
        <f t="shared" si="233"/>
        <v>0</v>
      </c>
      <c r="CF49" s="270">
        <f t="shared" si="233"/>
        <v>0</v>
      </c>
      <c r="CG49" s="270">
        <f t="shared" si="233"/>
        <v>0</v>
      </c>
      <c r="CH49" s="270">
        <f t="shared" si="233"/>
        <v>0</v>
      </c>
      <c r="CI49" s="270">
        <f t="shared" si="233"/>
        <v>0</v>
      </c>
      <c r="CJ49" s="270">
        <f t="shared" si="233"/>
        <v>0</v>
      </c>
      <c r="CK49" s="270">
        <f t="shared" si="233"/>
        <v>0</v>
      </c>
      <c r="CL49" s="270">
        <f t="shared" si="233"/>
        <v>0</v>
      </c>
      <c r="CM49" s="270">
        <f t="shared" si="233"/>
        <v>0</v>
      </c>
      <c r="CN49" s="270">
        <f t="shared" si="233"/>
        <v>0</v>
      </c>
      <c r="CO49" s="270">
        <f t="shared" si="233"/>
        <v>0</v>
      </c>
      <c r="CP49" s="270">
        <f t="shared" si="233"/>
        <v>0</v>
      </c>
      <c r="CQ49" s="215"/>
      <c r="CR49" s="270">
        <f t="shared" si="27"/>
        <v>1253.46</v>
      </c>
      <c r="CS49" s="215"/>
      <c r="CT49" s="270">
        <f t="shared" ref="CT49:DX49" si="234">IF(AI48&gt;0,IF((AI48+BN49)&lt;E$10,AI48+BN49,E$10),0)</f>
        <v>0</v>
      </c>
      <c r="CU49" s="270">
        <f t="shared" si="234"/>
        <v>0</v>
      </c>
      <c r="CV49" s="270">
        <f t="shared" si="234"/>
        <v>0</v>
      </c>
      <c r="CW49" s="270">
        <f t="shared" si="234"/>
        <v>0</v>
      </c>
      <c r="CX49" s="270">
        <f t="shared" si="234"/>
        <v>0</v>
      </c>
      <c r="CY49" s="270">
        <f t="shared" si="234"/>
        <v>0</v>
      </c>
      <c r="CZ49" s="270">
        <f t="shared" si="234"/>
        <v>0</v>
      </c>
      <c r="DA49" s="270">
        <f t="shared" si="234"/>
        <v>0</v>
      </c>
      <c r="DB49" s="270">
        <f t="shared" si="234"/>
        <v>102</v>
      </c>
      <c r="DC49" s="270">
        <f t="shared" si="234"/>
        <v>450.08</v>
      </c>
      <c r="DD49" s="270">
        <f t="shared" si="234"/>
        <v>695.6</v>
      </c>
      <c r="DE49" s="270">
        <f t="shared" si="234"/>
        <v>791.16</v>
      </c>
      <c r="DF49" s="270">
        <f t="shared" si="234"/>
        <v>1467.13</v>
      </c>
      <c r="DG49" s="270">
        <f t="shared" si="234"/>
        <v>0</v>
      </c>
      <c r="DH49" s="270">
        <f t="shared" si="234"/>
        <v>0</v>
      </c>
      <c r="DI49" s="270">
        <f t="shared" si="234"/>
        <v>0</v>
      </c>
      <c r="DJ49" s="270">
        <f t="shared" si="234"/>
        <v>0</v>
      </c>
      <c r="DK49" s="270">
        <f t="shared" si="234"/>
        <v>0</v>
      </c>
      <c r="DL49" s="270">
        <f t="shared" si="234"/>
        <v>0</v>
      </c>
      <c r="DM49" s="270">
        <f t="shared" si="234"/>
        <v>0</v>
      </c>
      <c r="DN49" s="270">
        <f t="shared" si="234"/>
        <v>0</v>
      </c>
      <c r="DO49" s="270">
        <f t="shared" si="234"/>
        <v>0</v>
      </c>
      <c r="DP49" s="270">
        <f t="shared" si="234"/>
        <v>0</v>
      </c>
      <c r="DQ49" s="270">
        <f t="shared" si="234"/>
        <v>0</v>
      </c>
      <c r="DR49" s="270">
        <f t="shared" si="234"/>
        <v>0</v>
      </c>
      <c r="DS49" s="270">
        <f t="shared" si="234"/>
        <v>0</v>
      </c>
      <c r="DT49" s="270">
        <f t="shared" si="234"/>
        <v>0</v>
      </c>
      <c r="DU49" s="270">
        <f t="shared" si="234"/>
        <v>0</v>
      </c>
      <c r="DV49" s="270">
        <f t="shared" si="234"/>
        <v>0</v>
      </c>
      <c r="DW49" s="271" t="str">
        <f t="shared" si="234"/>
        <v/>
      </c>
      <c r="DX49" s="270">
        <f t="shared" si="234"/>
        <v>0</v>
      </c>
      <c r="DY49" s="270">
        <f t="shared" si="29"/>
        <v>3505.97</v>
      </c>
      <c r="DZ49" s="274"/>
      <c r="EA49" s="275">
        <f t="shared" si="38"/>
        <v>0</v>
      </c>
      <c r="EB49" s="270">
        <f t="shared" ref="EB49:FC49" si="235">IF(AJ47&lt;=0,0,IF($C48&lt;=SUM($EA49:EA49),0,IF(CU48+$C48-SUM($EA49:EA49)&gt;AJ47+BO48,AJ47+BO48-CU48,$C48-SUM($EA49:EA49))))</f>
        <v>0</v>
      </c>
      <c r="EC49" s="270">
        <f t="shared" si="235"/>
        <v>0</v>
      </c>
      <c r="ED49" s="270">
        <f t="shared" si="235"/>
        <v>0</v>
      </c>
      <c r="EE49" s="270">
        <f t="shared" si="235"/>
        <v>0</v>
      </c>
      <c r="EF49" s="270">
        <f t="shared" si="235"/>
        <v>0</v>
      </c>
      <c r="EG49" s="270">
        <f t="shared" si="235"/>
        <v>0</v>
      </c>
      <c r="EH49" s="270">
        <f t="shared" si="235"/>
        <v>284.03</v>
      </c>
      <c r="EI49" s="270">
        <f t="shared" si="235"/>
        <v>0</v>
      </c>
      <c r="EJ49" s="270">
        <f t="shared" si="235"/>
        <v>0</v>
      </c>
      <c r="EK49" s="270">
        <f t="shared" si="235"/>
        <v>0</v>
      </c>
      <c r="EL49" s="270">
        <f t="shared" si="235"/>
        <v>0</v>
      </c>
      <c r="EM49" s="270">
        <f t="shared" si="235"/>
        <v>0</v>
      </c>
      <c r="EN49" s="270">
        <f t="shared" si="235"/>
        <v>0</v>
      </c>
      <c r="EO49" s="270">
        <f t="shared" si="235"/>
        <v>0</v>
      </c>
      <c r="EP49" s="270">
        <f t="shared" si="235"/>
        <v>0</v>
      </c>
      <c r="EQ49" s="270">
        <f t="shared" si="235"/>
        <v>0</v>
      </c>
      <c r="ER49" s="270">
        <f t="shared" si="235"/>
        <v>0</v>
      </c>
      <c r="ES49" s="270">
        <f t="shared" si="235"/>
        <v>0</v>
      </c>
      <c r="ET49" s="270">
        <f t="shared" si="235"/>
        <v>0</v>
      </c>
      <c r="EU49" s="270">
        <f t="shared" si="235"/>
        <v>0</v>
      </c>
      <c r="EV49" s="270">
        <f t="shared" si="235"/>
        <v>0</v>
      </c>
      <c r="EW49" s="270">
        <f t="shared" si="235"/>
        <v>0</v>
      </c>
      <c r="EX49" s="270">
        <f t="shared" si="235"/>
        <v>0</v>
      </c>
      <c r="EY49" s="270">
        <f t="shared" si="235"/>
        <v>0</v>
      </c>
      <c r="EZ49" s="270">
        <f t="shared" si="235"/>
        <v>0</v>
      </c>
      <c r="FA49" s="270">
        <f t="shared" si="235"/>
        <v>0</v>
      </c>
      <c r="FB49" s="270">
        <f t="shared" si="235"/>
        <v>0</v>
      </c>
      <c r="FC49" s="270">
        <f t="shared" si="235"/>
        <v>0</v>
      </c>
      <c r="FD49" s="271"/>
      <c r="FE49" s="271"/>
      <c r="FF49" s="271"/>
      <c r="FG49" s="215"/>
      <c r="FH49" s="215"/>
    </row>
    <row r="50" ht="11.25" customHeight="1">
      <c r="A50" s="231">
        <f t="shared" si="19"/>
        <v>30</v>
      </c>
      <c r="B50" s="269">
        <v>46539.0</v>
      </c>
      <c r="C50" s="270">
        <f>IF(A50="","",IF(Calculator!snowball,IF(($E$5-DY50)&lt;0,0,$E$5-DY50),0)+D50)</f>
        <v>366.03</v>
      </c>
      <c r="D50" s="277">
        <v>10.0</v>
      </c>
      <c r="E50" s="270">
        <f t="shared" si="40"/>
        <v>0</v>
      </c>
      <c r="F50" s="270">
        <f t="shared" ref="F50:AG50" si="236">CU50+EB51</f>
        <v>0</v>
      </c>
      <c r="G50" s="270">
        <f t="shared" si="236"/>
        <v>0</v>
      </c>
      <c r="H50" s="270">
        <f t="shared" si="236"/>
        <v>0</v>
      </c>
      <c r="I50" s="270">
        <f t="shared" si="236"/>
        <v>0</v>
      </c>
      <c r="J50" s="270">
        <f t="shared" si="236"/>
        <v>0</v>
      </c>
      <c r="K50" s="270">
        <f t="shared" si="236"/>
        <v>0</v>
      </c>
      <c r="L50" s="270">
        <f t="shared" si="236"/>
        <v>0</v>
      </c>
      <c r="M50" s="270">
        <f t="shared" si="236"/>
        <v>468.03</v>
      </c>
      <c r="N50" s="270">
        <f t="shared" si="236"/>
        <v>450.08</v>
      </c>
      <c r="O50" s="270">
        <f t="shared" si="236"/>
        <v>695.6</v>
      </c>
      <c r="P50" s="272">
        <f t="shared" si="236"/>
        <v>791.16</v>
      </c>
      <c r="Q50" s="272">
        <f t="shared" si="236"/>
        <v>1467.13</v>
      </c>
      <c r="R50" s="272">
        <f t="shared" si="236"/>
        <v>0</v>
      </c>
      <c r="S50" s="272">
        <f t="shared" si="236"/>
        <v>0</v>
      </c>
      <c r="T50" s="272">
        <f t="shared" si="236"/>
        <v>0</v>
      </c>
      <c r="U50" s="270">
        <f t="shared" si="236"/>
        <v>0</v>
      </c>
      <c r="V50" s="270">
        <f t="shared" si="236"/>
        <v>0</v>
      </c>
      <c r="W50" s="270">
        <f t="shared" si="236"/>
        <v>0</v>
      </c>
      <c r="X50" s="270">
        <f t="shared" si="236"/>
        <v>0</v>
      </c>
      <c r="Y50" s="270">
        <f t="shared" si="236"/>
        <v>0</v>
      </c>
      <c r="Z50" s="270">
        <f t="shared" si="236"/>
        <v>0</v>
      </c>
      <c r="AA50" s="270">
        <f t="shared" si="236"/>
        <v>0</v>
      </c>
      <c r="AB50" s="270">
        <f t="shared" si="236"/>
        <v>0</v>
      </c>
      <c r="AC50" s="270">
        <f t="shared" si="236"/>
        <v>0</v>
      </c>
      <c r="AD50" s="270">
        <f t="shared" si="236"/>
        <v>0</v>
      </c>
      <c r="AE50" s="270">
        <f t="shared" si="236"/>
        <v>0</v>
      </c>
      <c r="AF50" s="270">
        <f t="shared" si="236"/>
        <v>0</v>
      </c>
      <c r="AG50" s="270">
        <f t="shared" si="236"/>
        <v>0</v>
      </c>
      <c r="AH50" s="265">
        <f t="shared" si="13"/>
        <v>226813</v>
      </c>
      <c r="AI50" s="270">
        <f t="shared" si="43"/>
        <v>0</v>
      </c>
      <c r="AJ50" s="270">
        <f t="shared" ref="AJ50:AO50" si="237">IF(F$8=0,0,ROUND(AJ49-(F50-BO50),2))</f>
        <v>0</v>
      </c>
      <c r="AK50" s="270">
        <f t="shared" si="237"/>
        <v>0</v>
      </c>
      <c r="AL50" s="270">
        <f t="shared" si="237"/>
        <v>0</v>
      </c>
      <c r="AM50" s="270">
        <f t="shared" si="237"/>
        <v>0</v>
      </c>
      <c r="AN50" s="270">
        <f t="shared" si="237"/>
        <v>0</v>
      </c>
      <c r="AO50" s="270">
        <f t="shared" si="237"/>
        <v>0</v>
      </c>
      <c r="AP50" s="270">
        <v>0.0</v>
      </c>
      <c r="AQ50" s="270">
        <f t="shared" ref="AQ50:AS50" si="238">IF(M$8=0,0,ROUND(AQ49-(M50-BV50),2))</f>
        <v>1224.51</v>
      </c>
      <c r="AR50" s="270">
        <f t="shared" si="238"/>
        <v>7566.85</v>
      </c>
      <c r="AS50" s="270">
        <f t="shared" si="238"/>
        <v>34108.79</v>
      </c>
      <c r="AT50" s="270">
        <f t="shared" ref="AT50:BK50" si="239">IF(P$8=0,0,ROUND(AT49-(P50-BX50),2))</f>
        <v>36851.59</v>
      </c>
      <c r="AU50" s="270">
        <f t="shared" si="239"/>
        <v>147061.26</v>
      </c>
      <c r="AV50" s="270">
        <f t="shared" si="239"/>
        <v>0</v>
      </c>
      <c r="AW50" s="270">
        <f t="shared" si="239"/>
        <v>0</v>
      </c>
      <c r="AX50" s="270">
        <f t="shared" si="239"/>
        <v>0</v>
      </c>
      <c r="AY50" s="270">
        <f t="shared" si="239"/>
        <v>0</v>
      </c>
      <c r="AZ50" s="270">
        <f t="shared" si="239"/>
        <v>0</v>
      </c>
      <c r="BA50" s="270">
        <f t="shared" si="239"/>
        <v>0</v>
      </c>
      <c r="BB50" s="270">
        <f t="shared" si="239"/>
        <v>0</v>
      </c>
      <c r="BC50" s="270">
        <f t="shared" si="239"/>
        <v>0</v>
      </c>
      <c r="BD50" s="270">
        <f t="shared" si="239"/>
        <v>0</v>
      </c>
      <c r="BE50" s="270">
        <f t="shared" si="239"/>
        <v>0</v>
      </c>
      <c r="BF50" s="270">
        <f t="shared" si="239"/>
        <v>0</v>
      </c>
      <c r="BG50" s="270">
        <f t="shared" si="239"/>
        <v>0</v>
      </c>
      <c r="BH50" s="270">
        <f t="shared" si="239"/>
        <v>0</v>
      </c>
      <c r="BI50" s="270">
        <f t="shared" si="239"/>
        <v>0</v>
      </c>
      <c r="BJ50" s="270">
        <f t="shared" si="239"/>
        <v>0</v>
      </c>
      <c r="BK50" s="270">
        <f t="shared" si="239"/>
        <v>0</v>
      </c>
      <c r="BL50" s="265">
        <f t="shared" si="16"/>
        <v>226813</v>
      </c>
      <c r="BM50" s="215"/>
      <c r="BN50" s="270">
        <f t="shared" ref="BN50:CP50" si="240">ROUND(AI49*E$9/12,2)</f>
        <v>0</v>
      </c>
      <c r="BO50" s="270">
        <f t="shared" si="240"/>
        <v>0</v>
      </c>
      <c r="BP50" s="270">
        <f t="shared" si="240"/>
        <v>0</v>
      </c>
      <c r="BQ50" s="270">
        <f t="shared" si="240"/>
        <v>0</v>
      </c>
      <c r="BR50" s="270">
        <f t="shared" si="240"/>
        <v>0</v>
      </c>
      <c r="BS50" s="270">
        <f t="shared" si="240"/>
        <v>0</v>
      </c>
      <c r="BT50" s="270">
        <f t="shared" si="240"/>
        <v>0</v>
      </c>
      <c r="BU50" s="270">
        <f t="shared" si="240"/>
        <v>0</v>
      </c>
      <c r="BV50" s="270">
        <f t="shared" si="240"/>
        <v>40.93</v>
      </c>
      <c r="BW50" s="270">
        <f t="shared" si="240"/>
        <v>118.48</v>
      </c>
      <c r="BX50" s="270">
        <f t="shared" si="240"/>
        <v>316.14</v>
      </c>
      <c r="BY50" s="270">
        <f t="shared" si="240"/>
        <v>288.66</v>
      </c>
      <c r="BZ50" s="270">
        <f t="shared" si="240"/>
        <v>463.25</v>
      </c>
      <c r="CA50" s="270">
        <f t="shared" si="240"/>
        <v>0</v>
      </c>
      <c r="CB50" s="270">
        <f t="shared" si="240"/>
        <v>0</v>
      </c>
      <c r="CC50" s="270">
        <f t="shared" si="240"/>
        <v>0</v>
      </c>
      <c r="CD50" s="270">
        <f t="shared" si="240"/>
        <v>0</v>
      </c>
      <c r="CE50" s="270">
        <f t="shared" si="240"/>
        <v>0</v>
      </c>
      <c r="CF50" s="270">
        <f t="shared" si="240"/>
        <v>0</v>
      </c>
      <c r="CG50" s="270">
        <f t="shared" si="240"/>
        <v>0</v>
      </c>
      <c r="CH50" s="270">
        <f t="shared" si="240"/>
        <v>0</v>
      </c>
      <c r="CI50" s="270">
        <f t="shared" si="240"/>
        <v>0</v>
      </c>
      <c r="CJ50" s="270">
        <f t="shared" si="240"/>
        <v>0</v>
      </c>
      <c r="CK50" s="270">
        <f t="shared" si="240"/>
        <v>0</v>
      </c>
      <c r="CL50" s="270">
        <f t="shared" si="240"/>
        <v>0</v>
      </c>
      <c r="CM50" s="270">
        <f t="shared" si="240"/>
        <v>0</v>
      </c>
      <c r="CN50" s="270">
        <f t="shared" si="240"/>
        <v>0</v>
      </c>
      <c r="CO50" s="270">
        <f t="shared" si="240"/>
        <v>0</v>
      </c>
      <c r="CP50" s="270">
        <f t="shared" si="240"/>
        <v>0</v>
      </c>
      <c r="CQ50" s="215"/>
      <c r="CR50" s="270">
        <f t="shared" si="27"/>
        <v>1227.46</v>
      </c>
      <c r="CS50" s="215"/>
      <c r="CT50" s="270">
        <f t="shared" ref="CT50:DX50" si="241">IF(AI49&gt;0,IF((AI49+BN50)&lt;E$10,AI49+BN50,E$10),0)</f>
        <v>0</v>
      </c>
      <c r="CU50" s="270">
        <f t="shared" si="241"/>
        <v>0</v>
      </c>
      <c r="CV50" s="270">
        <f t="shared" si="241"/>
        <v>0</v>
      </c>
      <c r="CW50" s="270">
        <f t="shared" si="241"/>
        <v>0</v>
      </c>
      <c r="CX50" s="270">
        <f t="shared" si="241"/>
        <v>0</v>
      </c>
      <c r="CY50" s="270">
        <f t="shared" si="241"/>
        <v>0</v>
      </c>
      <c r="CZ50" s="270">
        <f t="shared" si="241"/>
        <v>0</v>
      </c>
      <c r="DA50" s="270">
        <f t="shared" si="241"/>
        <v>0</v>
      </c>
      <c r="DB50" s="270">
        <f t="shared" si="241"/>
        <v>102</v>
      </c>
      <c r="DC50" s="270">
        <f t="shared" si="241"/>
        <v>450.08</v>
      </c>
      <c r="DD50" s="270">
        <f t="shared" si="241"/>
        <v>695.6</v>
      </c>
      <c r="DE50" s="270">
        <f t="shared" si="241"/>
        <v>791.16</v>
      </c>
      <c r="DF50" s="270">
        <f t="shared" si="241"/>
        <v>1467.13</v>
      </c>
      <c r="DG50" s="270">
        <f t="shared" si="241"/>
        <v>0</v>
      </c>
      <c r="DH50" s="270">
        <f t="shared" si="241"/>
        <v>0</v>
      </c>
      <c r="DI50" s="270">
        <f t="shared" si="241"/>
        <v>0</v>
      </c>
      <c r="DJ50" s="270">
        <f t="shared" si="241"/>
        <v>0</v>
      </c>
      <c r="DK50" s="270">
        <f t="shared" si="241"/>
        <v>0</v>
      </c>
      <c r="DL50" s="270">
        <f t="shared" si="241"/>
        <v>0</v>
      </c>
      <c r="DM50" s="270">
        <f t="shared" si="241"/>
        <v>0</v>
      </c>
      <c r="DN50" s="270">
        <f t="shared" si="241"/>
        <v>0</v>
      </c>
      <c r="DO50" s="270">
        <f t="shared" si="241"/>
        <v>0</v>
      </c>
      <c r="DP50" s="270">
        <f t="shared" si="241"/>
        <v>0</v>
      </c>
      <c r="DQ50" s="270">
        <f t="shared" si="241"/>
        <v>0</v>
      </c>
      <c r="DR50" s="270">
        <f t="shared" si="241"/>
        <v>0</v>
      </c>
      <c r="DS50" s="270">
        <f t="shared" si="241"/>
        <v>0</v>
      </c>
      <c r="DT50" s="270">
        <f t="shared" si="241"/>
        <v>0</v>
      </c>
      <c r="DU50" s="270">
        <f t="shared" si="241"/>
        <v>0</v>
      </c>
      <c r="DV50" s="270">
        <f t="shared" si="241"/>
        <v>0</v>
      </c>
      <c r="DW50" s="271" t="str">
        <f t="shared" si="241"/>
        <v/>
      </c>
      <c r="DX50" s="270">
        <f t="shared" si="241"/>
        <v>0</v>
      </c>
      <c r="DY50" s="270">
        <f t="shared" si="29"/>
        <v>3505.97</v>
      </c>
      <c r="DZ50" s="274"/>
      <c r="EA50" s="275">
        <f t="shared" si="38"/>
        <v>0</v>
      </c>
      <c r="EB50" s="270">
        <f t="shared" ref="EB50:FC50" si="242">IF(AJ48&lt;=0,0,IF($C49&lt;=SUM($EA50:EA50),0,IF(CU49+$C49-SUM($EA50:EA50)&gt;AJ48+BO49,AJ48+BO49-CU49,$C49-SUM($EA50:EA50))))</f>
        <v>0</v>
      </c>
      <c r="EC50" s="270">
        <f t="shared" si="242"/>
        <v>0</v>
      </c>
      <c r="ED50" s="270">
        <f t="shared" si="242"/>
        <v>0</v>
      </c>
      <c r="EE50" s="270">
        <f t="shared" si="242"/>
        <v>0</v>
      </c>
      <c r="EF50" s="270">
        <f t="shared" si="242"/>
        <v>0</v>
      </c>
      <c r="EG50" s="270">
        <f t="shared" si="242"/>
        <v>0</v>
      </c>
      <c r="EH50" s="270">
        <f t="shared" si="242"/>
        <v>0</v>
      </c>
      <c r="EI50" s="270">
        <f t="shared" si="242"/>
        <v>366.03</v>
      </c>
      <c r="EJ50" s="270">
        <f t="shared" si="242"/>
        <v>0</v>
      </c>
      <c r="EK50" s="270">
        <f t="shared" si="242"/>
        <v>0</v>
      </c>
      <c r="EL50" s="270">
        <f t="shared" si="242"/>
        <v>0</v>
      </c>
      <c r="EM50" s="270">
        <f t="shared" si="242"/>
        <v>0</v>
      </c>
      <c r="EN50" s="270">
        <f t="shared" si="242"/>
        <v>0</v>
      </c>
      <c r="EO50" s="270">
        <f t="shared" si="242"/>
        <v>0</v>
      </c>
      <c r="EP50" s="270">
        <f t="shared" si="242"/>
        <v>0</v>
      </c>
      <c r="EQ50" s="270">
        <f t="shared" si="242"/>
        <v>0</v>
      </c>
      <c r="ER50" s="270">
        <f t="shared" si="242"/>
        <v>0</v>
      </c>
      <c r="ES50" s="270">
        <f t="shared" si="242"/>
        <v>0</v>
      </c>
      <c r="ET50" s="270">
        <f t="shared" si="242"/>
        <v>0</v>
      </c>
      <c r="EU50" s="270">
        <f t="shared" si="242"/>
        <v>0</v>
      </c>
      <c r="EV50" s="270">
        <f t="shared" si="242"/>
        <v>0</v>
      </c>
      <c r="EW50" s="270">
        <f t="shared" si="242"/>
        <v>0</v>
      </c>
      <c r="EX50" s="270">
        <f t="shared" si="242"/>
        <v>0</v>
      </c>
      <c r="EY50" s="270">
        <f t="shared" si="242"/>
        <v>0</v>
      </c>
      <c r="EZ50" s="270">
        <f t="shared" si="242"/>
        <v>0</v>
      </c>
      <c r="FA50" s="270">
        <f t="shared" si="242"/>
        <v>0</v>
      </c>
      <c r="FB50" s="270">
        <f t="shared" si="242"/>
        <v>0</v>
      </c>
      <c r="FC50" s="270">
        <f t="shared" si="242"/>
        <v>0</v>
      </c>
      <c r="FD50" s="271"/>
      <c r="FE50" s="271"/>
      <c r="FF50" s="271"/>
      <c r="FG50" s="215"/>
      <c r="FH50" s="215"/>
    </row>
    <row r="51" ht="11.25" customHeight="1">
      <c r="A51" s="231">
        <f t="shared" si="19"/>
        <v>31</v>
      </c>
      <c r="B51" s="269">
        <v>46569.0</v>
      </c>
      <c r="C51" s="270">
        <f>IF(A51="","",IF(Calculator!snowball,IF(($E$5-DY51)&lt;0,0,$E$5-DY51),0)+D51)</f>
        <v>366.03</v>
      </c>
      <c r="D51" s="277">
        <v>10.0</v>
      </c>
      <c r="E51" s="270">
        <f t="shared" si="40"/>
        <v>0</v>
      </c>
      <c r="F51" s="270">
        <f t="shared" ref="F51:AG51" si="243">CU51+EB52</f>
        <v>0</v>
      </c>
      <c r="G51" s="270">
        <f t="shared" si="243"/>
        <v>0</v>
      </c>
      <c r="H51" s="270">
        <f t="shared" si="243"/>
        <v>0</v>
      </c>
      <c r="I51" s="270">
        <f t="shared" si="243"/>
        <v>0</v>
      </c>
      <c r="J51" s="270">
        <f t="shared" si="243"/>
        <v>0</v>
      </c>
      <c r="K51" s="270">
        <f t="shared" si="243"/>
        <v>0</v>
      </c>
      <c r="L51" s="270">
        <f t="shared" si="243"/>
        <v>0</v>
      </c>
      <c r="M51" s="270">
        <f t="shared" si="243"/>
        <v>468.03</v>
      </c>
      <c r="N51" s="270">
        <f t="shared" si="243"/>
        <v>450.08</v>
      </c>
      <c r="O51" s="270">
        <f t="shared" si="243"/>
        <v>695.6</v>
      </c>
      <c r="P51" s="272">
        <f t="shared" si="243"/>
        <v>791.16</v>
      </c>
      <c r="Q51" s="272">
        <f t="shared" si="243"/>
        <v>1467.13</v>
      </c>
      <c r="R51" s="272">
        <f t="shared" si="243"/>
        <v>0</v>
      </c>
      <c r="S51" s="272">
        <f t="shared" si="243"/>
        <v>0</v>
      </c>
      <c r="T51" s="272">
        <f t="shared" si="243"/>
        <v>0</v>
      </c>
      <c r="U51" s="270">
        <f t="shared" si="243"/>
        <v>0</v>
      </c>
      <c r="V51" s="270">
        <f t="shared" si="243"/>
        <v>0</v>
      </c>
      <c r="W51" s="270">
        <f t="shared" si="243"/>
        <v>0</v>
      </c>
      <c r="X51" s="270">
        <f t="shared" si="243"/>
        <v>0</v>
      </c>
      <c r="Y51" s="270">
        <f t="shared" si="243"/>
        <v>0</v>
      </c>
      <c r="Z51" s="270">
        <f t="shared" si="243"/>
        <v>0</v>
      </c>
      <c r="AA51" s="270">
        <f t="shared" si="243"/>
        <v>0</v>
      </c>
      <c r="AB51" s="270">
        <f t="shared" si="243"/>
        <v>0</v>
      </c>
      <c r="AC51" s="270">
        <f t="shared" si="243"/>
        <v>0</v>
      </c>
      <c r="AD51" s="270">
        <f t="shared" si="243"/>
        <v>0</v>
      </c>
      <c r="AE51" s="270">
        <f t="shared" si="243"/>
        <v>0</v>
      </c>
      <c r="AF51" s="270">
        <f t="shared" si="243"/>
        <v>0</v>
      </c>
      <c r="AG51" s="270">
        <f t="shared" si="243"/>
        <v>0</v>
      </c>
      <c r="AH51" s="265">
        <f t="shared" si="13"/>
        <v>223995.16</v>
      </c>
      <c r="AI51" s="270">
        <f t="shared" si="43"/>
        <v>0</v>
      </c>
      <c r="AJ51" s="270">
        <f t="shared" ref="AJ51:AO51" si="244">IF(F$8=0,0,ROUND(AJ50-(F51-BO51),2))</f>
        <v>0</v>
      </c>
      <c r="AK51" s="270">
        <f t="shared" si="244"/>
        <v>0</v>
      </c>
      <c r="AL51" s="270">
        <f t="shared" si="244"/>
        <v>0</v>
      </c>
      <c r="AM51" s="270">
        <f t="shared" si="244"/>
        <v>0</v>
      </c>
      <c r="AN51" s="270">
        <f t="shared" si="244"/>
        <v>0</v>
      </c>
      <c r="AO51" s="270">
        <f t="shared" si="244"/>
        <v>0</v>
      </c>
      <c r="AP51" s="270">
        <v>0.0</v>
      </c>
      <c r="AQ51" s="270">
        <f t="shared" ref="AQ51:AS51" si="245">IF(M$8=0,0,ROUND(AQ50-(M51-BV51),2))</f>
        <v>786.83</v>
      </c>
      <c r="AR51" s="270">
        <f t="shared" si="245"/>
        <v>7230.27</v>
      </c>
      <c r="AS51" s="270">
        <f t="shared" si="245"/>
        <v>33725.85</v>
      </c>
      <c r="AT51" s="270">
        <f t="shared" ref="AT51:BK51" si="246">IF(P$8=0,0,ROUND(AT50-(P51-BX51),2))</f>
        <v>36373.09</v>
      </c>
      <c r="AU51" s="270">
        <f t="shared" si="246"/>
        <v>145879.12</v>
      </c>
      <c r="AV51" s="270">
        <f t="shared" si="246"/>
        <v>0</v>
      </c>
      <c r="AW51" s="270">
        <f t="shared" si="246"/>
        <v>0</v>
      </c>
      <c r="AX51" s="270">
        <f t="shared" si="246"/>
        <v>0</v>
      </c>
      <c r="AY51" s="270">
        <f t="shared" si="246"/>
        <v>0</v>
      </c>
      <c r="AZ51" s="270">
        <f t="shared" si="246"/>
        <v>0</v>
      </c>
      <c r="BA51" s="270">
        <f t="shared" si="246"/>
        <v>0</v>
      </c>
      <c r="BB51" s="270">
        <f t="shared" si="246"/>
        <v>0</v>
      </c>
      <c r="BC51" s="270">
        <f t="shared" si="246"/>
        <v>0</v>
      </c>
      <c r="BD51" s="270">
        <f t="shared" si="246"/>
        <v>0</v>
      </c>
      <c r="BE51" s="270">
        <f t="shared" si="246"/>
        <v>0</v>
      </c>
      <c r="BF51" s="270">
        <f t="shared" si="246"/>
        <v>0</v>
      </c>
      <c r="BG51" s="270">
        <f t="shared" si="246"/>
        <v>0</v>
      </c>
      <c r="BH51" s="270">
        <f t="shared" si="246"/>
        <v>0</v>
      </c>
      <c r="BI51" s="270">
        <f t="shared" si="246"/>
        <v>0</v>
      </c>
      <c r="BJ51" s="270">
        <f t="shared" si="246"/>
        <v>0</v>
      </c>
      <c r="BK51" s="270">
        <f t="shared" si="246"/>
        <v>0</v>
      </c>
      <c r="BL51" s="265">
        <f t="shared" si="16"/>
        <v>223995.16</v>
      </c>
      <c r="BM51" s="215"/>
      <c r="BN51" s="270">
        <f t="shared" ref="BN51:CP51" si="247">ROUND(AI50*E$9/12,2)</f>
        <v>0</v>
      </c>
      <c r="BO51" s="270">
        <f t="shared" si="247"/>
        <v>0</v>
      </c>
      <c r="BP51" s="270">
        <f t="shared" si="247"/>
        <v>0</v>
      </c>
      <c r="BQ51" s="270">
        <f t="shared" si="247"/>
        <v>0</v>
      </c>
      <c r="BR51" s="270">
        <f t="shared" si="247"/>
        <v>0</v>
      </c>
      <c r="BS51" s="270">
        <f t="shared" si="247"/>
        <v>0</v>
      </c>
      <c r="BT51" s="270">
        <f t="shared" si="247"/>
        <v>0</v>
      </c>
      <c r="BU51" s="270">
        <f t="shared" si="247"/>
        <v>0</v>
      </c>
      <c r="BV51" s="270">
        <f t="shared" si="247"/>
        <v>30.35</v>
      </c>
      <c r="BW51" s="270">
        <f t="shared" si="247"/>
        <v>113.5</v>
      </c>
      <c r="BX51" s="270">
        <f t="shared" si="247"/>
        <v>312.66</v>
      </c>
      <c r="BY51" s="270">
        <f t="shared" si="247"/>
        <v>284.99</v>
      </c>
      <c r="BZ51" s="270">
        <f t="shared" si="247"/>
        <v>459.57</v>
      </c>
      <c r="CA51" s="270">
        <f t="shared" si="247"/>
        <v>0</v>
      </c>
      <c r="CB51" s="270">
        <f t="shared" si="247"/>
        <v>0</v>
      </c>
      <c r="CC51" s="270">
        <f t="shared" si="247"/>
        <v>0</v>
      </c>
      <c r="CD51" s="270">
        <f t="shared" si="247"/>
        <v>0</v>
      </c>
      <c r="CE51" s="270">
        <f t="shared" si="247"/>
        <v>0</v>
      </c>
      <c r="CF51" s="270">
        <f t="shared" si="247"/>
        <v>0</v>
      </c>
      <c r="CG51" s="270">
        <f t="shared" si="247"/>
        <v>0</v>
      </c>
      <c r="CH51" s="270">
        <f t="shared" si="247"/>
        <v>0</v>
      </c>
      <c r="CI51" s="270">
        <f t="shared" si="247"/>
        <v>0</v>
      </c>
      <c r="CJ51" s="270">
        <f t="shared" si="247"/>
        <v>0</v>
      </c>
      <c r="CK51" s="270">
        <f t="shared" si="247"/>
        <v>0</v>
      </c>
      <c r="CL51" s="270">
        <f t="shared" si="247"/>
        <v>0</v>
      </c>
      <c r="CM51" s="270">
        <f t="shared" si="247"/>
        <v>0</v>
      </c>
      <c r="CN51" s="270">
        <f t="shared" si="247"/>
        <v>0</v>
      </c>
      <c r="CO51" s="270">
        <f t="shared" si="247"/>
        <v>0</v>
      </c>
      <c r="CP51" s="270">
        <f t="shared" si="247"/>
        <v>0</v>
      </c>
      <c r="CQ51" s="215"/>
      <c r="CR51" s="270">
        <f t="shared" si="27"/>
        <v>1201.07</v>
      </c>
      <c r="CS51" s="215"/>
      <c r="CT51" s="270">
        <f t="shared" ref="CT51:DX51" si="248">IF(AI50&gt;0,IF((AI50+BN51)&lt;E$10,AI50+BN51,E$10),0)</f>
        <v>0</v>
      </c>
      <c r="CU51" s="270">
        <f t="shared" si="248"/>
        <v>0</v>
      </c>
      <c r="CV51" s="270">
        <f t="shared" si="248"/>
        <v>0</v>
      </c>
      <c r="CW51" s="270">
        <f t="shared" si="248"/>
        <v>0</v>
      </c>
      <c r="CX51" s="270">
        <f t="shared" si="248"/>
        <v>0</v>
      </c>
      <c r="CY51" s="270">
        <f t="shared" si="248"/>
        <v>0</v>
      </c>
      <c r="CZ51" s="270">
        <f t="shared" si="248"/>
        <v>0</v>
      </c>
      <c r="DA51" s="270">
        <f t="shared" si="248"/>
        <v>0</v>
      </c>
      <c r="DB51" s="270">
        <f t="shared" si="248"/>
        <v>102</v>
      </c>
      <c r="DC51" s="270">
        <f t="shared" si="248"/>
        <v>450.08</v>
      </c>
      <c r="DD51" s="270">
        <f t="shared" si="248"/>
        <v>695.6</v>
      </c>
      <c r="DE51" s="270">
        <f t="shared" si="248"/>
        <v>791.16</v>
      </c>
      <c r="DF51" s="270">
        <f t="shared" si="248"/>
        <v>1467.13</v>
      </c>
      <c r="DG51" s="270">
        <f t="shared" si="248"/>
        <v>0</v>
      </c>
      <c r="DH51" s="270">
        <f t="shared" si="248"/>
        <v>0</v>
      </c>
      <c r="DI51" s="270">
        <f t="shared" si="248"/>
        <v>0</v>
      </c>
      <c r="DJ51" s="270">
        <f t="shared" si="248"/>
        <v>0</v>
      </c>
      <c r="DK51" s="270">
        <f t="shared" si="248"/>
        <v>0</v>
      </c>
      <c r="DL51" s="270">
        <f t="shared" si="248"/>
        <v>0</v>
      </c>
      <c r="DM51" s="270">
        <f t="shared" si="248"/>
        <v>0</v>
      </c>
      <c r="DN51" s="270">
        <f t="shared" si="248"/>
        <v>0</v>
      </c>
      <c r="DO51" s="270">
        <f t="shared" si="248"/>
        <v>0</v>
      </c>
      <c r="DP51" s="270">
        <f t="shared" si="248"/>
        <v>0</v>
      </c>
      <c r="DQ51" s="270">
        <f t="shared" si="248"/>
        <v>0</v>
      </c>
      <c r="DR51" s="270">
        <f t="shared" si="248"/>
        <v>0</v>
      </c>
      <c r="DS51" s="270">
        <f t="shared" si="248"/>
        <v>0</v>
      </c>
      <c r="DT51" s="270">
        <f t="shared" si="248"/>
        <v>0</v>
      </c>
      <c r="DU51" s="270">
        <f t="shared" si="248"/>
        <v>0</v>
      </c>
      <c r="DV51" s="270">
        <f t="shared" si="248"/>
        <v>0</v>
      </c>
      <c r="DW51" s="271" t="str">
        <f t="shared" si="248"/>
        <v/>
      </c>
      <c r="DX51" s="270">
        <f t="shared" si="248"/>
        <v>0</v>
      </c>
      <c r="DY51" s="270">
        <f t="shared" si="29"/>
        <v>3505.97</v>
      </c>
      <c r="DZ51" s="274"/>
      <c r="EA51" s="275">
        <f t="shared" si="38"/>
        <v>0</v>
      </c>
      <c r="EB51" s="270">
        <f t="shared" ref="EB51:FC51" si="249">IF(AJ49&lt;=0,0,IF($C50&lt;=SUM($EA51:EA51),0,IF(CU50+$C50-SUM($EA51:EA51)&gt;AJ49+BO50,AJ49+BO50-CU50,$C50-SUM($EA51:EA51))))</f>
        <v>0</v>
      </c>
      <c r="EC51" s="270">
        <f t="shared" si="249"/>
        <v>0</v>
      </c>
      <c r="ED51" s="270">
        <f t="shared" si="249"/>
        <v>0</v>
      </c>
      <c r="EE51" s="270">
        <f t="shared" si="249"/>
        <v>0</v>
      </c>
      <c r="EF51" s="270">
        <f t="shared" si="249"/>
        <v>0</v>
      </c>
      <c r="EG51" s="270">
        <f t="shared" si="249"/>
        <v>0</v>
      </c>
      <c r="EH51" s="270">
        <f t="shared" si="249"/>
        <v>0</v>
      </c>
      <c r="EI51" s="270">
        <f t="shared" si="249"/>
        <v>366.03</v>
      </c>
      <c r="EJ51" s="270">
        <f t="shared" si="249"/>
        <v>0</v>
      </c>
      <c r="EK51" s="270">
        <f t="shared" si="249"/>
        <v>0</v>
      </c>
      <c r="EL51" s="270">
        <f t="shared" si="249"/>
        <v>0</v>
      </c>
      <c r="EM51" s="270">
        <f t="shared" si="249"/>
        <v>0</v>
      </c>
      <c r="EN51" s="270">
        <f t="shared" si="249"/>
        <v>0</v>
      </c>
      <c r="EO51" s="270">
        <f t="shared" si="249"/>
        <v>0</v>
      </c>
      <c r="EP51" s="270">
        <f t="shared" si="249"/>
        <v>0</v>
      </c>
      <c r="EQ51" s="270">
        <f t="shared" si="249"/>
        <v>0</v>
      </c>
      <c r="ER51" s="270">
        <f t="shared" si="249"/>
        <v>0</v>
      </c>
      <c r="ES51" s="270">
        <f t="shared" si="249"/>
        <v>0</v>
      </c>
      <c r="ET51" s="270">
        <f t="shared" si="249"/>
        <v>0</v>
      </c>
      <c r="EU51" s="270">
        <f t="shared" si="249"/>
        <v>0</v>
      </c>
      <c r="EV51" s="270">
        <f t="shared" si="249"/>
        <v>0</v>
      </c>
      <c r="EW51" s="270">
        <f t="shared" si="249"/>
        <v>0</v>
      </c>
      <c r="EX51" s="270">
        <f t="shared" si="249"/>
        <v>0</v>
      </c>
      <c r="EY51" s="270">
        <f t="shared" si="249"/>
        <v>0</v>
      </c>
      <c r="EZ51" s="270">
        <f t="shared" si="249"/>
        <v>0</v>
      </c>
      <c r="FA51" s="270">
        <f t="shared" si="249"/>
        <v>0</v>
      </c>
      <c r="FB51" s="270">
        <f t="shared" si="249"/>
        <v>0</v>
      </c>
      <c r="FC51" s="270">
        <f t="shared" si="249"/>
        <v>0</v>
      </c>
      <c r="FD51" s="271"/>
      <c r="FE51" s="271"/>
      <c r="FF51" s="271"/>
      <c r="FG51" s="215"/>
      <c r="FH51" s="215"/>
    </row>
    <row r="52" ht="11.25" customHeight="1">
      <c r="A52" s="231">
        <f t="shared" si="19"/>
        <v>32</v>
      </c>
      <c r="B52" s="269">
        <v>46600.0</v>
      </c>
      <c r="C52" s="270">
        <f>IF(A52="","",IF(Calculator!snowball,IF(($E$5-DY52)&lt;0,0,$E$5-DY52),0)+D52)</f>
        <v>366.03</v>
      </c>
      <c r="D52" s="277">
        <v>10.0</v>
      </c>
      <c r="E52" s="270">
        <f t="shared" si="40"/>
        <v>0</v>
      </c>
      <c r="F52" s="270">
        <f t="shared" ref="F52:AG52" si="250">CU52+EB53</f>
        <v>0</v>
      </c>
      <c r="G52" s="270">
        <f t="shared" si="250"/>
        <v>0</v>
      </c>
      <c r="H52" s="270">
        <f t="shared" si="250"/>
        <v>0</v>
      </c>
      <c r="I52" s="270">
        <f t="shared" si="250"/>
        <v>0</v>
      </c>
      <c r="J52" s="270">
        <f t="shared" si="250"/>
        <v>0</v>
      </c>
      <c r="K52" s="270">
        <f t="shared" si="250"/>
        <v>0</v>
      </c>
      <c r="L52" s="270">
        <f t="shared" si="250"/>
        <v>0</v>
      </c>
      <c r="M52" s="270">
        <f t="shared" si="250"/>
        <v>468.03</v>
      </c>
      <c r="N52" s="270">
        <f t="shared" si="250"/>
        <v>450.08</v>
      </c>
      <c r="O52" s="270">
        <f t="shared" si="250"/>
        <v>695.6</v>
      </c>
      <c r="P52" s="272">
        <f t="shared" si="250"/>
        <v>791.16</v>
      </c>
      <c r="Q52" s="272">
        <f t="shared" si="250"/>
        <v>1467.13</v>
      </c>
      <c r="R52" s="272">
        <f t="shared" si="250"/>
        <v>0</v>
      </c>
      <c r="S52" s="272">
        <f t="shared" si="250"/>
        <v>0</v>
      </c>
      <c r="T52" s="272">
        <f t="shared" si="250"/>
        <v>0</v>
      </c>
      <c r="U52" s="270">
        <f t="shared" si="250"/>
        <v>0</v>
      </c>
      <c r="V52" s="270">
        <f t="shared" si="250"/>
        <v>0</v>
      </c>
      <c r="W52" s="270">
        <f t="shared" si="250"/>
        <v>0</v>
      </c>
      <c r="X52" s="270">
        <f t="shared" si="250"/>
        <v>0</v>
      </c>
      <c r="Y52" s="270">
        <f t="shared" si="250"/>
        <v>0</v>
      </c>
      <c r="Z52" s="270">
        <f t="shared" si="250"/>
        <v>0</v>
      </c>
      <c r="AA52" s="270">
        <f t="shared" si="250"/>
        <v>0</v>
      </c>
      <c r="AB52" s="270">
        <f t="shared" si="250"/>
        <v>0</v>
      </c>
      <c r="AC52" s="270">
        <f t="shared" si="250"/>
        <v>0</v>
      </c>
      <c r="AD52" s="270">
        <f t="shared" si="250"/>
        <v>0</v>
      </c>
      <c r="AE52" s="270">
        <f t="shared" si="250"/>
        <v>0</v>
      </c>
      <c r="AF52" s="270">
        <f t="shared" si="250"/>
        <v>0</v>
      </c>
      <c r="AG52" s="270">
        <f t="shared" si="250"/>
        <v>0</v>
      </c>
      <c r="AH52" s="265">
        <f t="shared" si="13"/>
        <v>221150.7</v>
      </c>
      <c r="AI52" s="270">
        <f t="shared" si="43"/>
        <v>0</v>
      </c>
      <c r="AJ52" s="270">
        <f t="shared" ref="AJ52:AO52" si="251">IF(F$8=0,0,ROUND(AJ51-(F52-BO52),2))</f>
        <v>0</v>
      </c>
      <c r="AK52" s="270">
        <f t="shared" si="251"/>
        <v>0</v>
      </c>
      <c r="AL52" s="270">
        <f t="shared" si="251"/>
        <v>0</v>
      </c>
      <c r="AM52" s="270">
        <f t="shared" si="251"/>
        <v>0</v>
      </c>
      <c r="AN52" s="270">
        <f t="shared" si="251"/>
        <v>0</v>
      </c>
      <c r="AO52" s="270">
        <f t="shared" si="251"/>
        <v>0</v>
      </c>
      <c r="AP52" s="270">
        <v>0.0</v>
      </c>
      <c r="AQ52" s="270">
        <f t="shared" ref="AQ52:AS52" si="252">IF(M$8=0,0,ROUND(AQ51-(M52-BV52),2))</f>
        <v>338.3</v>
      </c>
      <c r="AR52" s="270">
        <f t="shared" si="252"/>
        <v>6888.64</v>
      </c>
      <c r="AS52" s="270">
        <f t="shared" si="252"/>
        <v>33339.4</v>
      </c>
      <c r="AT52" s="270">
        <f t="shared" ref="AT52:BK52" si="253">IF(P$8=0,0,ROUND(AT51-(P52-BX52),2))</f>
        <v>35891.08</v>
      </c>
      <c r="AU52" s="270">
        <f t="shared" si="253"/>
        <v>144693.28</v>
      </c>
      <c r="AV52" s="270">
        <f t="shared" si="253"/>
        <v>0</v>
      </c>
      <c r="AW52" s="270">
        <f t="shared" si="253"/>
        <v>0</v>
      </c>
      <c r="AX52" s="270">
        <f t="shared" si="253"/>
        <v>0</v>
      </c>
      <c r="AY52" s="270">
        <f t="shared" si="253"/>
        <v>0</v>
      </c>
      <c r="AZ52" s="270">
        <f t="shared" si="253"/>
        <v>0</v>
      </c>
      <c r="BA52" s="270">
        <f t="shared" si="253"/>
        <v>0</v>
      </c>
      <c r="BB52" s="270">
        <f t="shared" si="253"/>
        <v>0</v>
      </c>
      <c r="BC52" s="270">
        <f t="shared" si="253"/>
        <v>0</v>
      </c>
      <c r="BD52" s="270">
        <f t="shared" si="253"/>
        <v>0</v>
      </c>
      <c r="BE52" s="270">
        <f t="shared" si="253"/>
        <v>0</v>
      </c>
      <c r="BF52" s="270">
        <f t="shared" si="253"/>
        <v>0</v>
      </c>
      <c r="BG52" s="270">
        <f t="shared" si="253"/>
        <v>0</v>
      </c>
      <c r="BH52" s="270">
        <f t="shared" si="253"/>
        <v>0</v>
      </c>
      <c r="BI52" s="270">
        <f t="shared" si="253"/>
        <v>0</v>
      </c>
      <c r="BJ52" s="270">
        <f t="shared" si="253"/>
        <v>0</v>
      </c>
      <c r="BK52" s="270">
        <f t="shared" si="253"/>
        <v>0</v>
      </c>
      <c r="BL52" s="265">
        <f t="shared" si="16"/>
        <v>221150.7</v>
      </c>
      <c r="BM52" s="215"/>
      <c r="BN52" s="270">
        <f t="shared" ref="BN52:CP52" si="254">ROUND(AI51*E$9/12,2)</f>
        <v>0</v>
      </c>
      <c r="BO52" s="270">
        <f t="shared" si="254"/>
        <v>0</v>
      </c>
      <c r="BP52" s="270">
        <f t="shared" si="254"/>
        <v>0</v>
      </c>
      <c r="BQ52" s="270">
        <f t="shared" si="254"/>
        <v>0</v>
      </c>
      <c r="BR52" s="270">
        <f t="shared" si="254"/>
        <v>0</v>
      </c>
      <c r="BS52" s="270">
        <f t="shared" si="254"/>
        <v>0</v>
      </c>
      <c r="BT52" s="270">
        <f t="shared" si="254"/>
        <v>0</v>
      </c>
      <c r="BU52" s="270">
        <f t="shared" si="254"/>
        <v>0</v>
      </c>
      <c r="BV52" s="270">
        <f t="shared" si="254"/>
        <v>19.5</v>
      </c>
      <c r="BW52" s="270">
        <f t="shared" si="254"/>
        <v>108.45</v>
      </c>
      <c r="BX52" s="270">
        <f t="shared" si="254"/>
        <v>309.15</v>
      </c>
      <c r="BY52" s="270">
        <f t="shared" si="254"/>
        <v>281.29</v>
      </c>
      <c r="BZ52" s="270">
        <f t="shared" si="254"/>
        <v>455.87</v>
      </c>
      <c r="CA52" s="270">
        <f t="shared" si="254"/>
        <v>0</v>
      </c>
      <c r="CB52" s="270">
        <f t="shared" si="254"/>
        <v>0</v>
      </c>
      <c r="CC52" s="270">
        <f t="shared" si="254"/>
        <v>0</v>
      </c>
      <c r="CD52" s="270">
        <f t="shared" si="254"/>
        <v>0</v>
      </c>
      <c r="CE52" s="270">
        <f t="shared" si="254"/>
        <v>0</v>
      </c>
      <c r="CF52" s="270">
        <f t="shared" si="254"/>
        <v>0</v>
      </c>
      <c r="CG52" s="270">
        <f t="shared" si="254"/>
        <v>0</v>
      </c>
      <c r="CH52" s="270">
        <f t="shared" si="254"/>
        <v>0</v>
      </c>
      <c r="CI52" s="270">
        <f t="shared" si="254"/>
        <v>0</v>
      </c>
      <c r="CJ52" s="270">
        <f t="shared" si="254"/>
        <v>0</v>
      </c>
      <c r="CK52" s="270">
        <f t="shared" si="254"/>
        <v>0</v>
      </c>
      <c r="CL52" s="270">
        <f t="shared" si="254"/>
        <v>0</v>
      </c>
      <c r="CM52" s="270">
        <f t="shared" si="254"/>
        <v>0</v>
      </c>
      <c r="CN52" s="270">
        <f t="shared" si="254"/>
        <v>0</v>
      </c>
      <c r="CO52" s="270">
        <f t="shared" si="254"/>
        <v>0</v>
      </c>
      <c r="CP52" s="270">
        <f t="shared" si="254"/>
        <v>0</v>
      </c>
      <c r="CQ52" s="215"/>
      <c r="CR52" s="270">
        <f t="shared" si="27"/>
        <v>1174.26</v>
      </c>
      <c r="CS52" s="215"/>
      <c r="CT52" s="270">
        <f t="shared" ref="CT52:DX52" si="255">IF(AI51&gt;0,IF((AI51+BN52)&lt;E$10,AI51+BN52,E$10),0)</f>
        <v>0</v>
      </c>
      <c r="CU52" s="270">
        <f t="shared" si="255"/>
        <v>0</v>
      </c>
      <c r="CV52" s="270">
        <f t="shared" si="255"/>
        <v>0</v>
      </c>
      <c r="CW52" s="270">
        <f t="shared" si="255"/>
        <v>0</v>
      </c>
      <c r="CX52" s="270">
        <f t="shared" si="255"/>
        <v>0</v>
      </c>
      <c r="CY52" s="270">
        <f t="shared" si="255"/>
        <v>0</v>
      </c>
      <c r="CZ52" s="270">
        <f t="shared" si="255"/>
        <v>0</v>
      </c>
      <c r="DA52" s="270">
        <f t="shared" si="255"/>
        <v>0</v>
      </c>
      <c r="DB52" s="270">
        <f t="shared" si="255"/>
        <v>102</v>
      </c>
      <c r="DC52" s="270">
        <f t="shared" si="255"/>
        <v>450.08</v>
      </c>
      <c r="DD52" s="270">
        <f t="shared" si="255"/>
        <v>695.6</v>
      </c>
      <c r="DE52" s="270">
        <f t="shared" si="255"/>
        <v>791.16</v>
      </c>
      <c r="DF52" s="270">
        <f t="shared" si="255"/>
        <v>1467.13</v>
      </c>
      <c r="DG52" s="270">
        <f t="shared" si="255"/>
        <v>0</v>
      </c>
      <c r="DH52" s="270">
        <f t="shared" si="255"/>
        <v>0</v>
      </c>
      <c r="DI52" s="270">
        <f t="shared" si="255"/>
        <v>0</v>
      </c>
      <c r="DJ52" s="270">
        <f t="shared" si="255"/>
        <v>0</v>
      </c>
      <c r="DK52" s="270">
        <f t="shared" si="255"/>
        <v>0</v>
      </c>
      <c r="DL52" s="270">
        <f t="shared" si="255"/>
        <v>0</v>
      </c>
      <c r="DM52" s="270">
        <f t="shared" si="255"/>
        <v>0</v>
      </c>
      <c r="DN52" s="270">
        <f t="shared" si="255"/>
        <v>0</v>
      </c>
      <c r="DO52" s="270">
        <f t="shared" si="255"/>
        <v>0</v>
      </c>
      <c r="DP52" s="270">
        <f t="shared" si="255"/>
        <v>0</v>
      </c>
      <c r="DQ52" s="270">
        <f t="shared" si="255"/>
        <v>0</v>
      </c>
      <c r="DR52" s="270">
        <f t="shared" si="255"/>
        <v>0</v>
      </c>
      <c r="DS52" s="270">
        <f t="shared" si="255"/>
        <v>0</v>
      </c>
      <c r="DT52" s="270">
        <f t="shared" si="255"/>
        <v>0</v>
      </c>
      <c r="DU52" s="270">
        <f t="shared" si="255"/>
        <v>0</v>
      </c>
      <c r="DV52" s="270">
        <f t="shared" si="255"/>
        <v>0</v>
      </c>
      <c r="DW52" s="271" t="str">
        <f t="shared" si="255"/>
        <v/>
      </c>
      <c r="DX52" s="270">
        <f t="shared" si="255"/>
        <v>0</v>
      </c>
      <c r="DY52" s="270">
        <f t="shared" si="29"/>
        <v>3505.97</v>
      </c>
      <c r="DZ52" s="274"/>
      <c r="EA52" s="275">
        <f t="shared" si="38"/>
        <v>0</v>
      </c>
      <c r="EB52" s="270">
        <f t="shared" ref="EB52:FC52" si="256">IF(AJ50&lt;=0,0,IF($C51&lt;=SUM($EA52:EA52),0,IF(CU51+$C51-SUM($EA52:EA52)&gt;AJ50+BO51,AJ50+BO51-CU51,$C51-SUM($EA52:EA52))))</f>
        <v>0</v>
      </c>
      <c r="EC52" s="270">
        <f t="shared" si="256"/>
        <v>0</v>
      </c>
      <c r="ED52" s="270">
        <f t="shared" si="256"/>
        <v>0</v>
      </c>
      <c r="EE52" s="270">
        <f t="shared" si="256"/>
        <v>0</v>
      </c>
      <c r="EF52" s="270">
        <f t="shared" si="256"/>
        <v>0</v>
      </c>
      <c r="EG52" s="270">
        <f t="shared" si="256"/>
        <v>0</v>
      </c>
      <c r="EH52" s="270">
        <f t="shared" si="256"/>
        <v>0</v>
      </c>
      <c r="EI52" s="270">
        <f t="shared" si="256"/>
        <v>366.03</v>
      </c>
      <c r="EJ52" s="270">
        <f t="shared" si="256"/>
        <v>0</v>
      </c>
      <c r="EK52" s="270">
        <f t="shared" si="256"/>
        <v>0</v>
      </c>
      <c r="EL52" s="270">
        <f t="shared" si="256"/>
        <v>0</v>
      </c>
      <c r="EM52" s="270">
        <f t="shared" si="256"/>
        <v>0</v>
      </c>
      <c r="EN52" s="270">
        <f t="shared" si="256"/>
        <v>0</v>
      </c>
      <c r="EO52" s="270">
        <f t="shared" si="256"/>
        <v>0</v>
      </c>
      <c r="EP52" s="270">
        <f t="shared" si="256"/>
        <v>0</v>
      </c>
      <c r="EQ52" s="270">
        <f t="shared" si="256"/>
        <v>0</v>
      </c>
      <c r="ER52" s="270">
        <f t="shared" si="256"/>
        <v>0</v>
      </c>
      <c r="ES52" s="270">
        <f t="shared" si="256"/>
        <v>0</v>
      </c>
      <c r="ET52" s="270">
        <f t="shared" si="256"/>
        <v>0</v>
      </c>
      <c r="EU52" s="270">
        <f t="shared" si="256"/>
        <v>0</v>
      </c>
      <c r="EV52" s="270">
        <f t="shared" si="256"/>
        <v>0</v>
      </c>
      <c r="EW52" s="270">
        <f t="shared" si="256"/>
        <v>0</v>
      </c>
      <c r="EX52" s="270">
        <f t="shared" si="256"/>
        <v>0</v>
      </c>
      <c r="EY52" s="270">
        <f t="shared" si="256"/>
        <v>0</v>
      </c>
      <c r="EZ52" s="270">
        <f t="shared" si="256"/>
        <v>0</v>
      </c>
      <c r="FA52" s="270">
        <f t="shared" si="256"/>
        <v>0</v>
      </c>
      <c r="FB52" s="270">
        <f t="shared" si="256"/>
        <v>0</v>
      </c>
      <c r="FC52" s="270">
        <f t="shared" si="256"/>
        <v>0</v>
      </c>
      <c r="FD52" s="271"/>
      <c r="FE52" s="271"/>
      <c r="FF52" s="271"/>
      <c r="FG52" s="215"/>
      <c r="FH52" s="215"/>
    </row>
    <row r="53" ht="11.25" customHeight="1">
      <c r="A53" s="231">
        <f t="shared" si="19"/>
        <v>33</v>
      </c>
      <c r="B53" s="269">
        <v>46631.0</v>
      </c>
      <c r="C53" s="270">
        <f>IF(A53="","",IF(Calculator!snowball,IF(($E$5-DY53)&lt;0,0,$E$5-DY53),0)+D53)</f>
        <v>366.03</v>
      </c>
      <c r="D53" s="277">
        <v>10.0</v>
      </c>
      <c r="E53" s="270">
        <f t="shared" si="40"/>
        <v>0</v>
      </c>
      <c r="F53" s="270">
        <f t="shared" ref="F53:AG53" si="257">CU53+EB54</f>
        <v>0</v>
      </c>
      <c r="G53" s="270">
        <f t="shared" si="257"/>
        <v>0</v>
      </c>
      <c r="H53" s="270">
        <f t="shared" si="257"/>
        <v>0</v>
      </c>
      <c r="I53" s="270">
        <f t="shared" si="257"/>
        <v>0</v>
      </c>
      <c r="J53" s="270">
        <f t="shared" si="257"/>
        <v>0</v>
      </c>
      <c r="K53" s="270">
        <f t="shared" si="257"/>
        <v>0</v>
      </c>
      <c r="L53" s="270">
        <f t="shared" si="257"/>
        <v>0</v>
      </c>
      <c r="M53" s="270">
        <f t="shared" si="257"/>
        <v>346.68</v>
      </c>
      <c r="N53" s="270">
        <f t="shared" si="257"/>
        <v>571.43</v>
      </c>
      <c r="O53" s="270">
        <f t="shared" si="257"/>
        <v>695.6</v>
      </c>
      <c r="P53" s="272">
        <f t="shared" si="257"/>
        <v>791.16</v>
      </c>
      <c r="Q53" s="272">
        <f t="shared" si="257"/>
        <v>1467.13</v>
      </c>
      <c r="R53" s="272">
        <f t="shared" si="257"/>
        <v>0</v>
      </c>
      <c r="S53" s="272">
        <f t="shared" si="257"/>
        <v>0</v>
      </c>
      <c r="T53" s="272">
        <f t="shared" si="257"/>
        <v>0</v>
      </c>
      <c r="U53" s="270">
        <f t="shared" si="257"/>
        <v>0</v>
      </c>
      <c r="V53" s="270">
        <f t="shared" si="257"/>
        <v>0</v>
      </c>
      <c r="W53" s="270">
        <f t="shared" si="257"/>
        <v>0</v>
      </c>
      <c r="X53" s="270">
        <f t="shared" si="257"/>
        <v>0</v>
      </c>
      <c r="Y53" s="270">
        <f t="shared" si="257"/>
        <v>0</v>
      </c>
      <c r="Z53" s="270">
        <f t="shared" si="257"/>
        <v>0</v>
      </c>
      <c r="AA53" s="270">
        <f t="shared" si="257"/>
        <v>0</v>
      </c>
      <c r="AB53" s="270">
        <f t="shared" si="257"/>
        <v>0</v>
      </c>
      <c r="AC53" s="270">
        <f t="shared" si="257"/>
        <v>0</v>
      </c>
      <c r="AD53" s="270">
        <f t="shared" si="257"/>
        <v>0</v>
      </c>
      <c r="AE53" s="270">
        <f t="shared" si="257"/>
        <v>0</v>
      </c>
      <c r="AF53" s="270">
        <f t="shared" si="257"/>
        <v>0</v>
      </c>
      <c r="AG53" s="270">
        <f t="shared" si="257"/>
        <v>0</v>
      </c>
      <c r="AH53" s="265">
        <f t="shared" si="13"/>
        <v>218279.19</v>
      </c>
      <c r="AI53" s="270">
        <f t="shared" si="43"/>
        <v>0</v>
      </c>
      <c r="AJ53" s="270">
        <f t="shared" ref="AJ53:AO53" si="258">IF(F$8=0,0,ROUND(AJ52-(F53-BO53),2))</f>
        <v>0</v>
      </c>
      <c r="AK53" s="270">
        <f t="shared" si="258"/>
        <v>0</v>
      </c>
      <c r="AL53" s="270">
        <f t="shared" si="258"/>
        <v>0</v>
      </c>
      <c r="AM53" s="270">
        <f t="shared" si="258"/>
        <v>0</v>
      </c>
      <c r="AN53" s="270">
        <f t="shared" si="258"/>
        <v>0</v>
      </c>
      <c r="AO53" s="270">
        <f t="shared" si="258"/>
        <v>0</v>
      </c>
      <c r="AP53" s="270">
        <v>0.0</v>
      </c>
      <c r="AQ53" s="270">
        <f t="shared" ref="AQ53:AS53" si="259">IF(M$8=0,0,ROUND(AQ52-(M53-BV53),2))</f>
        <v>0</v>
      </c>
      <c r="AR53" s="270">
        <f t="shared" si="259"/>
        <v>6420.54</v>
      </c>
      <c r="AS53" s="270">
        <f t="shared" si="259"/>
        <v>32949.41</v>
      </c>
      <c r="AT53" s="270">
        <f t="shared" ref="AT53:BK53" si="260">IF(P$8=0,0,ROUND(AT52-(P53-BX53),2))</f>
        <v>35405.53</v>
      </c>
      <c r="AU53" s="270">
        <f t="shared" si="260"/>
        <v>143503.71</v>
      </c>
      <c r="AV53" s="270">
        <f t="shared" si="260"/>
        <v>0</v>
      </c>
      <c r="AW53" s="270">
        <f t="shared" si="260"/>
        <v>0</v>
      </c>
      <c r="AX53" s="270">
        <f t="shared" si="260"/>
        <v>0</v>
      </c>
      <c r="AY53" s="270">
        <f t="shared" si="260"/>
        <v>0</v>
      </c>
      <c r="AZ53" s="270">
        <f t="shared" si="260"/>
        <v>0</v>
      </c>
      <c r="BA53" s="270">
        <f t="shared" si="260"/>
        <v>0</v>
      </c>
      <c r="BB53" s="270">
        <f t="shared" si="260"/>
        <v>0</v>
      </c>
      <c r="BC53" s="270">
        <f t="shared" si="260"/>
        <v>0</v>
      </c>
      <c r="BD53" s="270">
        <f t="shared" si="260"/>
        <v>0</v>
      </c>
      <c r="BE53" s="270">
        <f t="shared" si="260"/>
        <v>0</v>
      </c>
      <c r="BF53" s="270">
        <f t="shared" si="260"/>
        <v>0</v>
      </c>
      <c r="BG53" s="270">
        <f t="shared" si="260"/>
        <v>0</v>
      </c>
      <c r="BH53" s="270">
        <f t="shared" si="260"/>
        <v>0</v>
      </c>
      <c r="BI53" s="270">
        <f t="shared" si="260"/>
        <v>0</v>
      </c>
      <c r="BJ53" s="270">
        <f t="shared" si="260"/>
        <v>0</v>
      </c>
      <c r="BK53" s="270">
        <f t="shared" si="260"/>
        <v>0</v>
      </c>
      <c r="BL53" s="265">
        <f t="shared" si="16"/>
        <v>218279.19</v>
      </c>
      <c r="BM53" s="215"/>
      <c r="BN53" s="270">
        <f t="shared" ref="BN53:CP53" si="261">ROUND(AI52*E$9/12,2)</f>
        <v>0</v>
      </c>
      <c r="BO53" s="270">
        <f t="shared" si="261"/>
        <v>0</v>
      </c>
      <c r="BP53" s="270">
        <f t="shared" si="261"/>
        <v>0</v>
      </c>
      <c r="BQ53" s="270">
        <f t="shared" si="261"/>
        <v>0</v>
      </c>
      <c r="BR53" s="270">
        <f t="shared" si="261"/>
        <v>0</v>
      </c>
      <c r="BS53" s="270">
        <f t="shared" si="261"/>
        <v>0</v>
      </c>
      <c r="BT53" s="270">
        <f t="shared" si="261"/>
        <v>0</v>
      </c>
      <c r="BU53" s="270">
        <f t="shared" si="261"/>
        <v>0</v>
      </c>
      <c r="BV53" s="270">
        <f t="shared" si="261"/>
        <v>8.38</v>
      </c>
      <c r="BW53" s="270">
        <f t="shared" si="261"/>
        <v>103.33</v>
      </c>
      <c r="BX53" s="270">
        <f t="shared" si="261"/>
        <v>305.61</v>
      </c>
      <c r="BY53" s="270">
        <f t="shared" si="261"/>
        <v>277.56</v>
      </c>
      <c r="BZ53" s="270">
        <f t="shared" si="261"/>
        <v>452.17</v>
      </c>
      <c r="CA53" s="270">
        <f t="shared" si="261"/>
        <v>0</v>
      </c>
      <c r="CB53" s="270">
        <f t="shared" si="261"/>
        <v>0</v>
      </c>
      <c r="CC53" s="270">
        <f t="shared" si="261"/>
        <v>0</v>
      </c>
      <c r="CD53" s="270">
        <f t="shared" si="261"/>
        <v>0</v>
      </c>
      <c r="CE53" s="270">
        <f t="shared" si="261"/>
        <v>0</v>
      </c>
      <c r="CF53" s="270">
        <f t="shared" si="261"/>
        <v>0</v>
      </c>
      <c r="CG53" s="270">
        <f t="shared" si="261"/>
        <v>0</v>
      </c>
      <c r="CH53" s="270">
        <f t="shared" si="261"/>
        <v>0</v>
      </c>
      <c r="CI53" s="270">
        <f t="shared" si="261"/>
        <v>0</v>
      </c>
      <c r="CJ53" s="270">
        <f t="shared" si="261"/>
        <v>0</v>
      </c>
      <c r="CK53" s="270">
        <f t="shared" si="261"/>
        <v>0</v>
      </c>
      <c r="CL53" s="270">
        <f t="shared" si="261"/>
        <v>0</v>
      </c>
      <c r="CM53" s="270">
        <f t="shared" si="261"/>
        <v>0</v>
      </c>
      <c r="CN53" s="270">
        <f t="shared" si="261"/>
        <v>0</v>
      </c>
      <c r="CO53" s="270">
        <f t="shared" si="261"/>
        <v>0</v>
      </c>
      <c r="CP53" s="270">
        <f t="shared" si="261"/>
        <v>0</v>
      </c>
      <c r="CQ53" s="215"/>
      <c r="CR53" s="270">
        <f t="shared" si="27"/>
        <v>1147.05</v>
      </c>
      <c r="CS53" s="215"/>
      <c r="CT53" s="270">
        <f t="shared" ref="CT53:DX53" si="262">IF(AI52&gt;0,IF((AI52+BN53)&lt;E$10,AI52+BN53,E$10),0)</f>
        <v>0</v>
      </c>
      <c r="CU53" s="270">
        <f t="shared" si="262"/>
        <v>0</v>
      </c>
      <c r="CV53" s="270">
        <f t="shared" si="262"/>
        <v>0</v>
      </c>
      <c r="CW53" s="270">
        <f t="shared" si="262"/>
        <v>0</v>
      </c>
      <c r="CX53" s="270">
        <f t="shared" si="262"/>
        <v>0</v>
      </c>
      <c r="CY53" s="270">
        <f t="shared" si="262"/>
        <v>0</v>
      </c>
      <c r="CZ53" s="270">
        <f t="shared" si="262"/>
        <v>0</v>
      </c>
      <c r="DA53" s="270">
        <f t="shared" si="262"/>
        <v>0</v>
      </c>
      <c r="DB53" s="270">
        <f t="shared" si="262"/>
        <v>102</v>
      </c>
      <c r="DC53" s="270">
        <f t="shared" si="262"/>
        <v>450.08</v>
      </c>
      <c r="DD53" s="270">
        <f t="shared" si="262"/>
        <v>695.6</v>
      </c>
      <c r="DE53" s="270">
        <f t="shared" si="262"/>
        <v>791.16</v>
      </c>
      <c r="DF53" s="270">
        <f t="shared" si="262"/>
        <v>1467.13</v>
      </c>
      <c r="DG53" s="270">
        <f t="shared" si="262"/>
        <v>0</v>
      </c>
      <c r="DH53" s="270">
        <f t="shared" si="262"/>
        <v>0</v>
      </c>
      <c r="DI53" s="270">
        <f t="shared" si="262"/>
        <v>0</v>
      </c>
      <c r="DJ53" s="270">
        <f t="shared" si="262"/>
        <v>0</v>
      </c>
      <c r="DK53" s="270">
        <f t="shared" si="262"/>
        <v>0</v>
      </c>
      <c r="DL53" s="270">
        <f t="shared" si="262"/>
        <v>0</v>
      </c>
      <c r="DM53" s="270">
        <f t="shared" si="262"/>
        <v>0</v>
      </c>
      <c r="DN53" s="270">
        <f t="shared" si="262"/>
        <v>0</v>
      </c>
      <c r="DO53" s="270">
        <f t="shared" si="262"/>
        <v>0</v>
      </c>
      <c r="DP53" s="270">
        <f t="shared" si="262"/>
        <v>0</v>
      </c>
      <c r="DQ53" s="270">
        <f t="shared" si="262"/>
        <v>0</v>
      </c>
      <c r="DR53" s="270">
        <f t="shared" si="262"/>
        <v>0</v>
      </c>
      <c r="DS53" s="270">
        <f t="shared" si="262"/>
        <v>0</v>
      </c>
      <c r="DT53" s="270">
        <f t="shared" si="262"/>
        <v>0</v>
      </c>
      <c r="DU53" s="270">
        <f t="shared" si="262"/>
        <v>0</v>
      </c>
      <c r="DV53" s="270">
        <f t="shared" si="262"/>
        <v>0</v>
      </c>
      <c r="DW53" s="271" t="str">
        <f t="shared" si="262"/>
        <v/>
      </c>
      <c r="DX53" s="270">
        <f t="shared" si="262"/>
        <v>0</v>
      </c>
      <c r="DY53" s="270">
        <f t="shared" si="29"/>
        <v>3505.97</v>
      </c>
      <c r="DZ53" s="274"/>
      <c r="EA53" s="275">
        <f t="shared" si="38"/>
        <v>0</v>
      </c>
      <c r="EB53" s="270">
        <f t="shared" ref="EB53:FC53" si="263">IF(AJ51&lt;=0,0,IF($C52&lt;=SUM($EA53:EA53),0,IF(CU52+$C52-SUM($EA53:EA53)&gt;AJ51+BO52,AJ51+BO52-CU52,$C52-SUM($EA53:EA53))))</f>
        <v>0</v>
      </c>
      <c r="EC53" s="270">
        <f t="shared" si="263"/>
        <v>0</v>
      </c>
      <c r="ED53" s="270">
        <f t="shared" si="263"/>
        <v>0</v>
      </c>
      <c r="EE53" s="270">
        <f t="shared" si="263"/>
        <v>0</v>
      </c>
      <c r="EF53" s="270">
        <f t="shared" si="263"/>
        <v>0</v>
      </c>
      <c r="EG53" s="270">
        <f t="shared" si="263"/>
        <v>0</v>
      </c>
      <c r="EH53" s="270">
        <f t="shared" si="263"/>
        <v>0</v>
      </c>
      <c r="EI53" s="270">
        <f t="shared" si="263"/>
        <v>366.03</v>
      </c>
      <c r="EJ53" s="270">
        <f t="shared" si="263"/>
        <v>0</v>
      </c>
      <c r="EK53" s="270">
        <f t="shared" si="263"/>
        <v>0</v>
      </c>
      <c r="EL53" s="270">
        <f t="shared" si="263"/>
        <v>0</v>
      </c>
      <c r="EM53" s="270">
        <f t="shared" si="263"/>
        <v>0</v>
      </c>
      <c r="EN53" s="270">
        <f t="shared" si="263"/>
        <v>0</v>
      </c>
      <c r="EO53" s="270">
        <f t="shared" si="263"/>
        <v>0</v>
      </c>
      <c r="EP53" s="270">
        <f t="shared" si="263"/>
        <v>0</v>
      </c>
      <c r="EQ53" s="270">
        <f t="shared" si="263"/>
        <v>0</v>
      </c>
      <c r="ER53" s="270">
        <f t="shared" si="263"/>
        <v>0</v>
      </c>
      <c r="ES53" s="270">
        <f t="shared" si="263"/>
        <v>0</v>
      </c>
      <c r="ET53" s="270">
        <f t="shared" si="263"/>
        <v>0</v>
      </c>
      <c r="EU53" s="270">
        <f t="shared" si="263"/>
        <v>0</v>
      </c>
      <c r="EV53" s="270">
        <f t="shared" si="263"/>
        <v>0</v>
      </c>
      <c r="EW53" s="270">
        <f t="shared" si="263"/>
        <v>0</v>
      </c>
      <c r="EX53" s="270">
        <f t="shared" si="263"/>
        <v>0</v>
      </c>
      <c r="EY53" s="270">
        <f t="shared" si="263"/>
        <v>0</v>
      </c>
      <c r="EZ53" s="270">
        <f t="shared" si="263"/>
        <v>0</v>
      </c>
      <c r="FA53" s="270">
        <f t="shared" si="263"/>
        <v>0</v>
      </c>
      <c r="FB53" s="270">
        <f t="shared" si="263"/>
        <v>0</v>
      </c>
      <c r="FC53" s="270">
        <f t="shared" si="263"/>
        <v>0</v>
      </c>
      <c r="FD53" s="271"/>
      <c r="FE53" s="271"/>
      <c r="FF53" s="271"/>
      <c r="FG53" s="215"/>
      <c r="FH53" s="215"/>
    </row>
    <row r="54" ht="11.25" customHeight="1">
      <c r="A54" s="231">
        <f t="shared" si="19"/>
        <v>34</v>
      </c>
      <c r="B54" s="269">
        <v>46661.0</v>
      </c>
      <c r="C54" s="270">
        <f>IF(A54="","",IF(Calculator!snowball,IF(($E$5-DY54)&lt;0,0,$E$5-DY54),0)+D54)</f>
        <v>468.03</v>
      </c>
      <c r="D54" s="277">
        <v>10.0</v>
      </c>
      <c r="E54" s="270">
        <f t="shared" si="40"/>
        <v>0</v>
      </c>
      <c r="F54" s="270">
        <f t="shared" ref="F54:AG54" si="264">CU54+EB55</f>
        <v>0</v>
      </c>
      <c r="G54" s="270">
        <f t="shared" si="264"/>
        <v>0</v>
      </c>
      <c r="H54" s="270">
        <f t="shared" si="264"/>
        <v>0</v>
      </c>
      <c r="I54" s="270">
        <f t="shared" si="264"/>
        <v>0</v>
      </c>
      <c r="J54" s="270">
        <f t="shared" si="264"/>
        <v>0</v>
      </c>
      <c r="K54" s="270">
        <f t="shared" si="264"/>
        <v>0</v>
      </c>
      <c r="L54" s="270">
        <f t="shared" si="264"/>
        <v>0</v>
      </c>
      <c r="M54" s="270">
        <f t="shared" si="264"/>
        <v>0</v>
      </c>
      <c r="N54" s="270">
        <f t="shared" si="264"/>
        <v>918.11</v>
      </c>
      <c r="O54" s="270">
        <f t="shared" si="264"/>
        <v>695.6</v>
      </c>
      <c r="P54" s="272">
        <f t="shared" si="264"/>
        <v>791.16</v>
      </c>
      <c r="Q54" s="272">
        <f t="shared" si="264"/>
        <v>1467.13</v>
      </c>
      <c r="R54" s="272">
        <f t="shared" si="264"/>
        <v>0</v>
      </c>
      <c r="S54" s="272">
        <f t="shared" si="264"/>
        <v>0</v>
      </c>
      <c r="T54" s="272">
        <f t="shared" si="264"/>
        <v>0</v>
      </c>
      <c r="U54" s="270">
        <f t="shared" si="264"/>
        <v>0</v>
      </c>
      <c r="V54" s="270">
        <f t="shared" si="264"/>
        <v>0</v>
      </c>
      <c r="W54" s="270">
        <f t="shared" si="264"/>
        <v>0</v>
      </c>
      <c r="X54" s="270">
        <f t="shared" si="264"/>
        <v>0</v>
      </c>
      <c r="Y54" s="270">
        <f t="shared" si="264"/>
        <v>0</v>
      </c>
      <c r="Z54" s="270">
        <f t="shared" si="264"/>
        <v>0</v>
      </c>
      <c r="AA54" s="270">
        <f t="shared" si="264"/>
        <v>0</v>
      </c>
      <c r="AB54" s="270">
        <f t="shared" si="264"/>
        <v>0</v>
      </c>
      <c r="AC54" s="270">
        <f t="shared" si="264"/>
        <v>0</v>
      </c>
      <c r="AD54" s="270">
        <f t="shared" si="264"/>
        <v>0</v>
      </c>
      <c r="AE54" s="270">
        <f t="shared" si="264"/>
        <v>0</v>
      </c>
      <c r="AF54" s="270">
        <f t="shared" si="264"/>
        <v>0</v>
      </c>
      <c r="AG54" s="270">
        <f t="shared" si="264"/>
        <v>0</v>
      </c>
      <c r="AH54" s="265">
        <f t="shared" si="13"/>
        <v>215381.38</v>
      </c>
      <c r="AI54" s="270">
        <f t="shared" si="43"/>
        <v>0</v>
      </c>
      <c r="AJ54" s="270">
        <f t="shared" ref="AJ54:AO54" si="265">IF(F$8=0,0,ROUND(AJ53-(F54-BO54),2))</f>
        <v>0</v>
      </c>
      <c r="AK54" s="270">
        <f t="shared" si="265"/>
        <v>0</v>
      </c>
      <c r="AL54" s="270">
        <f t="shared" si="265"/>
        <v>0</v>
      </c>
      <c r="AM54" s="270">
        <f t="shared" si="265"/>
        <v>0</v>
      </c>
      <c r="AN54" s="270">
        <f t="shared" si="265"/>
        <v>0</v>
      </c>
      <c r="AO54" s="270">
        <f t="shared" si="265"/>
        <v>0</v>
      </c>
      <c r="AP54" s="270">
        <v>0.0</v>
      </c>
      <c r="AQ54" s="270">
        <f t="shared" ref="AQ54:AS54" si="266">IF(M$8=0,0,ROUND(AQ53-(M54-BV54),2))</f>
        <v>0</v>
      </c>
      <c r="AR54" s="270">
        <f t="shared" si="266"/>
        <v>5598.74</v>
      </c>
      <c r="AS54" s="270">
        <f t="shared" si="266"/>
        <v>32555.85</v>
      </c>
      <c r="AT54" s="270">
        <f t="shared" ref="AT54:BK54" si="267">IF(P$8=0,0,ROUND(AT53-(P54-BX54),2))</f>
        <v>34916.41</v>
      </c>
      <c r="AU54" s="270">
        <f t="shared" si="267"/>
        <v>142310.38</v>
      </c>
      <c r="AV54" s="270">
        <f t="shared" si="267"/>
        <v>0</v>
      </c>
      <c r="AW54" s="270">
        <f t="shared" si="267"/>
        <v>0</v>
      </c>
      <c r="AX54" s="270">
        <f t="shared" si="267"/>
        <v>0</v>
      </c>
      <c r="AY54" s="270">
        <f t="shared" si="267"/>
        <v>0</v>
      </c>
      <c r="AZ54" s="270">
        <f t="shared" si="267"/>
        <v>0</v>
      </c>
      <c r="BA54" s="270">
        <f t="shared" si="267"/>
        <v>0</v>
      </c>
      <c r="BB54" s="270">
        <f t="shared" si="267"/>
        <v>0</v>
      </c>
      <c r="BC54" s="270">
        <f t="shared" si="267"/>
        <v>0</v>
      </c>
      <c r="BD54" s="270">
        <f t="shared" si="267"/>
        <v>0</v>
      </c>
      <c r="BE54" s="270">
        <f t="shared" si="267"/>
        <v>0</v>
      </c>
      <c r="BF54" s="270">
        <f t="shared" si="267"/>
        <v>0</v>
      </c>
      <c r="BG54" s="270">
        <f t="shared" si="267"/>
        <v>0</v>
      </c>
      <c r="BH54" s="270">
        <f t="shared" si="267"/>
        <v>0</v>
      </c>
      <c r="BI54" s="270">
        <f t="shared" si="267"/>
        <v>0</v>
      </c>
      <c r="BJ54" s="270">
        <f t="shared" si="267"/>
        <v>0</v>
      </c>
      <c r="BK54" s="270">
        <f t="shared" si="267"/>
        <v>0</v>
      </c>
      <c r="BL54" s="265">
        <f t="shared" si="16"/>
        <v>215381.38</v>
      </c>
      <c r="BM54" s="215"/>
      <c r="BN54" s="270">
        <f t="shared" ref="BN54:CP54" si="268">ROUND(AI53*E$9/12,2)</f>
        <v>0</v>
      </c>
      <c r="BO54" s="270">
        <f t="shared" si="268"/>
        <v>0</v>
      </c>
      <c r="BP54" s="270">
        <f t="shared" si="268"/>
        <v>0</v>
      </c>
      <c r="BQ54" s="270">
        <f t="shared" si="268"/>
        <v>0</v>
      </c>
      <c r="BR54" s="270">
        <f t="shared" si="268"/>
        <v>0</v>
      </c>
      <c r="BS54" s="270">
        <f t="shared" si="268"/>
        <v>0</v>
      </c>
      <c r="BT54" s="270">
        <f t="shared" si="268"/>
        <v>0</v>
      </c>
      <c r="BU54" s="270">
        <f t="shared" si="268"/>
        <v>0</v>
      </c>
      <c r="BV54" s="270">
        <f t="shared" si="268"/>
        <v>0</v>
      </c>
      <c r="BW54" s="270">
        <f t="shared" si="268"/>
        <v>96.31</v>
      </c>
      <c r="BX54" s="270">
        <f t="shared" si="268"/>
        <v>302.04</v>
      </c>
      <c r="BY54" s="270">
        <f t="shared" si="268"/>
        <v>273.8</v>
      </c>
      <c r="BZ54" s="270">
        <f t="shared" si="268"/>
        <v>448.45</v>
      </c>
      <c r="CA54" s="270">
        <f t="shared" si="268"/>
        <v>0</v>
      </c>
      <c r="CB54" s="270">
        <f t="shared" si="268"/>
        <v>0</v>
      </c>
      <c r="CC54" s="270">
        <f t="shared" si="268"/>
        <v>0</v>
      </c>
      <c r="CD54" s="270">
        <f t="shared" si="268"/>
        <v>0</v>
      </c>
      <c r="CE54" s="270">
        <f t="shared" si="268"/>
        <v>0</v>
      </c>
      <c r="CF54" s="270">
        <f t="shared" si="268"/>
        <v>0</v>
      </c>
      <c r="CG54" s="270">
        <f t="shared" si="268"/>
        <v>0</v>
      </c>
      <c r="CH54" s="270">
        <f t="shared" si="268"/>
        <v>0</v>
      </c>
      <c r="CI54" s="270">
        <f t="shared" si="268"/>
        <v>0</v>
      </c>
      <c r="CJ54" s="270">
        <f t="shared" si="268"/>
        <v>0</v>
      </c>
      <c r="CK54" s="270">
        <f t="shared" si="268"/>
        <v>0</v>
      </c>
      <c r="CL54" s="270">
        <f t="shared" si="268"/>
        <v>0</v>
      </c>
      <c r="CM54" s="270">
        <f t="shared" si="268"/>
        <v>0</v>
      </c>
      <c r="CN54" s="270">
        <f t="shared" si="268"/>
        <v>0</v>
      </c>
      <c r="CO54" s="270">
        <f t="shared" si="268"/>
        <v>0</v>
      </c>
      <c r="CP54" s="270">
        <f t="shared" si="268"/>
        <v>0</v>
      </c>
      <c r="CQ54" s="215"/>
      <c r="CR54" s="270">
        <f t="shared" si="27"/>
        <v>1120.6</v>
      </c>
      <c r="CS54" s="215"/>
      <c r="CT54" s="270">
        <f t="shared" ref="CT54:DX54" si="269">IF(AI53&gt;0,IF((AI53+BN54)&lt;E$10,AI53+BN54,E$10),0)</f>
        <v>0</v>
      </c>
      <c r="CU54" s="270">
        <f t="shared" si="269"/>
        <v>0</v>
      </c>
      <c r="CV54" s="270">
        <f t="shared" si="269"/>
        <v>0</v>
      </c>
      <c r="CW54" s="270">
        <f t="shared" si="269"/>
        <v>0</v>
      </c>
      <c r="CX54" s="270">
        <f t="shared" si="269"/>
        <v>0</v>
      </c>
      <c r="CY54" s="270">
        <f t="shared" si="269"/>
        <v>0</v>
      </c>
      <c r="CZ54" s="270">
        <f t="shared" si="269"/>
        <v>0</v>
      </c>
      <c r="DA54" s="270">
        <f t="shared" si="269"/>
        <v>0</v>
      </c>
      <c r="DB54" s="270">
        <f t="shared" si="269"/>
        <v>0</v>
      </c>
      <c r="DC54" s="270">
        <f t="shared" si="269"/>
        <v>450.08</v>
      </c>
      <c r="DD54" s="270">
        <f t="shared" si="269"/>
        <v>695.6</v>
      </c>
      <c r="DE54" s="270">
        <f t="shared" si="269"/>
        <v>791.16</v>
      </c>
      <c r="DF54" s="270">
        <f t="shared" si="269"/>
        <v>1467.13</v>
      </c>
      <c r="DG54" s="270">
        <f t="shared" si="269"/>
        <v>0</v>
      </c>
      <c r="DH54" s="270">
        <f t="shared" si="269"/>
        <v>0</v>
      </c>
      <c r="DI54" s="270">
        <f t="shared" si="269"/>
        <v>0</v>
      </c>
      <c r="DJ54" s="270">
        <f t="shared" si="269"/>
        <v>0</v>
      </c>
      <c r="DK54" s="270">
        <f t="shared" si="269"/>
        <v>0</v>
      </c>
      <c r="DL54" s="270">
        <f t="shared" si="269"/>
        <v>0</v>
      </c>
      <c r="DM54" s="270">
        <f t="shared" si="269"/>
        <v>0</v>
      </c>
      <c r="DN54" s="270">
        <f t="shared" si="269"/>
        <v>0</v>
      </c>
      <c r="DO54" s="270">
        <f t="shared" si="269"/>
        <v>0</v>
      </c>
      <c r="DP54" s="270">
        <f t="shared" si="269"/>
        <v>0</v>
      </c>
      <c r="DQ54" s="270">
        <f t="shared" si="269"/>
        <v>0</v>
      </c>
      <c r="DR54" s="270">
        <f t="shared" si="269"/>
        <v>0</v>
      </c>
      <c r="DS54" s="270">
        <f t="shared" si="269"/>
        <v>0</v>
      </c>
      <c r="DT54" s="270">
        <f t="shared" si="269"/>
        <v>0</v>
      </c>
      <c r="DU54" s="270">
        <f t="shared" si="269"/>
        <v>0</v>
      </c>
      <c r="DV54" s="270">
        <f t="shared" si="269"/>
        <v>0</v>
      </c>
      <c r="DW54" s="271" t="str">
        <f t="shared" si="269"/>
        <v/>
      </c>
      <c r="DX54" s="270">
        <f t="shared" si="269"/>
        <v>0</v>
      </c>
      <c r="DY54" s="270">
        <f t="shared" si="29"/>
        <v>3403.97</v>
      </c>
      <c r="DZ54" s="274"/>
      <c r="EA54" s="275">
        <f t="shared" si="38"/>
        <v>0</v>
      </c>
      <c r="EB54" s="270">
        <f t="shared" ref="EB54:FC54" si="270">IF(AJ52&lt;=0,0,IF($C53&lt;=SUM($EA54:EA54),0,IF(CU53+$C53-SUM($EA54:EA54)&gt;AJ52+BO53,AJ52+BO53-CU53,$C53-SUM($EA54:EA54))))</f>
        <v>0</v>
      </c>
      <c r="EC54" s="270">
        <f t="shared" si="270"/>
        <v>0</v>
      </c>
      <c r="ED54" s="270">
        <f t="shared" si="270"/>
        <v>0</v>
      </c>
      <c r="EE54" s="270">
        <f t="shared" si="270"/>
        <v>0</v>
      </c>
      <c r="EF54" s="270">
        <f t="shared" si="270"/>
        <v>0</v>
      </c>
      <c r="EG54" s="270">
        <f t="shared" si="270"/>
        <v>0</v>
      </c>
      <c r="EH54" s="270">
        <f t="shared" si="270"/>
        <v>0</v>
      </c>
      <c r="EI54" s="270">
        <f t="shared" si="270"/>
        <v>244.68</v>
      </c>
      <c r="EJ54" s="270">
        <f t="shared" si="270"/>
        <v>121.35</v>
      </c>
      <c r="EK54" s="270">
        <f t="shared" si="270"/>
        <v>0</v>
      </c>
      <c r="EL54" s="270">
        <f t="shared" si="270"/>
        <v>0</v>
      </c>
      <c r="EM54" s="270">
        <f t="shared" si="270"/>
        <v>0</v>
      </c>
      <c r="EN54" s="270">
        <f t="shared" si="270"/>
        <v>0</v>
      </c>
      <c r="EO54" s="270">
        <f t="shared" si="270"/>
        <v>0</v>
      </c>
      <c r="EP54" s="270">
        <f t="shared" si="270"/>
        <v>0</v>
      </c>
      <c r="EQ54" s="270">
        <f t="shared" si="270"/>
        <v>0</v>
      </c>
      <c r="ER54" s="270">
        <f t="shared" si="270"/>
        <v>0</v>
      </c>
      <c r="ES54" s="270">
        <f t="shared" si="270"/>
        <v>0</v>
      </c>
      <c r="ET54" s="270">
        <f t="shared" si="270"/>
        <v>0</v>
      </c>
      <c r="EU54" s="270">
        <f t="shared" si="270"/>
        <v>0</v>
      </c>
      <c r="EV54" s="270">
        <f t="shared" si="270"/>
        <v>0</v>
      </c>
      <c r="EW54" s="270">
        <f t="shared" si="270"/>
        <v>0</v>
      </c>
      <c r="EX54" s="270">
        <f t="shared" si="270"/>
        <v>0</v>
      </c>
      <c r="EY54" s="270">
        <f t="shared" si="270"/>
        <v>0</v>
      </c>
      <c r="EZ54" s="270">
        <f t="shared" si="270"/>
        <v>0</v>
      </c>
      <c r="FA54" s="270">
        <f t="shared" si="270"/>
        <v>0</v>
      </c>
      <c r="FB54" s="270">
        <f t="shared" si="270"/>
        <v>0</v>
      </c>
      <c r="FC54" s="270">
        <f t="shared" si="270"/>
        <v>0</v>
      </c>
      <c r="FD54" s="271"/>
      <c r="FE54" s="271"/>
      <c r="FF54" s="271"/>
      <c r="FG54" s="215"/>
      <c r="FH54" s="215"/>
    </row>
    <row r="55" ht="11.25" customHeight="1">
      <c r="A55" s="231">
        <f t="shared" si="19"/>
        <v>35</v>
      </c>
      <c r="B55" s="269">
        <v>46692.0</v>
      </c>
      <c r="C55" s="270">
        <f>IF(A55="","",IF(Calculator!snowball,IF(($E$5-DY55)&lt;0,0,$E$5-DY55),0)+D55)</f>
        <v>468.03</v>
      </c>
      <c r="D55" s="277">
        <v>10.0</v>
      </c>
      <c r="E55" s="270">
        <f t="shared" si="40"/>
        <v>0</v>
      </c>
      <c r="F55" s="270">
        <f t="shared" ref="F55:AG55" si="271">CU55+EB56</f>
        <v>0</v>
      </c>
      <c r="G55" s="270">
        <f t="shared" si="271"/>
        <v>0</v>
      </c>
      <c r="H55" s="270">
        <f t="shared" si="271"/>
        <v>0</v>
      </c>
      <c r="I55" s="270">
        <f t="shared" si="271"/>
        <v>0</v>
      </c>
      <c r="J55" s="270">
        <f t="shared" si="271"/>
        <v>0</v>
      </c>
      <c r="K55" s="270">
        <f t="shared" si="271"/>
        <v>0</v>
      </c>
      <c r="L55" s="270">
        <f t="shared" si="271"/>
        <v>0</v>
      </c>
      <c r="M55" s="270">
        <f t="shared" si="271"/>
        <v>0</v>
      </c>
      <c r="N55" s="270">
        <f t="shared" si="271"/>
        <v>918.11</v>
      </c>
      <c r="O55" s="270">
        <f t="shared" si="271"/>
        <v>695.6</v>
      </c>
      <c r="P55" s="272">
        <f t="shared" si="271"/>
        <v>791.16</v>
      </c>
      <c r="Q55" s="272">
        <f t="shared" si="271"/>
        <v>1467.13</v>
      </c>
      <c r="R55" s="272">
        <f t="shared" si="271"/>
        <v>0</v>
      </c>
      <c r="S55" s="272">
        <f t="shared" si="271"/>
        <v>0</v>
      </c>
      <c r="T55" s="272">
        <f t="shared" si="271"/>
        <v>0</v>
      </c>
      <c r="U55" s="270">
        <f t="shared" si="271"/>
        <v>0</v>
      </c>
      <c r="V55" s="270">
        <f t="shared" si="271"/>
        <v>0</v>
      </c>
      <c r="W55" s="270">
        <f t="shared" si="271"/>
        <v>0</v>
      </c>
      <c r="X55" s="270">
        <f t="shared" si="271"/>
        <v>0</v>
      </c>
      <c r="Y55" s="270">
        <f t="shared" si="271"/>
        <v>0</v>
      </c>
      <c r="Z55" s="270">
        <f t="shared" si="271"/>
        <v>0</v>
      </c>
      <c r="AA55" s="270">
        <f t="shared" si="271"/>
        <v>0</v>
      </c>
      <c r="AB55" s="270">
        <f t="shared" si="271"/>
        <v>0</v>
      </c>
      <c r="AC55" s="270">
        <f t="shared" si="271"/>
        <v>0</v>
      </c>
      <c r="AD55" s="270">
        <f t="shared" si="271"/>
        <v>0</v>
      </c>
      <c r="AE55" s="270">
        <f t="shared" si="271"/>
        <v>0</v>
      </c>
      <c r="AF55" s="270">
        <f t="shared" si="271"/>
        <v>0</v>
      </c>
      <c r="AG55" s="270">
        <f t="shared" si="271"/>
        <v>0</v>
      </c>
      <c r="AH55" s="265">
        <f t="shared" si="13"/>
        <v>212460.24</v>
      </c>
      <c r="AI55" s="270">
        <f t="shared" si="43"/>
        <v>0</v>
      </c>
      <c r="AJ55" s="270">
        <f t="shared" ref="AJ55:AO55" si="272">IF(F$8=0,0,ROUND(AJ54-(F55-BO55),2))</f>
        <v>0</v>
      </c>
      <c r="AK55" s="270">
        <f t="shared" si="272"/>
        <v>0</v>
      </c>
      <c r="AL55" s="270">
        <f t="shared" si="272"/>
        <v>0</v>
      </c>
      <c r="AM55" s="270">
        <f t="shared" si="272"/>
        <v>0</v>
      </c>
      <c r="AN55" s="270">
        <f t="shared" si="272"/>
        <v>0</v>
      </c>
      <c r="AO55" s="270">
        <f t="shared" si="272"/>
        <v>0</v>
      </c>
      <c r="AP55" s="270">
        <v>0.0</v>
      </c>
      <c r="AQ55" s="270">
        <f t="shared" ref="AQ55:AS55" si="273">IF(M$8=0,0,ROUND(AQ54-(M55-BV55),2))</f>
        <v>0</v>
      </c>
      <c r="AR55" s="270">
        <f t="shared" si="273"/>
        <v>4764.61</v>
      </c>
      <c r="AS55" s="270">
        <f t="shared" si="273"/>
        <v>32158.68</v>
      </c>
      <c r="AT55" s="270">
        <f t="shared" ref="AT55:BK55" si="274">IF(P$8=0,0,ROUND(AT54-(P55-BX55),2))</f>
        <v>34423.68</v>
      </c>
      <c r="AU55" s="270">
        <f t="shared" si="274"/>
        <v>141113.27</v>
      </c>
      <c r="AV55" s="270">
        <f t="shared" si="274"/>
        <v>0</v>
      </c>
      <c r="AW55" s="270">
        <f t="shared" si="274"/>
        <v>0</v>
      </c>
      <c r="AX55" s="270">
        <f t="shared" si="274"/>
        <v>0</v>
      </c>
      <c r="AY55" s="270">
        <f t="shared" si="274"/>
        <v>0</v>
      </c>
      <c r="AZ55" s="270">
        <f t="shared" si="274"/>
        <v>0</v>
      </c>
      <c r="BA55" s="270">
        <f t="shared" si="274"/>
        <v>0</v>
      </c>
      <c r="BB55" s="270">
        <f t="shared" si="274"/>
        <v>0</v>
      </c>
      <c r="BC55" s="270">
        <f t="shared" si="274"/>
        <v>0</v>
      </c>
      <c r="BD55" s="270">
        <f t="shared" si="274"/>
        <v>0</v>
      </c>
      <c r="BE55" s="270">
        <f t="shared" si="274"/>
        <v>0</v>
      </c>
      <c r="BF55" s="270">
        <f t="shared" si="274"/>
        <v>0</v>
      </c>
      <c r="BG55" s="270">
        <f t="shared" si="274"/>
        <v>0</v>
      </c>
      <c r="BH55" s="270">
        <f t="shared" si="274"/>
        <v>0</v>
      </c>
      <c r="BI55" s="270">
        <f t="shared" si="274"/>
        <v>0</v>
      </c>
      <c r="BJ55" s="270">
        <f t="shared" si="274"/>
        <v>0</v>
      </c>
      <c r="BK55" s="270">
        <f t="shared" si="274"/>
        <v>0</v>
      </c>
      <c r="BL55" s="265">
        <f t="shared" si="16"/>
        <v>212460.24</v>
      </c>
      <c r="BM55" s="215"/>
      <c r="BN55" s="270">
        <f t="shared" ref="BN55:CP55" si="275">ROUND(AI54*E$9/12,2)</f>
        <v>0</v>
      </c>
      <c r="BO55" s="270">
        <f t="shared" si="275"/>
        <v>0</v>
      </c>
      <c r="BP55" s="270">
        <f t="shared" si="275"/>
        <v>0</v>
      </c>
      <c r="BQ55" s="270">
        <f t="shared" si="275"/>
        <v>0</v>
      </c>
      <c r="BR55" s="270">
        <f t="shared" si="275"/>
        <v>0</v>
      </c>
      <c r="BS55" s="270">
        <f t="shared" si="275"/>
        <v>0</v>
      </c>
      <c r="BT55" s="270">
        <f t="shared" si="275"/>
        <v>0</v>
      </c>
      <c r="BU55" s="270">
        <f t="shared" si="275"/>
        <v>0</v>
      </c>
      <c r="BV55" s="270">
        <f t="shared" si="275"/>
        <v>0</v>
      </c>
      <c r="BW55" s="270">
        <f t="shared" si="275"/>
        <v>83.98</v>
      </c>
      <c r="BX55" s="270">
        <f t="shared" si="275"/>
        <v>298.43</v>
      </c>
      <c r="BY55" s="270">
        <f t="shared" si="275"/>
        <v>270.02</v>
      </c>
      <c r="BZ55" s="270">
        <f t="shared" si="275"/>
        <v>444.72</v>
      </c>
      <c r="CA55" s="270">
        <f t="shared" si="275"/>
        <v>0</v>
      </c>
      <c r="CB55" s="270">
        <f t="shared" si="275"/>
        <v>0</v>
      </c>
      <c r="CC55" s="270">
        <f t="shared" si="275"/>
        <v>0</v>
      </c>
      <c r="CD55" s="270">
        <f t="shared" si="275"/>
        <v>0</v>
      </c>
      <c r="CE55" s="270">
        <f t="shared" si="275"/>
        <v>0</v>
      </c>
      <c r="CF55" s="270">
        <f t="shared" si="275"/>
        <v>0</v>
      </c>
      <c r="CG55" s="270">
        <f t="shared" si="275"/>
        <v>0</v>
      </c>
      <c r="CH55" s="270">
        <f t="shared" si="275"/>
        <v>0</v>
      </c>
      <c r="CI55" s="270">
        <f t="shared" si="275"/>
        <v>0</v>
      </c>
      <c r="CJ55" s="270">
        <f t="shared" si="275"/>
        <v>0</v>
      </c>
      <c r="CK55" s="270">
        <f t="shared" si="275"/>
        <v>0</v>
      </c>
      <c r="CL55" s="270">
        <f t="shared" si="275"/>
        <v>0</v>
      </c>
      <c r="CM55" s="270">
        <f t="shared" si="275"/>
        <v>0</v>
      </c>
      <c r="CN55" s="270">
        <f t="shared" si="275"/>
        <v>0</v>
      </c>
      <c r="CO55" s="270">
        <f t="shared" si="275"/>
        <v>0</v>
      </c>
      <c r="CP55" s="270">
        <f t="shared" si="275"/>
        <v>0</v>
      </c>
      <c r="CQ55" s="215"/>
      <c r="CR55" s="270">
        <f t="shared" si="27"/>
        <v>1097.15</v>
      </c>
      <c r="CS55" s="215"/>
      <c r="CT55" s="270">
        <f t="shared" ref="CT55:DX55" si="276">IF(AI54&gt;0,IF((AI54+BN55)&lt;E$10,AI54+BN55,E$10),0)</f>
        <v>0</v>
      </c>
      <c r="CU55" s="270">
        <f t="shared" si="276"/>
        <v>0</v>
      </c>
      <c r="CV55" s="270">
        <f t="shared" si="276"/>
        <v>0</v>
      </c>
      <c r="CW55" s="270">
        <f t="shared" si="276"/>
        <v>0</v>
      </c>
      <c r="CX55" s="270">
        <f t="shared" si="276"/>
        <v>0</v>
      </c>
      <c r="CY55" s="270">
        <f t="shared" si="276"/>
        <v>0</v>
      </c>
      <c r="CZ55" s="270">
        <f t="shared" si="276"/>
        <v>0</v>
      </c>
      <c r="DA55" s="270">
        <f t="shared" si="276"/>
        <v>0</v>
      </c>
      <c r="DB55" s="270">
        <f t="shared" si="276"/>
        <v>0</v>
      </c>
      <c r="DC55" s="270">
        <f t="shared" si="276"/>
        <v>450.08</v>
      </c>
      <c r="DD55" s="270">
        <f t="shared" si="276"/>
        <v>695.6</v>
      </c>
      <c r="DE55" s="270">
        <f t="shared" si="276"/>
        <v>791.16</v>
      </c>
      <c r="DF55" s="270">
        <f t="shared" si="276"/>
        <v>1467.13</v>
      </c>
      <c r="DG55" s="270">
        <f t="shared" si="276"/>
        <v>0</v>
      </c>
      <c r="DH55" s="270">
        <f t="shared" si="276"/>
        <v>0</v>
      </c>
      <c r="DI55" s="270">
        <f t="shared" si="276"/>
        <v>0</v>
      </c>
      <c r="DJ55" s="270">
        <f t="shared" si="276"/>
        <v>0</v>
      </c>
      <c r="DK55" s="270">
        <f t="shared" si="276"/>
        <v>0</v>
      </c>
      <c r="DL55" s="270">
        <f t="shared" si="276"/>
        <v>0</v>
      </c>
      <c r="DM55" s="270">
        <f t="shared" si="276"/>
        <v>0</v>
      </c>
      <c r="DN55" s="270">
        <f t="shared" si="276"/>
        <v>0</v>
      </c>
      <c r="DO55" s="270">
        <f t="shared" si="276"/>
        <v>0</v>
      </c>
      <c r="DP55" s="270">
        <f t="shared" si="276"/>
        <v>0</v>
      </c>
      <c r="DQ55" s="270">
        <f t="shared" si="276"/>
        <v>0</v>
      </c>
      <c r="DR55" s="270">
        <f t="shared" si="276"/>
        <v>0</v>
      </c>
      <c r="DS55" s="270">
        <f t="shared" si="276"/>
        <v>0</v>
      </c>
      <c r="DT55" s="270">
        <f t="shared" si="276"/>
        <v>0</v>
      </c>
      <c r="DU55" s="270">
        <f t="shared" si="276"/>
        <v>0</v>
      </c>
      <c r="DV55" s="270">
        <f t="shared" si="276"/>
        <v>0</v>
      </c>
      <c r="DW55" s="271" t="str">
        <f t="shared" si="276"/>
        <v/>
      </c>
      <c r="DX55" s="270">
        <f t="shared" si="276"/>
        <v>0</v>
      </c>
      <c r="DY55" s="270">
        <f t="shared" si="29"/>
        <v>3403.97</v>
      </c>
      <c r="DZ55" s="274"/>
      <c r="EA55" s="275">
        <f t="shared" si="38"/>
        <v>0</v>
      </c>
      <c r="EB55" s="270">
        <f t="shared" ref="EB55:FC55" si="277">IF(AJ53&lt;=0,0,IF($C54&lt;=SUM($EA55:EA55),0,IF(CU54+$C54-SUM($EA55:EA55)&gt;AJ53+BO54,AJ53+BO54-CU54,$C54-SUM($EA55:EA55))))</f>
        <v>0</v>
      </c>
      <c r="EC55" s="270">
        <f t="shared" si="277"/>
        <v>0</v>
      </c>
      <c r="ED55" s="270">
        <f t="shared" si="277"/>
        <v>0</v>
      </c>
      <c r="EE55" s="270">
        <f t="shared" si="277"/>
        <v>0</v>
      </c>
      <c r="EF55" s="270">
        <f t="shared" si="277"/>
        <v>0</v>
      </c>
      <c r="EG55" s="270">
        <f t="shared" si="277"/>
        <v>0</v>
      </c>
      <c r="EH55" s="270">
        <f t="shared" si="277"/>
        <v>0</v>
      </c>
      <c r="EI55" s="270">
        <f t="shared" si="277"/>
        <v>0</v>
      </c>
      <c r="EJ55" s="270">
        <f t="shared" si="277"/>
        <v>468.03</v>
      </c>
      <c r="EK55" s="270">
        <f t="shared" si="277"/>
        <v>0</v>
      </c>
      <c r="EL55" s="270">
        <f t="shared" si="277"/>
        <v>0</v>
      </c>
      <c r="EM55" s="270">
        <f t="shared" si="277"/>
        <v>0</v>
      </c>
      <c r="EN55" s="270">
        <f t="shared" si="277"/>
        <v>0</v>
      </c>
      <c r="EO55" s="270">
        <f t="shared" si="277"/>
        <v>0</v>
      </c>
      <c r="EP55" s="270">
        <f t="shared" si="277"/>
        <v>0</v>
      </c>
      <c r="EQ55" s="270">
        <f t="shared" si="277"/>
        <v>0</v>
      </c>
      <c r="ER55" s="270">
        <f t="shared" si="277"/>
        <v>0</v>
      </c>
      <c r="ES55" s="270">
        <f t="shared" si="277"/>
        <v>0</v>
      </c>
      <c r="ET55" s="270">
        <f t="shared" si="277"/>
        <v>0</v>
      </c>
      <c r="EU55" s="270">
        <f t="shared" si="277"/>
        <v>0</v>
      </c>
      <c r="EV55" s="270">
        <f t="shared" si="277"/>
        <v>0</v>
      </c>
      <c r="EW55" s="270">
        <f t="shared" si="277"/>
        <v>0</v>
      </c>
      <c r="EX55" s="270">
        <f t="shared" si="277"/>
        <v>0</v>
      </c>
      <c r="EY55" s="270">
        <f t="shared" si="277"/>
        <v>0</v>
      </c>
      <c r="EZ55" s="270">
        <f t="shared" si="277"/>
        <v>0</v>
      </c>
      <c r="FA55" s="270">
        <f t="shared" si="277"/>
        <v>0</v>
      </c>
      <c r="FB55" s="270">
        <f t="shared" si="277"/>
        <v>0</v>
      </c>
      <c r="FC55" s="270">
        <f t="shared" si="277"/>
        <v>0</v>
      </c>
      <c r="FD55" s="271"/>
      <c r="FE55" s="271"/>
      <c r="FF55" s="271"/>
      <c r="FG55" s="215"/>
      <c r="FH55" s="215"/>
    </row>
    <row r="56" ht="11.25" customHeight="1">
      <c r="A56" s="231">
        <f t="shared" si="19"/>
        <v>36</v>
      </c>
      <c r="B56" s="269">
        <v>46722.0</v>
      </c>
      <c r="C56" s="270">
        <f>IF(A56="","",IF(Calculator!snowball,IF(($E$5-DY56)&lt;0,0,$E$5-DY56),0)+D56)</f>
        <v>468.03</v>
      </c>
      <c r="D56" s="277">
        <v>10.0</v>
      </c>
      <c r="E56" s="270">
        <f t="shared" si="40"/>
        <v>0</v>
      </c>
      <c r="F56" s="270">
        <f t="shared" ref="F56:AG56" si="278">CU56+EB57</f>
        <v>0</v>
      </c>
      <c r="G56" s="270">
        <f t="shared" si="278"/>
        <v>0</v>
      </c>
      <c r="H56" s="270">
        <f t="shared" si="278"/>
        <v>0</v>
      </c>
      <c r="I56" s="270">
        <f t="shared" si="278"/>
        <v>0</v>
      </c>
      <c r="J56" s="270">
        <f t="shared" si="278"/>
        <v>0</v>
      </c>
      <c r="K56" s="270">
        <f t="shared" si="278"/>
        <v>0</v>
      </c>
      <c r="L56" s="270">
        <f t="shared" si="278"/>
        <v>0</v>
      </c>
      <c r="M56" s="270">
        <f t="shared" si="278"/>
        <v>0</v>
      </c>
      <c r="N56" s="270">
        <f t="shared" si="278"/>
        <v>918.11</v>
      </c>
      <c r="O56" s="270">
        <f t="shared" si="278"/>
        <v>695.6</v>
      </c>
      <c r="P56" s="272">
        <f t="shared" si="278"/>
        <v>791.16</v>
      </c>
      <c r="Q56" s="272">
        <f t="shared" si="278"/>
        <v>1467.13</v>
      </c>
      <c r="R56" s="272">
        <f t="shared" si="278"/>
        <v>0</v>
      </c>
      <c r="S56" s="272">
        <f t="shared" si="278"/>
        <v>0</v>
      </c>
      <c r="T56" s="272">
        <f t="shared" si="278"/>
        <v>0</v>
      </c>
      <c r="U56" s="270">
        <f t="shared" si="278"/>
        <v>0</v>
      </c>
      <c r="V56" s="270">
        <f t="shared" si="278"/>
        <v>0</v>
      </c>
      <c r="W56" s="270">
        <f t="shared" si="278"/>
        <v>0</v>
      </c>
      <c r="X56" s="270">
        <f t="shared" si="278"/>
        <v>0</v>
      </c>
      <c r="Y56" s="270">
        <f t="shared" si="278"/>
        <v>0</v>
      </c>
      <c r="Z56" s="270">
        <f t="shared" si="278"/>
        <v>0</v>
      </c>
      <c r="AA56" s="270">
        <f t="shared" si="278"/>
        <v>0</v>
      </c>
      <c r="AB56" s="270">
        <f t="shared" si="278"/>
        <v>0</v>
      </c>
      <c r="AC56" s="270">
        <f t="shared" si="278"/>
        <v>0</v>
      </c>
      <c r="AD56" s="270">
        <f t="shared" si="278"/>
        <v>0</v>
      </c>
      <c r="AE56" s="270">
        <f t="shared" si="278"/>
        <v>0</v>
      </c>
      <c r="AF56" s="270">
        <f t="shared" si="278"/>
        <v>0</v>
      </c>
      <c r="AG56" s="270">
        <f t="shared" si="278"/>
        <v>0</v>
      </c>
      <c r="AH56" s="265">
        <f t="shared" si="13"/>
        <v>209515.5</v>
      </c>
      <c r="AI56" s="270">
        <f t="shared" si="43"/>
        <v>0</v>
      </c>
      <c r="AJ56" s="270">
        <f t="shared" ref="AJ56:AO56" si="279">IF(F$8=0,0,ROUND(AJ55-(F56-BO56),2))</f>
        <v>0</v>
      </c>
      <c r="AK56" s="270">
        <f t="shared" si="279"/>
        <v>0</v>
      </c>
      <c r="AL56" s="270">
        <f t="shared" si="279"/>
        <v>0</v>
      </c>
      <c r="AM56" s="270">
        <f t="shared" si="279"/>
        <v>0</v>
      </c>
      <c r="AN56" s="270">
        <f t="shared" si="279"/>
        <v>0</v>
      </c>
      <c r="AO56" s="270">
        <f t="shared" si="279"/>
        <v>0</v>
      </c>
      <c r="AP56" s="270">
        <v>0.0</v>
      </c>
      <c r="AQ56" s="270">
        <f t="shared" ref="AQ56:AS56" si="280">IF(M$8=0,0,ROUND(AQ55-(M56-BV56),2))</f>
        <v>0</v>
      </c>
      <c r="AR56" s="270">
        <f t="shared" si="280"/>
        <v>3917.97</v>
      </c>
      <c r="AS56" s="270">
        <f t="shared" si="280"/>
        <v>31757.87</v>
      </c>
      <c r="AT56" s="270">
        <f t="shared" ref="AT56:BK56" si="281">IF(P$8=0,0,ROUND(AT55-(P56-BX56),2))</f>
        <v>33927.31</v>
      </c>
      <c r="AU56" s="270">
        <f t="shared" si="281"/>
        <v>139912.35</v>
      </c>
      <c r="AV56" s="270">
        <f t="shared" si="281"/>
        <v>0</v>
      </c>
      <c r="AW56" s="270">
        <f t="shared" si="281"/>
        <v>0</v>
      </c>
      <c r="AX56" s="270">
        <f t="shared" si="281"/>
        <v>0</v>
      </c>
      <c r="AY56" s="270">
        <f t="shared" si="281"/>
        <v>0</v>
      </c>
      <c r="AZ56" s="270">
        <f t="shared" si="281"/>
        <v>0</v>
      </c>
      <c r="BA56" s="270">
        <f t="shared" si="281"/>
        <v>0</v>
      </c>
      <c r="BB56" s="270">
        <f t="shared" si="281"/>
        <v>0</v>
      </c>
      <c r="BC56" s="270">
        <f t="shared" si="281"/>
        <v>0</v>
      </c>
      <c r="BD56" s="270">
        <f t="shared" si="281"/>
        <v>0</v>
      </c>
      <c r="BE56" s="270">
        <f t="shared" si="281"/>
        <v>0</v>
      </c>
      <c r="BF56" s="270">
        <f t="shared" si="281"/>
        <v>0</v>
      </c>
      <c r="BG56" s="270">
        <f t="shared" si="281"/>
        <v>0</v>
      </c>
      <c r="BH56" s="270">
        <f t="shared" si="281"/>
        <v>0</v>
      </c>
      <c r="BI56" s="270">
        <f t="shared" si="281"/>
        <v>0</v>
      </c>
      <c r="BJ56" s="270">
        <f t="shared" si="281"/>
        <v>0</v>
      </c>
      <c r="BK56" s="270">
        <f t="shared" si="281"/>
        <v>0</v>
      </c>
      <c r="BL56" s="265">
        <f t="shared" si="16"/>
        <v>209515.5</v>
      </c>
      <c r="BM56" s="215"/>
      <c r="BN56" s="270">
        <f t="shared" ref="BN56:CP56" si="282">ROUND(AI55*E$9/12,2)</f>
        <v>0</v>
      </c>
      <c r="BO56" s="270">
        <f t="shared" si="282"/>
        <v>0</v>
      </c>
      <c r="BP56" s="270">
        <f t="shared" si="282"/>
        <v>0</v>
      </c>
      <c r="BQ56" s="270">
        <f t="shared" si="282"/>
        <v>0</v>
      </c>
      <c r="BR56" s="270">
        <f t="shared" si="282"/>
        <v>0</v>
      </c>
      <c r="BS56" s="270">
        <f t="shared" si="282"/>
        <v>0</v>
      </c>
      <c r="BT56" s="270">
        <f t="shared" si="282"/>
        <v>0</v>
      </c>
      <c r="BU56" s="270">
        <f t="shared" si="282"/>
        <v>0</v>
      </c>
      <c r="BV56" s="270">
        <f t="shared" si="282"/>
        <v>0</v>
      </c>
      <c r="BW56" s="270">
        <f t="shared" si="282"/>
        <v>71.47</v>
      </c>
      <c r="BX56" s="270">
        <f t="shared" si="282"/>
        <v>294.79</v>
      </c>
      <c r="BY56" s="270">
        <f t="shared" si="282"/>
        <v>266.21</v>
      </c>
      <c r="BZ56" s="270">
        <f t="shared" si="282"/>
        <v>440.98</v>
      </c>
      <c r="CA56" s="270">
        <f t="shared" si="282"/>
        <v>0</v>
      </c>
      <c r="CB56" s="270">
        <f t="shared" si="282"/>
        <v>0</v>
      </c>
      <c r="CC56" s="270">
        <f t="shared" si="282"/>
        <v>0</v>
      </c>
      <c r="CD56" s="270">
        <f t="shared" si="282"/>
        <v>0</v>
      </c>
      <c r="CE56" s="270">
        <f t="shared" si="282"/>
        <v>0</v>
      </c>
      <c r="CF56" s="270">
        <f t="shared" si="282"/>
        <v>0</v>
      </c>
      <c r="CG56" s="270">
        <f t="shared" si="282"/>
        <v>0</v>
      </c>
      <c r="CH56" s="270">
        <f t="shared" si="282"/>
        <v>0</v>
      </c>
      <c r="CI56" s="270">
        <f t="shared" si="282"/>
        <v>0</v>
      </c>
      <c r="CJ56" s="270">
        <f t="shared" si="282"/>
        <v>0</v>
      </c>
      <c r="CK56" s="270">
        <f t="shared" si="282"/>
        <v>0</v>
      </c>
      <c r="CL56" s="270">
        <f t="shared" si="282"/>
        <v>0</v>
      </c>
      <c r="CM56" s="270">
        <f t="shared" si="282"/>
        <v>0</v>
      </c>
      <c r="CN56" s="270">
        <f t="shared" si="282"/>
        <v>0</v>
      </c>
      <c r="CO56" s="270">
        <f t="shared" si="282"/>
        <v>0</v>
      </c>
      <c r="CP56" s="270">
        <f t="shared" si="282"/>
        <v>0</v>
      </c>
      <c r="CQ56" s="215"/>
      <c r="CR56" s="270">
        <f t="shared" si="27"/>
        <v>1073.45</v>
      </c>
      <c r="CS56" s="215"/>
      <c r="CT56" s="270">
        <f t="shared" ref="CT56:DX56" si="283">IF(AI55&gt;0,IF((AI55+BN56)&lt;E$10,AI55+BN56,E$10),0)</f>
        <v>0</v>
      </c>
      <c r="CU56" s="270">
        <f t="shared" si="283"/>
        <v>0</v>
      </c>
      <c r="CV56" s="270">
        <f t="shared" si="283"/>
        <v>0</v>
      </c>
      <c r="CW56" s="270">
        <f t="shared" si="283"/>
        <v>0</v>
      </c>
      <c r="CX56" s="270">
        <f t="shared" si="283"/>
        <v>0</v>
      </c>
      <c r="CY56" s="270">
        <f t="shared" si="283"/>
        <v>0</v>
      </c>
      <c r="CZ56" s="270">
        <f t="shared" si="283"/>
        <v>0</v>
      </c>
      <c r="DA56" s="270">
        <f t="shared" si="283"/>
        <v>0</v>
      </c>
      <c r="DB56" s="270">
        <f t="shared" si="283"/>
        <v>0</v>
      </c>
      <c r="DC56" s="270">
        <f t="shared" si="283"/>
        <v>450.08</v>
      </c>
      <c r="DD56" s="270">
        <f t="shared" si="283"/>
        <v>695.6</v>
      </c>
      <c r="DE56" s="270">
        <f t="shared" si="283"/>
        <v>791.16</v>
      </c>
      <c r="DF56" s="270">
        <f t="shared" si="283"/>
        <v>1467.13</v>
      </c>
      <c r="DG56" s="270">
        <f t="shared" si="283"/>
        <v>0</v>
      </c>
      <c r="DH56" s="270">
        <f t="shared" si="283"/>
        <v>0</v>
      </c>
      <c r="DI56" s="270">
        <f t="shared" si="283"/>
        <v>0</v>
      </c>
      <c r="DJ56" s="270">
        <f t="shared" si="283"/>
        <v>0</v>
      </c>
      <c r="DK56" s="270">
        <f t="shared" si="283"/>
        <v>0</v>
      </c>
      <c r="DL56" s="270">
        <f t="shared" si="283"/>
        <v>0</v>
      </c>
      <c r="DM56" s="270">
        <f t="shared" si="283"/>
        <v>0</v>
      </c>
      <c r="DN56" s="270">
        <f t="shared" si="283"/>
        <v>0</v>
      </c>
      <c r="DO56" s="270">
        <f t="shared" si="283"/>
        <v>0</v>
      </c>
      <c r="DP56" s="270">
        <f t="shared" si="283"/>
        <v>0</v>
      </c>
      <c r="DQ56" s="270">
        <f t="shared" si="283"/>
        <v>0</v>
      </c>
      <c r="DR56" s="270">
        <f t="shared" si="283"/>
        <v>0</v>
      </c>
      <c r="DS56" s="270">
        <f t="shared" si="283"/>
        <v>0</v>
      </c>
      <c r="DT56" s="270">
        <f t="shared" si="283"/>
        <v>0</v>
      </c>
      <c r="DU56" s="270">
        <f t="shared" si="283"/>
        <v>0</v>
      </c>
      <c r="DV56" s="270">
        <f t="shared" si="283"/>
        <v>0</v>
      </c>
      <c r="DW56" s="271" t="str">
        <f t="shared" si="283"/>
        <v/>
      </c>
      <c r="DX56" s="270">
        <f t="shared" si="283"/>
        <v>0</v>
      </c>
      <c r="DY56" s="270">
        <f t="shared" si="29"/>
        <v>3403.97</v>
      </c>
      <c r="DZ56" s="274"/>
      <c r="EA56" s="275">
        <f t="shared" si="38"/>
        <v>0</v>
      </c>
      <c r="EB56" s="270">
        <f t="shared" ref="EB56:FC56" si="284">IF(AJ54&lt;=0,0,IF($C55&lt;=SUM($EA56:EA56),0,IF(CU55+$C55-SUM($EA56:EA56)&gt;AJ54+BO55,AJ54+BO55-CU55,$C55-SUM($EA56:EA56))))</f>
        <v>0</v>
      </c>
      <c r="EC56" s="270">
        <f t="shared" si="284"/>
        <v>0</v>
      </c>
      <c r="ED56" s="270">
        <f t="shared" si="284"/>
        <v>0</v>
      </c>
      <c r="EE56" s="270">
        <f t="shared" si="284"/>
        <v>0</v>
      </c>
      <c r="EF56" s="270">
        <f t="shared" si="284"/>
        <v>0</v>
      </c>
      <c r="EG56" s="270">
        <f t="shared" si="284"/>
        <v>0</v>
      </c>
      <c r="EH56" s="270">
        <f t="shared" si="284"/>
        <v>0</v>
      </c>
      <c r="EI56" s="270">
        <f t="shared" si="284"/>
        <v>0</v>
      </c>
      <c r="EJ56" s="270">
        <f t="shared" si="284"/>
        <v>468.03</v>
      </c>
      <c r="EK56" s="270">
        <f t="shared" si="284"/>
        <v>0</v>
      </c>
      <c r="EL56" s="270">
        <f t="shared" si="284"/>
        <v>0</v>
      </c>
      <c r="EM56" s="270">
        <f t="shared" si="284"/>
        <v>0</v>
      </c>
      <c r="EN56" s="270">
        <f t="shared" si="284"/>
        <v>0</v>
      </c>
      <c r="EO56" s="270">
        <f t="shared" si="284"/>
        <v>0</v>
      </c>
      <c r="EP56" s="270">
        <f t="shared" si="284"/>
        <v>0</v>
      </c>
      <c r="EQ56" s="270">
        <f t="shared" si="284"/>
        <v>0</v>
      </c>
      <c r="ER56" s="270">
        <f t="shared" si="284"/>
        <v>0</v>
      </c>
      <c r="ES56" s="270">
        <f t="shared" si="284"/>
        <v>0</v>
      </c>
      <c r="ET56" s="270">
        <f t="shared" si="284"/>
        <v>0</v>
      </c>
      <c r="EU56" s="270">
        <f t="shared" si="284"/>
        <v>0</v>
      </c>
      <c r="EV56" s="270">
        <f t="shared" si="284"/>
        <v>0</v>
      </c>
      <c r="EW56" s="270">
        <f t="shared" si="284"/>
        <v>0</v>
      </c>
      <c r="EX56" s="270">
        <f t="shared" si="284"/>
        <v>0</v>
      </c>
      <c r="EY56" s="270">
        <f t="shared" si="284"/>
        <v>0</v>
      </c>
      <c r="EZ56" s="270">
        <f t="shared" si="284"/>
        <v>0</v>
      </c>
      <c r="FA56" s="270">
        <f t="shared" si="284"/>
        <v>0</v>
      </c>
      <c r="FB56" s="270">
        <f t="shared" si="284"/>
        <v>0</v>
      </c>
      <c r="FC56" s="270">
        <f t="shared" si="284"/>
        <v>0</v>
      </c>
      <c r="FD56" s="271"/>
      <c r="FE56" s="271"/>
      <c r="FF56" s="271"/>
      <c r="FG56" s="215"/>
      <c r="FH56" s="215"/>
    </row>
    <row r="57" ht="11.25" customHeight="1">
      <c r="A57" s="231">
        <f t="shared" si="19"/>
        <v>37</v>
      </c>
      <c r="B57" s="269">
        <v>46753.0</v>
      </c>
      <c r="C57" s="270">
        <f>IF(A57="","",IF(Calculator!snowball,IF(($E$5-DY57)&lt;0,0,$E$5-DY57),0)+D57)</f>
        <v>468.03</v>
      </c>
      <c r="D57" s="277">
        <v>10.0</v>
      </c>
      <c r="E57" s="270">
        <f t="shared" si="40"/>
        <v>0</v>
      </c>
      <c r="F57" s="270">
        <f t="shared" ref="F57:AG57" si="285">CU57+EB58</f>
        <v>0</v>
      </c>
      <c r="G57" s="270">
        <f t="shared" si="285"/>
        <v>0</v>
      </c>
      <c r="H57" s="270">
        <f t="shared" si="285"/>
        <v>0</v>
      </c>
      <c r="I57" s="270">
        <f t="shared" si="285"/>
        <v>0</v>
      </c>
      <c r="J57" s="270">
        <f t="shared" si="285"/>
        <v>0</v>
      </c>
      <c r="K57" s="270">
        <f t="shared" si="285"/>
        <v>0</v>
      </c>
      <c r="L57" s="270">
        <f t="shared" si="285"/>
        <v>0</v>
      </c>
      <c r="M57" s="270">
        <f t="shared" si="285"/>
        <v>0</v>
      </c>
      <c r="N57" s="270">
        <f t="shared" si="285"/>
        <v>918.11</v>
      </c>
      <c r="O57" s="270">
        <f t="shared" si="285"/>
        <v>695.6</v>
      </c>
      <c r="P57" s="272">
        <f t="shared" si="285"/>
        <v>791.16</v>
      </c>
      <c r="Q57" s="272">
        <f t="shared" si="285"/>
        <v>1467.13</v>
      </c>
      <c r="R57" s="272">
        <f t="shared" si="285"/>
        <v>0</v>
      </c>
      <c r="S57" s="272">
        <f t="shared" si="285"/>
        <v>0</v>
      </c>
      <c r="T57" s="272">
        <f t="shared" si="285"/>
        <v>0</v>
      </c>
      <c r="U57" s="270">
        <f t="shared" si="285"/>
        <v>0</v>
      </c>
      <c r="V57" s="270">
        <f t="shared" si="285"/>
        <v>0</v>
      </c>
      <c r="W57" s="270">
        <f t="shared" si="285"/>
        <v>0</v>
      </c>
      <c r="X57" s="270">
        <f t="shared" si="285"/>
        <v>0</v>
      </c>
      <c r="Y57" s="270">
        <f t="shared" si="285"/>
        <v>0</v>
      </c>
      <c r="Z57" s="270">
        <f t="shared" si="285"/>
        <v>0</v>
      </c>
      <c r="AA57" s="270">
        <f t="shared" si="285"/>
        <v>0</v>
      </c>
      <c r="AB57" s="270">
        <f t="shared" si="285"/>
        <v>0</v>
      </c>
      <c r="AC57" s="270">
        <f t="shared" si="285"/>
        <v>0</v>
      </c>
      <c r="AD57" s="270">
        <f t="shared" si="285"/>
        <v>0</v>
      </c>
      <c r="AE57" s="270">
        <f t="shared" si="285"/>
        <v>0</v>
      </c>
      <c r="AF57" s="270">
        <f t="shared" si="285"/>
        <v>0</v>
      </c>
      <c r="AG57" s="270">
        <f t="shared" si="285"/>
        <v>0</v>
      </c>
      <c r="AH57" s="265">
        <f t="shared" si="13"/>
        <v>206546.86</v>
      </c>
      <c r="AI57" s="270">
        <f t="shared" si="43"/>
        <v>0</v>
      </c>
      <c r="AJ57" s="270">
        <f t="shared" ref="AJ57:AO57" si="286">IF(F$8=0,0,ROUND(AJ56-(F57-BO57),2))</f>
        <v>0</v>
      </c>
      <c r="AK57" s="270">
        <f t="shared" si="286"/>
        <v>0</v>
      </c>
      <c r="AL57" s="270">
        <f t="shared" si="286"/>
        <v>0</v>
      </c>
      <c r="AM57" s="270">
        <f t="shared" si="286"/>
        <v>0</v>
      </c>
      <c r="AN57" s="270">
        <f t="shared" si="286"/>
        <v>0</v>
      </c>
      <c r="AO57" s="270">
        <f t="shared" si="286"/>
        <v>0</v>
      </c>
      <c r="AP57" s="270">
        <v>0.0</v>
      </c>
      <c r="AQ57" s="270">
        <f t="shared" ref="AQ57:AS57" si="287">IF(M$8=0,0,ROUND(AQ56-(M57-BV57),2))</f>
        <v>0</v>
      </c>
      <c r="AR57" s="270">
        <f t="shared" si="287"/>
        <v>3058.63</v>
      </c>
      <c r="AS57" s="270">
        <f t="shared" si="287"/>
        <v>31353.38</v>
      </c>
      <c r="AT57" s="270">
        <f t="shared" ref="AT57:BK57" si="288">IF(P$8=0,0,ROUND(AT56-(P57-BX57),2))</f>
        <v>33427.26</v>
      </c>
      <c r="AU57" s="270">
        <f t="shared" si="288"/>
        <v>138707.59</v>
      </c>
      <c r="AV57" s="270">
        <f t="shared" si="288"/>
        <v>0</v>
      </c>
      <c r="AW57" s="270">
        <f t="shared" si="288"/>
        <v>0</v>
      </c>
      <c r="AX57" s="270">
        <f t="shared" si="288"/>
        <v>0</v>
      </c>
      <c r="AY57" s="270">
        <f t="shared" si="288"/>
        <v>0</v>
      </c>
      <c r="AZ57" s="270">
        <f t="shared" si="288"/>
        <v>0</v>
      </c>
      <c r="BA57" s="270">
        <f t="shared" si="288"/>
        <v>0</v>
      </c>
      <c r="BB57" s="270">
        <f t="shared" si="288"/>
        <v>0</v>
      </c>
      <c r="BC57" s="270">
        <f t="shared" si="288"/>
        <v>0</v>
      </c>
      <c r="BD57" s="270">
        <f t="shared" si="288"/>
        <v>0</v>
      </c>
      <c r="BE57" s="270">
        <f t="shared" si="288"/>
        <v>0</v>
      </c>
      <c r="BF57" s="270">
        <f t="shared" si="288"/>
        <v>0</v>
      </c>
      <c r="BG57" s="270">
        <f t="shared" si="288"/>
        <v>0</v>
      </c>
      <c r="BH57" s="270">
        <f t="shared" si="288"/>
        <v>0</v>
      </c>
      <c r="BI57" s="270">
        <f t="shared" si="288"/>
        <v>0</v>
      </c>
      <c r="BJ57" s="270">
        <f t="shared" si="288"/>
        <v>0</v>
      </c>
      <c r="BK57" s="270">
        <f t="shared" si="288"/>
        <v>0</v>
      </c>
      <c r="BL57" s="265">
        <f t="shared" si="16"/>
        <v>206546.86</v>
      </c>
      <c r="BM57" s="215"/>
      <c r="BN57" s="270">
        <f t="shared" ref="BN57:CP57" si="289">ROUND(AI56*E$9/12,2)</f>
        <v>0</v>
      </c>
      <c r="BO57" s="270">
        <f t="shared" si="289"/>
        <v>0</v>
      </c>
      <c r="BP57" s="270">
        <f t="shared" si="289"/>
        <v>0</v>
      </c>
      <c r="BQ57" s="270">
        <f t="shared" si="289"/>
        <v>0</v>
      </c>
      <c r="BR57" s="270">
        <f t="shared" si="289"/>
        <v>0</v>
      </c>
      <c r="BS57" s="270">
        <f t="shared" si="289"/>
        <v>0</v>
      </c>
      <c r="BT57" s="270">
        <f t="shared" si="289"/>
        <v>0</v>
      </c>
      <c r="BU57" s="270">
        <f t="shared" si="289"/>
        <v>0</v>
      </c>
      <c r="BV57" s="270">
        <f t="shared" si="289"/>
        <v>0</v>
      </c>
      <c r="BW57" s="270">
        <f t="shared" si="289"/>
        <v>58.77</v>
      </c>
      <c r="BX57" s="270">
        <f t="shared" si="289"/>
        <v>291.11</v>
      </c>
      <c r="BY57" s="270">
        <f t="shared" si="289"/>
        <v>262.37</v>
      </c>
      <c r="BZ57" s="270">
        <f t="shared" si="289"/>
        <v>437.23</v>
      </c>
      <c r="CA57" s="270">
        <f t="shared" si="289"/>
        <v>0</v>
      </c>
      <c r="CB57" s="270">
        <f t="shared" si="289"/>
        <v>0</v>
      </c>
      <c r="CC57" s="270">
        <f t="shared" si="289"/>
        <v>0</v>
      </c>
      <c r="CD57" s="270">
        <f t="shared" si="289"/>
        <v>0</v>
      </c>
      <c r="CE57" s="270">
        <f t="shared" si="289"/>
        <v>0</v>
      </c>
      <c r="CF57" s="270">
        <f t="shared" si="289"/>
        <v>0</v>
      </c>
      <c r="CG57" s="270">
        <f t="shared" si="289"/>
        <v>0</v>
      </c>
      <c r="CH57" s="270">
        <f t="shared" si="289"/>
        <v>0</v>
      </c>
      <c r="CI57" s="270">
        <f t="shared" si="289"/>
        <v>0</v>
      </c>
      <c r="CJ57" s="270">
        <f t="shared" si="289"/>
        <v>0</v>
      </c>
      <c r="CK57" s="270">
        <f t="shared" si="289"/>
        <v>0</v>
      </c>
      <c r="CL57" s="270">
        <f t="shared" si="289"/>
        <v>0</v>
      </c>
      <c r="CM57" s="270">
        <f t="shared" si="289"/>
        <v>0</v>
      </c>
      <c r="CN57" s="270">
        <f t="shared" si="289"/>
        <v>0</v>
      </c>
      <c r="CO57" s="270">
        <f t="shared" si="289"/>
        <v>0</v>
      </c>
      <c r="CP57" s="270">
        <f t="shared" si="289"/>
        <v>0</v>
      </c>
      <c r="CQ57" s="215"/>
      <c r="CR57" s="270">
        <f t="shared" si="27"/>
        <v>1049.48</v>
      </c>
      <c r="CS57" s="215"/>
      <c r="CT57" s="270">
        <f t="shared" ref="CT57:DX57" si="290">IF(AI56&gt;0,IF((AI56+BN57)&lt;E$10,AI56+BN57,E$10),0)</f>
        <v>0</v>
      </c>
      <c r="CU57" s="270">
        <f t="shared" si="290"/>
        <v>0</v>
      </c>
      <c r="CV57" s="270">
        <f t="shared" si="290"/>
        <v>0</v>
      </c>
      <c r="CW57" s="270">
        <f t="shared" si="290"/>
        <v>0</v>
      </c>
      <c r="CX57" s="270">
        <f t="shared" si="290"/>
        <v>0</v>
      </c>
      <c r="CY57" s="270">
        <f t="shared" si="290"/>
        <v>0</v>
      </c>
      <c r="CZ57" s="270">
        <f t="shared" si="290"/>
        <v>0</v>
      </c>
      <c r="DA57" s="270">
        <f t="shared" si="290"/>
        <v>0</v>
      </c>
      <c r="DB57" s="270">
        <f t="shared" si="290"/>
        <v>0</v>
      </c>
      <c r="DC57" s="270">
        <f t="shared" si="290"/>
        <v>450.08</v>
      </c>
      <c r="DD57" s="270">
        <f t="shared" si="290"/>
        <v>695.6</v>
      </c>
      <c r="DE57" s="270">
        <f t="shared" si="290"/>
        <v>791.16</v>
      </c>
      <c r="DF57" s="270">
        <f t="shared" si="290"/>
        <v>1467.13</v>
      </c>
      <c r="DG57" s="270">
        <f t="shared" si="290"/>
        <v>0</v>
      </c>
      <c r="DH57" s="270">
        <f t="shared" si="290"/>
        <v>0</v>
      </c>
      <c r="DI57" s="270">
        <f t="shared" si="290"/>
        <v>0</v>
      </c>
      <c r="DJ57" s="270">
        <f t="shared" si="290"/>
        <v>0</v>
      </c>
      <c r="DK57" s="270">
        <f t="shared" si="290"/>
        <v>0</v>
      </c>
      <c r="DL57" s="270">
        <f t="shared" si="290"/>
        <v>0</v>
      </c>
      <c r="DM57" s="270">
        <f t="shared" si="290"/>
        <v>0</v>
      </c>
      <c r="DN57" s="270">
        <f t="shared" si="290"/>
        <v>0</v>
      </c>
      <c r="DO57" s="270">
        <f t="shared" si="290"/>
        <v>0</v>
      </c>
      <c r="DP57" s="270">
        <f t="shared" si="290"/>
        <v>0</v>
      </c>
      <c r="DQ57" s="270">
        <f t="shared" si="290"/>
        <v>0</v>
      </c>
      <c r="DR57" s="270">
        <f t="shared" si="290"/>
        <v>0</v>
      </c>
      <c r="DS57" s="270">
        <f t="shared" si="290"/>
        <v>0</v>
      </c>
      <c r="DT57" s="270">
        <f t="shared" si="290"/>
        <v>0</v>
      </c>
      <c r="DU57" s="270">
        <f t="shared" si="290"/>
        <v>0</v>
      </c>
      <c r="DV57" s="270">
        <f t="shared" si="290"/>
        <v>0</v>
      </c>
      <c r="DW57" s="271" t="str">
        <f t="shared" si="290"/>
        <v/>
      </c>
      <c r="DX57" s="270">
        <f t="shared" si="290"/>
        <v>0</v>
      </c>
      <c r="DY57" s="270">
        <f t="shared" si="29"/>
        <v>3403.97</v>
      </c>
      <c r="DZ57" s="274"/>
      <c r="EA57" s="275">
        <f t="shared" si="38"/>
        <v>0</v>
      </c>
      <c r="EB57" s="270">
        <f t="shared" ref="EB57:FC57" si="291">IF(AJ55&lt;=0,0,IF($C56&lt;=SUM($EA57:EA57),0,IF(CU56+$C56-SUM($EA57:EA57)&gt;AJ55+BO56,AJ55+BO56-CU56,$C56-SUM($EA57:EA57))))</f>
        <v>0</v>
      </c>
      <c r="EC57" s="270">
        <f t="shared" si="291"/>
        <v>0</v>
      </c>
      <c r="ED57" s="270">
        <f t="shared" si="291"/>
        <v>0</v>
      </c>
      <c r="EE57" s="270">
        <f t="shared" si="291"/>
        <v>0</v>
      </c>
      <c r="EF57" s="270">
        <f t="shared" si="291"/>
        <v>0</v>
      </c>
      <c r="EG57" s="270">
        <f t="shared" si="291"/>
        <v>0</v>
      </c>
      <c r="EH57" s="270">
        <f t="shared" si="291"/>
        <v>0</v>
      </c>
      <c r="EI57" s="270">
        <f t="shared" si="291"/>
        <v>0</v>
      </c>
      <c r="EJ57" s="270">
        <f t="shared" si="291"/>
        <v>468.03</v>
      </c>
      <c r="EK57" s="270">
        <f t="shared" si="291"/>
        <v>0</v>
      </c>
      <c r="EL57" s="270">
        <f t="shared" si="291"/>
        <v>0</v>
      </c>
      <c r="EM57" s="270">
        <f t="shared" si="291"/>
        <v>0</v>
      </c>
      <c r="EN57" s="270">
        <f t="shared" si="291"/>
        <v>0</v>
      </c>
      <c r="EO57" s="270">
        <f t="shared" si="291"/>
        <v>0</v>
      </c>
      <c r="EP57" s="270">
        <f t="shared" si="291"/>
        <v>0</v>
      </c>
      <c r="EQ57" s="270">
        <f t="shared" si="291"/>
        <v>0</v>
      </c>
      <c r="ER57" s="270">
        <f t="shared" si="291"/>
        <v>0</v>
      </c>
      <c r="ES57" s="270">
        <f t="shared" si="291"/>
        <v>0</v>
      </c>
      <c r="ET57" s="270">
        <f t="shared" si="291"/>
        <v>0</v>
      </c>
      <c r="EU57" s="270">
        <f t="shared" si="291"/>
        <v>0</v>
      </c>
      <c r="EV57" s="270">
        <f t="shared" si="291"/>
        <v>0</v>
      </c>
      <c r="EW57" s="270">
        <f t="shared" si="291"/>
        <v>0</v>
      </c>
      <c r="EX57" s="270">
        <f t="shared" si="291"/>
        <v>0</v>
      </c>
      <c r="EY57" s="270">
        <f t="shared" si="291"/>
        <v>0</v>
      </c>
      <c r="EZ57" s="270">
        <f t="shared" si="291"/>
        <v>0</v>
      </c>
      <c r="FA57" s="270">
        <f t="shared" si="291"/>
        <v>0</v>
      </c>
      <c r="FB57" s="270">
        <f t="shared" si="291"/>
        <v>0</v>
      </c>
      <c r="FC57" s="270">
        <f t="shared" si="291"/>
        <v>0</v>
      </c>
      <c r="FD57" s="271"/>
      <c r="FE57" s="271"/>
      <c r="FF57" s="271"/>
      <c r="FG57" s="215"/>
      <c r="FH57" s="215"/>
    </row>
    <row r="58" ht="11.25" customHeight="1">
      <c r="A58" s="231">
        <f t="shared" si="19"/>
        <v>38</v>
      </c>
      <c r="B58" s="269">
        <v>46784.0</v>
      </c>
      <c r="C58" s="270">
        <f>IF(A58="","",IF(Calculator!snowball,IF(($E$5-DY58)&lt;0,0,$E$5-DY58),0)+D58)</f>
        <v>468.03</v>
      </c>
      <c r="D58" s="277">
        <v>10.0</v>
      </c>
      <c r="E58" s="270">
        <f t="shared" si="40"/>
        <v>0</v>
      </c>
      <c r="F58" s="270">
        <f t="shared" ref="F58:AG58" si="292">CU58+EB59</f>
        <v>0</v>
      </c>
      <c r="G58" s="270">
        <f t="shared" si="292"/>
        <v>0</v>
      </c>
      <c r="H58" s="270">
        <f t="shared" si="292"/>
        <v>0</v>
      </c>
      <c r="I58" s="270">
        <f t="shared" si="292"/>
        <v>0</v>
      </c>
      <c r="J58" s="270">
        <f t="shared" si="292"/>
        <v>0</v>
      </c>
      <c r="K58" s="270">
        <f t="shared" si="292"/>
        <v>0</v>
      </c>
      <c r="L58" s="270">
        <f t="shared" si="292"/>
        <v>0</v>
      </c>
      <c r="M58" s="270">
        <f t="shared" si="292"/>
        <v>0</v>
      </c>
      <c r="N58" s="270">
        <f t="shared" si="292"/>
        <v>918.11</v>
      </c>
      <c r="O58" s="270">
        <f t="shared" si="292"/>
        <v>695.6</v>
      </c>
      <c r="P58" s="272">
        <f t="shared" si="292"/>
        <v>791.16</v>
      </c>
      <c r="Q58" s="272">
        <f t="shared" si="292"/>
        <v>1467.13</v>
      </c>
      <c r="R58" s="272">
        <f t="shared" si="292"/>
        <v>0</v>
      </c>
      <c r="S58" s="272">
        <f t="shared" si="292"/>
        <v>0</v>
      </c>
      <c r="T58" s="272">
        <f t="shared" si="292"/>
        <v>0</v>
      </c>
      <c r="U58" s="270">
        <f t="shared" si="292"/>
        <v>0</v>
      </c>
      <c r="V58" s="270">
        <f t="shared" si="292"/>
        <v>0</v>
      </c>
      <c r="W58" s="270">
        <f t="shared" si="292"/>
        <v>0</v>
      </c>
      <c r="X58" s="270">
        <f t="shared" si="292"/>
        <v>0</v>
      </c>
      <c r="Y58" s="270">
        <f t="shared" si="292"/>
        <v>0</v>
      </c>
      <c r="Z58" s="270">
        <f t="shared" si="292"/>
        <v>0</v>
      </c>
      <c r="AA58" s="270">
        <f t="shared" si="292"/>
        <v>0</v>
      </c>
      <c r="AB58" s="270">
        <f t="shared" si="292"/>
        <v>0</v>
      </c>
      <c r="AC58" s="270">
        <f t="shared" si="292"/>
        <v>0</v>
      </c>
      <c r="AD58" s="270">
        <f t="shared" si="292"/>
        <v>0</v>
      </c>
      <c r="AE58" s="270">
        <f t="shared" si="292"/>
        <v>0</v>
      </c>
      <c r="AF58" s="270">
        <f t="shared" si="292"/>
        <v>0</v>
      </c>
      <c r="AG58" s="270">
        <f t="shared" si="292"/>
        <v>0</v>
      </c>
      <c r="AH58" s="265">
        <f t="shared" si="13"/>
        <v>203554.06</v>
      </c>
      <c r="AI58" s="270">
        <f t="shared" si="43"/>
        <v>0</v>
      </c>
      <c r="AJ58" s="270">
        <f t="shared" ref="AJ58:AO58" si="293">IF(F$8=0,0,ROUND(AJ57-(F58-BO58),2))</f>
        <v>0</v>
      </c>
      <c r="AK58" s="270">
        <f t="shared" si="293"/>
        <v>0</v>
      </c>
      <c r="AL58" s="270">
        <f t="shared" si="293"/>
        <v>0</v>
      </c>
      <c r="AM58" s="270">
        <f t="shared" si="293"/>
        <v>0</v>
      </c>
      <c r="AN58" s="270">
        <f t="shared" si="293"/>
        <v>0</v>
      </c>
      <c r="AO58" s="270">
        <f t="shared" si="293"/>
        <v>0</v>
      </c>
      <c r="AP58" s="270">
        <v>0.0</v>
      </c>
      <c r="AQ58" s="270">
        <f t="shared" ref="AQ58:AS58" si="294">IF(M$8=0,0,ROUND(AQ57-(M58-BV58),2))</f>
        <v>0</v>
      </c>
      <c r="AR58" s="270">
        <f t="shared" si="294"/>
        <v>2186.4</v>
      </c>
      <c r="AS58" s="270">
        <f t="shared" si="294"/>
        <v>30945.19</v>
      </c>
      <c r="AT58" s="270">
        <f t="shared" ref="AT58:BK58" si="295">IF(P$8=0,0,ROUND(AT57-(P58-BX58),2))</f>
        <v>32923.51</v>
      </c>
      <c r="AU58" s="270">
        <f t="shared" si="295"/>
        <v>137498.96</v>
      </c>
      <c r="AV58" s="270">
        <f t="shared" si="295"/>
        <v>0</v>
      </c>
      <c r="AW58" s="270">
        <f t="shared" si="295"/>
        <v>0</v>
      </c>
      <c r="AX58" s="270">
        <f t="shared" si="295"/>
        <v>0</v>
      </c>
      <c r="AY58" s="270">
        <f t="shared" si="295"/>
        <v>0</v>
      </c>
      <c r="AZ58" s="270">
        <f t="shared" si="295"/>
        <v>0</v>
      </c>
      <c r="BA58" s="270">
        <f t="shared" si="295"/>
        <v>0</v>
      </c>
      <c r="BB58" s="270">
        <f t="shared" si="295"/>
        <v>0</v>
      </c>
      <c r="BC58" s="270">
        <f t="shared" si="295"/>
        <v>0</v>
      </c>
      <c r="BD58" s="270">
        <f t="shared" si="295"/>
        <v>0</v>
      </c>
      <c r="BE58" s="270">
        <f t="shared" si="295"/>
        <v>0</v>
      </c>
      <c r="BF58" s="270">
        <f t="shared" si="295"/>
        <v>0</v>
      </c>
      <c r="BG58" s="270">
        <f t="shared" si="295"/>
        <v>0</v>
      </c>
      <c r="BH58" s="270">
        <f t="shared" si="295"/>
        <v>0</v>
      </c>
      <c r="BI58" s="270">
        <f t="shared" si="295"/>
        <v>0</v>
      </c>
      <c r="BJ58" s="270">
        <f t="shared" si="295"/>
        <v>0</v>
      </c>
      <c r="BK58" s="270">
        <f t="shared" si="295"/>
        <v>0</v>
      </c>
      <c r="BL58" s="265">
        <f t="shared" si="16"/>
        <v>203554.06</v>
      </c>
      <c r="BM58" s="215"/>
      <c r="BN58" s="270">
        <f t="shared" ref="BN58:CP58" si="296">ROUND(AI57*E$9/12,2)</f>
        <v>0</v>
      </c>
      <c r="BO58" s="270">
        <f t="shared" si="296"/>
        <v>0</v>
      </c>
      <c r="BP58" s="270">
        <f t="shared" si="296"/>
        <v>0</v>
      </c>
      <c r="BQ58" s="270">
        <f t="shared" si="296"/>
        <v>0</v>
      </c>
      <c r="BR58" s="270">
        <f t="shared" si="296"/>
        <v>0</v>
      </c>
      <c r="BS58" s="270">
        <f t="shared" si="296"/>
        <v>0</v>
      </c>
      <c r="BT58" s="270">
        <f t="shared" si="296"/>
        <v>0</v>
      </c>
      <c r="BU58" s="270">
        <f t="shared" si="296"/>
        <v>0</v>
      </c>
      <c r="BV58" s="270">
        <f t="shared" si="296"/>
        <v>0</v>
      </c>
      <c r="BW58" s="270">
        <f t="shared" si="296"/>
        <v>45.88</v>
      </c>
      <c r="BX58" s="270">
        <f t="shared" si="296"/>
        <v>287.41</v>
      </c>
      <c r="BY58" s="270">
        <f t="shared" si="296"/>
        <v>258.5</v>
      </c>
      <c r="BZ58" s="270">
        <f t="shared" si="296"/>
        <v>433.46</v>
      </c>
      <c r="CA58" s="270">
        <f t="shared" si="296"/>
        <v>0</v>
      </c>
      <c r="CB58" s="270">
        <f t="shared" si="296"/>
        <v>0</v>
      </c>
      <c r="CC58" s="270">
        <f t="shared" si="296"/>
        <v>0</v>
      </c>
      <c r="CD58" s="270">
        <f t="shared" si="296"/>
        <v>0</v>
      </c>
      <c r="CE58" s="270">
        <f t="shared" si="296"/>
        <v>0</v>
      </c>
      <c r="CF58" s="270">
        <f t="shared" si="296"/>
        <v>0</v>
      </c>
      <c r="CG58" s="270">
        <f t="shared" si="296"/>
        <v>0</v>
      </c>
      <c r="CH58" s="270">
        <f t="shared" si="296"/>
        <v>0</v>
      </c>
      <c r="CI58" s="270">
        <f t="shared" si="296"/>
        <v>0</v>
      </c>
      <c r="CJ58" s="270">
        <f t="shared" si="296"/>
        <v>0</v>
      </c>
      <c r="CK58" s="270">
        <f t="shared" si="296"/>
        <v>0</v>
      </c>
      <c r="CL58" s="270">
        <f t="shared" si="296"/>
        <v>0</v>
      </c>
      <c r="CM58" s="270">
        <f t="shared" si="296"/>
        <v>0</v>
      </c>
      <c r="CN58" s="270">
        <f t="shared" si="296"/>
        <v>0</v>
      </c>
      <c r="CO58" s="270">
        <f t="shared" si="296"/>
        <v>0</v>
      </c>
      <c r="CP58" s="270">
        <f t="shared" si="296"/>
        <v>0</v>
      </c>
      <c r="CQ58" s="215"/>
      <c r="CR58" s="270">
        <f t="shared" si="27"/>
        <v>1025.25</v>
      </c>
      <c r="CS58" s="215"/>
      <c r="CT58" s="270">
        <f t="shared" ref="CT58:DX58" si="297">IF(AI57&gt;0,IF((AI57+BN58)&lt;E$10,AI57+BN58,E$10),0)</f>
        <v>0</v>
      </c>
      <c r="CU58" s="270">
        <f t="shared" si="297"/>
        <v>0</v>
      </c>
      <c r="CV58" s="270">
        <f t="shared" si="297"/>
        <v>0</v>
      </c>
      <c r="CW58" s="270">
        <f t="shared" si="297"/>
        <v>0</v>
      </c>
      <c r="CX58" s="270">
        <f t="shared" si="297"/>
        <v>0</v>
      </c>
      <c r="CY58" s="270">
        <f t="shared" si="297"/>
        <v>0</v>
      </c>
      <c r="CZ58" s="270">
        <f t="shared" si="297"/>
        <v>0</v>
      </c>
      <c r="DA58" s="270">
        <f t="shared" si="297"/>
        <v>0</v>
      </c>
      <c r="DB58" s="270">
        <f t="shared" si="297"/>
        <v>0</v>
      </c>
      <c r="DC58" s="270">
        <f t="shared" si="297"/>
        <v>450.08</v>
      </c>
      <c r="DD58" s="270">
        <f t="shared" si="297"/>
        <v>695.6</v>
      </c>
      <c r="DE58" s="270">
        <f t="shared" si="297"/>
        <v>791.16</v>
      </c>
      <c r="DF58" s="270">
        <f t="shared" si="297"/>
        <v>1467.13</v>
      </c>
      <c r="DG58" s="270">
        <f t="shared" si="297"/>
        <v>0</v>
      </c>
      <c r="DH58" s="270">
        <f t="shared" si="297"/>
        <v>0</v>
      </c>
      <c r="DI58" s="270">
        <f t="shared" si="297"/>
        <v>0</v>
      </c>
      <c r="DJ58" s="270">
        <f t="shared" si="297"/>
        <v>0</v>
      </c>
      <c r="DK58" s="270">
        <f t="shared" si="297"/>
        <v>0</v>
      </c>
      <c r="DL58" s="270">
        <f t="shared" si="297"/>
        <v>0</v>
      </c>
      <c r="DM58" s="270">
        <f t="shared" si="297"/>
        <v>0</v>
      </c>
      <c r="DN58" s="270">
        <f t="shared" si="297"/>
        <v>0</v>
      </c>
      <c r="DO58" s="270">
        <f t="shared" si="297"/>
        <v>0</v>
      </c>
      <c r="DP58" s="270">
        <f t="shared" si="297"/>
        <v>0</v>
      </c>
      <c r="DQ58" s="270">
        <f t="shared" si="297"/>
        <v>0</v>
      </c>
      <c r="DR58" s="270">
        <f t="shared" si="297"/>
        <v>0</v>
      </c>
      <c r="DS58" s="270">
        <f t="shared" si="297"/>
        <v>0</v>
      </c>
      <c r="DT58" s="270">
        <f t="shared" si="297"/>
        <v>0</v>
      </c>
      <c r="DU58" s="270">
        <f t="shared" si="297"/>
        <v>0</v>
      </c>
      <c r="DV58" s="270">
        <f t="shared" si="297"/>
        <v>0</v>
      </c>
      <c r="DW58" s="271" t="str">
        <f t="shared" si="297"/>
        <v/>
      </c>
      <c r="DX58" s="270">
        <f t="shared" si="297"/>
        <v>0</v>
      </c>
      <c r="DY58" s="270">
        <f t="shared" si="29"/>
        <v>3403.97</v>
      </c>
      <c r="DZ58" s="274"/>
      <c r="EA58" s="275">
        <f t="shared" si="38"/>
        <v>0</v>
      </c>
      <c r="EB58" s="270">
        <f t="shared" ref="EB58:FC58" si="298">IF(AJ56&lt;=0,0,IF($C57&lt;=SUM($EA58:EA58),0,IF(CU57+$C57-SUM($EA58:EA58)&gt;AJ56+BO57,AJ56+BO57-CU57,$C57-SUM($EA58:EA58))))</f>
        <v>0</v>
      </c>
      <c r="EC58" s="270">
        <f t="shared" si="298"/>
        <v>0</v>
      </c>
      <c r="ED58" s="270">
        <f t="shared" si="298"/>
        <v>0</v>
      </c>
      <c r="EE58" s="270">
        <f t="shared" si="298"/>
        <v>0</v>
      </c>
      <c r="EF58" s="270">
        <f t="shared" si="298"/>
        <v>0</v>
      </c>
      <c r="EG58" s="270">
        <f t="shared" si="298"/>
        <v>0</v>
      </c>
      <c r="EH58" s="270">
        <f t="shared" si="298"/>
        <v>0</v>
      </c>
      <c r="EI58" s="270">
        <f t="shared" si="298"/>
        <v>0</v>
      </c>
      <c r="EJ58" s="270">
        <f t="shared" si="298"/>
        <v>468.03</v>
      </c>
      <c r="EK58" s="270">
        <f t="shared" si="298"/>
        <v>0</v>
      </c>
      <c r="EL58" s="270">
        <f t="shared" si="298"/>
        <v>0</v>
      </c>
      <c r="EM58" s="270">
        <f t="shared" si="298"/>
        <v>0</v>
      </c>
      <c r="EN58" s="270">
        <f t="shared" si="298"/>
        <v>0</v>
      </c>
      <c r="EO58" s="270">
        <f t="shared" si="298"/>
        <v>0</v>
      </c>
      <c r="EP58" s="270">
        <f t="shared" si="298"/>
        <v>0</v>
      </c>
      <c r="EQ58" s="270">
        <f t="shared" si="298"/>
        <v>0</v>
      </c>
      <c r="ER58" s="270">
        <f t="shared" si="298"/>
        <v>0</v>
      </c>
      <c r="ES58" s="270">
        <f t="shared" si="298"/>
        <v>0</v>
      </c>
      <c r="ET58" s="270">
        <f t="shared" si="298"/>
        <v>0</v>
      </c>
      <c r="EU58" s="270">
        <f t="shared" si="298"/>
        <v>0</v>
      </c>
      <c r="EV58" s="270">
        <f t="shared" si="298"/>
        <v>0</v>
      </c>
      <c r="EW58" s="270">
        <f t="shared" si="298"/>
        <v>0</v>
      </c>
      <c r="EX58" s="270">
        <f t="shared" si="298"/>
        <v>0</v>
      </c>
      <c r="EY58" s="270">
        <f t="shared" si="298"/>
        <v>0</v>
      </c>
      <c r="EZ58" s="270">
        <f t="shared" si="298"/>
        <v>0</v>
      </c>
      <c r="FA58" s="270">
        <f t="shared" si="298"/>
        <v>0</v>
      </c>
      <c r="FB58" s="270">
        <f t="shared" si="298"/>
        <v>0</v>
      </c>
      <c r="FC58" s="270">
        <f t="shared" si="298"/>
        <v>0</v>
      </c>
      <c r="FD58" s="271"/>
      <c r="FE58" s="271"/>
      <c r="FF58" s="271"/>
      <c r="FG58" s="215"/>
      <c r="FH58" s="215"/>
    </row>
    <row r="59" ht="11.25" customHeight="1">
      <c r="A59" s="231">
        <f t="shared" si="19"/>
        <v>39</v>
      </c>
      <c r="B59" s="269">
        <v>46813.0</v>
      </c>
      <c r="C59" s="270">
        <f>IF(A59="","",IF(Calculator!snowball,IF(($E$5-DY59)&lt;0,0,$E$5-DY59),0)+D59)</f>
        <v>468.03</v>
      </c>
      <c r="D59" s="277">
        <v>10.0</v>
      </c>
      <c r="E59" s="270">
        <f t="shared" si="40"/>
        <v>0</v>
      </c>
      <c r="F59" s="270">
        <f t="shared" ref="F59:AG59" si="299">CU59+EB60</f>
        <v>0</v>
      </c>
      <c r="G59" s="270">
        <f t="shared" si="299"/>
        <v>0</v>
      </c>
      <c r="H59" s="270">
        <f t="shared" si="299"/>
        <v>0</v>
      </c>
      <c r="I59" s="270">
        <f t="shared" si="299"/>
        <v>0</v>
      </c>
      <c r="J59" s="270">
        <f t="shared" si="299"/>
        <v>0</v>
      </c>
      <c r="K59" s="270">
        <f t="shared" si="299"/>
        <v>0</v>
      </c>
      <c r="L59" s="270">
        <f t="shared" si="299"/>
        <v>0</v>
      </c>
      <c r="M59" s="270">
        <f t="shared" si="299"/>
        <v>0</v>
      </c>
      <c r="N59" s="270">
        <f t="shared" si="299"/>
        <v>918.11</v>
      </c>
      <c r="O59" s="270">
        <f t="shared" si="299"/>
        <v>695.6</v>
      </c>
      <c r="P59" s="272">
        <f t="shared" si="299"/>
        <v>791.16</v>
      </c>
      <c r="Q59" s="272">
        <f t="shared" si="299"/>
        <v>1467.13</v>
      </c>
      <c r="R59" s="272">
        <f t="shared" si="299"/>
        <v>0</v>
      </c>
      <c r="S59" s="272">
        <f t="shared" si="299"/>
        <v>0</v>
      </c>
      <c r="T59" s="272">
        <f t="shared" si="299"/>
        <v>0</v>
      </c>
      <c r="U59" s="270">
        <f t="shared" si="299"/>
        <v>0</v>
      </c>
      <c r="V59" s="270">
        <f t="shared" si="299"/>
        <v>0</v>
      </c>
      <c r="W59" s="270">
        <f t="shared" si="299"/>
        <v>0</v>
      </c>
      <c r="X59" s="270">
        <f t="shared" si="299"/>
        <v>0</v>
      </c>
      <c r="Y59" s="270">
        <f t="shared" si="299"/>
        <v>0</v>
      </c>
      <c r="Z59" s="270">
        <f t="shared" si="299"/>
        <v>0</v>
      </c>
      <c r="AA59" s="270">
        <f t="shared" si="299"/>
        <v>0</v>
      </c>
      <c r="AB59" s="270">
        <f t="shared" si="299"/>
        <v>0</v>
      </c>
      <c r="AC59" s="270">
        <f t="shared" si="299"/>
        <v>0</v>
      </c>
      <c r="AD59" s="270">
        <f t="shared" si="299"/>
        <v>0</v>
      </c>
      <c r="AE59" s="270">
        <f t="shared" si="299"/>
        <v>0</v>
      </c>
      <c r="AF59" s="270">
        <f t="shared" si="299"/>
        <v>0</v>
      </c>
      <c r="AG59" s="270">
        <f t="shared" si="299"/>
        <v>0</v>
      </c>
      <c r="AH59" s="265">
        <f t="shared" si="13"/>
        <v>200536.79</v>
      </c>
      <c r="AI59" s="270">
        <f t="shared" si="43"/>
        <v>0</v>
      </c>
      <c r="AJ59" s="270">
        <f t="shared" ref="AJ59:AO59" si="300">IF(F$8=0,0,ROUND(AJ58-(F59-BO59),2))</f>
        <v>0</v>
      </c>
      <c r="AK59" s="270">
        <f t="shared" si="300"/>
        <v>0</v>
      </c>
      <c r="AL59" s="270">
        <f t="shared" si="300"/>
        <v>0</v>
      </c>
      <c r="AM59" s="270">
        <f t="shared" si="300"/>
        <v>0</v>
      </c>
      <c r="AN59" s="270">
        <f t="shared" si="300"/>
        <v>0</v>
      </c>
      <c r="AO59" s="270">
        <f t="shared" si="300"/>
        <v>0</v>
      </c>
      <c r="AP59" s="270">
        <v>0.0</v>
      </c>
      <c r="AQ59" s="270">
        <f t="shared" ref="AQ59:AS59" si="301">IF(M$8=0,0,ROUND(AQ58-(M59-BV59),2))</f>
        <v>0</v>
      </c>
      <c r="AR59" s="270">
        <f t="shared" si="301"/>
        <v>1301.09</v>
      </c>
      <c r="AS59" s="270">
        <f t="shared" si="301"/>
        <v>30533.25</v>
      </c>
      <c r="AT59" s="270">
        <f t="shared" ref="AT59:BK59" si="302">IF(P$8=0,0,ROUND(AT58-(P59-BX59),2))</f>
        <v>32416.01</v>
      </c>
      <c r="AU59" s="270">
        <f t="shared" si="302"/>
        <v>136286.44</v>
      </c>
      <c r="AV59" s="270">
        <f t="shared" si="302"/>
        <v>0</v>
      </c>
      <c r="AW59" s="270">
        <f t="shared" si="302"/>
        <v>0</v>
      </c>
      <c r="AX59" s="270">
        <f t="shared" si="302"/>
        <v>0</v>
      </c>
      <c r="AY59" s="270">
        <f t="shared" si="302"/>
        <v>0</v>
      </c>
      <c r="AZ59" s="270">
        <f t="shared" si="302"/>
        <v>0</v>
      </c>
      <c r="BA59" s="270">
        <f t="shared" si="302"/>
        <v>0</v>
      </c>
      <c r="BB59" s="270">
        <f t="shared" si="302"/>
        <v>0</v>
      </c>
      <c r="BC59" s="270">
        <f t="shared" si="302"/>
        <v>0</v>
      </c>
      <c r="BD59" s="270">
        <f t="shared" si="302"/>
        <v>0</v>
      </c>
      <c r="BE59" s="270">
        <f t="shared" si="302"/>
        <v>0</v>
      </c>
      <c r="BF59" s="270">
        <f t="shared" si="302"/>
        <v>0</v>
      </c>
      <c r="BG59" s="270">
        <f t="shared" si="302"/>
        <v>0</v>
      </c>
      <c r="BH59" s="270">
        <f t="shared" si="302"/>
        <v>0</v>
      </c>
      <c r="BI59" s="270">
        <f t="shared" si="302"/>
        <v>0</v>
      </c>
      <c r="BJ59" s="270">
        <f t="shared" si="302"/>
        <v>0</v>
      </c>
      <c r="BK59" s="270">
        <f t="shared" si="302"/>
        <v>0</v>
      </c>
      <c r="BL59" s="265">
        <f t="shared" si="16"/>
        <v>200536.79</v>
      </c>
      <c r="BM59" s="215"/>
      <c r="BN59" s="270">
        <f t="shared" ref="BN59:CP59" si="303">ROUND(AI58*E$9/12,2)</f>
        <v>0</v>
      </c>
      <c r="BO59" s="270">
        <f t="shared" si="303"/>
        <v>0</v>
      </c>
      <c r="BP59" s="270">
        <f t="shared" si="303"/>
        <v>0</v>
      </c>
      <c r="BQ59" s="270">
        <f t="shared" si="303"/>
        <v>0</v>
      </c>
      <c r="BR59" s="270">
        <f t="shared" si="303"/>
        <v>0</v>
      </c>
      <c r="BS59" s="270">
        <f t="shared" si="303"/>
        <v>0</v>
      </c>
      <c r="BT59" s="270">
        <f t="shared" si="303"/>
        <v>0</v>
      </c>
      <c r="BU59" s="270">
        <f t="shared" si="303"/>
        <v>0</v>
      </c>
      <c r="BV59" s="270">
        <f t="shared" si="303"/>
        <v>0</v>
      </c>
      <c r="BW59" s="270">
        <f t="shared" si="303"/>
        <v>32.8</v>
      </c>
      <c r="BX59" s="270">
        <f t="shared" si="303"/>
        <v>283.66</v>
      </c>
      <c r="BY59" s="270">
        <f t="shared" si="303"/>
        <v>254.61</v>
      </c>
      <c r="BZ59" s="270">
        <f t="shared" si="303"/>
        <v>429.68</v>
      </c>
      <c r="CA59" s="270">
        <f t="shared" si="303"/>
        <v>0</v>
      </c>
      <c r="CB59" s="270">
        <f t="shared" si="303"/>
        <v>0</v>
      </c>
      <c r="CC59" s="270">
        <f t="shared" si="303"/>
        <v>0</v>
      </c>
      <c r="CD59" s="270">
        <f t="shared" si="303"/>
        <v>0</v>
      </c>
      <c r="CE59" s="270">
        <f t="shared" si="303"/>
        <v>0</v>
      </c>
      <c r="CF59" s="270">
        <f t="shared" si="303"/>
        <v>0</v>
      </c>
      <c r="CG59" s="270">
        <f t="shared" si="303"/>
        <v>0</v>
      </c>
      <c r="CH59" s="270">
        <f t="shared" si="303"/>
        <v>0</v>
      </c>
      <c r="CI59" s="270">
        <f t="shared" si="303"/>
        <v>0</v>
      </c>
      <c r="CJ59" s="270">
        <f t="shared" si="303"/>
        <v>0</v>
      </c>
      <c r="CK59" s="270">
        <f t="shared" si="303"/>
        <v>0</v>
      </c>
      <c r="CL59" s="270">
        <f t="shared" si="303"/>
        <v>0</v>
      </c>
      <c r="CM59" s="270">
        <f t="shared" si="303"/>
        <v>0</v>
      </c>
      <c r="CN59" s="270">
        <f t="shared" si="303"/>
        <v>0</v>
      </c>
      <c r="CO59" s="270">
        <f t="shared" si="303"/>
        <v>0</v>
      </c>
      <c r="CP59" s="270">
        <f t="shared" si="303"/>
        <v>0</v>
      </c>
      <c r="CQ59" s="215"/>
      <c r="CR59" s="270">
        <f t="shared" si="27"/>
        <v>1000.75</v>
      </c>
      <c r="CS59" s="215"/>
      <c r="CT59" s="270">
        <f t="shared" ref="CT59:DX59" si="304">IF(AI58&gt;0,IF((AI58+BN59)&lt;E$10,AI58+BN59,E$10),0)</f>
        <v>0</v>
      </c>
      <c r="CU59" s="270">
        <f t="shared" si="304"/>
        <v>0</v>
      </c>
      <c r="CV59" s="270">
        <f t="shared" si="304"/>
        <v>0</v>
      </c>
      <c r="CW59" s="270">
        <f t="shared" si="304"/>
        <v>0</v>
      </c>
      <c r="CX59" s="270">
        <f t="shared" si="304"/>
        <v>0</v>
      </c>
      <c r="CY59" s="270">
        <f t="shared" si="304"/>
        <v>0</v>
      </c>
      <c r="CZ59" s="270">
        <f t="shared" si="304"/>
        <v>0</v>
      </c>
      <c r="DA59" s="270">
        <f t="shared" si="304"/>
        <v>0</v>
      </c>
      <c r="DB59" s="270">
        <f t="shared" si="304"/>
        <v>0</v>
      </c>
      <c r="DC59" s="270">
        <f t="shared" si="304"/>
        <v>450.08</v>
      </c>
      <c r="DD59" s="270">
        <f t="shared" si="304"/>
        <v>695.6</v>
      </c>
      <c r="DE59" s="270">
        <f t="shared" si="304"/>
        <v>791.16</v>
      </c>
      <c r="DF59" s="270">
        <f t="shared" si="304"/>
        <v>1467.13</v>
      </c>
      <c r="DG59" s="270">
        <f t="shared" si="304"/>
        <v>0</v>
      </c>
      <c r="DH59" s="270">
        <f t="shared" si="304"/>
        <v>0</v>
      </c>
      <c r="DI59" s="270">
        <f t="shared" si="304"/>
        <v>0</v>
      </c>
      <c r="DJ59" s="270">
        <f t="shared" si="304"/>
        <v>0</v>
      </c>
      <c r="DK59" s="270">
        <f t="shared" si="304"/>
        <v>0</v>
      </c>
      <c r="DL59" s="270">
        <f t="shared" si="304"/>
        <v>0</v>
      </c>
      <c r="DM59" s="270">
        <f t="shared" si="304"/>
        <v>0</v>
      </c>
      <c r="DN59" s="270">
        <f t="shared" si="304"/>
        <v>0</v>
      </c>
      <c r="DO59" s="270">
        <f t="shared" si="304"/>
        <v>0</v>
      </c>
      <c r="DP59" s="270">
        <f t="shared" si="304"/>
        <v>0</v>
      </c>
      <c r="DQ59" s="270">
        <f t="shared" si="304"/>
        <v>0</v>
      </c>
      <c r="DR59" s="270">
        <f t="shared" si="304"/>
        <v>0</v>
      </c>
      <c r="DS59" s="270">
        <f t="shared" si="304"/>
        <v>0</v>
      </c>
      <c r="DT59" s="270">
        <f t="shared" si="304"/>
        <v>0</v>
      </c>
      <c r="DU59" s="270">
        <f t="shared" si="304"/>
        <v>0</v>
      </c>
      <c r="DV59" s="270">
        <f t="shared" si="304"/>
        <v>0</v>
      </c>
      <c r="DW59" s="271" t="str">
        <f t="shared" si="304"/>
        <v/>
      </c>
      <c r="DX59" s="270">
        <f t="shared" si="304"/>
        <v>0</v>
      </c>
      <c r="DY59" s="270">
        <f t="shared" si="29"/>
        <v>3403.97</v>
      </c>
      <c r="DZ59" s="274"/>
      <c r="EA59" s="275">
        <f t="shared" si="38"/>
        <v>0</v>
      </c>
      <c r="EB59" s="270">
        <f t="shared" ref="EB59:FC59" si="305">IF(AJ57&lt;=0,0,IF($C58&lt;=SUM($EA59:EA59),0,IF(CU58+$C58-SUM($EA59:EA59)&gt;AJ57+BO58,AJ57+BO58-CU58,$C58-SUM($EA59:EA59))))</f>
        <v>0</v>
      </c>
      <c r="EC59" s="270">
        <f t="shared" si="305"/>
        <v>0</v>
      </c>
      <c r="ED59" s="270">
        <f t="shared" si="305"/>
        <v>0</v>
      </c>
      <c r="EE59" s="270">
        <f t="shared" si="305"/>
        <v>0</v>
      </c>
      <c r="EF59" s="270">
        <f t="shared" si="305"/>
        <v>0</v>
      </c>
      <c r="EG59" s="270">
        <f t="shared" si="305"/>
        <v>0</v>
      </c>
      <c r="EH59" s="270">
        <f t="shared" si="305"/>
        <v>0</v>
      </c>
      <c r="EI59" s="270">
        <f t="shared" si="305"/>
        <v>0</v>
      </c>
      <c r="EJ59" s="270">
        <f t="shared" si="305"/>
        <v>468.03</v>
      </c>
      <c r="EK59" s="270">
        <f t="shared" si="305"/>
        <v>0</v>
      </c>
      <c r="EL59" s="270">
        <f t="shared" si="305"/>
        <v>0</v>
      </c>
      <c r="EM59" s="270">
        <f t="shared" si="305"/>
        <v>0</v>
      </c>
      <c r="EN59" s="270">
        <f t="shared" si="305"/>
        <v>0</v>
      </c>
      <c r="EO59" s="270">
        <f t="shared" si="305"/>
        <v>0</v>
      </c>
      <c r="EP59" s="270">
        <f t="shared" si="305"/>
        <v>0</v>
      </c>
      <c r="EQ59" s="270">
        <f t="shared" si="305"/>
        <v>0</v>
      </c>
      <c r="ER59" s="270">
        <f t="shared" si="305"/>
        <v>0</v>
      </c>
      <c r="ES59" s="270">
        <f t="shared" si="305"/>
        <v>0</v>
      </c>
      <c r="ET59" s="270">
        <f t="shared" si="305"/>
        <v>0</v>
      </c>
      <c r="EU59" s="270">
        <f t="shared" si="305"/>
        <v>0</v>
      </c>
      <c r="EV59" s="270">
        <f t="shared" si="305"/>
        <v>0</v>
      </c>
      <c r="EW59" s="270">
        <f t="shared" si="305"/>
        <v>0</v>
      </c>
      <c r="EX59" s="270">
        <f t="shared" si="305"/>
        <v>0</v>
      </c>
      <c r="EY59" s="270">
        <f t="shared" si="305"/>
        <v>0</v>
      </c>
      <c r="EZ59" s="270">
        <f t="shared" si="305"/>
        <v>0</v>
      </c>
      <c r="FA59" s="270">
        <f t="shared" si="305"/>
        <v>0</v>
      </c>
      <c r="FB59" s="270">
        <f t="shared" si="305"/>
        <v>0</v>
      </c>
      <c r="FC59" s="270">
        <f t="shared" si="305"/>
        <v>0</v>
      </c>
      <c r="FD59" s="271"/>
      <c r="FE59" s="271"/>
      <c r="FF59" s="271"/>
      <c r="FG59" s="215"/>
      <c r="FH59" s="215"/>
    </row>
    <row r="60" ht="11.25" customHeight="1">
      <c r="A60" s="231">
        <f t="shared" si="19"/>
        <v>40</v>
      </c>
      <c r="B60" s="269">
        <v>46844.0</v>
      </c>
      <c r="C60" s="270">
        <f>IF(A60="","",IF(Calculator!snowball,IF(($E$5-DY60)&lt;0,0,$E$5-DY60),0)+D60)</f>
        <v>458.03</v>
      </c>
      <c r="D60" s="277"/>
      <c r="E60" s="270">
        <f t="shared" si="40"/>
        <v>0</v>
      </c>
      <c r="F60" s="270">
        <f t="shared" ref="F60:AG60" si="306">CU60+EB61</f>
        <v>0</v>
      </c>
      <c r="G60" s="270">
        <f t="shared" si="306"/>
        <v>0</v>
      </c>
      <c r="H60" s="270">
        <f t="shared" si="306"/>
        <v>0</v>
      </c>
      <c r="I60" s="270">
        <f t="shared" si="306"/>
        <v>0</v>
      </c>
      <c r="J60" s="270">
        <f t="shared" si="306"/>
        <v>0</v>
      </c>
      <c r="K60" s="270">
        <f t="shared" si="306"/>
        <v>0</v>
      </c>
      <c r="L60" s="270">
        <f t="shared" si="306"/>
        <v>0</v>
      </c>
      <c r="M60" s="270">
        <f t="shared" si="306"/>
        <v>0</v>
      </c>
      <c r="N60" s="270">
        <f t="shared" si="306"/>
        <v>908.11</v>
      </c>
      <c r="O60" s="270">
        <f t="shared" si="306"/>
        <v>695.6</v>
      </c>
      <c r="P60" s="272">
        <f t="shared" si="306"/>
        <v>791.16</v>
      </c>
      <c r="Q60" s="272">
        <f t="shared" si="306"/>
        <v>1467.13</v>
      </c>
      <c r="R60" s="272">
        <f t="shared" si="306"/>
        <v>0</v>
      </c>
      <c r="S60" s="272">
        <f t="shared" si="306"/>
        <v>0</v>
      </c>
      <c r="T60" s="272">
        <f t="shared" si="306"/>
        <v>0</v>
      </c>
      <c r="U60" s="270">
        <f t="shared" si="306"/>
        <v>0</v>
      </c>
      <c r="V60" s="270">
        <f t="shared" si="306"/>
        <v>0</v>
      </c>
      <c r="W60" s="270">
        <f t="shared" si="306"/>
        <v>0</v>
      </c>
      <c r="X60" s="270">
        <f t="shared" si="306"/>
        <v>0</v>
      </c>
      <c r="Y60" s="270">
        <f t="shared" si="306"/>
        <v>0</v>
      </c>
      <c r="Z60" s="270">
        <f t="shared" si="306"/>
        <v>0</v>
      </c>
      <c r="AA60" s="270">
        <f t="shared" si="306"/>
        <v>0</v>
      </c>
      <c r="AB60" s="270">
        <f t="shared" si="306"/>
        <v>0</v>
      </c>
      <c r="AC60" s="270">
        <f t="shared" si="306"/>
        <v>0</v>
      </c>
      <c r="AD60" s="270">
        <f t="shared" si="306"/>
        <v>0</v>
      </c>
      <c r="AE60" s="270">
        <f t="shared" si="306"/>
        <v>0</v>
      </c>
      <c r="AF60" s="270">
        <f t="shared" si="306"/>
        <v>0</v>
      </c>
      <c r="AG60" s="270">
        <f t="shared" si="306"/>
        <v>0</v>
      </c>
      <c r="AH60" s="265">
        <f t="shared" si="13"/>
        <v>197504.77</v>
      </c>
      <c r="AI60" s="270">
        <f t="shared" si="43"/>
        <v>0</v>
      </c>
      <c r="AJ60" s="270">
        <f t="shared" ref="AJ60:AO60" si="307">IF(F$8=0,0,ROUND(AJ59-(F60-BO60),2))</f>
        <v>0</v>
      </c>
      <c r="AK60" s="270">
        <f t="shared" si="307"/>
        <v>0</v>
      </c>
      <c r="AL60" s="270">
        <f t="shared" si="307"/>
        <v>0</v>
      </c>
      <c r="AM60" s="270">
        <f t="shared" si="307"/>
        <v>0</v>
      </c>
      <c r="AN60" s="270">
        <f t="shared" si="307"/>
        <v>0</v>
      </c>
      <c r="AO60" s="270">
        <f t="shared" si="307"/>
        <v>0</v>
      </c>
      <c r="AP60" s="270">
        <v>0.0</v>
      </c>
      <c r="AQ60" s="270">
        <f t="shared" ref="AQ60:AS60" si="308">IF(M$8=0,0,ROUND(AQ59-(M60-BV60),2))</f>
        <v>0</v>
      </c>
      <c r="AR60" s="270">
        <f t="shared" si="308"/>
        <v>412.5</v>
      </c>
      <c r="AS60" s="270">
        <f t="shared" si="308"/>
        <v>30117.54</v>
      </c>
      <c r="AT60" s="270">
        <f t="shared" ref="AT60:BK60" si="309">IF(P$8=0,0,ROUND(AT59-(P60-BX60),2))</f>
        <v>31904.74</v>
      </c>
      <c r="AU60" s="270">
        <f t="shared" si="309"/>
        <v>135069.99</v>
      </c>
      <c r="AV60" s="270">
        <f t="shared" si="309"/>
        <v>0</v>
      </c>
      <c r="AW60" s="270">
        <f t="shared" si="309"/>
        <v>0</v>
      </c>
      <c r="AX60" s="270">
        <f t="shared" si="309"/>
        <v>0</v>
      </c>
      <c r="AY60" s="270">
        <f t="shared" si="309"/>
        <v>0</v>
      </c>
      <c r="AZ60" s="270">
        <f t="shared" si="309"/>
        <v>0</v>
      </c>
      <c r="BA60" s="270">
        <f t="shared" si="309"/>
        <v>0</v>
      </c>
      <c r="BB60" s="270">
        <f t="shared" si="309"/>
        <v>0</v>
      </c>
      <c r="BC60" s="270">
        <f t="shared" si="309"/>
        <v>0</v>
      </c>
      <c r="BD60" s="270">
        <f t="shared" si="309"/>
        <v>0</v>
      </c>
      <c r="BE60" s="270">
        <f t="shared" si="309"/>
        <v>0</v>
      </c>
      <c r="BF60" s="270">
        <f t="shared" si="309"/>
        <v>0</v>
      </c>
      <c r="BG60" s="270">
        <f t="shared" si="309"/>
        <v>0</v>
      </c>
      <c r="BH60" s="270">
        <f t="shared" si="309"/>
        <v>0</v>
      </c>
      <c r="BI60" s="270">
        <f t="shared" si="309"/>
        <v>0</v>
      </c>
      <c r="BJ60" s="270">
        <f t="shared" si="309"/>
        <v>0</v>
      </c>
      <c r="BK60" s="270">
        <f t="shared" si="309"/>
        <v>0</v>
      </c>
      <c r="BL60" s="265">
        <f t="shared" si="16"/>
        <v>197504.77</v>
      </c>
      <c r="BM60" s="215"/>
      <c r="BN60" s="270">
        <f t="shared" ref="BN60:CP60" si="310">ROUND(AI59*E$9/12,2)</f>
        <v>0</v>
      </c>
      <c r="BO60" s="270">
        <f t="shared" si="310"/>
        <v>0</v>
      </c>
      <c r="BP60" s="270">
        <f t="shared" si="310"/>
        <v>0</v>
      </c>
      <c r="BQ60" s="270">
        <f t="shared" si="310"/>
        <v>0</v>
      </c>
      <c r="BR60" s="270">
        <f t="shared" si="310"/>
        <v>0</v>
      </c>
      <c r="BS60" s="270">
        <f t="shared" si="310"/>
        <v>0</v>
      </c>
      <c r="BT60" s="270">
        <f t="shared" si="310"/>
        <v>0</v>
      </c>
      <c r="BU60" s="270">
        <f t="shared" si="310"/>
        <v>0</v>
      </c>
      <c r="BV60" s="270">
        <f t="shared" si="310"/>
        <v>0</v>
      </c>
      <c r="BW60" s="270">
        <f t="shared" si="310"/>
        <v>19.52</v>
      </c>
      <c r="BX60" s="270">
        <f t="shared" si="310"/>
        <v>279.89</v>
      </c>
      <c r="BY60" s="270">
        <f t="shared" si="310"/>
        <v>250.68</v>
      </c>
      <c r="BZ60" s="270">
        <f t="shared" si="310"/>
        <v>425.9</v>
      </c>
      <c r="CA60" s="270">
        <f t="shared" si="310"/>
        <v>0</v>
      </c>
      <c r="CB60" s="270">
        <f t="shared" si="310"/>
        <v>0</v>
      </c>
      <c r="CC60" s="270">
        <f t="shared" si="310"/>
        <v>0</v>
      </c>
      <c r="CD60" s="270">
        <f t="shared" si="310"/>
        <v>0</v>
      </c>
      <c r="CE60" s="270">
        <f t="shared" si="310"/>
        <v>0</v>
      </c>
      <c r="CF60" s="270">
        <f t="shared" si="310"/>
        <v>0</v>
      </c>
      <c r="CG60" s="270">
        <f t="shared" si="310"/>
        <v>0</v>
      </c>
      <c r="CH60" s="270">
        <f t="shared" si="310"/>
        <v>0</v>
      </c>
      <c r="CI60" s="270">
        <f t="shared" si="310"/>
        <v>0</v>
      </c>
      <c r="CJ60" s="270">
        <f t="shared" si="310"/>
        <v>0</v>
      </c>
      <c r="CK60" s="270">
        <f t="shared" si="310"/>
        <v>0</v>
      </c>
      <c r="CL60" s="270">
        <f t="shared" si="310"/>
        <v>0</v>
      </c>
      <c r="CM60" s="270">
        <f t="shared" si="310"/>
        <v>0</v>
      </c>
      <c r="CN60" s="270">
        <f t="shared" si="310"/>
        <v>0</v>
      </c>
      <c r="CO60" s="270">
        <f t="shared" si="310"/>
        <v>0</v>
      </c>
      <c r="CP60" s="270">
        <f t="shared" si="310"/>
        <v>0</v>
      </c>
      <c r="CQ60" s="215"/>
      <c r="CR60" s="270">
        <f t="shared" si="27"/>
        <v>975.99</v>
      </c>
      <c r="CS60" s="215"/>
      <c r="CT60" s="270">
        <f t="shared" ref="CT60:DX60" si="311">IF(AI59&gt;0,IF((AI59+BN60)&lt;E$10,AI59+BN60,E$10),0)</f>
        <v>0</v>
      </c>
      <c r="CU60" s="270">
        <f t="shared" si="311"/>
        <v>0</v>
      </c>
      <c r="CV60" s="270">
        <f t="shared" si="311"/>
        <v>0</v>
      </c>
      <c r="CW60" s="270">
        <f t="shared" si="311"/>
        <v>0</v>
      </c>
      <c r="CX60" s="270">
        <f t="shared" si="311"/>
        <v>0</v>
      </c>
      <c r="CY60" s="270">
        <f t="shared" si="311"/>
        <v>0</v>
      </c>
      <c r="CZ60" s="270">
        <f t="shared" si="311"/>
        <v>0</v>
      </c>
      <c r="DA60" s="270">
        <f t="shared" si="311"/>
        <v>0</v>
      </c>
      <c r="DB60" s="270">
        <f t="shared" si="311"/>
        <v>0</v>
      </c>
      <c r="DC60" s="270">
        <f t="shared" si="311"/>
        <v>450.08</v>
      </c>
      <c r="DD60" s="270">
        <f t="shared" si="311"/>
        <v>695.6</v>
      </c>
      <c r="DE60" s="270">
        <f t="shared" si="311"/>
        <v>791.16</v>
      </c>
      <c r="DF60" s="270">
        <f t="shared" si="311"/>
        <v>1467.13</v>
      </c>
      <c r="DG60" s="270">
        <f t="shared" si="311"/>
        <v>0</v>
      </c>
      <c r="DH60" s="270">
        <f t="shared" si="311"/>
        <v>0</v>
      </c>
      <c r="DI60" s="270">
        <f t="shared" si="311"/>
        <v>0</v>
      </c>
      <c r="DJ60" s="270">
        <f t="shared" si="311"/>
        <v>0</v>
      </c>
      <c r="DK60" s="270">
        <f t="shared" si="311"/>
        <v>0</v>
      </c>
      <c r="DL60" s="270">
        <f t="shared" si="311"/>
        <v>0</v>
      </c>
      <c r="DM60" s="270">
        <f t="shared" si="311"/>
        <v>0</v>
      </c>
      <c r="DN60" s="270">
        <f t="shared" si="311"/>
        <v>0</v>
      </c>
      <c r="DO60" s="270">
        <f t="shared" si="311"/>
        <v>0</v>
      </c>
      <c r="DP60" s="270">
        <f t="shared" si="311"/>
        <v>0</v>
      </c>
      <c r="DQ60" s="270">
        <f t="shared" si="311"/>
        <v>0</v>
      </c>
      <c r="DR60" s="270">
        <f t="shared" si="311"/>
        <v>0</v>
      </c>
      <c r="DS60" s="270">
        <f t="shared" si="311"/>
        <v>0</v>
      </c>
      <c r="DT60" s="270">
        <f t="shared" si="311"/>
        <v>0</v>
      </c>
      <c r="DU60" s="270">
        <f t="shared" si="311"/>
        <v>0</v>
      </c>
      <c r="DV60" s="270">
        <f t="shared" si="311"/>
        <v>0</v>
      </c>
      <c r="DW60" s="271" t="str">
        <f t="shared" si="311"/>
        <v/>
      </c>
      <c r="DX60" s="270">
        <f t="shared" si="311"/>
        <v>0</v>
      </c>
      <c r="DY60" s="270">
        <f t="shared" si="29"/>
        <v>3403.97</v>
      </c>
      <c r="DZ60" s="274"/>
      <c r="EA60" s="275">
        <f t="shared" si="38"/>
        <v>0</v>
      </c>
      <c r="EB60" s="270">
        <f t="shared" ref="EB60:FC60" si="312">IF(AJ58&lt;=0,0,IF($C59&lt;=SUM($EA60:EA60),0,IF(CU59+$C59-SUM($EA60:EA60)&gt;AJ58+BO59,AJ58+BO59-CU59,$C59-SUM($EA60:EA60))))</f>
        <v>0</v>
      </c>
      <c r="EC60" s="270">
        <f t="shared" si="312"/>
        <v>0</v>
      </c>
      <c r="ED60" s="270">
        <f t="shared" si="312"/>
        <v>0</v>
      </c>
      <c r="EE60" s="270">
        <f t="shared" si="312"/>
        <v>0</v>
      </c>
      <c r="EF60" s="270">
        <f t="shared" si="312"/>
        <v>0</v>
      </c>
      <c r="EG60" s="270">
        <f t="shared" si="312"/>
        <v>0</v>
      </c>
      <c r="EH60" s="270">
        <f t="shared" si="312"/>
        <v>0</v>
      </c>
      <c r="EI60" s="270">
        <f t="shared" si="312"/>
        <v>0</v>
      </c>
      <c r="EJ60" s="270">
        <f t="shared" si="312"/>
        <v>468.03</v>
      </c>
      <c r="EK60" s="270">
        <f t="shared" si="312"/>
        <v>0</v>
      </c>
      <c r="EL60" s="270">
        <f t="shared" si="312"/>
        <v>0</v>
      </c>
      <c r="EM60" s="270">
        <f t="shared" si="312"/>
        <v>0</v>
      </c>
      <c r="EN60" s="270">
        <f t="shared" si="312"/>
        <v>0</v>
      </c>
      <c r="EO60" s="270">
        <f t="shared" si="312"/>
        <v>0</v>
      </c>
      <c r="EP60" s="270">
        <f t="shared" si="312"/>
        <v>0</v>
      </c>
      <c r="EQ60" s="270">
        <f t="shared" si="312"/>
        <v>0</v>
      </c>
      <c r="ER60" s="270">
        <f t="shared" si="312"/>
        <v>0</v>
      </c>
      <c r="ES60" s="270">
        <f t="shared" si="312"/>
        <v>0</v>
      </c>
      <c r="ET60" s="270">
        <f t="shared" si="312"/>
        <v>0</v>
      </c>
      <c r="EU60" s="270">
        <f t="shared" si="312"/>
        <v>0</v>
      </c>
      <c r="EV60" s="270">
        <f t="shared" si="312"/>
        <v>0</v>
      </c>
      <c r="EW60" s="270">
        <f t="shared" si="312"/>
        <v>0</v>
      </c>
      <c r="EX60" s="270">
        <f t="shared" si="312"/>
        <v>0</v>
      </c>
      <c r="EY60" s="270">
        <f t="shared" si="312"/>
        <v>0</v>
      </c>
      <c r="EZ60" s="270">
        <f t="shared" si="312"/>
        <v>0</v>
      </c>
      <c r="FA60" s="270">
        <f t="shared" si="312"/>
        <v>0</v>
      </c>
      <c r="FB60" s="270">
        <f t="shared" si="312"/>
        <v>0</v>
      </c>
      <c r="FC60" s="270">
        <f t="shared" si="312"/>
        <v>0</v>
      </c>
      <c r="FD60" s="271"/>
      <c r="FE60" s="271"/>
      <c r="FF60" s="271"/>
      <c r="FG60" s="215"/>
      <c r="FH60" s="215"/>
    </row>
    <row r="61" ht="11.25" customHeight="1">
      <c r="A61" s="231">
        <f t="shared" si="19"/>
        <v>41</v>
      </c>
      <c r="B61" s="269">
        <v>46874.0</v>
      </c>
      <c r="C61" s="270">
        <f>IF(A61="","",IF(Calculator!snowball,IF(($E$5-DY61)&lt;0,0,$E$5-DY61),0)+D61)</f>
        <v>489.42</v>
      </c>
      <c r="D61" s="277"/>
      <c r="E61" s="270">
        <f t="shared" si="40"/>
        <v>0</v>
      </c>
      <c r="F61" s="270">
        <f t="shared" ref="F61:AG61" si="313">CU61+EB62</f>
        <v>0</v>
      </c>
      <c r="G61" s="270">
        <f t="shared" si="313"/>
        <v>0</v>
      </c>
      <c r="H61" s="270">
        <f t="shared" si="313"/>
        <v>0</v>
      </c>
      <c r="I61" s="270">
        <f t="shared" si="313"/>
        <v>0</v>
      </c>
      <c r="J61" s="270">
        <f t="shared" si="313"/>
        <v>0</v>
      </c>
      <c r="K61" s="270">
        <f t="shared" si="313"/>
        <v>0</v>
      </c>
      <c r="L61" s="270">
        <f t="shared" si="313"/>
        <v>0</v>
      </c>
      <c r="M61" s="270">
        <f t="shared" si="313"/>
        <v>0</v>
      </c>
      <c r="N61" s="270">
        <f t="shared" si="313"/>
        <v>418.69</v>
      </c>
      <c r="O61" s="270">
        <f t="shared" si="313"/>
        <v>1185.02</v>
      </c>
      <c r="P61" s="272">
        <f t="shared" si="313"/>
        <v>791.16</v>
      </c>
      <c r="Q61" s="272">
        <f t="shared" si="313"/>
        <v>1467.13</v>
      </c>
      <c r="R61" s="272">
        <f t="shared" si="313"/>
        <v>0</v>
      </c>
      <c r="S61" s="272">
        <f t="shared" si="313"/>
        <v>0</v>
      </c>
      <c r="T61" s="272">
        <f t="shared" si="313"/>
        <v>0</v>
      </c>
      <c r="U61" s="270">
        <f t="shared" si="313"/>
        <v>0</v>
      </c>
      <c r="V61" s="270">
        <f t="shared" si="313"/>
        <v>0</v>
      </c>
      <c r="W61" s="270">
        <f t="shared" si="313"/>
        <v>0</v>
      </c>
      <c r="X61" s="270">
        <f t="shared" si="313"/>
        <v>0</v>
      </c>
      <c r="Y61" s="270">
        <f t="shared" si="313"/>
        <v>0</v>
      </c>
      <c r="Z61" s="270">
        <f t="shared" si="313"/>
        <v>0</v>
      </c>
      <c r="AA61" s="270">
        <f t="shared" si="313"/>
        <v>0</v>
      </c>
      <c r="AB61" s="270">
        <f t="shared" si="313"/>
        <v>0</v>
      </c>
      <c r="AC61" s="270">
        <f t="shared" si="313"/>
        <v>0</v>
      </c>
      <c r="AD61" s="270">
        <f t="shared" si="313"/>
        <v>0</v>
      </c>
      <c r="AE61" s="270">
        <f t="shared" si="313"/>
        <v>0</v>
      </c>
      <c r="AF61" s="270">
        <f t="shared" si="313"/>
        <v>0</v>
      </c>
      <c r="AG61" s="270">
        <f t="shared" si="313"/>
        <v>0</v>
      </c>
      <c r="AH61" s="265">
        <f t="shared" si="13"/>
        <v>194447.85</v>
      </c>
      <c r="AI61" s="270">
        <f t="shared" si="43"/>
        <v>0</v>
      </c>
      <c r="AJ61" s="270">
        <f t="shared" ref="AJ61:AO61" si="314">IF(F$8=0,0,ROUND(AJ60-(F61-BO61),2))</f>
        <v>0</v>
      </c>
      <c r="AK61" s="270">
        <f t="shared" si="314"/>
        <v>0</v>
      </c>
      <c r="AL61" s="270">
        <f t="shared" si="314"/>
        <v>0</v>
      </c>
      <c r="AM61" s="270">
        <f t="shared" si="314"/>
        <v>0</v>
      </c>
      <c r="AN61" s="270">
        <f t="shared" si="314"/>
        <v>0</v>
      </c>
      <c r="AO61" s="270">
        <f t="shared" si="314"/>
        <v>0</v>
      </c>
      <c r="AP61" s="270">
        <v>0.0</v>
      </c>
      <c r="AQ61" s="270">
        <f t="shared" ref="AQ61:AS61" si="315">IF(M$8=0,0,ROUND(AQ60-(M61-BV61),2))</f>
        <v>0</v>
      </c>
      <c r="AR61" s="270">
        <f t="shared" si="315"/>
        <v>0</v>
      </c>
      <c r="AS61" s="270">
        <f t="shared" si="315"/>
        <v>29208.6</v>
      </c>
      <c r="AT61" s="270">
        <f t="shared" ref="AT61:BK61" si="316">IF(P$8=0,0,ROUND(AT60-(P61-BX61),2))</f>
        <v>31389.66</v>
      </c>
      <c r="AU61" s="270">
        <f t="shared" si="316"/>
        <v>133849.59</v>
      </c>
      <c r="AV61" s="270">
        <f t="shared" si="316"/>
        <v>0</v>
      </c>
      <c r="AW61" s="270">
        <f t="shared" si="316"/>
        <v>0</v>
      </c>
      <c r="AX61" s="270">
        <f t="shared" si="316"/>
        <v>0</v>
      </c>
      <c r="AY61" s="270">
        <f t="shared" si="316"/>
        <v>0</v>
      </c>
      <c r="AZ61" s="270">
        <f t="shared" si="316"/>
        <v>0</v>
      </c>
      <c r="BA61" s="270">
        <f t="shared" si="316"/>
        <v>0</v>
      </c>
      <c r="BB61" s="270">
        <f t="shared" si="316"/>
        <v>0</v>
      </c>
      <c r="BC61" s="270">
        <f t="shared" si="316"/>
        <v>0</v>
      </c>
      <c r="BD61" s="270">
        <f t="shared" si="316"/>
        <v>0</v>
      </c>
      <c r="BE61" s="270">
        <f t="shared" si="316"/>
        <v>0</v>
      </c>
      <c r="BF61" s="270">
        <f t="shared" si="316"/>
        <v>0</v>
      </c>
      <c r="BG61" s="270">
        <f t="shared" si="316"/>
        <v>0</v>
      </c>
      <c r="BH61" s="270">
        <f t="shared" si="316"/>
        <v>0</v>
      </c>
      <c r="BI61" s="270">
        <f t="shared" si="316"/>
        <v>0</v>
      </c>
      <c r="BJ61" s="270">
        <f t="shared" si="316"/>
        <v>0</v>
      </c>
      <c r="BK61" s="270">
        <f t="shared" si="316"/>
        <v>0</v>
      </c>
      <c r="BL61" s="265">
        <f t="shared" si="16"/>
        <v>194447.85</v>
      </c>
      <c r="BM61" s="215"/>
      <c r="BN61" s="270">
        <f t="shared" ref="BN61:CP61" si="317">ROUND(AI60*E$9/12,2)</f>
        <v>0</v>
      </c>
      <c r="BO61" s="270">
        <f t="shared" si="317"/>
        <v>0</v>
      </c>
      <c r="BP61" s="270">
        <f t="shared" si="317"/>
        <v>0</v>
      </c>
      <c r="BQ61" s="270">
        <f t="shared" si="317"/>
        <v>0</v>
      </c>
      <c r="BR61" s="270">
        <f t="shared" si="317"/>
        <v>0</v>
      </c>
      <c r="BS61" s="270">
        <f t="shared" si="317"/>
        <v>0</v>
      </c>
      <c r="BT61" s="270">
        <f t="shared" si="317"/>
        <v>0</v>
      </c>
      <c r="BU61" s="270">
        <f t="shared" si="317"/>
        <v>0</v>
      </c>
      <c r="BV61" s="270">
        <f t="shared" si="317"/>
        <v>0</v>
      </c>
      <c r="BW61" s="270">
        <f t="shared" si="317"/>
        <v>6.19</v>
      </c>
      <c r="BX61" s="270">
        <f t="shared" si="317"/>
        <v>276.08</v>
      </c>
      <c r="BY61" s="270">
        <f t="shared" si="317"/>
        <v>246.73</v>
      </c>
      <c r="BZ61" s="270">
        <f t="shared" si="317"/>
        <v>422.09</v>
      </c>
      <c r="CA61" s="270">
        <f t="shared" si="317"/>
        <v>0</v>
      </c>
      <c r="CB61" s="270">
        <f t="shared" si="317"/>
        <v>0</v>
      </c>
      <c r="CC61" s="270">
        <f t="shared" si="317"/>
        <v>0</v>
      </c>
      <c r="CD61" s="270">
        <f t="shared" si="317"/>
        <v>0</v>
      </c>
      <c r="CE61" s="270">
        <f t="shared" si="317"/>
        <v>0</v>
      </c>
      <c r="CF61" s="270">
        <f t="shared" si="317"/>
        <v>0</v>
      </c>
      <c r="CG61" s="270">
        <f t="shared" si="317"/>
        <v>0</v>
      </c>
      <c r="CH61" s="270">
        <f t="shared" si="317"/>
        <v>0</v>
      </c>
      <c r="CI61" s="270">
        <f t="shared" si="317"/>
        <v>0</v>
      </c>
      <c r="CJ61" s="270">
        <f t="shared" si="317"/>
        <v>0</v>
      </c>
      <c r="CK61" s="270">
        <f t="shared" si="317"/>
        <v>0</v>
      </c>
      <c r="CL61" s="270">
        <f t="shared" si="317"/>
        <v>0</v>
      </c>
      <c r="CM61" s="270">
        <f t="shared" si="317"/>
        <v>0</v>
      </c>
      <c r="CN61" s="270">
        <f t="shared" si="317"/>
        <v>0</v>
      </c>
      <c r="CO61" s="270">
        <f t="shared" si="317"/>
        <v>0</v>
      </c>
      <c r="CP61" s="270">
        <f t="shared" si="317"/>
        <v>0</v>
      </c>
      <c r="CQ61" s="215"/>
      <c r="CR61" s="270">
        <f t="shared" si="27"/>
        <v>951.09</v>
      </c>
      <c r="CS61" s="215"/>
      <c r="CT61" s="270">
        <f t="shared" ref="CT61:DX61" si="318">IF(AI60&gt;0,IF((AI60+BN61)&lt;E$10,AI60+BN61,E$10),0)</f>
        <v>0</v>
      </c>
      <c r="CU61" s="270">
        <f t="shared" si="318"/>
        <v>0</v>
      </c>
      <c r="CV61" s="270">
        <f t="shared" si="318"/>
        <v>0</v>
      </c>
      <c r="CW61" s="270">
        <f t="shared" si="318"/>
        <v>0</v>
      </c>
      <c r="CX61" s="270">
        <f t="shared" si="318"/>
        <v>0</v>
      </c>
      <c r="CY61" s="270">
        <f t="shared" si="318"/>
        <v>0</v>
      </c>
      <c r="CZ61" s="270">
        <f t="shared" si="318"/>
        <v>0</v>
      </c>
      <c r="DA61" s="270">
        <f t="shared" si="318"/>
        <v>0</v>
      </c>
      <c r="DB61" s="270">
        <f t="shared" si="318"/>
        <v>0</v>
      </c>
      <c r="DC61" s="270">
        <f t="shared" si="318"/>
        <v>418.69</v>
      </c>
      <c r="DD61" s="270">
        <f t="shared" si="318"/>
        <v>695.6</v>
      </c>
      <c r="DE61" s="270">
        <f t="shared" si="318"/>
        <v>791.16</v>
      </c>
      <c r="DF61" s="270">
        <f t="shared" si="318"/>
        <v>1467.13</v>
      </c>
      <c r="DG61" s="270">
        <f t="shared" si="318"/>
        <v>0</v>
      </c>
      <c r="DH61" s="270">
        <f t="shared" si="318"/>
        <v>0</v>
      </c>
      <c r="DI61" s="270">
        <f t="shared" si="318"/>
        <v>0</v>
      </c>
      <c r="DJ61" s="270">
        <f t="shared" si="318"/>
        <v>0</v>
      </c>
      <c r="DK61" s="270">
        <f t="shared" si="318"/>
        <v>0</v>
      </c>
      <c r="DL61" s="270">
        <f t="shared" si="318"/>
        <v>0</v>
      </c>
      <c r="DM61" s="270">
        <f t="shared" si="318"/>
        <v>0</v>
      </c>
      <c r="DN61" s="270">
        <f t="shared" si="318"/>
        <v>0</v>
      </c>
      <c r="DO61" s="270">
        <f t="shared" si="318"/>
        <v>0</v>
      </c>
      <c r="DP61" s="270">
        <f t="shared" si="318"/>
        <v>0</v>
      </c>
      <c r="DQ61" s="270">
        <f t="shared" si="318"/>
        <v>0</v>
      </c>
      <c r="DR61" s="270">
        <f t="shared" si="318"/>
        <v>0</v>
      </c>
      <c r="DS61" s="270">
        <f t="shared" si="318"/>
        <v>0</v>
      </c>
      <c r="DT61" s="270">
        <f t="shared" si="318"/>
        <v>0</v>
      </c>
      <c r="DU61" s="270">
        <f t="shared" si="318"/>
        <v>0</v>
      </c>
      <c r="DV61" s="270">
        <f t="shared" si="318"/>
        <v>0</v>
      </c>
      <c r="DW61" s="271" t="str">
        <f t="shared" si="318"/>
        <v/>
      </c>
      <c r="DX61" s="270">
        <f t="shared" si="318"/>
        <v>0</v>
      </c>
      <c r="DY61" s="270">
        <f t="shared" si="29"/>
        <v>3372.58</v>
      </c>
      <c r="DZ61" s="274"/>
      <c r="EA61" s="275">
        <f t="shared" si="38"/>
        <v>0</v>
      </c>
      <c r="EB61" s="270">
        <f t="shared" ref="EB61:FC61" si="319">IF(AJ59&lt;=0,0,IF($C60&lt;=SUM($EA61:EA61),0,IF(CU60+$C60-SUM($EA61:EA61)&gt;AJ59+BO60,AJ59+BO60-CU60,$C60-SUM($EA61:EA61))))</f>
        <v>0</v>
      </c>
      <c r="EC61" s="270">
        <f t="shared" si="319"/>
        <v>0</v>
      </c>
      <c r="ED61" s="270">
        <f t="shared" si="319"/>
        <v>0</v>
      </c>
      <c r="EE61" s="270">
        <f t="shared" si="319"/>
        <v>0</v>
      </c>
      <c r="EF61" s="270">
        <f t="shared" si="319"/>
        <v>0</v>
      </c>
      <c r="EG61" s="270">
        <f t="shared" si="319"/>
        <v>0</v>
      </c>
      <c r="EH61" s="270">
        <f t="shared" si="319"/>
        <v>0</v>
      </c>
      <c r="EI61" s="270">
        <f t="shared" si="319"/>
        <v>0</v>
      </c>
      <c r="EJ61" s="270">
        <f t="shared" si="319"/>
        <v>458.03</v>
      </c>
      <c r="EK61" s="270">
        <f t="shared" si="319"/>
        <v>0</v>
      </c>
      <c r="EL61" s="270">
        <f t="shared" si="319"/>
        <v>0</v>
      </c>
      <c r="EM61" s="270">
        <f t="shared" si="319"/>
        <v>0</v>
      </c>
      <c r="EN61" s="270">
        <f t="shared" si="319"/>
        <v>0</v>
      </c>
      <c r="EO61" s="270">
        <f t="shared" si="319"/>
        <v>0</v>
      </c>
      <c r="EP61" s="270">
        <f t="shared" si="319"/>
        <v>0</v>
      </c>
      <c r="EQ61" s="270">
        <f t="shared" si="319"/>
        <v>0</v>
      </c>
      <c r="ER61" s="270">
        <f t="shared" si="319"/>
        <v>0</v>
      </c>
      <c r="ES61" s="270">
        <f t="shared" si="319"/>
        <v>0</v>
      </c>
      <c r="ET61" s="270">
        <f t="shared" si="319"/>
        <v>0</v>
      </c>
      <c r="EU61" s="270">
        <f t="shared" si="319"/>
        <v>0</v>
      </c>
      <c r="EV61" s="270">
        <f t="shared" si="319"/>
        <v>0</v>
      </c>
      <c r="EW61" s="270">
        <f t="shared" si="319"/>
        <v>0</v>
      </c>
      <c r="EX61" s="270">
        <f t="shared" si="319"/>
        <v>0</v>
      </c>
      <c r="EY61" s="270">
        <f t="shared" si="319"/>
        <v>0</v>
      </c>
      <c r="EZ61" s="270">
        <f t="shared" si="319"/>
        <v>0</v>
      </c>
      <c r="FA61" s="270">
        <f t="shared" si="319"/>
        <v>0</v>
      </c>
      <c r="FB61" s="270">
        <f t="shared" si="319"/>
        <v>0</v>
      </c>
      <c r="FC61" s="270">
        <f t="shared" si="319"/>
        <v>0</v>
      </c>
      <c r="FD61" s="271"/>
      <c r="FE61" s="271"/>
      <c r="FF61" s="271"/>
      <c r="FG61" s="215"/>
      <c r="FH61" s="215"/>
    </row>
    <row r="62" ht="11.25" customHeight="1">
      <c r="A62" s="231">
        <f t="shared" si="19"/>
        <v>42</v>
      </c>
      <c r="B62" s="269">
        <v>46905.0</v>
      </c>
      <c r="C62" s="270">
        <f>IF(A62="","",IF(Calculator!snowball,IF(($E$5-DY62)&lt;0,0,$E$5-DY62),0)+D62)</f>
        <v>908.11</v>
      </c>
      <c r="D62" s="277"/>
      <c r="E62" s="270">
        <f t="shared" si="40"/>
        <v>0</v>
      </c>
      <c r="F62" s="270">
        <f t="shared" ref="F62:AG62" si="320">CU62+EB63</f>
        <v>0</v>
      </c>
      <c r="G62" s="270">
        <f t="shared" si="320"/>
        <v>0</v>
      </c>
      <c r="H62" s="270">
        <f t="shared" si="320"/>
        <v>0</v>
      </c>
      <c r="I62" s="270">
        <f t="shared" si="320"/>
        <v>0</v>
      </c>
      <c r="J62" s="270">
        <f t="shared" si="320"/>
        <v>0</v>
      </c>
      <c r="K62" s="270">
        <f t="shared" si="320"/>
        <v>0</v>
      </c>
      <c r="L62" s="270">
        <f t="shared" si="320"/>
        <v>0</v>
      </c>
      <c r="M62" s="270">
        <f t="shared" si="320"/>
        <v>0</v>
      </c>
      <c r="N62" s="270">
        <f t="shared" si="320"/>
        <v>0</v>
      </c>
      <c r="O62" s="270">
        <f t="shared" si="320"/>
        <v>1603.71</v>
      </c>
      <c r="P62" s="272">
        <f t="shared" si="320"/>
        <v>791.16</v>
      </c>
      <c r="Q62" s="272">
        <f t="shared" si="320"/>
        <v>1467.13</v>
      </c>
      <c r="R62" s="272">
        <f t="shared" si="320"/>
        <v>0</v>
      </c>
      <c r="S62" s="272">
        <f t="shared" si="320"/>
        <v>0</v>
      </c>
      <c r="T62" s="272">
        <f t="shared" si="320"/>
        <v>0</v>
      </c>
      <c r="U62" s="270">
        <f t="shared" si="320"/>
        <v>0</v>
      </c>
      <c r="V62" s="270">
        <f t="shared" si="320"/>
        <v>0</v>
      </c>
      <c r="W62" s="270">
        <f t="shared" si="320"/>
        <v>0</v>
      </c>
      <c r="X62" s="270">
        <f t="shared" si="320"/>
        <v>0</v>
      </c>
      <c r="Y62" s="270">
        <f t="shared" si="320"/>
        <v>0</v>
      </c>
      <c r="Z62" s="270">
        <f t="shared" si="320"/>
        <v>0</v>
      </c>
      <c r="AA62" s="270">
        <f t="shared" si="320"/>
        <v>0</v>
      </c>
      <c r="AB62" s="270">
        <f t="shared" si="320"/>
        <v>0</v>
      </c>
      <c r="AC62" s="270">
        <f t="shared" si="320"/>
        <v>0</v>
      </c>
      <c r="AD62" s="270">
        <f t="shared" si="320"/>
        <v>0</v>
      </c>
      <c r="AE62" s="270">
        <f t="shared" si="320"/>
        <v>0</v>
      </c>
      <c r="AF62" s="270">
        <f t="shared" si="320"/>
        <v>0</v>
      </c>
      <c r="AG62" s="270">
        <f t="shared" si="320"/>
        <v>0</v>
      </c>
      <c r="AH62" s="265">
        <f t="shared" si="13"/>
        <v>191364.1</v>
      </c>
      <c r="AI62" s="270">
        <f t="shared" si="43"/>
        <v>0</v>
      </c>
      <c r="AJ62" s="270">
        <f t="shared" ref="AJ62:AO62" si="321">IF(F$8=0,0,ROUND(AJ61-(F62-BO62),2))</f>
        <v>0</v>
      </c>
      <c r="AK62" s="270">
        <f t="shared" si="321"/>
        <v>0</v>
      </c>
      <c r="AL62" s="270">
        <f t="shared" si="321"/>
        <v>0</v>
      </c>
      <c r="AM62" s="270">
        <f t="shared" si="321"/>
        <v>0</v>
      </c>
      <c r="AN62" s="270">
        <f t="shared" si="321"/>
        <v>0</v>
      </c>
      <c r="AO62" s="270">
        <f t="shared" si="321"/>
        <v>0</v>
      </c>
      <c r="AP62" s="270">
        <v>0.0</v>
      </c>
      <c r="AQ62" s="270">
        <f t="shared" ref="AQ62:AS62" si="322">IF(M$8=0,0,ROUND(AQ61-(M62-BV62),2))</f>
        <v>0</v>
      </c>
      <c r="AR62" s="270">
        <f t="shared" si="322"/>
        <v>0</v>
      </c>
      <c r="AS62" s="270">
        <f t="shared" si="322"/>
        <v>27872.64</v>
      </c>
      <c r="AT62" s="270">
        <f t="shared" ref="AT62:BK62" si="323">IF(P$8=0,0,ROUND(AT61-(P62-BX62),2))</f>
        <v>30866.25</v>
      </c>
      <c r="AU62" s="270">
        <f t="shared" si="323"/>
        <v>132625.21</v>
      </c>
      <c r="AV62" s="270">
        <f t="shared" si="323"/>
        <v>0</v>
      </c>
      <c r="AW62" s="270">
        <f t="shared" si="323"/>
        <v>0</v>
      </c>
      <c r="AX62" s="270">
        <f t="shared" si="323"/>
        <v>0</v>
      </c>
      <c r="AY62" s="270">
        <f t="shared" si="323"/>
        <v>0</v>
      </c>
      <c r="AZ62" s="270">
        <f t="shared" si="323"/>
        <v>0</v>
      </c>
      <c r="BA62" s="270">
        <f t="shared" si="323"/>
        <v>0</v>
      </c>
      <c r="BB62" s="270">
        <f t="shared" si="323"/>
        <v>0</v>
      </c>
      <c r="BC62" s="270">
        <f t="shared" si="323"/>
        <v>0</v>
      </c>
      <c r="BD62" s="270">
        <f t="shared" si="323"/>
        <v>0</v>
      </c>
      <c r="BE62" s="270">
        <f t="shared" si="323"/>
        <v>0</v>
      </c>
      <c r="BF62" s="270">
        <f t="shared" si="323"/>
        <v>0</v>
      </c>
      <c r="BG62" s="270">
        <f t="shared" si="323"/>
        <v>0</v>
      </c>
      <c r="BH62" s="270">
        <f t="shared" si="323"/>
        <v>0</v>
      </c>
      <c r="BI62" s="270">
        <f t="shared" si="323"/>
        <v>0</v>
      </c>
      <c r="BJ62" s="270">
        <f t="shared" si="323"/>
        <v>0</v>
      </c>
      <c r="BK62" s="270">
        <f t="shared" si="323"/>
        <v>0</v>
      </c>
      <c r="BL62" s="265">
        <f t="shared" si="16"/>
        <v>191364.1</v>
      </c>
      <c r="BM62" s="215"/>
      <c r="BN62" s="270">
        <f t="shared" ref="BN62:CP62" si="324">ROUND(AI61*E$9/12,2)</f>
        <v>0</v>
      </c>
      <c r="BO62" s="270">
        <f t="shared" si="324"/>
        <v>0</v>
      </c>
      <c r="BP62" s="270">
        <f t="shared" si="324"/>
        <v>0</v>
      </c>
      <c r="BQ62" s="270">
        <f t="shared" si="324"/>
        <v>0</v>
      </c>
      <c r="BR62" s="270">
        <f t="shared" si="324"/>
        <v>0</v>
      </c>
      <c r="BS62" s="270">
        <f t="shared" si="324"/>
        <v>0</v>
      </c>
      <c r="BT62" s="270">
        <f t="shared" si="324"/>
        <v>0</v>
      </c>
      <c r="BU62" s="270">
        <f t="shared" si="324"/>
        <v>0</v>
      </c>
      <c r="BV62" s="270">
        <f t="shared" si="324"/>
        <v>0</v>
      </c>
      <c r="BW62" s="270">
        <f t="shared" si="324"/>
        <v>0</v>
      </c>
      <c r="BX62" s="270">
        <f t="shared" si="324"/>
        <v>267.75</v>
      </c>
      <c r="BY62" s="270">
        <f t="shared" si="324"/>
        <v>242.75</v>
      </c>
      <c r="BZ62" s="270">
        <f t="shared" si="324"/>
        <v>418.28</v>
      </c>
      <c r="CA62" s="270">
        <f t="shared" si="324"/>
        <v>0</v>
      </c>
      <c r="CB62" s="270">
        <f t="shared" si="324"/>
        <v>0</v>
      </c>
      <c r="CC62" s="270">
        <f t="shared" si="324"/>
        <v>0</v>
      </c>
      <c r="CD62" s="270">
        <f t="shared" si="324"/>
        <v>0</v>
      </c>
      <c r="CE62" s="270">
        <f t="shared" si="324"/>
        <v>0</v>
      </c>
      <c r="CF62" s="270">
        <f t="shared" si="324"/>
        <v>0</v>
      </c>
      <c r="CG62" s="270">
        <f t="shared" si="324"/>
        <v>0</v>
      </c>
      <c r="CH62" s="270">
        <f t="shared" si="324"/>
        <v>0</v>
      </c>
      <c r="CI62" s="270">
        <f t="shared" si="324"/>
        <v>0</v>
      </c>
      <c r="CJ62" s="270">
        <f t="shared" si="324"/>
        <v>0</v>
      </c>
      <c r="CK62" s="270">
        <f t="shared" si="324"/>
        <v>0</v>
      </c>
      <c r="CL62" s="270">
        <f t="shared" si="324"/>
        <v>0</v>
      </c>
      <c r="CM62" s="270">
        <f t="shared" si="324"/>
        <v>0</v>
      </c>
      <c r="CN62" s="270">
        <f t="shared" si="324"/>
        <v>0</v>
      </c>
      <c r="CO62" s="270">
        <f t="shared" si="324"/>
        <v>0</v>
      </c>
      <c r="CP62" s="270">
        <f t="shared" si="324"/>
        <v>0</v>
      </c>
      <c r="CQ62" s="215"/>
      <c r="CR62" s="270">
        <f t="shared" si="27"/>
        <v>928.78</v>
      </c>
      <c r="CS62" s="215"/>
      <c r="CT62" s="270">
        <f t="shared" ref="CT62:DX62" si="325">IF(AI61&gt;0,IF((AI61+BN62)&lt;E$10,AI61+BN62,E$10),0)</f>
        <v>0</v>
      </c>
      <c r="CU62" s="270">
        <f t="shared" si="325"/>
        <v>0</v>
      </c>
      <c r="CV62" s="270">
        <f t="shared" si="325"/>
        <v>0</v>
      </c>
      <c r="CW62" s="270">
        <f t="shared" si="325"/>
        <v>0</v>
      </c>
      <c r="CX62" s="270">
        <f t="shared" si="325"/>
        <v>0</v>
      </c>
      <c r="CY62" s="270">
        <f t="shared" si="325"/>
        <v>0</v>
      </c>
      <c r="CZ62" s="270">
        <f t="shared" si="325"/>
        <v>0</v>
      </c>
      <c r="DA62" s="270">
        <f t="shared" si="325"/>
        <v>0</v>
      </c>
      <c r="DB62" s="270">
        <f t="shared" si="325"/>
        <v>0</v>
      </c>
      <c r="DC62" s="270">
        <f t="shared" si="325"/>
        <v>0</v>
      </c>
      <c r="DD62" s="270">
        <f t="shared" si="325"/>
        <v>695.6</v>
      </c>
      <c r="DE62" s="270">
        <f t="shared" si="325"/>
        <v>791.16</v>
      </c>
      <c r="DF62" s="270">
        <f t="shared" si="325"/>
        <v>1467.13</v>
      </c>
      <c r="DG62" s="270">
        <f t="shared" si="325"/>
        <v>0</v>
      </c>
      <c r="DH62" s="270">
        <f t="shared" si="325"/>
        <v>0</v>
      </c>
      <c r="DI62" s="270">
        <f t="shared" si="325"/>
        <v>0</v>
      </c>
      <c r="DJ62" s="270">
        <f t="shared" si="325"/>
        <v>0</v>
      </c>
      <c r="DK62" s="270">
        <f t="shared" si="325"/>
        <v>0</v>
      </c>
      <c r="DL62" s="270">
        <f t="shared" si="325"/>
        <v>0</v>
      </c>
      <c r="DM62" s="270">
        <f t="shared" si="325"/>
        <v>0</v>
      </c>
      <c r="DN62" s="270">
        <f t="shared" si="325"/>
        <v>0</v>
      </c>
      <c r="DO62" s="270">
        <f t="shared" si="325"/>
        <v>0</v>
      </c>
      <c r="DP62" s="270">
        <f t="shared" si="325"/>
        <v>0</v>
      </c>
      <c r="DQ62" s="270">
        <f t="shared" si="325"/>
        <v>0</v>
      </c>
      <c r="DR62" s="270">
        <f t="shared" si="325"/>
        <v>0</v>
      </c>
      <c r="DS62" s="270">
        <f t="shared" si="325"/>
        <v>0</v>
      </c>
      <c r="DT62" s="270">
        <f t="shared" si="325"/>
        <v>0</v>
      </c>
      <c r="DU62" s="270">
        <f t="shared" si="325"/>
        <v>0</v>
      </c>
      <c r="DV62" s="270">
        <f t="shared" si="325"/>
        <v>0</v>
      </c>
      <c r="DW62" s="271" t="str">
        <f t="shared" si="325"/>
        <v/>
      </c>
      <c r="DX62" s="270">
        <f t="shared" si="325"/>
        <v>0</v>
      </c>
      <c r="DY62" s="270">
        <f t="shared" si="29"/>
        <v>2953.89</v>
      </c>
      <c r="DZ62" s="274"/>
      <c r="EA62" s="275">
        <f t="shared" si="38"/>
        <v>0</v>
      </c>
      <c r="EB62" s="270">
        <f t="shared" ref="EB62:FC62" si="326">IF(AJ60&lt;=0,0,IF($C61&lt;=SUM($EA62:EA62),0,IF(CU61+$C61-SUM($EA62:EA62)&gt;AJ60+BO61,AJ60+BO61-CU61,$C61-SUM($EA62:EA62))))</f>
        <v>0</v>
      </c>
      <c r="EC62" s="270">
        <f t="shared" si="326"/>
        <v>0</v>
      </c>
      <c r="ED62" s="270">
        <f t="shared" si="326"/>
        <v>0</v>
      </c>
      <c r="EE62" s="270">
        <f t="shared" si="326"/>
        <v>0</v>
      </c>
      <c r="EF62" s="270">
        <f t="shared" si="326"/>
        <v>0</v>
      </c>
      <c r="EG62" s="270">
        <f t="shared" si="326"/>
        <v>0</v>
      </c>
      <c r="EH62" s="270">
        <f t="shared" si="326"/>
        <v>0</v>
      </c>
      <c r="EI62" s="270">
        <f t="shared" si="326"/>
        <v>0</v>
      </c>
      <c r="EJ62" s="270">
        <f t="shared" si="326"/>
        <v>0</v>
      </c>
      <c r="EK62" s="270">
        <f t="shared" si="326"/>
        <v>489.42</v>
      </c>
      <c r="EL62" s="270">
        <f t="shared" si="326"/>
        <v>0</v>
      </c>
      <c r="EM62" s="270">
        <f t="shared" si="326"/>
        <v>0</v>
      </c>
      <c r="EN62" s="270">
        <f t="shared" si="326"/>
        <v>0</v>
      </c>
      <c r="EO62" s="270">
        <f t="shared" si="326"/>
        <v>0</v>
      </c>
      <c r="EP62" s="270">
        <f t="shared" si="326"/>
        <v>0</v>
      </c>
      <c r="EQ62" s="270">
        <f t="shared" si="326"/>
        <v>0</v>
      </c>
      <c r="ER62" s="270">
        <f t="shared" si="326"/>
        <v>0</v>
      </c>
      <c r="ES62" s="270">
        <f t="shared" si="326"/>
        <v>0</v>
      </c>
      <c r="ET62" s="270">
        <f t="shared" si="326"/>
        <v>0</v>
      </c>
      <c r="EU62" s="270">
        <f t="shared" si="326"/>
        <v>0</v>
      </c>
      <c r="EV62" s="270">
        <f t="shared" si="326"/>
        <v>0</v>
      </c>
      <c r="EW62" s="270">
        <f t="shared" si="326"/>
        <v>0</v>
      </c>
      <c r="EX62" s="270">
        <f t="shared" si="326"/>
        <v>0</v>
      </c>
      <c r="EY62" s="270">
        <f t="shared" si="326"/>
        <v>0</v>
      </c>
      <c r="EZ62" s="270">
        <f t="shared" si="326"/>
        <v>0</v>
      </c>
      <c r="FA62" s="270">
        <f t="shared" si="326"/>
        <v>0</v>
      </c>
      <c r="FB62" s="270">
        <f t="shared" si="326"/>
        <v>0</v>
      </c>
      <c r="FC62" s="270">
        <f t="shared" si="326"/>
        <v>0</v>
      </c>
      <c r="FD62" s="271"/>
      <c r="FE62" s="271"/>
      <c r="FF62" s="271"/>
      <c r="FG62" s="215"/>
      <c r="FH62" s="215"/>
    </row>
    <row r="63" ht="11.25" customHeight="1">
      <c r="A63" s="231">
        <f t="shared" si="19"/>
        <v>43</v>
      </c>
      <c r="B63" s="269">
        <v>46935.0</v>
      </c>
      <c r="C63" s="270">
        <f>IF(A63="","",IF(Calculator!snowball,IF(($E$5-DY63)&lt;0,0,$E$5-DY63),0)+D63)</f>
        <v>908.11</v>
      </c>
      <c r="D63" s="277"/>
      <c r="E63" s="270">
        <f t="shared" si="40"/>
        <v>0</v>
      </c>
      <c r="F63" s="270">
        <f t="shared" ref="F63:AG63" si="327">CU63+EB64</f>
        <v>0</v>
      </c>
      <c r="G63" s="270">
        <f t="shared" si="327"/>
        <v>0</v>
      </c>
      <c r="H63" s="270">
        <f t="shared" si="327"/>
        <v>0</v>
      </c>
      <c r="I63" s="270">
        <f t="shared" si="327"/>
        <v>0</v>
      </c>
      <c r="J63" s="270">
        <f t="shared" si="327"/>
        <v>0</v>
      </c>
      <c r="K63" s="270">
        <f t="shared" si="327"/>
        <v>0</v>
      </c>
      <c r="L63" s="270">
        <f t="shared" si="327"/>
        <v>0</v>
      </c>
      <c r="M63" s="270">
        <f t="shared" si="327"/>
        <v>0</v>
      </c>
      <c r="N63" s="270">
        <f t="shared" si="327"/>
        <v>0</v>
      </c>
      <c r="O63" s="270">
        <f t="shared" si="327"/>
        <v>1603.71</v>
      </c>
      <c r="P63" s="272">
        <f t="shared" si="327"/>
        <v>791.16</v>
      </c>
      <c r="Q63" s="272">
        <f t="shared" si="327"/>
        <v>1467.13</v>
      </c>
      <c r="R63" s="272">
        <f t="shared" si="327"/>
        <v>0</v>
      </c>
      <c r="S63" s="272">
        <f t="shared" si="327"/>
        <v>0</v>
      </c>
      <c r="T63" s="272">
        <f t="shared" si="327"/>
        <v>0</v>
      </c>
      <c r="U63" s="270">
        <f t="shared" si="327"/>
        <v>0</v>
      </c>
      <c r="V63" s="270">
        <f t="shared" si="327"/>
        <v>0</v>
      </c>
      <c r="W63" s="270">
        <f t="shared" si="327"/>
        <v>0</v>
      </c>
      <c r="X63" s="270">
        <f t="shared" si="327"/>
        <v>0</v>
      </c>
      <c r="Y63" s="270">
        <f t="shared" si="327"/>
        <v>0</v>
      </c>
      <c r="Z63" s="270">
        <f t="shared" si="327"/>
        <v>0</v>
      </c>
      <c r="AA63" s="270">
        <f t="shared" si="327"/>
        <v>0</v>
      </c>
      <c r="AB63" s="270">
        <f t="shared" si="327"/>
        <v>0</v>
      </c>
      <c r="AC63" s="270">
        <f t="shared" si="327"/>
        <v>0</v>
      </c>
      <c r="AD63" s="270">
        <f t="shared" si="327"/>
        <v>0</v>
      </c>
      <c r="AE63" s="270">
        <f t="shared" si="327"/>
        <v>0</v>
      </c>
      <c r="AF63" s="270">
        <f t="shared" si="327"/>
        <v>0</v>
      </c>
      <c r="AG63" s="270">
        <f t="shared" si="327"/>
        <v>0</v>
      </c>
      <c r="AH63" s="265">
        <f t="shared" si="13"/>
        <v>188251.8</v>
      </c>
      <c r="AI63" s="270">
        <f t="shared" si="43"/>
        <v>0</v>
      </c>
      <c r="AJ63" s="270">
        <f t="shared" ref="AJ63:AO63" si="328">IF(F$8=0,0,ROUND(AJ62-(F63-BO63),2))</f>
        <v>0</v>
      </c>
      <c r="AK63" s="270">
        <f t="shared" si="328"/>
        <v>0</v>
      </c>
      <c r="AL63" s="270">
        <f t="shared" si="328"/>
        <v>0</v>
      </c>
      <c r="AM63" s="270">
        <f t="shared" si="328"/>
        <v>0</v>
      </c>
      <c r="AN63" s="270">
        <f t="shared" si="328"/>
        <v>0</v>
      </c>
      <c r="AO63" s="270">
        <f t="shared" si="328"/>
        <v>0</v>
      </c>
      <c r="AP63" s="270">
        <v>0.0</v>
      </c>
      <c r="AQ63" s="270">
        <f t="shared" ref="AQ63:AS63" si="329">IF(M$8=0,0,ROUND(AQ62-(M63-BV63),2))</f>
        <v>0</v>
      </c>
      <c r="AR63" s="270">
        <f t="shared" si="329"/>
        <v>0</v>
      </c>
      <c r="AS63" s="270">
        <f t="shared" si="329"/>
        <v>26524.43</v>
      </c>
      <c r="AT63" s="270">
        <f t="shared" ref="AT63:BK63" si="330">IF(P$8=0,0,ROUND(AT62-(P63-BX63),2))</f>
        <v>30330.59</v>
      </c>
      <c r="AU63" s="270">
        <f t="shared" si="330"/>
        <v>131396.78</v>
      </c>
      <c r="AV63" s="270">
        <f t="shared" si="330"/>
        <v>0</v>
      </c>
      <c r="AW63" s="270">
        <f t="shared" si="330"/>
        <v>0</v>
      </c>
      <c r="AX63" s="270">
        <f t="shared" si="330"/>
        <v>0</v>
      </c>
      <c r="AY63" s="270">
        <f t="shared" si="330"/>
        <v>0</v>
      </c>
      <c r="AZ63" s="270">
        <f t="shared" si="330"/>
        <v>0</v>
      </c>
      <c r="BA63" s="270">
        <f t="shared" si="330"/>
        <v>0</v>
      </c>
      <c r="BB63" s="270">
        <f t="shared" si="330"/>
        <v>0</v>
      </c>
      <c r="BC63" s="270">
        <f t="shared" si="330"/>
        <v>0</v>
      </c>
      <c r="BD63" s="270">
        <f t="shared" si="330"/>
        <v>0</v>
      </c>
      <c r="BE63" s="270">
        <f t="shared" si="330"/>
        <v>0</v>
      </c>
      <c r="BF63" s="270">
        <f t="shared" si="330"/>
        <v>0</v>
      </c>
      <c r="BG63" s="270">
        <f t="shared" si="330"/>
        <v>0</v>
      </c>
      <c r="BH63" s="270">
        <f t="shared" si="330"/>
        <v>0</v>
      </c>
      <c r="BI63" s="270">
        <f t="shared" si="330"/>
        <v>0</v>
      </c>
      <c r="BJ63" s="270">
        <f t="shared" si="330"/>
        <v>0</v>
      </c>
      <c r="BK63" s="270">
        <f t="shared" si="330"/>
        <v>0</v>
      </c>
      <c r="BL63" s="265">
        <f t="shared" si="16"/>
        <v>188251.8</v>
      </c>
      <c r="BM63" s="215"/>
      <c r="BN63" s="270">
        <f t="shared" ref="BN63:CP63" si="331">ROUND(AI62*E$9/12,2)</f>
        <v>0</v>
      </c>
      <c r="BO63" s="270">
        <f t="shared" si="331"/>
        <v>0</v>
      </c>
      <c r="BP63" s="270">
        <f t="shared" si="331"/>
        <v>0</v>
      </c>
      <c r="BQ63" s="270">
        <f t="shared" si="331"/>
        <v>0</v>
      </c>
      <c r="BR63" s="270">
        <f t="shared" si="331"/>
        <v>0</v>
      </c>
      <c r="BS63" s="270">
        <f t="shared" si="331"/>
        <v>0</v>
      </c>
      <c r="BT63" s="270">
        <f t="shared" si="331"/>
        <v>0</v>
      </c>
      <c r="BU63" s="270">
        <f t="shared" si="331"/>
        <v>0</v>
      </c>
      <c r="BV63" s="270">
        <f t="shared" si="331"/>
        <v>0</v>
      </c>
      <c r="BW63" s="270">
        <f t="shared" si="331"/>
        <v>0</v>
      </c>
      <c r="BX63" s="270">
        <f t="shared" si="331"/>
        <v>255.5</v>
      </c>
      <c r="BY63" s="270">
        <f t="shared" si="331"/>
        <v>238.7</v>
      </c>
      <c r="BZ63" s="270">
        <f t="shared" si="331"/>
        <v>414.45</v>
      </c>
      <c r="CA63" s="270">
        <f t="shared" si="331"/>
        <v>0</v>
      </c>
      <c r="CB63" s="270">
        <f t="shared" si="331"/>
        <v>0</v>
      </c>
      <c r="CC63" s="270">
        <f t="shared" si="331"/>
        <v>0</v>
      </c>
      <c r="CD63" s="270">
        <f t="shared" si="331"/>
        <v>0</v>
      </c>
      <c r="CE63" s="270">
        <f t="shared" si="331"/>
        <v>0</v>
      </c>
      <c r="CF63" s="270">
        <f t="shared" si="331"/>
        <v>0</v>
      </c>
      <c r="CG63" s="270">
        <f t="shared" si="331"/>
        <v>0</v>
      </c>
      <c r="CH63" s="270">
        <f t="shared" si="331"/>
        <v>0</v>
      </c>
      <c r="CI63" s="270">
        <f t="shared" si="331"/>
        <v>0</v>
      </c>
      <c r="CJ63" s="270">
        <f t="shared" si="331"/>
        <v>0</v>
      </c>
      <c r="CK63" s="270">
        <f t="shared" si="331"/>
        <v>0</v>
      </c>
      <c r="CL63" s="270">
        <f t="shared" si="331"/>
        <v>0</v>
      </c>
      <c r="CM63" s="270">
        <f t="shared" si="331"/>
        <v>0</v>
      </c>
      <c r="CN63" s="270">
        <f t="shared" si="331"/>
        <v>0</v>
      </c>
      <c r="CO63" s="270">
        <f t="shared" si="331"/>
        <v>0</v>
      </c>
      <c r="CP63" s="270">
        <f t="shared" si="331"/>
        <v>0</v>
      </c>
      <c r="CQ63" s="215"/>
      <c r="CR63" s="270">
        <f t="shared" si="27"/>
        <v>908.65</v>
      </c>
      <c r="CS63" s="215"/>
      <c r="CT63" s="270">
        <f t="shared" ref="CT63:DX63" si="332">IF(AI62&gt;0,IF((AI62+BN63)&lt;E$10,AI62+BN63,E$10),0)</f>
        <v>0</v>
      </c>
      <c r="CU63" s="270">
        <f t="shared" si="332"/>
        <v>0</v>
      </c>
      <c r="CV63" s="270">
        <f t="shared" si="332"/>
        <v>0</v>
      </c>
      <c r="CW63" s="270">
        <f t="shared" si="332"/>
        <v>0</v>
      </c>
      <c r="CX63" s="270">
        <f t="shared" si="332"/>
        <v>0</v>
      </c>
      <c r="CY63" s="270">
        <f t="shared" si="332"/>
        <v>0</v>
      </c>
      <c r="CZ63" s="270">
        <f t="shared" si="332"/>
        <v>0</v>
      </c>
      <c r="DA63" s="270">
        <f t="shared" si="332"/>
        <v>0</v>
      </c>
      <c r="DB63" s="270">
        <f t="shared" si="332"/>
        <v>0</v>
      </c>
      <c r="DC63" s="270">
        <f t="shared" si="332"/>
        <v>0</v>
      </c>
      <c r="DD63" s="270">
        <f t="shared" si="332"/>
        <v>695.6</v>
      </c>
      <c r="DE63" s="270">
        <f t="shared" si="332"/>
        <v>791.16</v>
      </c>
      <c r="DF63" s="270">
        <f t="shared" si="332"/>
        <v>1467.13</v>
      </c>
      <c r="DG63" s="270">
        <f t="shared" si="332"/>
        <v>0</v>
      </c>
      <c r="DH63" s="270">
        <f t="shared" si="332"/>
        <v>0</v>
      </c>
      <c r="DI63" s="270">
        <f t="shared" si="332"/>
        <v>0</v>
      </c>
      <c r="DJ63" s="270">
        <f t="shared" si="332"/>
        <v>0</v>
      </c>
      <c r="DK63" s="270">
        <f t="shared" si="332"/>
        <v>0</v>
      </c>
      <c r="DL63" s="270">
        <f t="shared" si="332"/>
        <v>0</v>
      </c>
      <c r="DM63" s="270">
        <f t="shared" si="332"/>
        <v>0</v>
      </c>
      <c r="DN63" s="270">
        <f t="shared" si="332"/>
        <v>0</v>
      </c>
      <c r="DO63" s="270">
        <f t="shared" si="332"/>
        <v>0</v>
      </c>
      <c r="DP63" s="270">
        <f t="shared" si="332"/>
        <v>0</v>
      </c>
      <c r="DQ63" s="270">
        <f t="shared" si="332"/>
        <v>0</v>
      </c>
      <c r="DR63" s="270">
        <f t="shared" si="332"/>
        <v>0</v>
      </c>
      <c r="DS63" s="270">
        <f t="shared" si="332"/>
        <v>0</v>
      </c>
      <c r="DT63" s="270">
        <f t="shared" si="332"/>
        <v>0</v>
      </c>
      <c r="DU63" s="270">
        <f t="shared" si="332"/>
        <v>0</v>
      </c>
      <c r="DV63" s="270">
        <f t="shared" si="332"/>
        <v>0</v>
      </c>
      <c r="DW63" s="271" t="str">
        <f t="shared" si="332"/>
        <v/>
      </c>
      <c r="DX63" s="270">
        <f t="shared" si="332"/>
        <v>0</v>
      </c>
      <c r="DY63" s="270">
        <f t="shared" si="29"/>
        <v>2953.89</v>
      </c>
      <c r="DZ63" s="274"/>
      <c r="EA63" s="275">
        <f t="shared" si="38"/>
        <v>0</v>
      </c>
      <c r="EB63" s="270">
        <f t="shared" ref="EB63:FC63" si="333">IF(AJ61&lt;=0,0,IF($C62&lt;=SUM($EA63:EA63),0,IF(CU62+$C62-SUM($EA63:EA63)&gt;AJ61+BO62,AJ61+BO62-CU62,$C62-SUM($EA63:EA63))))</f>
        <v>0</v>
      </c>
      <c r="EC63" s="270">
        <f t="shared" si="333"/>
        <v>0</v>
      </c>
      <c r="ED63" s="270">
        <f t="shared" si="333"/>
        <v>0</v>
      </c>
      <c r="EE63" s="270">
        <f t="shared" si="333"/>
        <v>0</v>
      </c>
      <c r="EF63" s="270">
        <f t="shared" si="333"/>
        <v>0</v>
      </c>
      <c r="EG63" s="270">
        <f t="shared" si="333"/>
        <v>0</v>
      </c>
      <c r="EH63" s="270">
        <f t="shared" si="333"/>
        <v>0</v>
      </c>
      <c r="EI63" s="270">
        <f t="shared" si="333"/>
        <v>0</v>
      </c>
      <c r="EJ63" s="270">
        <f t="shared" si="333"/>
        <v>0</v>
      </c>
      <c r="EK63" s="270">
        <f t="shared" si="333"/>
        <v>908.11</v>
      </c>
      <c r="EL63" s="270">
        <f t="shared" si="333"/>
        <v>0</v>
      </c>
      <c r="EM63" s="270">
        <f t="shared" si="333"/>
        <v>0</v>
      </c>
      <c r="EN63" s="270">
        <f t="shared" si="333"/>
        <v>0</v>
      </c>
      <c r="EO63" s="270">
        <f t="shared" si="333"/>
        <v>0</v>
      </c>
      <c r="EP63" s="270">
        <f t="shared" si="333"/>
        <v>0</v>
      </c>
      <c r="EQ63" s="270">
        <f t="shared" si="333"/>
        <v>0</v>
      </c>
      <c r="ER63" s="270">
        <f t="shared" si="333"/>
        <v>0</v>
      </c>
      <c r="ES63" s="270">
        <f t="shared" si="333"/>
        <v>0</v>
      </c>
      <c r="ET63" s="270">
        <f t="shared" si="333"/>
        <v>0</v>
      </c>
      <c r="EU63" s="270">
        <f t="shared" si="333"/>
        <v>0</v>
      </c>
      <c r="EV63" s="270">
        <f t="shared" si="333"/>
        <v>0</v>
      </c>
      <c r="EW63" s="270">
        <f t="shared" si="333"/>
        <v>0</v>
      </c>
      <c r="EX63" s="270">
        <f t="shared" si="333"/>
        <v>0</v>
      </c>
      <c r="EY63" s="270">
        <f t="shared" si="333"/>
        <v>0</v>
      </c>
      <c r="EZ63" s="270">
        <f t="shared" si="333"/>
        <v>0</v>
      </c>
      <c r="FA63" s="270">
        <f t="shared" si="333"/>
        <v>0</v>
      </c>
      <c r="FB63" s="270">
        <f t="shared" si="333"/>
        <v>0</v>
      </c>
      <c r="FC63" s="270">
        <f t="shared" si="333"/>
        <v>0</v>
      </c>
      <c r="FD63" s="271"/>
      <c r="FE63" s="271"/>
      <c r="FF63" s="271"/>
      <c r="FG63" s="215"/>
      <c r="FH63" s="215"/>
    </row>
    <row r="64" ht="11.25" customHeight="1">
      <c r="A64" s="231">
        <f t="shared" si="19"/>
        <v>44</v>
      </c>
      <c r="B64" s="269">
        <v>46966.0</v>
      </c>
      <c r="C64" s="270">
        <f>IF(A64="","",IF(Calculator!snowball,IF(($E$5-DY64)&lt;0,0,$E$5-DY64),0)+D64)</f>
        <v>908.11</v>
      </c>
      <c r="D64" s="277"/>
      <c r="E64" s="270">
        <f t="shared" si="40"/>
        <v>0</v>
      </c>
      <c r="F64" s="270">
        <f t="shared" ref="F64:AG64" si="334">CU64+EB65</f>
        <v>0</v>
      </c>
      <c r="G64" s="270">
        <f t="shared" si="334"/>
        <v>0</v>
      </c>
      <c r="H64" s="270">
        <f t="shared" si="334"/>
        <v>0</v>
      </c>
      <c r="I64" s="270">
        <f t="shared" si="334"/>
        <v>0</v>
      </c>
      <c r="J64" s="270">
        <f t="shared" si="334"/>
        <v>0</v>
      </c>
      <c r="K64" s="270">
        <f t="shared" si="334"/>
        <v>0</v>
      </c>
      <c r="L64" s="270">
        <f t="shared" si="334"/>
        <v>0</v>
      </c>
      <c r="M64" s="270">
        <f t="shared" si="334"/>
        <v>0</v>
      </c>
      <c r="N64" s="270">
        <f t="shared" si="334"/>
        <v>0</v>
      </c>
      <c r="O64" s="270">
        <f t="shared" si="334"/>
        <v>1603.71</v>
      </c>
      <c r="P64" s="272">
        <f t="shared" si="334"/>
        <v>791.16</v>
      </c>
      <c r="Q64" s="272">
        <f t="shared" si="334"/>
        <v>1467.13</v>
      </c>
      <c r="R64" s="272">
        <f t="shared" si="334"/>
        <v>0</v>
      </c>
      <c r="S64" s="272">
        <f t="shared" si="334"/>
        <v>0</v>
      </c>
      <c r="T64" s="272">
        <f t="shared" si="334"/>
        <v>0</v>
      </c>
      <c r="U64" s="270">
        <f t="shared" si="334"/>
        <v>0</v>
      </c>
      <c r="V64" s="270">
        <f t="shared" si="334"/>
        <v>0</v>
      </c>
      <c r="W64" s="270">
        <f t="shared" si="334"/>
        <v>0</v>
      </c>
      <c r="X64" s="270">
        <f t="shared" si="334"/>
        <v>0</v>
      </c>
      <c r="Y64" s="270">
        <f t="shared" si="334"/>
        <v>0</v>
      </c>
      <c r="Z64" s="270">
        <f t="shared" si="334"/>
        <v>0</v>
      </c>
      <c r="AA64" s="270">
        <f t="shared" si="334"/>
        <v>0</v>
      </c>
      <c r="AB64" s="270">
        <f t="shared" si="334"/>
        <v>0</v>
      </c>
      <c r="AC64" s="270">
        <f t="shared" si="334"/>
        <v>0</v>
      </c>
      <c r="AD64" s="270">
        <f t="shared" si="334"/>
        <v>0</v>
      </c>
      <c r="AE64" s="270">
        <f t="shared" si="334"/>
        <v>0</v>
      </c>
      <c r="AF64" s="270">
        <f t="shared" si="334"/>
        <v>0</v>
      </c>
      <c r="AG64" s="270">
        <f t="shared" si="334"/>
        <v>0</v>
      </c>
      <c r="AH64" s="265">
        <f t="shared" si="13"/>
        <v>185110.64</v>
      </c>
      <c r="AI64" s="270">
        <f t="shared" si="43"/>
        <v>0</v>
      </c>
      <c r="AJ64" s="270">
        <f t="shared" ref="AJ64:AO64" si="335">IF(F$8=0,0,ROUND(AJ63-(F64-BO64),2))</f>
        <v>0</v>
      </c>
      <c r="AK64" s="270">
        <f t="shared" si="335"/>
        <v>0</v>
      </c>
      <c r="AL64" s="270">
        <f t="shared" si="335"/>
        <v>0</v>
      </c>
      <c r="AM64" s="270">
        <f t="shared" si="335"/>
        <v>0</v>
      </c>
      <c r="AN64" s="270">
        <f t="shared" si="335"/>
        <v>0</v>
      </c>
      <c r="AO64" s="270">
        <f t="shared" si="335"/>
        <v>0</v>
      </c>
      <c r="AP64" s="270">
        <v>0.0</v>
      </c>
      <c r="AQ64" s="270">
        <f t="shared" ref="AQ64:AS64" si="336">IF(M$8=0,0,ROUND(AQ63-(M64-BV64),2))</f>
        <v>0</v>
      </c>
      <c r="AR64" s="270">
        <f t="shared" si="336"/>
        <v>0</v>
      </c>
      <c r="AS64" s="270">
        <f t="shared" si="336"/>
        <v>25163.86</v>
      </c>
      <c r="AT64" s="270">
        <f t="shared" ref="AT64:BK64" si="337">IF(P$8=0,0,ROUND(AT63-(P64-BX64),2))</f>
        <v>29782.57</v>
      </c>
      <c r="AU64" s="270">
        <f t="shared" si="337"/>
        <v>130164.21</v>
      </c>
      <c r="AV64" s="270">
        <f t="shared" si="337"/>
        <v>0</v>
      </c>
      <c r="AW64" s="270">
        <f t="shared" si="337"/>
        <v>0</v>
      </c>
      <c r="AX64" s="270">
        <f t="shared" si="337"/>
        <v>0</v>
      </c>
      <c r="AY64" s="270">
        <f t="shared" si="337"/>
        <v>0</v>
      </c>
      <c r="AZ64" s="270">
        <f t="shared" si="337"/>
        <v>0</v>
      </c>
      <c r="BA64" s="270">
        <f t="shared" si="337"/>
        <v>0</v>
      </c>
      <c r="BB64" s="270">
        <f t="shared" si="337"/>
        <v>0</v>
      </c>
      <c r="BC64" s="270">
        <f t="shared" si="337"/>
        <v>0</v>
      </c>
      <c r="BD64" s="270">
        <f t="shared" si="337"/>
        <v>0</v>
      </c>
      <c r="BE64" s="270">
        <f t="shared" si="337"/>
        <v>0</v>
      </c>
      <c r="BF64" s="270">
        <f t="shared" si="337"/>
        <v>0</v>
      </c>
      <c r="BG64" s="270">
        <f t="shared" si="337"/>
        <v>0</v>
      </c>
      <c r="BH64" s="270">
        <f t="shared" si="337"/>
        <v>0</v>
      </c>
      <c r="BI64" s="270">
        <f t="shared" si="337"/>
        <v>0</v>
      </c>
      <c r="BJ64" s="270">
        <f t="shared" si="337"/>
        <v>0</v>
      </c>
      <c r="BK64" s="270">
        <f t="shared" si="337"/>
        <v>0</v>
      </c>
      <c r="BL64" s="265">
        <f t="shared" si="16"/>
        <v>185110.64</v>
      </c>
      <c r="BM64" s="215"/>
      <c r="BN64" s="270">
        <f t="shared" ref="BN64:CP64" si="338">ROUND(AI63*E$9/12,2)</f>
        <v>0</v>
      </c>
      <c r="BO64" s="270">
        <f t="shared" si="338"/>
        <v>0</v>
      </c>
      <c r="BP64" s="270">
        <f t="shared" si="338"/>
        <v>0</v>
      </c>
      <c r="BQ64" s="270">
        <f t="shared" si="338"/>
        <v>0</v>
      </c>
      <c r="BR64" s="270">
        <f t="shared" si="338"/>
        <v>0</v>
      </c>
      <c r="BS64" s="270">
        <f t="shared" si="338"/>
        <v>0</v>
      </c>
      <c r="BT64" s="270">
        <f t="shared" si="338"/>
        <v>0</v>
      </c>
      <c r="BU64" s="270">
        <f t="shared" si="338"/>
        <v>0</v>
      </c>
      <c r="BV64" s="270">
        <f t="shared" si="338"/>
        <v>0</v>
      </c>
      <c r="BW64" s="270">
        <f t="shared" si="338"/>
        <v>0</v>
      </c>
      <c r="BX64" s="270">
        <f t="shared" si="338"/>
        <v>243.14</v>
      </c>
      <c r="BY64" s="270">
        <f t="shared" si="338"/>
        <v>234.56</v>
      </c>
      <c r="BZ64" s="270">
        <f t="shared" si="338"/>
        <v>410.61</v>
      </c>
      <c r="CA64" s="270">
        <f t="shared" si="338"/>
        <v>0</v>
      </c>
      <c r="CB64" s="270">
        <f t="shared" si="338"/>
        <v>0</v>
      </c>
      <c r="CC64" s="270">
        <f t="shared" si="338"/>
        <v>0</v>
      </c>
      <c r="CD64" s="270">
        <f t="shared" si="338"/>
        <v>0</v>
      </c>
      <c r="CE64" s="270">
        <f t="shared" si="338"/>
        <v>0</v>
      </c>
      <c r="CF64" s="270">
        <f t="shared" si="338"/>
        <v>0</v>
      </c>
      <c r="CG64" s="270">
        <f t="shared" si="338"/>
        <v>0</v>
      </c>
      <c r="CH64" s="270">
        <f t="shared" si="338"/>
        <v>0</v>
      </c>
      <c r="CI64" s="270">
        <f t="shared" si="338"/>
        <v>0</v>
      </c>
      <c r="CJ64" s="270">
        <f t="shared" si="338"/>
        <v>0</v>
      </c>
      <c r="CK64" s="270">
        <f t="shared" si="338"/>
        <v>0</v>
      </c>
      <c r="CL64" s="270">
        <f t="shared" si="338"/>
        <v>0</v>
      </c>
      <c r="CM64" s="270">
        <f t="shared" si="338"/>
        <v>0</v>
      </c>
      <c r="CN64" s="270">
        <f t="shared" si="338"/>
        <v>0</v>
      </c>
      <c r="CO64" s="270">
        <f t="shared" si="338"/>
        <v>0</v>
      </c>
      <c r="CP64" s="270">
        <f t="shared" si="338"/>
        <v>0</v>
      </c>
      <c r="CQ64" s="215"/>
      <c r="CR64" s="270">
        <f t="shared" si="27"/>
        <v>888.31</v>
      </c>
      <c r="CS64" s="215"/>
      <c r="CT64" s="270">
        <f t="shared" ref="CT64:DX64" si="339">IF(AI63&gt;0,IF((AI63+BN64)&lt;E$10,AI63+BN64,E$10),0)</f>
        <v>0</v>
      </c>
      <c r="CU64" s="270">
        <f t="shared" si="339"/>
        <v>0</v>
      </c>
      <c r="CV64" s="270">
        <f t="shared" si="339"/>
        <v>0</v>
      </c>
      <c r="CW64" s="270">
        <f t="shared" si="339"/>
        <v>0</v>
      </c>
      <c r="CX64" s="270">
        <f t="shared" si="339"/>
        <v>0</v>
      </c>
      <c r="CY64" s="270">
        <f t="shared" si="339"/>
        <v>0</v>
      </c>
      <c r="CZ64" s="270">
        <f t="shared" si="339"/>
        <v>0</v>
      </c>
      <c r="DA64" s="270">
        <f t="shared" si="339"/>
        <v>0</v>
      </c>
      <c r="DB64" s="270">
        <f t="shared" si="339"/>
        <v>0</v>
      </c>
      <c r="DC64" s="270">
        <f t="shared" si="339"/>
        <v>0</v>
      </c>
      <c r="DD64" s="270">
        <f t="shared" si="339"/>
        <v>695.6</v>
      </c>
      <c r="DE64" s="270">
        <f t="shared" si="339"/>
        <v>791.16</v>
      </c>
      <c r="DF64" s="270">
        <f t="shared" si="339"/>
        <v>1467.13</v>
      </c>
      <c r="DG64" s="270">
        <f t="shared" si="339"/>
        <v>0</v>
      </c>
      <c r="DH64" s="270">
        <f t="shared" si="339"/>
        <v>0</v>
      </c>
      <c r="DI64" s="270">
        <f t="shared" si="339"/>
        <v>0</v>
      </c>
      <c r="DJ64" s="270">
        <f t="shared" si="339"/>
        <v>0</v>
      </c>
      <c r="DK64" s="270">
        <f t="shared" si="339"/>
        <v>0</v>
      </c>
      <c r="DL64" s="270">
        <f t="shared" si="339"/>
        <v>0</v>
      </c>
      <c r="DM64" s="270">
        <f t="shared" si="339"/>
        <v>0</v>
      </c>
      <c r="DN64" s="270">
        <f t="shared" si="339"/>
        <v>0</v>
      </c>
      <c r="DO64" s="270">
        <f t="shared" si="339"/>
        <v>0</v>
      </c>
      <c r="DP64" s="270">
        <f t="shared" si="339"/>
        <v>0</v>
      </c>
      <c r="DQ64" s="270">
        <f t="shared" si="339"/>
        <v>0</v>
      </c>
      <c r="DR64" s="270">
        <f t="shared" si="339"/>
        <v>0</v>
      </c>
      <c r="DS64" s="270">
        <f t="shared" si="339"/>
        <v>0</v>
      </c>
      <c r="DT64" s="270">
        <f t="shared" si="339"/>
        <v>0</v>
      </c>
      <c r="DU64" s="270">
        <f t="shared" si="339"/>
        <v>0</v>
      </c>
      <c r="DV64" s="270">
        <f t="shared" si="339"/>
        <v>0</v>
      </c>
      <c r="DW64" s="271" t="str">
        <f t="shared" si="339"/>
        <v/>
      </c>
      <c r="DX64" s="270">
        <f t="shared" si="339"/>
        <v>0</v>
      </c>
      <c r="DY64" s="270">
        <f t="shared" si="29"/>
        <v>2953.89</v>
      </c>
      <c r="DZ64" s="274"/>
      <c r="EA64" s="275">
        <f t="shared" si="38"/>
        <v>0</v>
      </c>
      <c r="EB64" s="270">
        <f t="shared" ref="EB64:FC64" si="340">IF(AJ62&lt;=0,0,IF($C63&lt;=SUM($EA64:EA64),0,IF(CU63+$C63-SUM($EA64:EA64)&gt;AJ62+BO63,AJ62+BO63-CU63,$C63-SUM($EA64:EA64))))</f>
        <v>0</v>
      </c>
      <c r="EC64" s="270">
        <f t="shared" si="340"/>
        <v>0</v>
      </c>
      <c r="ED64" s="270">
        <f t="shared" si="340"/>
        <v>0</v>
      </c>
      <c r="EE64" s="270">
        <f t="shared" si="340"/>
        <v>0</v>
      </c>
      <c r="EF64" s="270">
        <f t="shared" si="340"/>
        <v>0</v>
      </c>
      <c r="EG64" s="270">
        <f t="shared" si="340"/>
        <v>0</v>
      </c>
      <c r="EH64" s="270">
        <f t="shared" si="340"/>
        <v>0</v>
      </c>
      <c r="EI64" s="270">
        <f t="shared" si="340"/>
        <v>0</v>
      </c>
      <c r="EJ64" s="270">
        <f t="shared" si="340"/>
        <v>0</v>
      </c>
      <c r="EK64" s="270">
        <f t="shared" si="340"/>
        <v>908.11</v>
      </c>
      <c r="EL64" s="270">
        <f t="shared" si="340"/>
        <v>0</v>
      </c>
      <c r="EM64" s="270">
        <f t="shared" si="340"/>
        <v>0</v>
      </c>
      <c r="EN64" s="270">
        <f t="shared" si="340"/>
        <v>0</v>
      </c>
      <c r="EO64" s="270">
        <f t="shared" si="340"/>
        <v>0</v>
      </c>
      <c r="EP64" s="270">
        <f t="shared" si="340"/>
        <v>0</v>
      </c>
      <c r="EQ64" s="270">
        <f t="shared" si="340"/>
        <v>0</v>
      </c>
      <c r="ER64" s="270">
        <f t="shared" si="340"/>
        <v>0</v>
      </c>
      <c r="ES64" s="270">
        <f t="shared" si="340"/>
        <v>0</v>
      </c>
      <c r="ET64" s="270">
        <f t="shared" si="340"/>
        <v>0</v>
      </c>
      <c r="EU64" s="270">
        <f t="shared" si="340"/>
        <v>0</v>
      </c>
      <c r="EV64" s="270">
        <f t="shared" si="340"/>
        <v>0</v>
      </c>
      <c r="EW64" s="270">
        <f t="shared" si="340"/>
        <v>0</v>
      </c>
      <c r="EX64" s="270">
        <f t="shared" si="340"/>
        <v>0</v>
      </c>
      <c r="EY64" s="270">
        <f t="shared" si="340"/>
        <v>0</v>
      </c>
      <c r="EZ64" s="270">
        <f t="shared" si="340"/>
        <v>0</v>
      </c>
      <c r="FA64" s="270">
        <f t="shared" si="340"/>
        <v>0</v>
      </c>
      <c r="FB64" s="270">
        <f t="shared" si="340"/>
        <v>0</v>
      </c>
      <c r="FC64" s="270">
        <f t="shared" si="340"/>
        <v>0</v>
      </c>
      <c r="FD64" s="271"/>
      <c r="FE64" s="271"/>
      <c r="FF64" s="271"/>
      <c r="FG64" s="215"/>
      <c r="FH64" s="215"/>
    </row>
    <row r="65" ht="11.25" customHeight="1">
      <c r="A65" s="231">
        <f t="shared" si="19"/>
        <v>45</v>
      </c>
      <c r="B65" s="269">
        <v>46997.0</v>
      </c>
      <c r="C65" s="270">
        <f>IF(A65="","",IF(Calculator!snowball,IF(($E$5-DY65)&lt;0,0,$E$5-DY65),0)+D65)</f>
        <v>908.11</v>
      </c>
      <c r="D65" s="277"/>
      <c r="E65" s="270">
        <f t="shared" si="40"/>
        <v>0</v>
      </c>
      <c r="F65" s="270">
        <f t="shared" ref="F65:AG65" si="341">CU65+EB66</f>
        <v>0</v>
      </c>
      <c r="G65" s="270">
        <f t="shared" si="341"/>
        <v>0</v>
      </c>
      <c r="H65" s="270">
        <f t="shared" si="341"/>
        <v>0</v>
      </c>
      <c r="I65" s="270">
        <f t="shared" si="341"/>
        <v>0</v>
      </c>
      <c r="J65" s="270">
        <f t="shared" si="341"/>
        <v>0</v>
      </c>
      <c r="K65" s="270">
        <f t="shared" si="341"/>
        <v>0</v>
      </c>
      <c r="L65" s="270">
        <f t="shared" si="341"/>
        <v>0</v>
      </c>
      <c r="M65" s="270">
        <f t="shared" si="341"/>
        <v>0</v>
      </c>
      <c r="N65" s="270">
        <f t="shared" si="341"/>
        <v>0</v>
      </c>
      <c r="O65" s="270">
        <f t="shared" si="341"/>
        <v>1603.71</v>
      </c>
      <c r="P65" s="272">
        <f t="shared" si="341"/>
        <v>791.16</v>
      </c>
      <c r="Q65" s="272">
        <f t="shared" si="341"/>
        <v>1467.13</v>
      </c>
      <c r="R65" s="272">
        <f t="shared" si="341"/>
        <v>0</v>
      </c>
      <c r="S65" s="272">
        <f t="shared" si="341"/>
        <v>0</v>
      </c>
      <c r="T65" s="272">
        <f t="shared" si="341"/>
        <v>0</v>
      </c>
      <c r="U65" s="270">
        <f t="shared" si="341"/>
        <v>0</v>
      </c>
      <c r="V65" s="270">
        <f t="shared" si="341"/>
        <v>0</v>
      </c>
      <c r="W65" s="270">
        <f t="shared" si="341"/>
        <v>0</v>
      </c>
      <c r="X65" s="270">
        <f t="shared" si="341"/>
        <v>0</v>
      </c>
      <c r="Y65" s="270">
        <f t="shared" si="341"/>
        <v>0</v>
      </c>
      <c r="Z65" s="270">
        <f t="shared" si="341"/>
        <v>0</v>
      </c>
      <c r="AA65" s="270">
        <f t="shared" si="341"/>
        <v>0</v>
      </c>
      <c r="AB65" s="270">
        <f t="shared" si="341"/>
        <v>0</v>
      </c>
      <c r="AC65" s="270">
        <f t="shared" si="341"/>
        <v>0</v>
      </c>
      <c r="AD65" s="270">
        <f t="shared" si="341"/>
        <v>0</v>
      </c>
      <c r="AE65" s="270">
        <f t="shared" si="341"/>
        <v>0</v>
      </c>
      <c r="AF65" s="270">
        <f t="shared" si="341"/>
        <v>0</v>
      </c>
      <c r="AG65" s="270">
        <f t="shared" si="341"/>
        <v>0</v>
      </c>
      <c r="AH65" s="265">
        <f t="shared" si="13"/>
        <v>181940.3</v>
      </c>
      <c r="AI65" s="270">
        <f t="shared" si="43"/>
        <v>0</v>
      </c>
      <c r="AJ65" s="270">
        <f t="shared" ref="AJ65:AO65" si="342">IF(F$8=0,0,ROUND(AJ64-(F65-BO65),2))</f>
        <v>0</v>
      </c>
      <c r="AK65" s="270">
        <f t="shared" si="342"/>
        <v>0</v>
      </c>
      <c r="AL65" s="270">
        <f t="shared" si="342"/>
        <v>0</v>
      </c>
      <c r="AM65" s="270">
        <f t="shared" si="342"/>
        <v>0</v>
      </c>
      <c r="AN65" s="270">
        <f t="shared" si="342"/>
        <v>0</v>
      </c>
      <c r="AO65" s="270">
        <f t="shared" si="342"/>
        <v>0</v>
      </c>
      <c r="AP65" s="270">
        <v>0.0</v>
      </c>
      <c r="AQ65" s="270">
        <f t="shared" ref="AQ65:AS65" si="343">IF(M$8=0,0,ROUND(AQ64-(M65-BV65),2))</f>
        <v>0</v>
      </c>
      <c r="AR65" s="270">
        <f t="shared" si="343"/>
        <v>0</v>
      </c>
      <c r="AS65" s="270">
        <f t="shared" si="343"/>
        <v>23790.82</v>
      </c>
      <c r="AT65" s="270">
        <f t="shared" ref="AT65:BK65" si="344">IF(P$8=0,0,ROUND(AT64-(P65-BX65),2))</f>
        <v>29222.08</v>
      </c>
      <c r="AU65" s="270">
        <f t="shared" si="344"/>
        <v>128927.4</v>
      </c>
      <c r="AV65" s="270">
        <f t="shared" si="344"/>
        <v>0</v>
      </c>
      <c r="AW65" s="270">
        <f t="shared" si="344"/>
        <v>0</v>
      </c>
      <c r="AX65" s="270">
        <f t="shared" si="344"/>
        <v>0</v>
      </c>
      <c r="AY65" s="270">
        <f t="shared" si="344"/>
        <v>0</v>
      </c>
      <c r="AZ65" s="270">
        <f t="shared" si="344"/>
        <v>0</v>
      </c>
      <c r="BA65" s="270">
        <f t="shared" si="344"/>
        <v>0</v>
      </c>
      <c r="BB65" s="270">
        <f t="shared" si="344"/>
        <v>0</v>
      </c>
      <c r="BC65" s="270">
        <f t="shared" si="344"/>
        <v>0</v>
      </c>
      <c r="BD65" s="270">
        <f t="shared" si="344"/>
        <v>0</v>
      </c>
      <c r="BE65" s="270">
        <f t="shared" si="344"/>
        <v>0</v>
      </c>
      <c r="BF65" s="270">
        <f t="shared" si="344"/>
        <v>0</v>
      </c>
      <c r="BG65" s="270">
        <f t="shared" si="344"/>
        <v>0</v>
      </c>
      <c r="BH65" s="270">
        <f t="shared" si="344"/>
        <v>0</v>
      </c>
      <c r="BI65" s="270">
        <f t="shared" si="344"/>
        <v>0</v>
      </c>
      <c r="BJ65" s="270">
        <f t="shared" si="344"/>
        <v>0</v>
      </c>
      <c r="BK65" s="270">
        <f t="shared" si="344"/>
        <v>0</v>
      </c>
      <c r="BL65" s="265">
        <f t="shared" si="16"/>
        <v>181940.3</v>
      </c>
      <c r="BM65" s="215"/>
      <c r="BN65" s="270">
        <f t="shared" ref="BN65:CP65" si="345">ROUND(AI64*E$9/12,2)</f>
        <v>0</v>
      </c>
      <c r="BO65" s="270">
        <f t="shared" si="345"/>
        <v>0</v>
      </c>
      <c r="BP65" s="270">
        <f t="shared" si="345"/>
        <v>0</v>
      </c>
      <c r="BQ65" s="270">
        <f t="shared" si="345"/>
        <v>0</v>
      </c>
      <c r="BR65" s="270">
        <f t="shared" si="345"/>
        <v>0</v>
      </c>
      <c r="BS65" s="270">
        <f t="shared" si="345"/>
        <v>0</v>
      </c>
      <c r="BT65" s="270">
        <f t="shared" si="345"/>
        <v>0</v>
      </c>
      <c r="BU65" s="270">
        <f t="shared" si="345"/>
        <v>0</v>
      </c>
      <c r="BV65" s="270">
        <f t="shared" si="345"/>
        <v>0</v>
      </c>
      <c r="BW65" s="270">
        <f t="shared" si="345"/>
        <v>0</v>
      </c>
      <c r="BX65" s="270">
        <f t="shared" si="345"/>
        <v>230.67</v>
      </c>
      <c r="BY65" s="270">
        <f t="shared" si="345"/>
        <v>230.32</v>
      </c>
      <c r="BZ65" s="270">
        <f t="shared" si="345"/>
        <v>406.76</v>
      </c>
      <c r="CA65" s="270">
        <f t="shared" si="345"/>
        <v>0</v>
      </c>
      <c r="CB65" s="270">
        <f t="shared" si="345"/>
        <v>0</v>
      </c>
      <c r="CC65" s="270">
        <f t="shared" si="345"/>
        <v>0</v>
      </c>
      <c r="CD65" s="270">
        <f t="shared" si="345"/>
        <v>0</v>
      </c>
      <c r="CE65" s="270">
        <f t="shared" si="345"/>
        <v>0</v>
      </c>
      <c r="CF65" s="270">
        <f t="shared" si="345"/>
        <v>0</v>
      </c>
      <c r="CG65" s="270">
        <f t="shared" si="345"/>
        <v>0</v>
      </c>
      <c r="CH65" s="270">
        <f t="shared" si="345"/>
        <v>0</v>
      </c>
      <c r="CI65" s="270">
        <f t="shared" si="345"/>
        <v>0</v>
      </c>
      <c r="CJ65" s="270">
        <f t="shared" si="345"/>
        <v>0</v>
      </c>
      <c r="CK65" s="270">
        <f t="shared" si="345"/>
        <v>0</v>
      </c>
      <c r="CL65" s="270">
        <f t="shared" si="345"/>
        <v>0</v>
      </c>
      <c r="CM65" s="270">
        <f t="shared" si="345"/>
        <v>0</v>
      </c>
      <c r="CN65" s="270">
        <f t="shared" si="345"/>
        <v>0</v>
      </c>
      <c r="CO65" s="270">
        <f t="shared" si="345"/>
        <v>0</v>
      </c>
      <c r="CP65" s="270">
        <f t="shared" si="345"/>
        <v>0</v>
      </c>
      <c r="CQ65" s="215"/>
      <c r="CR65" s="270">
        <f t="shared" si="27"/>
        <v>867.75</v>
      </c>
      <c r="CS65" s="215"/>
      <c r="CT65" s="270">
        <f t="shared" ref="CT65:DX65" si="346">IF(AI64&gt;0,IF((AI64+BN65)&lt;E$10,AI64+BN65,E$10),0)</f>
        <v>0</v>
      </c>
      <c r="CU65" s="270">
        <f t="shared" si="346"/>
        <v>0</v>
      </c>
      <c r="CV65" s="270">
        <f t="shared" si="346"/>
        <v>0</v>
      </c>
      <c r="CW65" s="270">
        <f t="shared" si="346"/>
        <v>0</v>
      </c>
      <c r="CX65" s="270">
        <f t="shared" si="346"/>
        <v>0</v>
      </c>
      <c r="CY65" s="270">
        <f t="shared" si="346"/>
        <v>0</v>
      </c>
      <c r="CZ65" s="270">
        <f t="shared" si="346"/>
        <v>0</v>
      </c>
      <c r="DA65" s="270">
        <f t="shared" si="346"/>
        <v>0</v>
      </c>
      <c r="DB65" s="270">
        <f t="shared" si="346"/>
        <v>0</v>
      </c>
      <c r="DC65" s="270">
        <f t="shared" si="346"/>
        <v>0</v>
      </c>
      <c r="DD65" s="270">
        <f t="shared" si="346"/>
        <v>695.6</v>
      </c>
      <c r="DE65" s="270">
        <f t="shared" si="346"/>
        <v>791.16</v>
      </c>
      <c r="DF65" s="270">
        <f t="shared" si="346"/>
        <v>1467.13</v>
      </c>
      <c r="DG65" s="270">
        <f t="shared" si="346"/>
        <v>0</v>
      </c>
      <c r="DH65" s="270">
        <f t="shared" si="346"/>
        <v>0</v>
      </c>
      <c r="DI65" s="270">
        <f t="shared" si="346"/>
        <v>0</v>
      </c>
      <c r="DJ65" s="270">
        <f t="shared" si="346"/>
        <v>0</v>
      </c>
      <c r="DK65" s="270">
        <f t="shared" si="346"/>
        <v>0</v>
      </c>
      <c r="DL65" s="270">
        <f t="shared" si="346"/>
        <v>0</v>
      </c>
      <c r="DM65" s="270">
        <f t="shared" si="346"/>
        <v>0</v>
      </c>
      <c r="DN65" s="270">
        <f t="shared" si="346"/>
        <v>0</v>
      </c>
      <c r="DO65" s="270">
        <f t="shared" si="346"/>
        <v>0</v>
      </c>
      <c r="DP65" s="270">
        <f t="shared" si="346"/>
        <v>0</v>
      </c>
      <c r="DQ65" s="270">
        <f t="shared" si="346"/>
        <v>0</v>
      </c>
      <c r="DR65" s="270">
        <f t="shared" si="346"/>
        <v>0</v>
      </c>
      <c r="DS65" s="270">
        <f t="shared" si="346"/>
        <v>0</v>
      </c>
      <c r="DT65" s="270">
        <f t="shared" si="346"/>
        <v>0</v>
      </c>
      <c r="DU65" s="270">
        <f t="shared" si="346"/>
        <v>0</v>
      </c>
      <c r="DV65" s="270">
        <f t="shared" si="346"/>
        <v>0</v>
      </c>
      <c r="DW65" s="271" t="str">
        <f t="shared" si="346"/>
        <v/>
      </c>
      <c r="DX65" s="270">
        <f t="shared" si="346"/>
        <v>0</v>
      </c>
      <c r="DY65" s="270">
        <f t="shared" si="29"/>
        <v>2953.89</v>
      </c>
      <c r="DZ65" s="274"/>
      <c r="EA65" s="275">
        <f t="shared" si="38"/>
        <v>0</v>
      </c>
      <c r="EB65" s="270">
        <f t="shared" ref="EB65:FC65" si="347">IF(AJ63&lt;=0,0,IF($C64&lt;=SUM($EA65:EA65),0,IF(CU64+$C64-SUM($EA65:EA65)&gt;AJ63+BO64,AJ63+BO64-CU64,$C64-SUM($EA65:EA65))))</f>
        <v>0</v>
      </c>
      <c r="EC65" s="270">
        <f t="shared" si="347"/>
        <v>0</v>
      </c>
      <c r="ED65" s="270">
        <f t="shared" si="347"/>
        <v>0</v>
      </c>
      <c r="EE65" s="270">
        <f t="shared" si="347"/>
        <v>0</v>
      </c>
      <c r="EF65" s="270">
        <f t="shared" si="347"/>
        <v>0</v>
      </c>
      <c r="EG65" s="270">
        <f t="shared" si="347"/>
        <v>0</v>
      </c>
      <c r="EH65" s="270">
        <f t="shared" si="347"/>
        <v>0</v>
      </c>
      <c r="EI65" s="270">
        <f t="shared" si="347"/>
        <v>0</v>
      </c>
      <c r="EJ65" s="270">
        <f t="shared" si="347"/>
        <v>0</v>
      </c>
      <c r="EK65" s="270">
        <f t="shared" si="347"/>
        <v>908.11</v>
      </c>
      <c r="EL65" s="270">
        <f t="shared" si="347"/>
        <v>0</v>
      </c>
      <c r="EM65" s="270">
        <f t="shared" si="347"/>
        <v>0</v>
      </c>
      <c r="EN65" s="270">
        <f t="shared" si="347"/>
        <v>0</v>
      </c>
      <c r="EO65" s="270">
        <f t="shared" si="347"/>
        <v>0</v>
      </c>
      <c r="EP65" s="270">
        <f t="shared" si="347"/>
        <v>0</v>
      </c>
      <c r="EQ65" s="270">
        <f t="shared" si="347"/>
        <v>0</v>
      </c>
      <c r="ER65" s="270">
        <f t="shared" si="347"/>
        <v>0</v>
      </c>
      <c r="ES65" s="270">
        <f t="shared" si="347"/>
        <v>0</v>
      </c>
      <c r="ET65" s="270">
        <f t="shared" si="347"/>
        <v>0</v>
      </c>
      <c r="EU65" s="270">
        <f t="shared" si="347"/>
        <v>0</v>
      </c>
      <c r="EV65" s="270">
        <f t="shared" si="347"/>
        <v>0</v>
      </c>
      <c r="EW65" s="270">
        <f t="shared" si="347"/>
        <v>0</v>
      </c>
      <c r="EX65" s="270">
        <f t="shared" si="347"/>
        <v>0</v>
      </c>
      <c r="EY65" s="270">
        <f t="shared" si="347"/>
        <v>0</v>
      </c>
      <c r="EZ65" s="270">
        <f t="shared" si="347"/>
        <v>0</v>
      </c>
      <c r="FA65" s="270">
        <f t="shared" si="347"/>
        <v>0</v>
      </c>
      <c r="FB65" s="270">
        <f t="shared" si="347"/>
        <v>0</v>
      </c>
      <c r="FC65" s="270">
        <f t="shared" si="347"/>
        <v>0</v>
      </c>
      <c r="FD65" s="271"/>
      <c r="FE65" s="271"/>
      <c r="FF65" s="271"/>
      <c r="FG65" s="215"/>
      <c r="FH65" s="215"/>
    </row>
    <row r="66" ht="11.25" customHeight="1">
      <c r="A66" s="231">
        <f t="shared" si="19"/>
        <v>46</v>
      </c>
      <c r="B66" s="269">
        <v>47027.0</v>
      </c>
      <c r="C66" s="270">
        <f>IF(A66="","",IF(Calculator!snowball,IF(($E$5-DY66)&lt;0,0,$E$5-DY66),0)+D66)</f>
        <v>908.11</v>
      </c>
      <c r="D66" s="277"/>
      <c r="E66" s="270">
        <f t="shared" si="40"/>
        <v>0</v>
      </c>
      <c r="F66" s="270">
        <f t="shared" ref="F66:AG66" si="348">CU66+EB67</f>
        <v>0</v>
      </c>
      <c r="G66" s="270">
        <f t="shared" si="348"/>
        <v>0</v>
      </c>
      <c r="H66" s="270">
        <f t="shared" si="348"/>
        <v>0</v>
      </c>
      <c r="I66" s="270">
        <f t="shared" si="348"/>
        <v>0</v>
      </c>
      <c r="J66" s="270">
        <f t="shared" si="348"/>
        <v>0</v>
      </c>
      <c r="K66" s="270">
        <f t="shared" si="348"/>
        <v>0</v>
      </c>
      <c r="L66" s="270">
        <f t="shared" si="348"/>
        <v>0</v>
      </c>
      <c r="M66" s="270">
        <f t="shared" si="348"/>
        <v>0</v>
      </c>
      <c r="N66" s="270">
        <f t="shared" si="348"/>
        <v>0</v>
      </c>
      <c r="O66" s="270">
        <f t="shared" si="348"/>
        <v>1603.71</v>
      </c>
      <c r="P66" s="272">
        <f t="shared" si="348"/>
        <v>791.16</v>
      </c>
      <c r="Q66" s="272">
        <f t="shared" si="348"/>
        <v>1467.13</v>
      </c>
      <c r="R66" s="272">
        <f t="shared" si="348"/>
        <v>0</v>
      </c>
      <c r="S66" s="272">
        <f t="shared" si="348"/>
        <v>0</v>
      </c>
      <c r="T66" s="272">
        <f t="shared" si="348"/>
        <v>0</v>
      </c>
      <c r="U66" s="270">
        <f t="shared" si="348"/>
        <v>0</v>
      </c>
      <c r="V66" s="270">
        <f t="shared" si="348"/>
        <v>0</v>
      </c>
      <c r="W66" s="270">
        <f t="shared" si="348"/>
        <v>0</v>
      </c>
      <c r="X66" s="270">
        <f t="shared" si="348"/>
        <v>0</v>
      </c>
      <c r="Y66" s="270">
        <f t="shared" si="348"/>
        <v>0</v>
      </c>
      <c r="Z66" s="270">
        <f t="shared" si="348"/>
        <v>0</v>
      </c>
      <c r="AA66" s="270">
        <f t="shared" si="348"/>
        <v>0</v>
      </c>
      <c r="AB66" s="270">
        <f t="shared" si="348"/>
        <v>0</v>
      </c>
      <c r="AC66" s="270">
        <f t="shared" si="348"/>
        <v>0</v>
      </c>
      <c r="AD66" s="270">
        <f t="shared" si="348"/>
        <v>0</v>
      </c>
      <c r="AE66" s="270">
        <f t="shared" si="348"/>
        <v>0</v>
      </c>
      <c r="AF66" s="270">
        <f t="shared" si="348"/>
        <v>0</v>
      </c>
      <c r="AG66" s="270">
        <f t="shared" si="348"/>
        <v>0</v>
      </c>
      <c r="AH66" s="265">
        <f t="shared" si="13"/>
        <v>178740.44</v>
      </c>
      <c r="AI66" s="270">
        <f t="shared" si="43"/>
        <v>0</v>
      </c>
      <c r="AJ66" s="270">
        <f t="shared" ref="AJ66:AO66" si="349">IF(F$8=0,0,ROUND(AJ65-(F66-BO66),2))</f>
        <v>0</v>
      </c>
      <c r="AK66" s="270">
        <f t="shared" si="349"/>
        <v>0</v>
      </c>
      <c r="AL66" s="270">
        <f t="shared" si="349"/>
        <v>0</v>
      </c>
      <c r="AM66" s="270">
        <f t="shared" si="349"/>
        <v>0</v>
      </c>
      <c r="AN66" s="270">
        <f t="shared" si="349"/>
        <v>0</v>
      </c>
      <c r="AO66" s="270">
        <f t="shared" si="349"/>
        <v>0</v>
      </c>
      <c r="AP66" s="270">
        <v>0.0</v>
      </c>
      <c r="AQ66" s="270">
        <f t="shared" ref="AQ66:AS66" si="350">IF(M$8=0,0,ROUND(AQ65-(M66-BV66),2))</f>
        <v>0</v>
      </c>
      <c r="AR66" s="270">
        <f t="shared" si="350"/>
        <v>0</v>
      </c>
      <c r="AS66" s="270">
        <f t="shared" si="350"/>
        <v>22405.19</v>
      </c>
      <c r="AT66" s="270">
        <f t="shared" ref="AT66:BK66" si="351">IF(P$8=0,0,ROUND(AT65-(P66-BX66),2))</f>
        <v>28649</v>
      </c>
      <c r="AU66" s="270">
        <f t="shared" si="351"/>
        <v>127686.25</v>
      </c>
      <c r="AV66" s="270">
        <f t="shared" si="351"/>
        <v>0</v>
      </c>
      <c r="AW66" s="270">
        <f t="shared" si="351"/>
        <v>0</v>
      </c>
      <c r="AX66" s="270">
        <f t="shared" si="351"/>
        <v>0</v>
      </c>
      <c r="AY66" s="270">
        <f t="shared" si="351"/>
        <v>0</v>
      </c>
      <c r="AZ66" s="270">
        <f t="shared" si="351"/>
        <v>0</v>
      </c>
      <c r="BA66" s="270">
        <f t="shared" si="351"/>
        <v>0</v>
      </c>
      <c r="BB66" s="270">
        <f t="shared" si="351"/>
        <v>0</v>
      </c>
      <c r="BC66" s="270">
        <f t="shared" si="351"/>
        <v>0</v>
      </c>
      <c r="BD66" s="270">
        <f t="shared" si="351"/>
        <v>0</v>
      </c>
      <c r="BE66" s="270">
        <f t="shared" si="351"/>
        <v>0</v>
      </c>
      <c r="BF66" s="270">
        <f t="shared" si="351"/>
        <v>0</v>
      </c>
      <c r="BG66" s="270">
        <f t="shared" si="351"/>
        <v>0</v>
      </c>
      <c r="BH66" s="270">
        <f t="shared" si="351"/>
        <v>0</v>
      </c>
      <c r="BI66" s="270">
        <f t="shared" si="351"/>
        <v>0</v>
      </c>
      <c r="BJ66" s="270">
        <f t="shared" si="351"/>
        <v>0</v>
      </c>
      <c r="BK66" s="270">
        <f t="shared" si="351"/>
        <v>0</v>
      </c>
      <c r="BL66" s="265">
        <f t="shared" si="16"/>
        <v>178740.44</v>
      </c>
      <c r="BM66" s="215"/>
      <c r="BN66" s="270">
        <f t="shared" ref="BN66:CP66" si="352">ROUND(AI65*E$9/12,2)</f>
        <v>0</v>
      </c>
      <c r="BO66" s="270">
        <f t="shared" si="352"/>
        <v>0</v>
      </c>
      <c r="BP66" s="270">
        <f t="shared" si="352"/>
        <v>0</v>
      </c>
      <c r="BQ66" s="270">
        <f t="shared" si="352"/>
        <v>0</v>
      </c>
      <c r="BR66" s="270">
        <f t="shared" si="352"/>
        <v>0</v>
      </c>
      <c r="BS66" s="270">
        <f t="shared" si="352"/>
        <v>0</v>
      </c>
      <c r="BT66" s="270">
        <f t="shared" si="352"/>
        <v>0</v>
      </c>
      <c r="BU66" s="270">
        <f t="shared" si="352"/>
        <v>0</v>
      </c>
      <c r="BV66" s="270">
        <f t="shared" si="352"/>
        <v>0</v>
      </c>
      <c r="BW66" s="270">
        <f t="shared" si="352"/>
        <v>0</v>
      </c>
      <c r="BX66" s="270">
        <f t="shared" si="352"/>
        <v>218.08</v>
      </c>
      <c r="BY66" s="270">
        <f t="shared" si="352"/>
        <v>225.98</v>
      </c>
      <c r="BZ66" s="270">
        <f t="shared" si="352"/>
        <v>402.9</v>
      </c>
      <c r="CA66" s="270">
        <f t="shared" si="352"/>
        <v>0</v>
      </c>
      <c r="CB66" s="270">
        <f t="shared" si="352"/>
        <v>0</v>
      </c>
      <c r="CC66" s="270">
        <f t="shared" si="352"/>
        <v>0</v>
      </c>
      <c r="CD66" s="270">
        <f t="shared" si="352"/>
        <v>0</v>
      </c>
      <c r="CE66" s="270">
        <f t="shared" si="352"/>
        <v>0</v>
      </c>
      <c r="CF66" s="270">
        <f t="shared" si="352"/>
        <v>0</v>
      </c>
      <c r="CG66" s="270">
        <f t="shared" si="352"/>
        <v>0</v>
      </c>
      <c r="CH66" s="270">
        <f t="shared" si="352"/>
        <v>0</v>
      </c>
      <c r="CI66" s="270">
        <f t="shared" si="352"/>
        <v>0</v>
      </c>
      <c r="CJ66" s="270">
        <f t="shared" si="352"/>
        <v>0</v>
      </c>
      <c r="CK66" s="270">
        <f t="shared" si="352"/>
        <v>0</v>
      </c>
      <c r="CL66" s="270">
        <f t="shared" si="352"/>
        <v>0</v>
      </c>
      <c r="CM66" s="270">
        <f t="shared" si="352"/>
        <v>0</v>
      </c>
      <c r="CN66" s="270">
        <f t="shared" si="352"/>
        <v>0</v>
      </c>
      <c r="CO66" s="270">
        <f t="shared" si="352"/>
        <v>0</v>
      </c>
      <c r="CP66" s="270">
        <f t="shared" si="352"/>
        <v>0</v>
      </c>
      <c r="CQ66" s="215"/>
      <c r="CR66" s="270">
        <f t="shared" si="27"/>
        <v>846.96</v>
      </c>
      <c r="CS66" s="215"/>
      <c r="CT66" s="270">
        <f t="shared" ref="CT66:DX66" si="353">IF(AI65&gt;0,IF((AI65+BN66)&lt;E$10,AI65+BN66,E$10),0)</f>
        <v>0</v>
      </c>
      <c r="CU66" s="270">
        <f t="shared" si="353"/>
        <v>0</v>
      </c>
      <c r="CV66" s="270">
        <f t="shared" si="353"/>
        <v>0</v>
      </c>
      <c r="CW66" s="270">
        <f t="shared" si="353"/>
        <v>0</v>
      </c>
      <c r="CX66" s="270">
        <f t="shared" si="353"/>
        <v>0</v>
      </c>
      <c r="CY66" s="270">
        <f t="shared" si="353"/>
        <v>0</v>
      </c>
      <c r="CZ66" s="270">
        <f t="shared" si="353"/>
        <v>0</v>
      </c>
      <c r="DA66" s="270">
        <f t="shared" si="353"/>
        <v>0</v>
      </c>
      <c r="DB66" s="270">
        <f t="shared" si="353"/>
        <v>0</v>
      </c>
      <c r="DC66" s="270">
        <f t="shared" si="353"/>
        <v>0</v>
      </c>
      <c r="DD66" s="270">
        <f t="shared" si="353"/>
        <v>695.6</v>
      </c>
      <c r="DE66" s="270">
        <f t="shared" si="353"/>
        <v>791.16</v>
      </c>
      <c r="DF66" s="270">
        <f t="shared" si="353"/>
        <v>1467.13</v>
      </c>
      <c r="DG66" s="270">
        <f t="shared" si="353"/>
        <v>0</v>
      </c>
      <c r="DH66" s="270">
        <f t="shared" si="353"/>
        <v>0</v>
      </c>
      <c r="DI66" s="270">
        <f t="shared" si="353"/>
        <v>0</v>
      </c>
      <c r="DJ66" s="270">
        <f t="shared" si="353"/>
        <v>0</v>
      </c>
      <c r="DK66" s="270">
        <f t="shared" si="353"/>
        <v>0</v>
      </c>
      <c r="DL66" s="270">
        <f t="shared" si="353"/>
        <v>0</v>
      </c>
      <c r="DM66" s="270">
        <f t="shared" si="353"/>
        <v>0</v>
      </c>
      <c r="DN66" s="270">
        <f t="shared" si="353"/>
        <v>0</v>
      </c>
      <c r="DO66" s="270">
        <f t="shared" si="353"/>
        <v>0</v>
      </c>
      <c r="DP66" s="270">
        <f t="shared" si="353"/>
        <v>0</v>
      </c>
      <c r="DQ66" s="270">
        <f t="shared" si="353"/>
        <v>0</v>
      </c>
      <c r="DR66" s="270">
        <f t="shared" si="353"/>
        <v>0</v>
      </c>
      <c r="DS66" s="270">
        <f t="shared" si="353"/>
        <v>0</v>
      </c>
      <c r="DT66" s="270">
        <f t="shared" si="353"/>
        <v>0</v>
      </c>
      <c r="DU66" s="270">
        <f t="shared" si="353"/>
        <v>0</v>
      </c>
      <c r="DV66" s="270">
        <f t="shared" si="353"/>
        <v>0</v>
      </c>
      <c r="DW66" s="271" t="str">
        <f t="shared" si="353"/>
        <v/>
      </c>
      <c r="DX66" s="270">
        <f t="shared" si="353"/>
        <v>0</v>
      </c>
      <c r="DY66" s="270">
        <f t="shared" si="29"/>
        <v>2953.89</v>
      </c>
      <c r="DZ66" s="274"/>
      <c r="EA66" s="275">
        <f t="shared" si="38"/>
        <v>0</v>
      </c>
      <c r="EB66" s="270">
        <f t="shared" ref="EB66:FC66" si="354">IF(AJ64&lt;=0,0,IF($C65&lt;=SUM($EA66:EA66),0,IF(CU65+$C65-SUM($EA66:EA66)&gt;AJ64+BO65,AJ64+BO65-CU65,$C65-SUM($EA66:EA66))))</f>
        <v>0</v>
      </c>
      <c r="EC66" s="270">
        <f t="shared" si="354"/>
        <v>0</v>
      </c>
      <c r="ED66" s="270">
        <f t="shared" si="354"/>
        <v>0</v>
      </c>
      <c r="EE66" s="270">
        <f t="shared" si="354"/>
        <v>0</v>
      </c>
      <c r="EF66" s="270">
        <f t="shared" si="354"/>
        <v>0</v>
      </c>
      <c r="EG66" s="270">
        <f t="shared" si="354"/>
        <v>0</v>
      </c>
      <c r="EH66" s="270">
        <f t="shared" si="354"/>
        <v>0</v>
      </c>
      <c r="EI66" s="270">
        <f t="shared" si="354"/>
        <v>0</v>
      </c>
      <c r="EJ66" s="270">
        <f t="shared" si="354"/>
        <v>0</v>
      </c>
      <c r="EK66" s="270">
        <f t="shared" si="354"/>
        <v>908.11</v>
      </c>
      <c r="EL66" s="270">
        <f t="shared" si="354"/>
        <v>0</v>
      </c>
      <c r="EM66" s="270">
        <f t="shared" si="354"/>
        <v>0</v>
      </c>
      <c r="EN66" s="270">
        <f t="shared" si="354"/>
        <v>0</v>
      </c>
      <c r="EO66" s="270">
        <f t="shared" si="354"/>
        <v>0</v>
      </c>
      <c r="EP66" s="270">
        <f t="shared" si="354"/>
        <v>0</v>
      </c>
      <c r="EQ66" s="270">
        <f t="shared" si="354"/>
        <v>0</v>
      </c>
      <c r="ER66" s="270">
        <f t="shared" si="354"/>
        <v>0</v>
      </c>
      <c r="ES66" s="270">
        <f t="shared" si="354"/>
        <v>0</v>
      </c>
      <c r="ET66" s="270">
        <f t="shared" si="354"/>
        <v>0</v>
      </c>
      <c r="EU66" s="270">
        <f t="shared" si="354"/>
        <v>0</v>
      </c>
      <c r="EV66" s="270">
        <f t="shared" si="354"/>
        <v>0</v>
      </c>
      <c r="EW66" s="270">
        <f t="shared" si="354"/>
        <v>0</v>
      </c>
      <c r="EX66" s="270">
        <f t="shared" si="354"/>
        <v>0</v>
      </c>
      <c r="EY66" s="270">
        <f t="shared" si="354"/>
        <v>0</v>
      </c>
      <c r="EZ66" s="270">
        <f t="shared" si="354"/>
        <v>0</v>
      </c>
      <c r="FA66" s="270">
        <f t="shared" si="354"/>
        <v>0</v>
      </c>
      <c r="FB66" s="270">
        <f t="shared" si="354"/>
        <v>0</v>
      </c>
      <c r="FC66" s="270">
        <f t="shared" si="354"/>
        <v>0</v>
      </c>
      <c r="FD66" s="271"/>
      <c r="FE66" s="271"/>
      <c r="FF66" s="271"/>
      <c r="FG66" s="215"/>
      <c r="FH66" s="215"/>
    </row>
    <row r="67" ht="11.25" customHeight="1">
      <c r="A67" s="231">
        <f t="shared" si="19"/>
        <v>47</v>
      </c>
      <c r="B67" s="269">
        <v>47058.0</v>
      </c>
      <c r="C67" s="270">
        <f>IF(A67="","",IF(Calculator!snowball,IF(($E$5-DY67)&lt;0,0,$E$5-DY67),0)+D67)</f>
        <v>908.11</v>
      </c>
      <c r="D67" s="277"/>
      <c r="E67" s="270">
        <f t="shared" si="40"/>
        <v>0</v>
      </c>
      <c r="F67" s="270">
        <f t="shared" ref="F67:AG67" si="355">CU67+EB68</f>
        <v>0</v>
      </c>
      <c r="G67" s="270">
        <f t="shared" si="355"/>
        <v>0</v>
      </c>
      <c r="H67" s="270">
        <f t="shared" si="355"/>
        <v>0</v>
      </c>
      <c r="I67" s="270">
        <f t="shared" si="355"/>
        <v>0</v>
      </c>
      <c r="J67" s="270">
        <f t="shared" si="355"/>
        <v>0</v>
      </c>
      <c r="K67" s="270">
        <f t="shared" si="355"/>
        <v>0</v>
      </c>
      <c r="L67" s="270">
        <f t="shared" si="355"/>
        <v>0</v>
      </c>
      <c r="M67" s="270">
        <f t="shared" si="355"/>
        <v>0</v>
      </c>
      <c r="N67" s="270">
        <f t="shared" si="355"/>
        <v>0</v>
      </c>
      <c r="O67" s="270">
        <f t="shared" si="355"/>
        <v>1603.71</v>
      </c>
      <c r="P67" s="272">
        <f t="shared" si="355"/>
        <v>791.16</v>
      </c>
      <c r="Q67" s="272">
        <f t="shared" si="355"/>
        <v>1467.13</v>
      </c>
      <c r="R67" s="272">
        <f t="shared" si="355"/>
        <v>0</v>
      </c>
      <c r="S67" s="272">
        <f t="shared" si="355"/>
        <v>0</v>
      </c>
      <c r="T67" s="272">
        <f t="shared" si="355"/>
        <v>0</v>
      </c>
      <c r="U67" s="270">
        <f t="shared" si="355"/>
        <v>0</v>
      </c>
      <c r="V67" s="270">
        <f t="shared" si="355"/>
        <v>0</v>
      </c>
      <c r="W67" s="270">
        <f t="shared" si="355"/>
        <v>0</v>
      </c>
      <c r="X67" s="270">
        <f t="shared" si="355"/>
        <v>0</v>
      </c>
      <c r="Y67" s="270">
        <f t="shared" si="355"/>
        <v>0</v>
      </c>
      <c r="Z67" s="270">
        <f t="shared" si="355"/>
        <v>0</v>
      </c>
      <c r="AA67" s="270">
        <f t="shared" si="355"/>
        <v>0</v>
      </c>
      <c r="AB67" s="270">
        <f t="shared" si="355"/>
        <v>0</v>
      </c>
      <c r="AC67" s="270">
        <f t="shared" si="355"/>
        <v>0</v>
      </c>
      <c r="AD67" s="270">
        <f t="shared" si="355"/>
        <v>0</v>
      </c>
      <c r="AE67" s="270">
        <f t="shared" si="355"/>
        <v>0</v>
      </c>
      <c r="AF67" s="270">
        <f t="shared" si="355"/>
        <v>0</v>
      </c>
      <c r="AG67" s="270">
        <f t="shared" si="355"/>
        <v>0</v>
      </c>
      <c r="AH67" s="265">
        <f t="shared" si="13"/>
        <v>175510.75</v>
      </c>
      <c r="AI67" s="270">
        <f t="shared" si="43"/>
        <v>0</v>
      </c>
      <c r="AJ67" s="270">
        <f t="shared" ref="AJ67:AO67" si="356">IF(F$8=0,0,ROUND(AJ66-(F67-BO67),2))</f>
        <v>0</v>
      </c>
      <c r="AK67" s="270">
        <f t="shared" si="356"/>
        <v>0</v>
      </c>
      <c r="AL67" s="270">
        <f t="shared" si="356"/>
        <v>0</v>
      </c>
      <c r="AM67" s="270">
        <f t="shared" si="356"/>
        <v>0</v>
      </c>
      <c r="AN67" s="270">
        <f t="shared" si="356"/>
        <v>0</v>
      </c>
      <c r="AO67" s="270">
        <f t="shared" si="356"/>
        <v>0</v>
      </c>
      <c r="AP67" s="270">
        <v>0.0</v>
      </c>
      <c r="AQ67" s="270">
        <f t="shared" ref="AQ67:AS67" si="357">IF(M$8=0,0,ROUND(AQ66-(M67-BV67),2))</f>
        <v>0</v>
      </c>
      <c r="AR67" s="270">
        <f t="shared" si="357"/>
        <v>0</v>
      </c>
      <c r="AS67" s="270">
        <f t="shared" si="357"/>
        <v>21006.86</v>
      </c>
      <c r="AT67" s="270">
        <f t="shared" ref="AT67:BK67" si="358">IF(P$8=0,0,ROUND(AT66-(P67-BX67),2))</f>
        <v>28063.22</v>
      </c>
      <c r="AU67" s="270">
        <f t="shared" si="358"/>
        <v>126440.67</v>
      </c>
      <c r="AV67" s="270">
        <f t="shared" si="358"/>
        <v>0</v>
      </c>
      <c r="AW67" s="270">
        <f t="shared" si="358"/>
        <v>0</v>
      </c>
      <c r="AX67" s="270">
        <f t="shared" si="358"/>
        <v>0</v>
      </c>
      <c r="AY67" s="270">
        <f t="shared" si="358"/>
        <v>0</v>
      </c>
      <c r="AZ67" s="270">
        <f t="shared" si="358"/>
        <v>0</v>
      </c>
      <c r="BA67" s="270">
        <f t="shared" si="358"/>
        <v>0</v>
      </c>
      <c r="BB67" s="270">
        <f t="shared" si="358"/>
        <v>0</v>
      </c>
      <c r="BC67" s="270">
        <f t="shared" si="358"/>
        <v>0</v>
      </c>
      <c r="BD67" s="270">
        <f t="shared" si="358"/>
        <v>0</v>
      </c>
      <c r="BE67" s="270">
        <f t="shared" si="358"/>
        <v>0</v>
      </c>
      <c r="BF67" s="270">
        <f t="shared" si="358"/>
        <v>0</v>
      </c>
      <c r="BG67" s="270">
        <f t="shared" si="358"/>
        <v>0</v>
      </c>
      <c r="BH67" s="270">
        <f t="shared" si="358"/>
        <v>0</v>
      </c>
      <c r="BI67" s="270">
        <f t="shared" si="358"/>
        <v>0</v>
      </c>
      <c r="BJ67" s="270">
        <f t="shared" si="358"/>
        <v>0</v>
      </c>
      <c r="BK67" s="270">
        <f t="shared" si="358"/>
        <v>0</v>
      </c>
      <c r="BL67" s="265">
        <f t="shared" si="16"/>
        <v>175510.75</v>
      </c>
      <c r="BM67" s="215"/>
      <c r="BN67" s="270">
        <f t="shared" ref="BN67:CP67" si="359">ROUND(AI66*E$9/12,2)</f>
        <v>0</v>
      </c>
      <c r="BO67" s="270">
        <f t="shared" si="359"/>
        <v>0</v>
      </c>
      <c r="BP67" s="270">
        <f t="shared" si="359"/>
        <v>0</v>
      </c>
      <c r="BQ67" s="270">
        <f t="shared" si="359"/>
        <v>0</v>
      </c>
      <c r="BR67" s="270">
        <f t="shared" si="359"/>
        <v>0</v>
      </c>
      <c r="BS67" s="270">
        <f t="shared" si="359"/>
        <v>0</v>
      </c>
      <c r="BT67" s="270">
        <f t="shared" si="359"/>
        <v>0</v>
      </c>
      <c r="BU67" s="270">
        <f t="shared" si="359"/>
        <v>0</v>
      </c>
      <c r="BV67" s="270">
        <f t="shared" si="359"/>
        <v>0</v>
      </c>
      <c r="BW67" s="270">
        <f t="shared" si="359"/>
        <v>0</v>
      </c>
      <c r="BX67" s="270">
        <f t="shared" si="359"/>
        <v>205.38</v>
      </c>
      <c r="BY67" s="270">
        <f t="shared" si="359"/>
        <v>221.55</v>
      </c>
      <c r="BZ67" s="270">
        <f t="shared" si="359"/>
        <v>399.02</v>
      </c>
      <c r="CA67" s="270">
        <f t="shared" si="359"/>
        <v>0</v>
      </c>
      <c r="CB67" s="270">
        <f t="shared" si="359"/>
        <v>0</v>
      </c>
      <c r="CC67" s="270">
        <f t="shared" si="359"/>
        <v>0</v>
      </c>
      <c r="CD67" s="270">
        <f t="shared" si="359"/>
        <v>0</v>
      </c>
      <c r="CE67" s="270">
        <f t="shared" si="359"/>
        <v>0</v>
      </c>
      <c r="CF67" s="270">
        <f t="shared" si="359"/>
        <v>0</v>
      </c>
      <c r="CG67" s="270">
        <f t="shared" si="359"/>
        <v>0</v>
      </c>
      <c r="CH67" s="270">
        <f t="shared" si="359"/>
        <v>0</v>
      </c>
      <c r="CI67" s="270">
        <f t="shared" si="359"/>
        <v>0</v>
      </c>
      <c r="CJ67" s="270">
        <f t="shared" si="359"/>
        <v>0</v>
      </c>
      <c r="CK67" s="270">
        <f t="shared" si="359"/>
        <v>0</v>
      </c>
      <c r="CL67" s="270">
        <f t="shared" si="359"/>
        <v>0</v>
      </c>
      <c r="CM67" s="270">
        <f t="shared" si="359"/>
        <v>0</v>
      </c>
      <c r="CN67" s="270">
        <f t="shared" si="359"/>
        <v>0</v>
      </c>
      <c r="CO67" s="270">
        <f t="shared" si="359"/>
        <v>0</v>
      </c>
      <c r="CP67" s="270">
        <f t="shared" si="359"/>
        <v>0</v>
      </c>
      <c r="CQ67" s="215"/>
      <c r="CR67" s="270">
        <f t="shared" si="27"/>
        <v>825.95</v>
      </c>
      <c r="CS67" s="215"/>
      <c r="CT67" s="270">
        <f t="shared" ref="CT67:DX67" si="360">IF(AI66&gt;0,IF((AI66+BN67)&lt;E$10,AI66+BN67,E$10),0)</f>
        <v>0</v>
      </c>
      <c r="CU67" s="270">
        <f t="shared" si="360"/>
        <v>0</v>
      </c>
      <c r="CV67" s="270">
        <f t="shared" si="360"/>
        <v>0</v>
      </c>
      <c r="CW67" s="270">
        <f t="shared" si="360"/>
        <v>0</v>
      </c>
      <c r="CX67" s="270">
        <f t="shared" si="360"/>
        <v>0</v>
      </c>
      <c r="CY67" s="270">
        <f t="shared" si="360"/>
        <v>0</v>
      </c>
      <c r="CZ67" s="270">
        <f t="shared" si="360"/>
        <v>0</v>
      </c>
      <c r="DA67" s="270">
        <f t="shared" si="360"/>
        <v>0</v>
      </c>
      <c r="DB67" s="270">
        <f t="shared" si="360"/>
        <v>0</v>
      </c>
      <c r="DC67" s="270">
        <f t="shared" si="360"/>
        <v>0</v>
      </c>
      <c r="DD67" s="270">
        <f t="shared" si="360"/>
        <v>695.6</v>
      </c>
      <c r="DE67" s="270">
        <f t="shared" si="360"/>
        <v>791.16</v>
      </c>
      <c r="DF67" s="270">
        <f t="shared" si="360"/>
        <v>1467.13</v>
      </c>
      <c r="DG67" s="270">
        <f t="shared" si="360"/>
        <v>0</v>
      </c>
      <c r="DH67" s="270">
        <f t="shared" si="360"/>
        <v>0</v>
      </c>
      <c r="DI67" s="270">
        <f t="shared" si="360"/>
        <v>0</v>
      </c>
      <c r="DJ67" s="270">
        <f t="shared" si="360"/>
        <v>0</v>
      </c>
      <c r="DK67" s="270">
        <f t="shared" si="360"/>
        <v>0</v>
      </c>
      <c r="DL67" s="270">
        <f t="shared" si="360"/>
        <v>0</v>
      </c>
      <c r="DM67" s="270">
        <f t="shared" si="360"/>
        <v>0</v>
      </c>
      <c r="DN67" s="270">
        <f t="shared" si="360"/>
        <v>0</v>
      </c>
      <c r="DO67" s="270">
        <f t="shared" si="360"/>
        <v>0</v>
      </c>
      <c r="DP67" s="270">
        <f t="shared" si="360"/>
        <v>0</v>
      </c>
      <c r="DQ67" s="270">
        <f t="shared" si="360"/>
        <v>0</v>
      </c>
      <c r="DR67" s="270">
        <f t="shared" si="360"/>
        <v>0</v>
      </c>
      <c r="DS67" s="270">
        <f t="shared" si="360"/>
        <v>0</v>
      </c>
      <c r="DT67" s="270">
        <f t="shared" si="360"/>
        <v>0</v>
      </c>
      <c r="DU67" s="270">
        <f t="shared" si="360"/>
        <v>0</v>
      </c>
      <c r="DV67" s="270">
        <f t="shared" si="360"/>
        <v>0</v>
      </c>
      <c r="DW67" s="271" t="str">
        <f t="shared" si="360"/>
        <v/>
      </c>
      <c r="DX67" s="270">
        <f t="shared" si="360"/>
        <v>0</v>
      </c>
      <c r="DY67" s="270">
        <f t="shared" si="29"/>
        <v>2953.89</v>
      </c>
      <c r="DZ67" s="274"/>
      <c r="EA67" s="275">
        <f t="shared" si="38"/>
        <v>0</v>
      </c>
      <c r="EB67" s="270">
        <f t="shared" ref="EB67:FC67" si="361">IF(AJ65&lt;=0,0,IF($C66&lt;=SUM($EA67:EA67),0,IF(CU66+$C66-SUM($EA67:EA67)&gt;AJ65+BO66,AJ65+BO66-CU66,$C66-SUM($EA67:EA67))))</f>
        <v>0</v>
      </c>
      <c r="EC67" s="270">
        <f t="shared" si="361"/>
        <v>0</v>
      </c>
      <c r="ED67" s="270">
        <f t="shared" si="361"/>
        <v>0</v>
      </c>
      <c r="EE67" s="270">
        <f t="shared" si="361"/>
        <v>0</v>
      </c>
      <c r="EF67" s="270">
        <f t="shared" si="361"/>
        <v>0</v>
      </c>
      <c r="EG67" s="270">
        <f t="shared" si="361"/>
        <v>0</v>
      </c>
      <c r="EH67" s="270">
        <f t="shared" si="361"/>
        <v>0</v>
      </c>
      <c r="EI67" s="270">
        <f t="shared" si="361"/>
        <v>0</v>
      </c>
      <c r="EJ67" s="270">
        <f t="shared" si="361"/>
        <v>0</v>
      </c>
      <c r="EK67" s="270">
        <f t="shared" si="361"/>
        <v>908.11</v>
      </c>
      <c r="EL67" s="270">
        <f t="shared" si="361"/>
        <v>0</v>
      </c>
      <c r="EM67" s="270">
        <f t="shared" si="361"/>
        <v>0</v>
      </c>
      <c r="EN67" s="270">
        <f t="shared" si="361"/>
        <v>0</v>
      </c>
      <c r="EO67" s="270">
        <f t="shared" si="361"/>
        <v>0</v>
      </c>
      <c r="EP67" s="270">
        <f t="shared" si="361"/>
        <v>0</v>
      </c>
      <c r="EQ67" s="270">
        <f t="shared" si="361"/>
        <v>0</v>
      </c>
      <c r="ER67" s="270">
        <f t="shared" si="361"/>
        <v>0</v>
      </c>
      <c r="ES67" s="270">
        <f t="shared" si="361"/>
        <v>0</v>
      </c>
      <c r="ET67" s="270">
        <f t="shared" si="361"/>
        <v>0</v>
      </c>
      <c r="EU67" s="270">
        <f t="shared" si="361"/>
        <v>0</v>
      </c>
      <c r="EV67" s="270">
        <f t="shared" si="361"/>
        <v>0</v>
      </c>
      <c r="EW67" s="270">
        <f t="shared" si="361"/>
        <v>0</v>
      </c>
      <c r="EX67" s="270">
        <f t="shared" si="361"/>
        <v>0</v>
      </c>
      <c r="EY67" s="270">
        <f t="shared" si="361"/>
        <v>0</v>
      </c>
      <c r="EZ67" s="270">
        <f t="shared" si="361"/>
        <v>0</v>
      </c>
      <c r="FA67" s="270">
        <f t="shared" si="361"/>
        <v>0</v>
      </c>
      <c r="FB67" s="270">
        <f t="shared" si="361"/>
        <v>0</v>
      </c>
      <c r="FC67" s="270">
        <f t="shared" si="361"/>
        <v>0</v>
      </c>
      <c r="FD67" s="271"/>
      <c r="FE67" s="271"/>
      <c r="FF67" s="271"/>
      <c r="FG67" s="215"/>
      <c r="FH67" s="215"/>
    </row>
    <row r="68" ht="11.25" customHeight="1">
      <c r="A68" s="231">
        <f t="shared" si="19"/>
        <v>48</v>
      </c>
      <c r="B68" s="269">
        <v>47088.0</v>
      </c>
      <c r="C68" s="270">
        <f>IF(A68="","",IF(Calculator!snowball,IF(($E$5-DY68)&lt;0,0,$E$5-DY68),0)+D68)</f>
        <v>908.11</v>
      </c>
      <c r="D68" s="277"/>
      <c r="E68" s="270">
        <f t="shared" si="40"/>
        <v>0</v>
      </c>
      <c r="F68" s="270">
        <f t="shared" ref="F68:AG68" si="362">CU68+EB69</f>
        <v>0</v>
      </c>
      <c r="G68" s="270">
        <f t="shared" si="362"/>
        <v>0</v>
      </c>
      <c r="H68" s="270">
        <f t="shared" si="362"/>
        <v>0</v>
      </c>
      <c r="I68" s="270">
        <f t="shared" si="362"/>
        <v>0</v>
      </c>
      <c r="J68" s="270">
        <f t="shared" si="362"/>
        <v>0</v>
      </c>
      <c r="K68" s="270">
        <f t="shared" si="362"/>
        <v>0</v>
      </c>
      <c r="L68" s="270">
        <f t="shared" si="362"/>
        <v>0</v>
      </c>
      <c r="M68" s="270">
        <f t="shared" si="362"/>
        <v>0</v>
      </c>
      <c r="N68" s="270">
        <f t="shared" si="362"/>
        <v>0</v>
      </c>
      <c r="O68" s="270">
        <f t="shared" si="362"/>
        <v>1603.71</v>
      </c>
      <c r="P68" s="272">
        <f t="shared" si="362"/>
        <v>791.16</v>
      </c>
      <c r="Q68" s="272">
        <f t="shared" si="362"/>
        <v>1467.13</v>
      </c>
      <c r="R68" s="272">
        <f t="shared" si="362"/>
        <v>0</v>
      </c>
      <c r="S68" s="272">
        <f t="shared" si="362"/>
        <v>0</v>
      </c>
      <c r="T68" s="272">
        <f t="shared" si="362"/>
        <v>0</v>
      </c>
      <c r="U68" s="270">
        <f t="shared" si="362"/>
        <v>0</v>
      </c>
      <c r="V68" s="270">
        <f t="shared" si="362"/>
        <v>0</v>
      </c>
      <c r="W68" s="270">
        <f t="shared" si="362"/>
        <v>0</v>
      </c>
      <c r="X68" s="270">
        <f t="shared" si="362"/>
        <v>0</v>
      </c>
      <c r="Y68" s="270">
        <f t="shared" si="362"/>
        <v>0</v>
      </c>
      <c r="Z68" s="270">
        <f t="shared" si="362"/>
        <v>0</v>
      </c>
      <c r="AA68" s="270">
        <f t="shared" si="362"/>
        <v>0</v>
      </c>
      <c r="AB68" s="270">
        <f t="shared" si="362"/>
        <v>0</v>
      </c>
      <c r="AC68" s="270">
        <f t="shared" si="362"/>
        <v>0</v>
      </c>
      <c r="AD68" s="270">
        <f t="shared" si="362"/>
        <v>0</v>
      </c>
      <c r="AE68" s="270">
        <f t="shared" si="362"/>
        <v>0</v>
      </c>
      <c r="AF68" s="270">
        <f t="shared" si="362"/>
        <v>0</v>
      </c>
      <c r="AG68" s="270">
        <f t="shared" si="362"/>
        <v>0</v>
      </c>
      <c r="AH68" s="265">
        <f t="shared" si="13"/>
        <v>172250.89</v>
      </c>
      <c r="AI68" s="270">
        <f t="shared" si="43"/>
        <v>0</v>
      </c>
      <c r="AJ68" s="270">
        <f t="shared" ref="AJ68:AO68" si="363">IF(F$8=0,0,ROUND(AJ67-(F68-BO68),2))</f>
        <v>0</v>
      </c>
      <c r="AK68" s="270">
        <f t="shared" si="363"/>
        <v>0</v>
      </c>
      <c r="AL68" s="270">
        <f t="shared" si="363"/>
        <v>0</v>
      </c>
      <c r="AM68" s="270">
        <f t="shared" si="363"/>
        <v>0</v>
      </c>
      <c r="AN68" s="270">
        <f t="shared" si="363"/>
        <v>0</v>
      </c>
      <c r="AO68" s="270">
        <f t="shared" si="363"/>
        <v>0</v>
      </c>
      <c r="AP68" s="270">
        <v>0.0</v>
      </c>
      <c r="AQ68" s="270">
        <f t="shared" ref="AQ68:AS68" si="364">IF(M$8=0,0,ROUND(AQ67-(M68-BV68),2))</f>
        <v>0</v>
      </c>
      <c r="AR68" s="270">
        <f t="shared" si="364"/>
        <v>0</v>
      </c>
      <c r="AS68" s="270">
        <f t="shared" si="364"/>
        <v>19595.71</v>
      </c>
      <c r="AT68" s="270">
        <f t="shared" ref="AT68:BK68" si="365">IF(P$8=0,0,ROUND(AT67-(P68-BX68),2))</f>
        <v>27464.62</v>
      </c>
      <c r="AU68" s="270">
        <f t="shared" si="365"/>
        <v>125190.56</v>
      </c>
      <c r="AV68" s="270">
        <f t="shared" si="365"/>
        <v>0</v>
      </c>
      <c r="AW68" s="270">
        <f t="shared" si="365"/>
        <v>0</v>
      </c>
      <c r="AX68" s="270">
        <f t="shared" si="365"/>
        <v>0</v>
      </c>
      <c r="AY68" s="270">
        <f t="shared" si="365"/>
        <v>0</v>
      </c>
      <c r="AZ68" s="270">
        <f t="shared" si="365"/>
        <v>0</v>
      </c>
      <c r="BA68" s="270">
        <f t="shared" si="365"/>
        <v>0</v>
      </c>
      <c r="BB68" s="270">
        <f t="shared" si="365"/>
        <v>0</v>
      </c>
      <c r="BC68" s="270">
        <f t="shared" si="365"/>
        <v>0</v>
      </c>
      <c r="BD68" s="270">
        <f t="shared" si="365"/>
        <v>0</v>
      </c>
      <c r="BE68" s="270">
        <f t="shared" si="365"/>
        <v>0</v>
      </c>
      <c r="BF68" s="270">
        <f t="shared" si="365"/>
        <v>0</v>
      </c>
      <c r="BG68" s="270">
        <f t="shared" si="365"/>
        <v>0</v>
      </c>
      <c r="BH68" s="270">
        <f t="shared" si="365"/>
        <v>0</v>
      </c>
      <c r="BI68" s="270">
        <f t="shared" si="365"/>
        <v>0</v>
      </c>
      <c r="BJ68" s="270">
        <f t="shared" si="365"/>
        <v>0</v>
      </c>
      <c r="BK68" s="270">
        <f t="shared" si="365"/>
        <v>0</v>
      </c>
      <c r="BL68" s="265">
        <f t="shared" si="16"/>
        <v>172250.89</v>
      </c>
      <c r="BM68" s="215"/>
      <c r="BN68" s="270">
        <f t="shared" ref="BN68:CP68" si="366">ROUND(AI67*E$9/12,2)</f>
        <v>0</v>
      </c>
      <c r="BO68" s="270">
        <f t="shared" si="366"/>
        <v>0</v>
      </c>
      <c r="BP68" s="270">
        <f t="shared" si="366"/>
        <v>0</v>
      </c>
      <c r="BQ68" s="270">
        <f t="shared" si="366"/>
        <v>0</v>
      </c>
      <c r="BR68" s="270">
        <f t="shared" si="366"/>
        <v>0</v>
      </c>
      <c r="BS68" s="270">
        <f t="shared" si="366"/>
        <v>0</v>
      </c>
      <c r="BT68" s="270">
        <f t="shared" si="366"/>
        <v>0</v>
      </c>
      <c r="BU68" s="270">
        <f t="shared" si="366"/>
        <v>0</v>
      </c>
      <c r="BV68" s="270">
        <f t="shared" si="366"/>
        <v>0</v>
      </c>
      <c r="BW68" s="270">
        <f t="shared" si="366"/>
        <v>0</v>
      </c>
      <c r="BX68" s="270">
        <f t="shared" si="366"/>
        <v>192.56</v>
      </c>
      <c r="BY68" s="270">
        <f t="shared" si="366"/>
        <v>217.02</v>
      </c>
      <c r="BZ68" s="270">
        <f t="shared" si="366"/>
        <v>395.13</v>
      </c>
      <c r="CA68" s="270">
        <f t="shared" si="366"/>
        <v>0</v>
      </c>
      <c r="CB68" s="270">
        <f t="shared" si="366"/>
        <v>0</v>
      </c>
      <c r="CC68" s="270">
        <f t="shared" si="366"/>
        <v>0</v>
      </c>
      <c r="CD68" s="270">
        <f t="shared" si="366"/>
        <v>0</v>
      </c>
      <c r="CE68" s="270">
        <f t="shared" si="366"/>
        <v>0</v>
      </c>
      <c r="CF68" s="270">
        <f t="shared" si="366"/>
        <v>0</v>
      </c>
      <c r="CG68" s="270">
        <f t="shared" si="366"/>
        <v>0</v>
      </c>
      <c r="CH68" s="270">
        <f t="shared" si="366"/>
        <v>0</v>
      </c>
      <c r="CI68" s="270">
        <f t="shared" si="366"/>
        <v>0</v>
      </c>
      <c r="CJ68" s="270">
        <f t="shared" si="366"/>
        <v>0</v>
      </c>
      <c r="CK68" s="270">
        <f t="shared" si="366"/>
        <v>0</v>
      </c>
      <c r="CL68" s="270">
        <f t="shared" si="366"/>
        <v>0</v>
      </c>
      <c r="CM68" s="270">
        <f t="shared" si="366"/>
        <v>0</v>
      </c>
      <c r="CN68" s="270">
        <f t="shared" si="366"/>
        <v>0</v>
      </c>
      <c r="CO68" s="270">
        <f t="shared" si="366"/>
        <v>0</v>
      </c>
      <c r="CP68" s="270">
        <f t="shared" si="366"/>
        <v>0</v>
      </c>
      <c r="CQ68" s="215"/>
      <c r="CR68" s="270">
        <f t="shared" si="27"/>
        <v>804.71</v>
      </c>
      <c r="CS68" s="215"/>
      <c r="CT68" s="270">
        <f t="shared" ref="CT68:DX68" si="367">IF(AI67&gt;0,IF((AI67+BN68)&lt;E$10,AI67+BN68,E$10),0)</f>
        <v>0</v>
      </c>
      <c r="CU68" s="270">
        <f t="shared" si="367"/>
        <v>0</v>
      </c>
      <c r="CV68" s="270">
        <f t="shared" si="367"/>
        <v>0</v>
      </c>
      <c r="CW68" s="270">
        <f t="shared" si="367"/>
        <v>0</v>
      </c>
      <c r="CX68" s="270">
        <f t="shared" si="367"/>
        <v>0</v>
      </c>
      <c r="CY68" s="270">
        <f t="shared" si="367"/>
        <v>0</v>
      </c>
      <c r="CZ68" s="270">
        <f t="shared" si="367"/>
        <v>0</v>
      </c>
      <c r="DA68" s="270">
        <f t="shared" si="367"/>
        <v>0</v>
      </c>
      <c r="DB68" s="270">
        <f t="shared" si="367"/>
        <v>0</v>
      </c>
      <c r="DC68" s="270">
        <f t="shared" si="367"/>
        <v>0</v>
      </c>
      <c r="DD68" s="270">
        <f t="shared" si="367"/>
        <v>695.6</v>
      </c>
      <c r="DE68" s="270">
        <f t="shared" si="367"/>
        <v>791.16</v>
      </c>
      <c r="DF68" s="270">
        <f t="shared" si="367"/>
        <v>1467.13</v>
      </c>
      <c r="DG68" s="270">
        <f t="shared" si="367"/>
        <v>0</v>
      </c>
      <c r="DH68" s="270">
        <f t="shared" si="367"/>
        <v>0</v>
      </c>
      <c r="DI68" s="270">
        <f t="shared" si="367"/>
        <v>0</v>
      </c>
      <c r="DJ68" s="270">
        <f t="shared" si="367"/>
        <v>0</v>
      </c>
      <c r="DK68" s="270">
        <f t="shared" si="367"/>
        <v>0</v>
      </c>
      <c r="DL68" s="270">
        <f t="shared" si="367"/>
        <v>0</v>
      </c>
      <c r="DM68" s="270">
        <f t="shared" si="367"/>
        <v>0</v>
      </c>
      <c r="DN68" s="270">
        <f t="shared" si="367"/>
        <v>0</v>
      </c>
      <c r="DO68" s="270">
        <f t="shared" si="367"/>
        <v>0</v>
      </c>
      <c r="DP68" s="270">
        <f t="shared" si="367"/>
        <v>0</v>
      </c>
      <c r="DQ68" s="270">
        <f t="shared" si="367"/>
        <v>0</v>
      </c>
      <c r="DR68" s="270">
        <f t="shared" si="367"/>
        <v>0</v>
      </c>
      <c r="DS68" s="270">
        <f t="shared" si="367"/>
        <v>0</v>
      </c>
      <c r="DT68" s="270">
        <f t="shared" si="367"/>
        <v>0</v>
      </c>
      <c r="DU68" s="270">
        <f t="shared" si="367"/>
        <v>0</v>
      </c>
      <c r="DV68" s="270">
        <f t="shared" si="367"/>
        <v>0</v>
      </c>
      <c r="DW68" s="271" t="str">
        <f t="shared" si="367"/>
        <v/>
      </c>
      <c r="DX68" s="270">
        <f t="shared" si="367"/>
        <v>0</v>
      </c>
      <c r="DY68" s="270">
        <f t="shared" si="29"/>
        <v>2953.89</v>
      </c>
      <c r="DZ68" s="274"/>
      <c r="EA68" s="275">
        <f t="shared" si="38"/>
        <v>0</v>
      </c>
      <c r="EB68" s="270">
        <f t="shared" ref="EB68:FC68" si="368">IF(AJ66&lt;=0,0,IF($C67&lt;=SUM($EA68:EA68),0,IF(CU67+$C67-SUM($EA68:EA68)&gt;AJ66+BO67,AJ66+BO67-CU67,$C67-SUM($EA68:EA68))))</f>
        <v>0</v>
      </c>
      <c r="EC68" s="270">
        <f t="shared" si="368"/>
        <v>0</v>
      </c>
      <c r="ED68" s="270">
        <f t="shared" si="368"/>
        <v>0</v>
      </c>
      <c r="EE68" s="270">
        <f t="shared" si="368"/>
        <v>0</v>
      </c>
      <c r="EF68" s="270">
        <f t="shared" si="368"/>
        <v>0</v>
      </c>
      <c r="EG68" s="270">
        <f t="shared" si="368"/>
        <v>0</v>
      </c>
      <c r="EH68" s="270">
        <f t="shared" si="368"/>
        <v>0</v>
      </c>
      <c r="EI68" s="270">
        <f t="shared" si="368"/>
        <v>0</v>
      </c>
      <c r="EJ68" s="270">
        <f t="shared" si="368"/>
        <v>0</v>
      </c>
      <c r="EK68" s="270">
        <f t="shared" si="368"/>
        <v>908.11</v>
      </c>
      <c r="EL68" s="270">
        <f t="shared" si="368"/>
        <v>0</v>
      </c>
      <c r="EM68" s="270">
        <f t="shared" si="368"/>
        <v>0</v>
      </c>
      <c r="EN68" s="270">
        <f t="shared" si="368"/>
        <v>0</v>
      </c>
      <c r="EO68" s="270">
        <f t="shared" si="368"/>
        <v>0</v>
      </c>
      <c r="EP68" s="270">
        <f t="shared" si="368"/>
        <v>0</v>
      </c>
      <c r="EQ68" s="270">
        <f t="shared" si="368"/>
        <v>0</v>
      </c>
      <c r="ER68" s="270">
        <f t="shared" si="368"/>
        <v>0</v>
      </c>
      <c r="ES68" s="270">
        <f t="shared" si="368"/>
        <v>0</v>
      </c>
      <c r="ET68" s="270">
        <f t="shared" si="368"/>
        <v>0</v>
      </c>
      <c r="EU68" s="270">
        <f t="shared" si="368"/>
        <v>0</v>
      </c>
      <c r="EV68" s="270">
        <f t="shared" si="368"/>
        <v>0</v>
      </c>
      <c r="EW68" s="270">
        <f t="shared" si="368"/>
        <v>0</v>
      </c>
      <c r="EX68" s="270">
        <f t="shared" si="368"/>
        <v>0</v>
      </c>
      <c r="EY68" s="270">
        <f t="shared" si="368"/>
        <v>0</v>
      </c>
      <c r="EZ68" s="270">
        <f t="shared" si="368"/>
        <v>0</v>
      </c>
      <c r="FA68" s="270">
        <f t="shared" si="368"/>
        <v>0</v>
      </c>
      <c r="FB68" s="270">
        <f t="shared" si="368"/>
        <v>0</v>
      </c>
      <c r="FC68" s="270">
        <f t="shared" si="368"/>
        <v>0</v>
      </c>
      <c r="FD68" s="271"/>
      <c r="FE68" s="271"/>
      <c r="FF68" s="271"/>
      <c r="FG68" s="215"/>
      <c r="FH68" s="215"/>
    </row>
    <row r="69" ht="11.25" customHeight="1">
      <c r="A69" s="231">
        <f t="shared" si="19"/>
        <v>49</v>
      </c>
      <c r="B69" s="269">
        <v>47119.0</v>
      </c>
      <c r="C69" s="270">
        <f>IF(A69="","",IF(Calculator!snowball,IF(($E$5-DY69)&lt;0,0,$E$5-DY69),0)+D69)</f>
        <v>908.11</v>
      </c>
      <c r="D69" s="277"/>
      <c r="E69" s="270">
        <f t="shared" si="40"/>
        <v>0</v>
      </c>
      <c r="F69" s="270">
        <f t="shared" ref="F69:AG69" si="369">CU69+EB70</f>
        <v>0</v>
      </c>
      <c r="G69" s="270">
        <f t="shared" si="369"/>
        <v>0</v>
      </c>
      <c r="H69" s="270">
        <f t="shared" si="369"/>
        <v>0</v>
      </c>
      <c r="I69" s="270">
        <f t="shared" si="369"/>
        <v>0</v>
      </c>
      <c r="J69" s="270">
        <f t="shared" si="369"/>
        <v>0</v>
      </c>
      <c r="K69" s="270">
        <f t="shared" si="369"/>
        <v>0</v>
      </c>
      <c r="L69" s="270">
        <f t="shared" si="369"/>
        <v>0</v>
      </c>
      <c r="M69" s="270">
        <f t="shared" si="369"/>
        <v>0</v>
      </c>
      <c r="N69" s="270">
        <f t="shared" si="369"/>
        <v>0</v>
      </c>
      <c r="O69" s="270">
        <f t="shared" si="369"/>
        <v>1603.71</v>
      </c>
      <c r="P69" s="272">
        <f t="shared" si="369"/>
        <v>791.16</v>
      </c>
      <c r="Q69" s="272">
        <f t="shared" si="369"/>
        <v>1467.13</v>
      </c>
      <c r="R69" s="272">
        <f t="shared" si="369"/>
        <v>0</v>
      </c>
      <c r="S69" s="272">
        <f t="shared" si="369"/>
        <v>0</v>
      </c>
      <c r="T69" s="272">
        <f t="shared" si="369"/>
        <v>0</v>
      </c>
      <c r="U69" s="270">
        <f t="shared" si="369"/>
        <v>0</v>
      </c>
      <c r="V69" s="270">
        <f t="shared" si="369"/>
        <v>0</v>
      </c>
      <c r="W69" s="270">
        <f t="shared" si="369"/>
        <v>0</v>
      </c>
      <c r="X69" s="270">
        <f t="shared" si="369"/>
        <v>0</v>
      </c>
      <c r="Y69" s="270">
        <f t="shared" si="369"/>
        <v>0</v>
      </c>
      <c r="Z69" s="270">
        <f t="shared" si="369"/>
        <v>0</v>
      </c>
      <c r="AA69" s="270">
        <f t="shared" si="369"/>
        <v>0</v>
      </c>
      <c r="AB69" s="270">
        <f t="shared" si="369"/>
        <v>0</v>
      </c>
      <c r="AC69" s="270">
        <f t="shared" si="369"/>
        <v>0</v>
      </c>
      <c r="AD69" s="270">
        <f t="shared" si="369"/>
        <v>0</v>
      </c>
      <c r="AE69" s="270">
        <f t="shared" si="369"/>
        <v>0</v>
      </c>
      <c r="AF69" s="270">
        <f t="shared" si="369"/>
        <v>0</v>
      </c>
      <c r="AG69" s="270">
        <f t="shared" si="369"/>
        <v>0</v>
      </c>
      <c r="AH69" s="265">
        <f t="shared" si="13"/>
        <v>168960.54</v>
      </c>
      <c r="AI69" s="270">
        <f t="shared" si="43"/>
        <v>0</v>
      </c>
      <c r="AJ69" s="270">
        <f t="shared" ref="AJ69:AO69" si="370">IF(F$8=0,0,ROUND(AJ68-(F69-BO69),2))</f>
        <v>0</v>
      </c>
      <c r="AK69" s="270">
        <f t="shared" si="370"/>
        <v>0</v>
      </c>
      <c r="AL69" s="270">
        <f t="shared" si="370"/>
        <v>0</v>
      </c>
      <c r="AM69" s="270">
        <f t="shared" si="370"/>
        <v>0</v>
      </c>
      <c r="AN69" s="270">
        <f t="shared" si="370"/>
        <v>0</v>
      </c>
      <c r="AO69" s="270">
        <f t="shared" si="370"/>
        <v>0</v>
      </c>
      <c r="AP69" s="270">
        <v>0.0</v>
      </c>
      <c r="AQ69" s="270">
        <f t="shared" ref="AQ69:AS69" si="371">IF(M$8=0,0,ROUND(AQ68-(M69-BV69),2))</f>
        <v>0</v>
      </c>
      <c r="AR69" s="270">
        <f t="shared" si="371"/>
        <v>0</v>
      </c>
      <c r="AS69" s="270">
        <f t="shared" si="371"/>
        <v>18171.63</v>
      </c>
      <c r="AT69" s="270">
        <f t="shared" ref="AT69:BK69" si="372">IF(P$8=0,0,ROUND(AT68-(P69-BX69),2))</f>
        <v>26853.09</v>
      </c>
      <c r="AU69" s="270">
        <f t="shared" si="372"/>
        <v>123935.82</v>
      </c>
      <c r="AV69" s="270">
        <f t="shared" si="372"/>
        <v>0</v>
      </c>
      <c r="AW69" s="270">
        <f t="shared" si="372"/>
        <v>0</v>
      </c>
      <c r="AX69" s="270">
        <f t="shared" si="372"/>
        <v>0</v>
      </c>
      <c r="AY69" s="270">
        <f t="shared" si="372"/>
        <v>0</v>
      </c>
      <c r="AZ69" s="270">
        <f t="shared" si="372"/>
        <v>0</v>
      </c>
      <c r="BA69" s="270">
        <f t="shared" si="372"/>
        <v>0</v>
      </c>
      <c r="BB69" s="270">
        <f t="shared" si="372"/>
        <v>0</v>
      </c>
      <c r="BC69" s="270">
        <f t="shared" si="372"/>
        <v>0</v>
      </c>
      <c r="BD69" s="270">
        <f t="shared" si="372"/>
        <v>0</v>
      </c>
      <c r="BE69" s="270">
        <f t="shared" si="372"/>
        <v>0</v>
      </c>
      <c r="BF69" s="270">
        <f t="shared" si="372"/>
        <v>0</v>
      </c>
      <c r="BG69" s="270">
        <f t="shared" si="372"/>
        <v>0</v>
      </c>
      <c r="BH69" s="270">
        <f t="shared" si="372"/>
        <v>0</v>
      </c>
      <c r="BI69" s="270">
        <f t="shared" si="372"/>
        <v>0</v>
      </c>
      <c r="BJ69" s="270">
        <f t="shared" si="372"/>
        <v>0</v>
      </c>
      <c r="BK69" s="270">
        <f t="shared" si="372"/>
        <v>0</v>
      </c>
      <c r="BL69" s="265">
        <f t="shared" si="16"/>
        <v>168960.54</v>
      </c>
      <c r="BM69" s="215"/>
      <c r="BN69" s="270">
        <f t="shared" ref="BN69:CP69" si="373">ROUND(AI68*E$9/12,2)</f>
        <v>0</v>
      </c>
      <c r="BO69" s="270">
        <f t="shared" si="373"/>
        <v>0</v>
      </c>
      <c r="BP69" s="270">
        <f t="shared" si="373"/>
        <v>0</v>
      </c>
      <c r="BQ69" s="270">
        <f t="shared" si="373"/>
        <v>0</v>
      </c>
      <c r="BR69" s="270">
        <f t="shared" si="373"/>
        <v>0</v>
      </c>
      <c r="BS69" s="270">
        <f t="shared" si="373"/>
        <v>0</v>
      </c>
      <c r="BT69" s="270">
        <f t="shared" si="373"/>
        <v>0</v>
      </c>
      <c r="BU69" s="270">
        <f t="shared" si="373"/>
        <v>0</v>
      </c>
      <c r="BV69" s="270">
        <f t="shared" si="373"/>
        <v>0</v>
      </c>
      <c r="BW69" s="270">
        <f t="shared" si="373"/>
        <v>0</v>
      </c>
      <c r="BX69" s="270">
        <f t="shared" si="373"/>
        <v>179.63</v>
      </c>
      <c r="BY69" s="270">
        <f t="shared" si="373"/>
        <v>212.39</v>
      </c>
      <c r="BZ69" s="270">
        <f t="shared" si="373"/>
        <v>391.22</v>
      </c>
      <c r="CA69" s="270">
        <f t="shared" si="373"/>
        <v>0</v>
      </c>
      <c r="CB69" s="270">
        <f t="shared" si="373"/>
        <v>0</v>
      </c>
      <c r="CC69" s="270">
        <f t="shared" si="373"/>
        <v>0</v>
      </c>
      <c r="CD69" s="270">
        <f t="shared" si="373"/>
        <v>0</v>
      </c>
      <c r="CE69" s="270">
        <f t="shared" si="373"/>
        <v>0</v>
      </c>
      <c r="CF69" s="270">
        <f t="shared" si="373"/>
        <v>0</v>
      </c>
      <c r="CG69" s="270">
        <f t="shared" si="373"/>
        <v>0</v>
      </c>
      <c r="CH69" s="270">
        <f t="shared" si="373"/>
        <v>0</v>
      </c>
      <c r="CI69" s="270">
        <f t="shared" si="373"/>
        <v>0</v>
      </c>
      <c r="CJ69" s="270">
        <f t="shared" si="373"/>
        <v>0</v>
      </c>
      <c r="CK69" s="270">
        <f t="shared" si="373"/>
        <v>0</v>
      </c>
      <c r="CL69" s="270">
        <f t="shared" si="373"/>
        <v>0</v>
      </c>
      <c r="CM69" s="270">
        <f t="shared" si="373"/>
        <v>0</v>
      </c>
      <c r="CN69" s="270">
        <f t="shared" si="373"/>
        <v>0</v>
      </c>
      <c r="CO69" s="270">
        <f t="shared" si="373"/>
        <v>0</v>
      </c>
      <c r="CP69" s="270">
        <f t="shared" si="373"/>
        <v>0</v>
      </c>
      <c r="CQ69" s="215"/>
      <c r="CR69" s="270">
        <f t="shared" si="27"/>
        <v>783.24</v>
      </c>
      <c r="CS69" s="215"/>
      <c r="CT69" s="270">
        <f t="shared" ref="CT69:DX69" si="374">IF(AI68&gt;0,IF((AI68+BN69)&lt;E$10,AI68+BN69,E$10),0)</f>
        <v>0</v>
      </c>
      <c r="CU69" s="270">
        <f t="shared" si="374"/>
        <v>0</v>
      </c>
      <c r="CV69" s="270">
        <f t="shared" si="374"/>
        <v>0</v>
      </c>
      <c r="CW69" s="270">
        <f t="shared" si="374"/>
        <v>0</v>
      </c>
      <c r="CX69" s="270">
        <f t="shared" si="374"/>
        <v>0</v>
      </c>
      <c r="CY69" s="270">
        <f t="shared" si="374"/>
        <v>0</v>
      </c>
      <c r="CZ69" s="270">
        <f t="shared" si="374"/>
        <v>0</v>
      </c>
      <c r="DA69" s="270">
        <f t="shared" si="374"/>
        <v>0</v>
      </c>
      <c r="DB69" s="270">
        <f t="shared" si="374"/>
        <v>0</v>
      </c>
      <c r="DC69" s="270">
        <f t="shared" si="374"/>
        <v>0</v>
      </c>
      <c r="DD69" s="270">
        <f t="shared" si="374"/>
        <v>695.6</v>
      </c>
      <c r="DE69" s="270">
        <f t="shared" si="374"/>
        <v>791.16</v>
      </c>
      <c r="DF69" s="270">
        <f t="shared" si="374"/>
        <v>1467.13</v>
      </c>
      <c r="DG69" s="270">
        <f t="shared" si="374"/>
        <v>0</v>
      </c>
      <c r="DH69" s="270">
        <f t="shared" si="374"/>
        <v>0</v>
      </c>
      <c r="DI69" s="270">
        <f t="shared" si="374"/>
        <v>0</v>
      </c>
      <c r="DJ69" s="270">
        <f t="shared" si="374"/>
        <v>0</v>
      </c>
      <c r="DK69" s="270">
        <f t="shared" si="374"/>
        <v>0</v>
      </c>
      <c r="DL69" s="270">
        <f t="shared" si="374"/>
        <v>0</v>
      </c>
      <c r="DM69" s="270">
        <f t="shared" si="374"/>
        <v>0</v>
      </c>
      <c r="DN69" s="270">
        <f t="shared" si="374"/>
        <v>0</v>
      </c>
      <c r="DO69" s="270">
        <f t="shared" si="374"/>
        <v>0</v>
      </c>
      <c r="DP69" s="270">
        <f t="shared" si="374"/>
        <v>0</v>
      </c>
      <c r="DQ69" s="270">
        <f t="shared" si="374"/>
        <v>0</v>
      </c>
      <c r="DR69" s="270">
        <f t="shared" si="374"/>
        <v>0</v>
      </c>
      <c r="DS69" s="270">
        <f t="shared" si="374"/>
        <v>0</v>
      </c>
      <c r="DT69" s="270">
        <f t="shared" si="374"/>
        <v>0</v>
      </c>
      <c r="DU69" s="270">
        <f t="shared" si="374"/>
        <v>0</v>
      </c>
      <c r="DV69" s="270">
        <f t="shared" si="374"/>
        <v>0</v>
      </c>
      <c r="DW69" s="271" t="str">
        <f t="shared" si="374"/>
        <v/>
      </c>
      <c r="DX69" s="270">
        <f t="shared" si="374"/>
        <v>0</v>
      </c>
      <c r="DY69" s="270">
        <f t="shared" si="29"/>
        <v>2953.89</v>
      </c>
      <c r="DZ69" s="274"/>
      <c r="EA69" s="275">
        <f t="shared" si="38"/>
        <v>0</v>
      </c>
      <c r="EB69" s="270">
        <f t="shared" ref="EB69:FC69" si="375">IF(AJ67&lt;=0,0,IF($C68&lt;=SUM($EA69:EA69),0,IF(CU68+$C68-SUM($EA69:EA69)&gt;AJ67+BO68,AJ67+BO68-CU68,$C68-SUM($EA69:EA69))))</f>
        <v>0</v>
      </c>
      <c r="EC69" s="270">
        <f t="shared" si="375"/>
        <v>0</v>
      </c>
      <c r="ED69" s="270">
        <f t="shared" si="375"/>
        <v>0</v>
      </c>
      <c r="EE69" s="270">
        <f t="shared" si="375"/>
        <v>0</v>
      </c>
      <c r="EF69" s="270">
        <f t="shared" si="375"/>
        <v>0</v>
      </c>
      <c r="EG69" s="270">
        <f t="shared" si="375"/>
        <v>0</v>
      </c>
      <c r="EH69" s="270">
        <f t="shared" si="375"/>
        <v>0</v>
      </c>
      <c r="EI69" s="270">
        <f t="shared" si="375"/>
        <v>0</v>
      </c>
      <c r="EJ69" s="270">
        <f t="shared" si="375"/>
        <v>0</v>
      </c>
      <c r="EK69" s="270">
        <f t="shared" si="375"/>
        <v>908.11</v>
      </c>
      <c r="EL69" s="270">
        <f t="shared" si="375"/>
        <v>0</v>
      </c>
      <c r="EM69" s="270">
        <f t="shared" si="375"/>
        <v>0</v>
      </c>
      <c r="EN69" s="270">
        <f t="shared" si="375"/>
        <v>0</v>
      </c>
      <c r="EO69" s="270">
        <f t="shared" si="375"/>
        <v>0</v>
      </c>
      <c r="EP69" s="270">
        <f t="shared" si="375"/>
        <v>0</v>
      </c>
      <c r="EQ69" s="270">
        <f t="shared" si="375"/>
        <v>0</v>
      </c>
      <c r="ER69" s="270">
        <f t="shared" si="375"/>
        <v>0</v>
      </c>
      <c r="ES69" s="270">
        <f t="shared" si="375"/>
        <v>0</v>
      </c>
      <c r="ET69" s="270">
        <f t="shared" si="375"/>
        <v>0</v>
      </c>
      <c r="EU69" s="270">
        <f t="shared" si="375"/>
        <v>0</v>
      </c>
      <c r="EV69" s="270">
        <f t="shared" si="375"/>
        <v>0</v>
      </c>
      <c r="EW69" s="270">
        <f t="shared" si="375"/>
        <v>0</v>
      </c>
      <c r="EX69" s="270">
        <f t="shared" si="375"/>
        <v>0</v>
      </c>
      <c r="EY69" s="270">
        <f t="shared" si="375"/>
        <v>0</v>
      </c>
      <c r="EZ69" s="270">
        <f t="shared" si="375"/>
        <v>0</v>
      </c>
      <c r="FA69" s="270">
        <f t="shared" si="375"/>
        <v>0</v>
      </c>
      <c r="FB69" s="270">
        <f t="shared" si="375"/>
        <v>0</v>
      </c>
      <c r="FC69" s="270">
        <f t="shared" si="375"/>
        <v>0</v>
      </c>
      <c r="FD69" s="271"/>
      <c r="FE69" s="271"/>
      <c r="FF69" s="271"/>
      <c r="FG69" s="215"/>
      <c r="FH69" s="215"/>
    </row>
    <row r="70" ht="11.25" customHeight="1">
      <c r="A70" s="231">
        <f t="shared" si="19"/>
        <v>50</v>
      </c>
      <c r="B70" s="269">
        <v>47150.0</v>
      </c>
      <c r="C70" s="270">
        <f>IF(A70="","",IF(Calculator!snowball,IF(($E$5-DY70)&lt;0,0,$E$5-DY70),0)+D70)</f>
        <v>908.11</v>
      </c>
      <c r="D70" s="277"/>
      <c r="E70" s="270">
        <f t="shared" si="40"/>
        <v>0</v>
      </c>
      <c r="F70" s="270">
        <f t="shared" ref="F70:AG70" si="376">CU70+EB71</f>
        <v>0</v>
      </c>
      <c r="G70" s="270">
        <f t="shared" si="376"/>
        <v>0</v>
      </c>
      <c r="H70" s="270">
        <f t="shared" si="376"/>
        <v>0</v>
      </c>
      <c r="I70" s="270">
        <f t="shared" si="376"/>
        <v>0</v>
      </c>
      <c r="J70" s="270">
        <f t="shared" si="376"/>
        <v>0</v>
      </c>
      <c r="K70" s="270">
        <f t="shared" si="376"/>
        <v>0</v>
      </c>
      <c r="L70" s="270">
        <f t="shared" si="376"/>
        <v>0</v>
      </c>
      <c r="M70" s="270">
        <f t="shared" si="376"/>
        <v>0</v>
      </c>
      <c r="N70" s="270">
        <f t="shared" si="376"/>
        <v>0</v>
      </c>
      <c r="O70" s="270">
        <f t="shared" si="376"/>
        <v>1603.71</v>
      </c>
      <c r="P70" s="272">
        <f t="shared" si="376"/>
        <v>791.16</v>
      </c>
      <c r="Q70" s="272">
        <f t="shared" si="376"/>
        <v>1467.13</v>
      </c>
      <c r="R70" s="272">
        <f t="shared" si="376"/>
        <v>0</v>
      </c>
      <c r="S70" s="272">
        <f t="shared" si="376"/>
        <v>0</v>
      </c>
      <c r="T70" s="272">
        <f t="shared" si="376"/>
        <v>0</v>
      </c>
      <c r="U70" s="270">
        <f t="shared" si="376"/>
        <v>0</v>
      </c>
      <c r="V70" s="270">
        <f t="shared" si="376"/>
        <v>0</v>
      </c>
      <c r="W70" s="270">
        <f t="shared" si="376"/>
        <v>0</v>
      </c>
      <c r="X70" s="270">
        <f t="shared" si="376"/>
        <v>0</v>
      </c>
      <c r="Y70" s="270">
        <f t="shared" si="376"/>
        <v>0</v>
      </c>
      <c r="Z70" s="270">
        <f t="shared" si="376"/>
        <v>0</v>
      </c>
      <c r="AA70" s="270">
        <f t="shared" si="376"/>
        <v>0</v>
      </c>
      <c r="AB70" s="270">
        <f t="shared" si="376"/>
        <v>0</v>
      </c>
      <c r="AC70" s="270">
        <f t="shared" si="376"/>
        <v>0</v>
      </c>
      <c r="AD70" s="270">
        <f t="shared" si="376"/>
        <v>0</v>
      </c>
      <c r="AE70" s="270">
        <f t="shared" si="376"/>
        <v>0</v>
      </c>
      <c r="AF70" s="270">
        <f t="shared" si="376"/>
        <v>0</v>
      </c>
      <c r="AG70" s="270">
        <f t="shared" si="376"/>
        <v>0</v>
      </c>
      <c r="AH70" s="265">
        <f t="shared" si="13"/>
        <v>165639.34</v>
      </c>
      <c r="AI70" s="270">
        <f t="shared" si="43"/>
        <v>0</v>
      </c>
      <c r="AJ70" s="270">
        <f t="shared" ref="AJ70:AO70" si="377">IF(F$8=0,0,ROUND(AJ69-(F70-BO70),2))</f>
        <v>0</v>
      </c>
      <c r="AK70" s="270">
        <f t="shared" si="377"/>
        <v>0</v>
      </c>
      <c r="AL70" s="270">
        <f t="shared" si="377"/>
        <v>0</v>
      </c>
      <c r="AM70" s="270">
        <f t="shared" si="377"/>
        <v>0</v>
      </c>
      <c r="AN70" s="270">
        <f t="shared" si="377"/>
        <v>0</v>
      </c>
      <c r="AO70" s="270">
        <f t="shared" si="377"/>
        <v>0</v>
      </c>
      <c r="AP70" s="270">
        <v>0.0</v>
      </c>
      <c r="AQ70" s="270">
        <f t="shared" ref="AQ70:AS70" si="378">IF(M$8=0,0,ROUND(AQ69-(M70-BV70),2))</f>
        <v>0</v>
      </c>
      <c r="AR70" s="270">
        <f t="shared" si="378"/>
        <v>0</v>
      </c>
      <c r="AS70" s="270">
        <f t="shared" si="378"/>
        <v>16734.49</v>
      </c>
      <c r="AT70" s="270">
        <f t="shared" ref="AT70:BK70" si="379">IF(P$8=0,0,ROUND(AT69-(P70-BX70),2))</f>
        <v>26228.5</v>
      </c>
      <c r="AU70" s="270">
        <f t="shared" si="379"/>
        <v>122676.35</v>
      </c>
      <c r="AV70" s="270">
        <f t="shared" si="379"/>
        <v>0</v>
      </c>
      <c r="AW70" s="270">
        <f t="shared" si="379"/>
        <v>0</v>
      </c>
      <c r="AX70" s="270">
        <f t="shared" si="379"/>
        <v>0</v>
      </c>
      <c r="AY70" s="270">
        <f t="shared" si="379"/>
        <v>0</v>
      </c>
      <c r="AZ70" s="270">
        <f t="shared" si="379"/>
        <v>0</v>
      </c>
      <c r="BA70" s="270">
        <f t="shared" si="379"/>
        <v>0</v>
      </c>
      <c r="BB70" s="270">
        <f t="shared" si="379"/>
        <v>0</v>
      </c>
      <c r="BC70" s="270">
        <f t="shared" si="379"/>
        <v>0</v>
      </c>
      <c r="BD70" s="270">
        <f t="shared" si="379"/>
        <v>0</v>
      </c>
      <c r="BE70" s="270">
        <f t="shared" si="379"/>
        <v>0</v>
      </c>
      <c r="BF70" s="270">
        <f t="shared" si="379"/>
        <v>0</v>
      </c>
      <c r="BG70" s="270">
        <f t="shared" si="379"/>
        <v>0</v>
      </c>
      <c r="BH70" s="270">
        <f t="shared" si="379"/>
        <v>0</v>
      </c>
      <c r="BI70" s="270">
        <f t="shared" si="379"/>
        <v>0</v>
      </c>
      <c r="BJ70" s="270">
        <f t="shared" si="379"/>
        <v>0</v>
      </c>
      <c r="BK70" s="270">
        <f t="shared" si="379"/>
        <v>0</v>
      </c>
      <c r="BL70" s="265">
        <f t="shared" si="16"/>
        <v>165639.34</v>
      </c>
      <c r="BM70" s="215"/>
      <c r="BN70" s="270">
        <f t="shared" ref="BN70:CP70" si="380">ROUND(AI69*E$9/12,2)</f>
        <v>0</v>
      </c>
      <c r="BO70" s="270">
        <f t="shared" si="380"/>
        <v>0</v>
      </c>
      <c r="BP70" s="270">
        <f t="shared" si="380"/>
        <v>0</v>
      </c>
      <c r="BQ70" s="270">
        <f t="shared" si="380"/>
        <v>0</v>
      </c>
      <c r="BR70" s="270">
        <f t="shared" si="380"/>
        <v>0</v>
      </c>
      <c r="BS70" s="270">
        <f t="shared" si="380"/>
        <v>0</v>
      </c>
      <c r="BT70" s="270">
        <f t="shared" si="380"/>
        <v>0</v>
      </c>
      <c r="BU70" s="270">
        <f t="shared" si="380"/>
        <v>0</v>
      </c>
      <c r="BV70" s="270">
        <f t="shared" si="380"/>
        <v>0</v>
      </c>
      <c r="BW70" s="270">
        <f t="shared" si="380"/>
        <v>0</v>
      </c>
      <c r="BX70" s="270">
        <f t="shared" si="380"/>
        <v>166.57</v>
      </c>
      <c r="BY70" s="270">
        <f t="shared" si="380"/>
        <v>207.66</v>
      </c>
      <c r="BZ70" s="270">
        <f t="shared" si="380"/>
        <v>387.3</v>
      </c>
      <c r="CA70" s="270">
        <f t="shared" si="380"/>
        <v>0</v>
      </c>
      <c r="CB70" s="270">
        <f t="shared" si="380"/>
        <v>0</v>
      </c>
      <c r="CC70" s="270">
        <f t="shared" si="380"/>
        <v>0</v>
      </c>
      <c r="CD70" s="270">
        <f t="shared" si="380"/>
        <v>0</v>
      </c>
      <c r="CE70" s="270">
        <f t="shared" si="380"/>
        <v>0</v>
      </c>
      <c r="CF70" s="270">
        <f t="shared" si="380"/>
        <v>0</v>
      </c>
      <c r="CG70" s="270">
        <f t="shared" si="380"/>
        <v>0</v>
      </c>
      <c r="CH70" s="270">
        <f t="shared" si="380"/>
        <v>0</v>
      </c>
      <c r="CI70" s="270">
        <f t="shared" si="380"/>
        <v>0</v>
      </c>
      <c r="CJ70" s="270">
        <f t="shared" si="380"/>
        <v>0</v>
      </c>
      <c r="CK70" s="270">
        <f t="shared" si="380"/>
        <v>0</v>
      </c>
      <c r="CL70" s="270">
        <f t="shared" si="380"/>
        <v>0</v>
      </c>
      <c r="CM70" s="270">
        <f t="shared" si="380"/>
        <v>0</v>
      </c>
      <c r="CN70" s="270">
        <f t="shared" si="380"/>
        <v>0</v>
      </c>
      <c r="CO70" s="270">
        <f t="shared" si="380"/>
        <v>0</v>
      </c>
      <c r="CP70" s="270">
        <f t="shared" si="380"/>
        <v>0</v>
      </c>
      <c r="CQ70" s="215"/>
      <c r="CR70" s="270">
        <f t="shared" si="27"/>
        <v>761.53</v>
      </c>
      <c r="CS70" s="215"/>
      <c r="CT70" s="270">
        <f t="shared" ref="CT70:DX70" si="381">IF(AI69&gt;0,IF((AI69+BN70)&lt;E$10,AI69+BN70,E$10),0)</f>
        <v>0</v>
      </c>
      <c r="CU70" s="270">
        <f t="shared" si="381"/>
        <v>0</v>
      </c>
      <c r="CV70" s="270">
        <f t="shared" si="381"/>
        <v>0</v>
      </c>
      <c r="CW70" s="270">
        <f t="shared" si="381"/>
        <v>0</v>
      </c>
      <c r="CX70" s="270">
        <f t="shared" si="381"/>
        <v>0</v>
      </c>
      <c r="CY70" s="270">
        <f t="shared" si="381"/>
        <v>0</v>
      </c>
      <c r="CZ70" s="270">
        <f t="shared" si="381"/>
        <v>0</v>
      </c>
      <c r="DA70" s="270">
        <f t="shared" si="381"/>
        <v>0</v>
      </c>
      <c r="DB70" s="270">
        <f t="shared" si="381"/>
        <v>0</v>
      </c>
      <c r="DC70" s="270">
        <f t="shared" si="381"/>
        <v>0</v>
      </c>
      <c r="DD70" s="270">
        <f t="shared" si="381"/>
        <v>695.6</v>
      </c>
      <c r="DE70" s="270">
        <f t="shared" si="381"/>
        <v>791.16</v>
      </c>
      <c r="DF70" s="270">
        <f t="shared" si="381"/>
        <v>1467.13</v>
      </c>
      <c r="DG70" s="270">
        <f t="shared" si="381"/>
        <v>0</v>
      </c>
      <c r="DH70" s="270">
        <f t="shared" si="381"/>
        <v>0</v>
      </c>
      <c r="DI70" s="270">
        <f t="shared" si="381"/>
        <v>0</v>
      </c>
      <c r="DJ70" s="270">
        <f t="shared" si="381"/>
        <v>0</v>
      </c>
      <c r="DK70" s="270">
        <f t="shared" si="381"/>
        <v>0</v>
      </c>
      <c r="DL70" s="270">
        <f t="shared" si="381"/>
        <v>0</v>
      </c>
      <c r="DM70" s="270">
        <f t="shared" si="381"/>
        <v>0</v>
      </c>
      <c r="DN70" s="270">
        <f t="shared" si="381"/>
        <v>0</v>
      </c>
      <c r="DO70" s="270">
        <f t="shared" si="381"/>
        <v>0</v>
      </c>
      <c r="DP70" s="270">
        <f t="shared" si="381"/>
        <v>0</v>
      </c>
      <c r="DQ70" s="270">
        <f t="shared" si="381"/>
        <v>0</v>
      </c>
      <c r="DR70" s="270">
        <f t="shared" si="381"/>
        <v>0</v>
      </c>
      <c r="DS70" s="270">
        <f t="shared" si="381"/>
        <v>0</v>
      </c>
      <c r="DT70" s="270">
        <f t="shared" si="381"/>
        <v>0</v>
      </c>
      <c r="DU70" s="270">
        <f t="shared" si="381"/>
        <v>0</v>
      </c>
      <c r="DV70" s="270">
        <f t="shared" si="381"/>
        <v>0</v>
      </c>
      <c r="DW70" s="271" t="str">
        <f t="shared" si="381"/>
        <v/>
      </c>
      <c r="DX70" s="270">
        <f t="shared" si="381"/>
        <v>0</v>
      </c>
      <c r="DY70" s="270">
        <f t="shared" si="29"/>
        <v>2953.89</v>
      </c>
      <c r="DZ70" s="274"/>
      <c r="EA70" s="275">
        <f t="shared" si="38"/>
        <v>0</v>
      </c>
      <c r="EB70" s="270">
        <f t="shared" ref="EB70:FC70" si="382">IF(AJ68&lt;=0,0,IF($C69&lt;=SUM($EA70:EA70),0,IF(CU69+$C69-SUM($EA70:EA70)&gt;AJ68+BO69,AJ68+BO69-CU69,$C69-SUM($EA70:EA70))))</f>
        <v>0</v>
      </c>
      <c r="EC70" s="270">
        <f t="shared" si="382"/>
        <v>0</v>
      </c>
      <c r="ED70" s="270">
        <f t="shared" si="382"/>
        <v>0</v>
      </c>
      <c r="EE70" s="270">
        <f t="shared" si="382"/>
        <v>0</v>
      </c>
      <c r="EF70" s="270">
        <f t="shared" si="382"/>
        <v>0</v>
      </c>
      <c r="EG70" s="270">
        <f t="shared" si="382"/>
        <v>0</v>
      </c>
      <c r="EH70" s="270">
        <f t="shared" si="382"/>
        <v>0</v>
      </c>
      <c r="EI70" s="270">
        <f t="shared" si="382"/>
        <v>0</v>
      </c>
      <c r="EJ70" s="270">
        <f t="shared" si="382"/>
        <v>0</v>
      </c>
      <c r="EK70" s="270">
        <f t="shared" si="382"/>
        <v>908.11</v>
      </c>
      <c r="EL70" s="270">
        <f t="shared" si="382"/>
        <v>0</v>
      </c>
      <c r="EM70" s="270">
        <f t="shared" si="382"/>
        <v>0</v>
      </c>
      <c r="EN70" s="270">
        <f t="shared" si="382"/>
        <v>0</v>
      </c>
      <c r="EO70" s="270">
        <f t="shared" si="382"/>
        <v>0</v>
      </c>
      <c r="EP70" s="270">
        <f t="shared" si="382"/>
        <v>0</v>
      </c>
      <c r="EQ70" s="270">
        <f t="shared" si="382"/>
        <v>0</v>
      </c>
      <c r="ER70" s="270">
        <f t="shared" si="382"/>
        <v>0</v>
      </c>
      <c r="ES70" s="270">
        <f t="shared" si="382"/>
        <v>0</v>
      </c>
      <c r="ET70" s="270">
        <f t="shared" si="382"/>
        <v>0</v>
      </c>
      <c r="EU70" s="270">
        <f t="shared" si="382"/>
        <v>0</v>
      </c>
      <c r="EV70" s="270">
        <f t="shared" si="382"/>
        <v>0</v>
      </c>
      <c r="EW70" s="270">
        <f t="shared" si="382"/>
        <v>0</v>
      </c>
      <c r="EX70" s="270">
        <f t="shared" si="382"/>
        <v>0</v>
      </c>
      <c r="EY70" s="270">
        <f t="shared" si="382"/>
        <v>0</v>
      </c>
      <c r="EZ70" s="270">
        <f t="shared" si="382"/>
        <v>0</v>
      </c>
      <c r="FA70" s="270">
        <f t="shared" si="382"/>
        <v>0</v>
      </c>
      <c r="FB70" s="270">
        <f t="shared" si="382"/>
        <v>0</v>
      </c>
      <c r="FC70" s="270">
        <f t="shared" si="382"/>
        <v>0</v>
      </c>
      <c r="FD70" s="271"/>
      <c r="FE70" s="271"/>
      <c r="FF70" s="271"/>
      <c r="FG70" s="215"/>
      <c r="FH70" s="215"/>
    </row>
    <row r="71" ht="11.25" customHeight="1">
      <c r="A71" s="231">
        <f t="shared" si="19"/>
        <v>51</v>
      </c>
      <c r="B71" s="269">
        <v>47178.0</v>
      </c>
      <c r="C71" s="270">
        <f>IF(A71="","",IF(Calculator!snowball,IF(($E$5-DY71)&lt;0,0,$E$5-DY71),0)+D71)</f>
        <v>908.11</v>
      </c>
      <c r="D71" s="277"/>
      <c r="E71" s="270">
        <f t="shared" si="40"/>
        <v>0</v>
      </c>
      <c r="F71" s="270">
        <f t="shared" ref="F71:AG71" si="383">CU71+EB72</f>
        <v>0</v>
      </c>
      <c r="G71" s="270">
        <f t="shared" si="383"/>
        <v>0</v>
      </c>
      <c r="H71" s="270">
        <f t="shared" si="383"/>
        <v>0</v>
      </c>
      <c r="I71" s="270">
        <f t="shared" si="383"/>
        <v>0</v>
      </c>
      <c r="J71" s="270">
        <f t="shared" si="383"/>
        <v>0</v>
      </c>
      <c r="K71" s="270">
        <f t="shared" si="383"/>
        <v>0</v>
      </c>
      <c r="L71" s="270">
        <f t="shared" si="383"/>
        <v>0</v>
      </c>
      <c r="M71" s="270">
        <f t="shared" si="383"/>
        <v>0</v>
      </c>
      <c r="N71" s="270">
        <f t="shared" si="383"/>
        <v>0</v>
      </c>
      <c r="O71" s="270">
        <f t="shared" si="383"/>
        <v>1603.71</v>
      </c>
      <c r="P71" s="272">
        <f t="shared" si="383"/>
        <v>791.16</v>
      </c>
      <c r="Q71" s="272">
        <f t="shared" si="383"/>
        <v>1467.13</v>
      </c>
      <c r="R71" s="272">
        <f t="shared" si="383"/>
        <v>0</v>
      </c>
      <c r="S71" s="272">
        <f t="shared" si="383"/>
        <v>0</v>
      </c>
      <c r="T71" s="272">
        <f t="shared" si="383"/>
        <v>0</v>
      </c>
      <c r="U71" s="270">
        <f t="shared" si="383"/>
        <v>0</v>
      </c>
      <c r="V71" s="270">
        <f t="shared" si="383"/>
        <v>0</v>
      </c>
      <c r="W71" s="270">
        <f t="shared" si="383"/>
        <v>0</v>
      </c>
      <c r="X71" s="270">
        <f t="shared" si="383"/>
        <v>0</v>
      </c>
      <c r="Y71" s="270">
        <f t="shared" si="383"/>
        <v>0</v>
      </c>
      <c r="Z71" s="270">
        <f t="shared" si="383"/>
        <v>0</v>
      </c>
      <c r="AA71" s="270">
        <f t="shared" si="383"/>
        <v>0</v>
      </c>
      <c r="AB71" s="270">
        <f t="shared" si="383"/>
        <v>0</v>
      </c>
      <c r="AC71" s="270">
        <f t="shared" si="383"/>
        <v>0</v>
      </c>
      <c r="AD71" s="270">
        <f t="shared" si="383"/>
        <v>0</v>
      </c>
      <c r="AE71" s="270">
        <f t="shared" si="383"/>
        <v>0</v>
      </c>
      <c r="AF71" s="270">
        <f t="shared" si="383"/>
        <v>0</v>
      </c>
      <c r="AG71" s="270">
        <f t="shared" si="383"/>
        <v>0</v>
      </c>
      <c r="AH71" s="265">
        <f t="shared" si="13"/>
        <v>162286.97</v>
      </c>
      <c r="AI71" s="270">
        <f t="shared" si="43"/>
        <v>0</v>
      </c>
      <c r="AJ71" s="270">
        <f t="shared" ref="AJ71:AO71" si="384">IF(F$8=0,0,ROUND(AJ70-(F71-BO71),2))</f>
        <v>0</v>
      </c>
      <c r="AK71" s="270">
        <f t="shared" si="384"/>
        <v>0</v>
      </c>
      <c r="AL71" s="270">
        <f t="shared" si="384"/>
        <v>0</v>
      </c>
      <c r="AM71" s="270">
        <f t="shared" si="384"/>
        <v>0</v>
      </c>
      <c r="AN71" s="270">
        <f t="shared" si="384"/>
        <v>0</v>
      </c>
      <c r="AO71" s="270">
        <f t="shared" si="384"/>
        <v>0</v>
      </c>
      <c r="AP71" s="270">
        <v>0.0</v>
      </c>
      <c r="AQ71" s="270">
        <f t="shared" ref="AQ71:AS71" si="385">IF(M$8=0,0,ROUND(AQ70-(M71-BV71),2))</f>
        <v>0</v>
      </c>
      <c r="AR71" s="270">
        <f t="shared" si="385"/>
        <v>0</v>
      </c>
      <c r="AS71" s="270">
        <f t="shared" si="385"/>
        <v>15284.18</v>
      </c>
      <c r="AT71" s="270">
        <f t="shared" ref="AT71:BK71" si="386">IF(P$8=0,0,ROUND(AT70-(P71-BX71),2))</f>
        <v>25590.74</v>
      </c>
      <c r="AU71" s="270">
        <f t="shared" si="386"/>
        <v>121412.05</v>
      </c>
      <c r="AV71" s="270">
        <f t="shared" si="386"/>
        <v>0</v>
      </c>
      <c r="AW71" s="270">
        <f t="shared" si="386"/>
        <v>0</v>
      </c>
      <c r="AX71" s="270">
        <f t="shared" si="386"/>
        <v>0</v>
      </c>
      <c r="AY71" s="270">
        <f t="shared" si="386"/>
        <v>0</v>
      </c>
      <c r="AZ71" s="270">
        <f t="shared" si="386"/>
        <v>0</v>
      </c>
      <c r="BA71" s="270">
        <f t="shared" si="386"/>
        <v>0</v>
      </c>
      <c r="BB71" s="270">
        <f t="shared" si="386"/>
        <v>0</v>
      </c>
      <c r="BC71" s="270">
        <f t="shared" si="386"/>
        <v>0</v>
      </c>
      <c r="BD71" s="270">
        <f t="shared" si="386"/>
        <v>0</v>
      </c>
      <c r="BE71" s="270">
        <f t="shared" si="386"/>
        <v>0</v>
      </c>
      <c r="BF71" s="270">
        <f t="shared" si="386"/>
        <v>0</v>
      </c>
      <c r="BG71" s="270">
        <f t="shared" si="386"/>
        <v>0</v>
      </c>
      <c r="BH71" s="270">
        <f t="shared" si="386"/>
        <v>0</v>
      </c>
      <c r="BI71" s="270">
        <f t="shared" si="386"/>
        <v>0</v>
      </c>
      <c r="BJ71" s="270">
        <f t="shared" si="386"/>
        <v>0</v>
      </c>
      <c r="BK71" s="270">
        <f t="shared" si="386"/>
        <v>0</v>
      </c>
      <c r="BL71" s="265">
        <f t="shared" si="16"/>
        <v>162286.97</v>
      </c>
      <c r="BM71" s="215"/>
      <c r="BN71" s="270">
        <f t="shared" ref="BN71:CP71" si="387">ROUND(AI70*E$9/12,2)</f>
        <v>0</v>
      </c>
      <c r="BO71" s="270">
        <f t="shared" si="387"/>
        <v>0</v>
      </c>
      <c r="BP71" s="270">
        <f t="shared" si="387"/>
        <v>0</v>
      </c>
      <c r="BQ71" s="270">
        <f t="shared" si="387"/>
        <v>0</v>
      </c>
      <c r="BR71" s="270">
        <f t="shared" si="387"/>
        <v>0</v>
      </c>
      <c r="BS71" s="270">
        <f t="shared" si="387"/>
        <v>0</v>
      </c>
      <c r="BT71" s="270">
        <f t="shared" si="387"/>
        <v>0</v>
      </c>
      <c r="BU71" s="270">
        <f t="shared" si="387"/>
        <v>0</v>
      </c>
      <c r="BV71" s="270">
        <f t="shared" si="387"/>
        <v>0</v>
      </c>
      <c r="BW71" s="270">
        <f t="shared" si="387"/>
        <v>0</v>
      </c>
      <c r="BX71" s="270">
        <f t="shared" si="387"/>
        <v>153.4</v>
      </c>
      <c r="BY71" s="270">
        <f t="shared" si="387"/>
        <v>202.83</v>
      </c>
      <c r="BZ71" s="270">
        <f t="shared" si="387"/>
        <v>383.36</v>
      </c>
      <c r="CA71" s="270">
        <f t="shared" si="387"/>
        <v>0</v>
      </c>
      <c r="CB71" s="270">
        <f t="shared" si="387"/>
        <v>0</v>
      </c>
      <c r="CC71" s="270">
        <f t="shared" si="387"/>
        <v>0</v>
      </c>
      <c r="CD71" s="270">
        <f t="shared" si="387"/>
        <v>0</v>
      </c>
      <c r="CE71" s="270">
        <f t="shared" si="387"/>
        <v>0</v>
      </c>
      <c r="CF71" s="270">
        <f t="shared" si="387"/>
        <v>0</v>
      </c>
      <c r="CG71" s="270">
        <f t="shared" si="387"/>
        <v>0</v>
      </c>
      <c r="CH71" s="270">
        <f t="shared" si="387"/>
        <v>0</v>
      </c>
      <c r="CI71" s="270">
        <f t="shared" si="387"/>
        <v>0</v>
      </c>
      <c r="CJ71" s="270">
        <f t="shared" si="387"/>
        <v>0</v>
      </c>
      <c r="CK71" s="270">
        <f t="shared" si="387"/>
        <v>0</v>
      </c>
      <c r="CL71" s="270">
        <f t="shared" si="387"/>
        <v>0</v>
      </c>
      <c r="CM71" s="270">
        <f t="shared" si="387"/>
        <v>0</v>
      </c>
      <c r="CN71" s="270">
        <f t="shared" si="387"/>
        <v>0</v>
      </c>
      <c r="CO71" s="270">
        <f t="shared" si="387"/>
        <v>0</v>
      </c>
      <c r="CP71" s="270">
        <f t="shared" si="387"/>
        <v>0</v>
      </c>
      <c r="CQ71" s="215"/>
      <c r="CR71" s="270">
        <f t="shared" si="27"/>
        <v>739.59</v>
      </c>
      <c r="CS71" s="215"/>
      <c r="CT71" s="270">
        <f t="shared" ref="CT71:DX71" si="388">IF(AI70&gt;0,IF((AI70+BN71)&lt;E$10,AI70+BN71,E$10),0)</f>
        <v>0</v>
      </c>
      <c r="CU71" s="270">
        <f t="shared" si="388"/>
        <v>0</v>
      </c>
      <c r="CV71" s="270">
        <f t="shared" si="388"/>
        <v>0</v>
      </c>
      <c r="CW71" s="270">
        <f t="shared" si="388"/>
        <v>0</v>
      </c>
      <c r="CX71" s="270">
        <f t="shared" si="388"/>
        <v>0</v>
      </c>
      <c r="CY71" s="270">
        <f t="shared" si="388"/>
        <v>0</v>
      </c>
      <c r="CZ71" s="270">
        <f t="shared" si="388"/>
        <v>0</v>
      </c>
      <c r="DA71" s="270">
        <f t="shared" si="388"/>
        <v>0</v>
      </c>
      <c r="DB71" s="270">
        <f t="shared" si="388"/>
        <v>0</v>
      </c>
      <c r="DC71" s="270">
        <f t="shared" si="388"/>
        <v>0</v>
      </c>
      <c r="DD71" s="270">
        <f t="shared" si="388"/>
        <v>695.6</v>
      </c>
      <c r="DE71" s="270">
        <f t="shared" si="388"/>
        <v>791.16</v>
      </c>
      <c r="DF71" s="270">
        <f t="shared" si="388"/>
        <v>1467.13</v>
      </c>
      <c r="DG71" s="270">
        <f t="shared" si="388"/>
        <v>0</v>
      </c>
      <c r="DH71" s="270">
        <f t="shared" si="388"/>
        <v>0</v>
      </c>
      <c r="DI71" s="270">
        <f t="shared" si="388"/>
        <v>0</v>
      </c>
      <c r="DJ71" s="270">
        <f t="shared" si="388"/>
        <v>0</v>
      </c>
      <c r="DK71" s="270">
        <f t="shared" si="388"/>
        <v>0</v>
      </c>
      <c r="DL71" s="270">
        <f t="shared" si="388"/>
        <v>0</v>
      </c>
      <c r="DM71" s="270">
        <f t="shared" si="388"/>
        <v>0</v>
      </c>
      <c r="DN71" s="270">
        <f t="shared" si="388"/>
        <v>0</v>
      </c>
      <c r="DO71" s="270">
        <f t="shared" si="388"/>
        <v>0</v>
      </c>
      <c r="DP71" s="270">
        <f t="shared" si="388"/>
        <v>0</v>
      </c>
      <c r="DQ71" s="270">
        <f t="shared" si="388"/>
        <v>0</v>
      </c>
      <c r="DR71" s="270">
        <f t="shared" si="388"/>
        <v>0</v>
      </c>
      <c r="DS71" s="270">
        <f t="shared" si="388"/>
        <v>0</v>
      </c>
      <c r="DT71" s="270">
        <f t="shared" si="388"/>
        <v>0</v>
      </c>
      <c r="DU71" s="270">
        <f t="shared" si="388"/>
        <v>0</v>
      </c>
      <c r="DV71" s="270">
        <f t="shared" si="388"/>
        <v>0</v>
      </c>
      <c r="DW71" s="271" t="str">
        <f t="shared" si="388"/>
        <v/>
      </c>
      <c r="DX71" s="270">
        <f t="shared" si="388"/>
        <v>0</v>
      </c>
      <c r="DY71" s="270">
        <f t="shared" si="29"/>
        <v>2953.89</v>
      </c>
      <c r="DZ71" s="274"/>
      <c r="EA71" s="275">
        <f t="shared" si="38"/>
        <v>0</v>
      </c>
      <c r="EB71" s="270">
        <f t="shared" ref="EB71:FC71" si="389">IF(AJ69&lt;=0,0,IF($C70&lt;=SUM($EA71:EA71),0,IF(CU70+$C70-SUM($EA71:EA71)&gt;AJ69+BO70,AJ69+BO70-CU70,$C70-SUM($EA71:EA71))))</f>
        <v>0</v>
      </c>
      <c r="EC71" s="270">
        <f t="shared" si="389"/>
        <v>0</v>
      </c>
      <c r="ED71" s="270">
        <f t="shared" si="389"/>
        <v>0</v>
      </c>
      <c r="EE71" s="270">
        <f t="shared" si="389"/>
        <v>0</v>
      </c>
      <c r="EF71" s="270">
        <f t="shared" si="389"/>
        <v>0</v>
      </c>
      <c r="EG71" s="270">
        <f t="shared" si="389"/>
        <v>0</v>
      </c>
      <c r="EH71" s="270">
        <f t="shared" si="389"/>
        <v>0</v>
      </c>
      <c r="EI71" s="270">
        <f t="shared" si="389"/>
        <v>0</v>
      </c>
      <c r="EJ71" s="270">
        <f t="shared" si="389"/>
        <v>0</v>
      </c>
      <c r="EK71" s="270">
        <f t="shared" si="389"/>
        <v>908.11</v>
      </c>
      <c r="EL71" s="270">
        <f t="shared" si="389"/>
        <v>0</v>
      </c>
      <c r="EM71" s="270">
        <f t="shared" si="389"/>
        <v>0</v>
      </c>
      <c r="EN71" s="270">
        <f t="shared" si="389"/>
        <v>0</v>
      </c>
      <c r="EO71" s="270">
        <f t="shared" si="389"/>
        <v>0</v>
      </c>
      <c r="EP71" s="270">
        <f t="shared" si="389"/>
        <v>0</v>
      </c>
      <c r="EQ71" s="270">
        <f t="shared" si="389"/>
        <v>0</v>
      </c>
      <c r="ER71" s="270">
        <f t="shared" si="389"/>
        <v>0</v>
      </c>
      <c r="ES71" s="270">
        <f t="shared" si="389"/>
        <v>0</v>
      </c>
      <c r="ET71" s="270">
        <f t="shared" si="389"/>
        <v>0</v>
      </c>
      <c r="EU71" s="270">
        <f t="shared" si="389"/>
        <v>0</v>
      </c>
      <c r="EV71" s="270">
        <f t="shared" si="389"/>
        <v>0</v>
      </c>
      <c r="EW71" s="270">
        <f t="shared" si="389"/>
        <v>0</v>
      </c>
      <c r="EX71" s="270">
        <f t="shared" si="389"/>
        <v>0</v>
      </c>
      <c r="EY71" s="270">
        <f t="shared" si="389"/>
        <v>0</v>
      </c>
      <c r="EZ71" s="270">
        <f t="shared" si="389"/>
        <v>0</v>
      </c>
      <c r="FA71" s="270">
        <f t="shared" si="389"/>
        <v>0</v>
      </c>
      <c r="FB71" s="270">
        <f t="shared" si="389"/>
        <v>0</v>
      </c>
      <c r="FC71" s="270">
        <f t="shared" si="389"/>
        <v>0</v>
      </c>
      <c r="FD71" s="271"/>
      <c r="FE71" s="271"/>
      <c r="FF71" s="271"/>
      <c r="FG71" s="215"/>
      <c r="FH71" s="215"/>
    </row>
    <row r="72" ht="11.25" customHeight="1">
      <c r="A72" s="231">
        <f t="shared" si="19"/>
        <v>52</v>
      </c>
      <c r="B72" s="269">
        <v>47209.0</v>
      </c>
      <c r="C72" s="270">
        <f>IF(A72="","",IF(Calculator!snowball,IF(($E$5-DY72)&lt;0,0,$E$5-DY72),0)+D72)</f>
        <v>908.11</v>
      </c>
      <c r="D72" s="277"/>
      <c r="E72" s="270">
        <f t="shared" si="40"/>
        <v>0</v>
      </c>
      <c r="F72" s="270">
        <f t="shared" ref="F72:AG72" si="390">CU72+EB73</f>
        <v>0</v>
      </c>
      <c r="G72" s="270">
        <f t="shared" si="390"/>
        <v>0</v>
      </c>
      <c r="H72" s="270">
        <f t="shared" si="390"/>
        <v>0</v>
      </c>
      <c r="I72" s="270">
        <f t="shared" si="390"/>
        <v>0</v>
      </c>
      <c r="J72" s="270">
        <f t="shared" si="390"/>
        <v>0</v>
      </c>
      <c r="K72" s="270">
        <f t="shared" si="390"/>
        <v>0</v>
      </c>
      <c r="L72" s="270">
        <f t="shared" si="390"/>
        <v>0</v>
      </c>
      <c r="M72" s="270">
        <f t="shared" si="390"/>
        <v>0</v>
      </c>
      <c r="N72" s="270">
        <f t="shared" si="390"/>
        <v>0</v>
      </c>
      <c r="O72" s="270">
        <f t="shared" si="390"/>
        <v>1603.71</v>
      </c>
      <c r="P72" s="272">
        <f t="shared" si="390"/>
        <v>791.16</v>
      </c>
      <c r="Q72" s="272">
        <f t="shared" si="390"/>
        <v>1467.13</v>
      </c>
      <c r="R72" s="272">
        <f t="shared" si="390"/>
        <v>0</v>
      </c>
      <c r="S72" s="272">
        <f t="shared" si="390"/>
        <v>0</v>
      </c>
      <c r="T72" s="272">
        <f t="shared" si="390"/>
        <v>0</v>
      </c>
      <c r="U72" s="270">
        <f t="shared" si="390"/>
        <v>0</v>
      </c>
      <c r="V72" s="270">
        <f t="shared" si="390"/>
        <v>0</v>
      </c>
      <c r="W72" s="270">
        <f t="shared" si="390"/>
        <v>0</v>
      </c>
      <c r="X72" s="270">
        <f t="shared" si="390"/>
        <v>0</v>
      </c>
      <c r="Y72" s="270">
        <f t="shared" si="390"/>
        <v>0</v>
      </c>
      <c r="Z72" s="270">
        <f t="shared" si="390"/>
        <v>0</v>
      </c>
      <c r="AA72" s="270">
        <f t="shared" si="390"/>
        <v>0</v>
      </c>
      <c r="AB72" s="270">
        <f t="shared" si="390"/>
        <v>0</v>
      </c>
      <c r="AC72" s="270">
        <f t="shared" si="390"/>
        <v>0</v>
      </c>
      <c r="AD72" s="270">
        <f t="shared" si="390"/>
        <v>0</v>
      </c>
      <c r="AE72" s="270">
        <f t="shared" si="390"/>
        <v>0</v>
      </c>
      <c r="AF72" s="270">
        <f t="shared" si="390"/>
        <v>0</v>
      </c>
      <c r="AG72" s="270">
        <f t="shared" si="390"/>
        <v>0</v>
      </c>
      <c r="AH72" s="265">
        <f t="shared" si="13"/>
        <v>158903.07</v>
      </c>
      <c r="AI72" s="270">
        <f t="shared" si="43"/>
        <v>0</v>
      </c>
      <c r="AJ72" s="270">
        <f t="shared" ref="AJ72:AO72" si="391">IF(F$8=0,0,ROUND(AJ71-(F72-BO72),2))</f>
        <v>0</v>
      </c>
      <c r="AK72" s="270">
        <f t="shared" si="391"/>
        <v>0</v>
      </c>
      <c r="AL72" s="270">
        <f t="shared" si="391"/>
        <v>0</v>
      </c>
      <c r="AM72" s="270">
        <f t="shared" si="391"/>
        <v>0</v>
      </c>
      <c r="AN72" s="270">
        <f t="shared" si="391"/>
        <v>0</v>
      </c>
      <c r="AO72" s="270">
        <f t="shared" si="391"/>
        <v>0</v>
      </c>
      <c r="AP72" s="270">
        <v>0.0</v>
      </c>
      <c r="AQ72" s="270">
        <f t="shared" ref="AQ72:AS72" si="392">IF(M$8=0,0,ROUND(AQ71-(M72-BV72),2))</f>
        <v>0</v>
      </c>
      <c r="AR72" s="270">
        <f t="shared" si="392"/>
        <v>0</v>
      </c>
      <c r="AS72" s="270">
        <f t="shared" si="392"/>
        <v>13820.57</v>
      </c>
      <c r="AT72" s="270">
        <f t="shared" ref="AT72:BK72" si="393">IF(P$8=0,0,ROUND(AT71-(P72-BX72),2))</f>
        <v>24939.68</v>
      </c>
      <c r="AU72" s="270">
        <f t="shared" si="393"/>
        <v>120142.82</v>
      </c>
      <c r="AV72" s="270">
        <f t="shared" si="393"/>
        <v>0</v>
      </c>
      <c r="AW72" s="270">
        <f t="shared" si="393"/>
        <v>0</v>
      </c>
      <c r="AX72" s="270">
        <f t="shared" si="393"/>
        <v>0</v>
      </c>
      <c r="AY72" s="270">
        <f t="shared" si="393"/>
        <v>0</v>
      </c>
      <c r="AZ72" s="270">
        <f t="shared" si="393"/>
        <v>0</v>
      </c>
      <c r="BA72" s="270">
        <f t="shared" si="393"/>
        <v>0</v>
      </c>
      <c r="BB72" s="270">
        <f t="shared" si="393"/>
        <v>0</v>
      </c>
      <c r="BC72" s="270">
        <f t="shared" si="393"/>
        <v>0</v>
      </c>
      <c r="BD72" s="270">
        <f t="shared" si="393"/>
        <v>0</v>
      </c>
      <c r="BE72" s="270">
        <f t="shared" si="393"/>
        <v>0</v>
      </c>
      <c r="BF72" s="270">
        <f t="shared" si="393"/>
        <v>0</v>
      </c>
      <c r="BG72" s="270">
        <f t="shared" si="393"/>
        <v>0</v>
      </c>
      <c r="BH72" s="270">
        <f t="shared" si="393"/>
        <v>0</v>
      </c>
      <c r="BI72" s="270">
        <f t="shared" si="393"/>
        <v>0</v>
      </c>
      <c r="BJ72" s="270">
        <f t="shared" si="393"/>
        <v>0</v>
      </c>
      <c r="BK72" s="270">
        <f t="shared" si="393"/>
        <v>0</v>
      </c>
      <c r="BL72" s="265">
        <f t="shared" si="16"/>
        <v>158903.07</v>
      </c>
      <c r="BM72" s="215"/>
      <c r="BN72" s="270">
        <f t="shared" ref="BN72:CP72" si="394">ROUND(AI71*E$9/12,2)</f>
        <v>0</v>
      </c>
      <c r="BO72" s="270">
        <f t="shared" si="394"/>
        <v>0</v>
      </c>
      <c r="BP72" s="270">
        <f t="shared" si="394"/>
        <v>0</v>
      </c>
      <c r="BQ72" s="270">
        <f t="shared" si="394"/>
        <v>0</v>
      </c>
      <c r="BR72" s="270">
        <f t="shared" si="394"/>
        <v>0</v>
      </c>
      <c r="BS72" s="270">
        <f t="shared" si="394"/>
        <v>0</v>
      </c>
      <c r="BT72" s="270">
        <f t="shared" si="394"/>
        <v>0</v>
      </c>
      <c r="BU72" s="270">
        <f t="shared" si="394"/>
        <v>0</v>
      </c>
      <c r="BV72" s="270">
        <f t="shared" si="394"/>
        <v>0</v>
      </c>
      <c r="BW72" s="270">
        <f t="shared" si="394"/>
        <v>0</v>
      </c>
      <c r="BX72" s="270">
        <f t="shared" si="394"/>
        <v>140.1</v>
      </c>
      <c r="BY72" s="270">
        <f t="shared" si="394"/>
        <v>197.9</v>
      </c>
      <c r="BZ72" s="270">
        <f t="shared" si="394"/>
        <v>379.41</v>
      </c>
      <c r="CA72" s="270">
        <f t="shared" si="394"/>
        <v>0</v>
      </c>
      <c r="CB72" s="270">
        <f t="shared" si="394"/>
        <v>0</v>
      </c>
      <c r="CC72" s="270">
        <f t="shared" si="394"/>
        <v>0</v>
      </c>
      <c r="CD72" s="270">
        <f t="shared" si="394"/>
        <v>0</v>
      </c>
      <c r="CE72" s="270">
        <f t="shared" si="394"/>
        <v>0</v>
      </c>
      <c r="CF72" s="270">
        <f t="shared" si="394"/>
        <v>0</v>
      </c>
      <c r="CG72" s="270">
        <f t="shared" si="394"/>
        <v>0</v>
      </c>
      <c r="CH72" s="270">
        <f t="shared" si="394"/>
        <v>0</v>
      </c>
      <c r="CI72" s="270">
        <f t="shared" si="394"/>
        <v>0</v>
      </c>
      <c r="CJ72" s="270">
        <f t="shared" si="394"/>
        <v>0</v>
      </c>
      <c r="CK72" s="270">
        <f t="shared" si="394"/>
        <v>0</v>
      </c>
      <c r="CL72" s="270">
        <f t="shared" si="394"/>
        <v>0</v>
      </c>
      <c r="CM72" s="270">
        <f t="shared" si="394"/>
        <v>0</v>
      </c>
      <c r="CN72" s="270">
        <f t="shared" si="394"/>
        <v>0</v>
      </c>
      <c r="CO72" s="270">
        <f t="shared" si="394"/>
        <v>0</v>
      </c>
      <c r="CP72" s="270">
        <f t="shared" si="394"/>
        <v>0</v>
      </c>
      <c r="CQ72" s="215"/>
      <c r="CR72" s="270">
        <f t="shared" si="27"/>
        <v>717.41</v>
      </c>
      <c r="CS72" s="215"/>
      <c r="CT72" s="270">
        <f t="shared" ref="CT72:DX72" si="395">IF(AI71&gt;0,IF((AI71+BN72)&lt;E$10,AI71+BN72,E$10),0)</f>
        <v>0</v>
      </c>
      <c r="CU72" s="270">
        <f t="shared" si="395"/>
        <v>0</v>
      </c>
      <c r="CV72" s="270">
        <f t="shared" si="395"/>
        <v>0</v>
      </c>
      <c r="CW72" s="270">
        <f t="shared" si="395"/>
        <v>0</v>
      </c>
      <c r="CX72" s="270">
        <f t="shared" si="395"/>
        <v>0</v>
      </c>
      <c r="CY72" s="270">
        <f t="shared" si="395"/>
        <v>0</v>
      </c>
      <c r="CZ72" s="270">
        <f t="shared" si="395"/>
        <v>0</v>
      </c>
      <c r="DA72" s="270">
        <f t="shared" si="395"/>
        <v>0</v>
      </c>
      <c r="DB72" s="270">
        <f t="shared" si="395"/>
        <v>0</v>
      </c>
      <c r="DC72" s="270">
        <f t="shared" si="395"/>
        <v>0</v>
      </c>
      <c r="DD72" s="270">
        <f t="shared" si="395"/>
        <v>695.6</v>
      </c>
      <c r="DE72" s="270">
        <f t="shared" si="395"/>
        <v>791.16</v>
      </c>
      <c r="DF72" s="270">
        <f t="shared" si="395"/>
        <v>1467.13</v>
      </c>
      <c r="DG72" s="270">
        <f t="shared" si="395"/>
        <v>0</v>
      </c>
      <c r="DH72" s="270">
        <f t="shared" si="395"/>
        <v>0</v>
      </c>
      <c r="DI72" s="270">
        <f t="shared" si="395"/>
        <v>0</v>
      </c>
      <c r="DJ72" s="270">
        <f t="shared" si="395"/>
        <v>0</v>
      </c>
      <c r="DK72" s="270">
        <f t="shared" si="395"/>
        <v>0</v>
      </c>
      <c r="DL72" s="270">
        <f t="shared" si="395"/>
        <v>0</v>
      </c>
      <c r="DM72" s="270">
        <f t="shared" si="395"/>
        <v>0</v>
      </c>
      <c r="DN72" s="270">
        <f t="shared" si="395"/>
        <v>0</v>
      </c>
      <c r="DO72" s="270">
        <f t="shared" si="395"/>
        <v>0</v>
      </c>
      <c r="DP72" s="270">
        <f t="shared" si="395"/>
        <v>0</v>
      </c>
      <c r="DQ72" s="270">
        <f t="shared" si="395"/>
        <v>0</v>
      </c>
      <c r="DR72" s="270">
        <f t="shared" si="395"/>
        <v>0</v>
      </c>
      <c r="DS72" s="270">
        <f t="shared" si="395"/>
        <v>0</v>
      </c>
      <c r="DT72" s="270">
        <f t="shared" si="395"/>
        <v>0</v>
      </c>
      <c r="DU72" s="270">
        <f t="shared" si="395"/>
        <v>0</v>
      </c>
      <c r="DV72" s="270">
        <f t="shared" si="395"/>
        <v>0</v>
      </c>
      <c r="DW72" s="271" t="str">
        <f t="shared" si="395"/>
        <v/>
      </c>
      <c r="DX72" s="270">
        <f t="shared" si="395"/>
        <v>0</v>
      </c>
      <c r="DY72" s="270">
        <f t="shared" si="29"/>
        <v>2953.89</v>
      </c>
      <c r="DZ72" s="274"/>
      <c r="EA72" s="275">
        <f t="shared" si="38"/>
        <v>0</v>
      </c>
      <c r="EB72" s="270">
        <f t="shared" ref="EB72:FC72" si="396">IF(AJ70&lt;=0,0,IF($C71&lt;=SUM($EA72:EA72),0,IF(CU71+$C71-SUM($EA72:EA72)&gt;AJ70+BO71,AJ70+BO71-CU71,$C71-SUM($EA72:EA72))))</f>
        <v>0</v>
      </c>
      <c r="EC72" s="270">
        <f t="shared" si="396"/>
        <v>0</v>
      </c>
      <c r="ED72" s="270">
        <f t="shared" si="396"/>
        <v>0</v>
      </c>
      <c r="EE72" s="270">
        <f t="shared" si="396"/>
        <v>0</v>
      </c>
      <c r="EF72" s="270">
        <f t="shared" si="396"/>
        <v>0</v>
      </c>
      <c r="EG72" s="270">
        <f t="shared" si="396"/>
        <v>0</v>
      </c>
      <c r="EH72" s="270">
        <f t="shared" si="396"/>
        <v>0</v>
      </c>
      <c r="EI72" s="270">
        <f t="shared" si="396"/>
        <v>0</v>
      </c>
      <c r="EJ72" s="270">
        <f t="shared" si="396"/>
        <v>0</v>
      </c>
      <c r="EK72" s="270">
        <f t="shared" si="396"/>
        <v>908.11</v>
      </c>
      <c r="EL72" s="270">
        <f t="shared" si="396"/>
        <v>0</v>
      </c>
      <c r="EM72" s="270">
        <f t="shared" si="396"/>
        <v>0</v>
      </c>
      <c r="EN72" s="270">
        <f t="shared" si="396"/>
        <v>0</v>
      </c>
      <c r="EO72" s="270">
        <f t="shared" si="396"/>
        <v>0</v>
      </c>
      <c r="EP72" s="270">
        <f t="shared" si="396"/>
        <v>0</v>
      </c>
      <c r="EQ72" s="270">
        <f t="shared" si="396"/>
        <v>0</v>
      </c>
      <c r="ER72" s="270">
        <f t="shared" si="396"/>
        <v>0</v>
      </c>
      <c r="ES72" s="270">
        <f t="shared" si="396"/>
        <v>0</v>
      </c>
      <c r="ET72" s="270">
        <f t="shared" si="396"/>
        <v>0</v>
      </c>
      <c r="EU72" s="270">
        <f t="shared" si="396"/>
        <v>0</v>
      </c>
      <c r="EV72" s="270">
        <f t="shared" si="396"/>
        <v>0</v>
      </c>
      <c r="EW72" s="270">
        <f t="shared" si="396"/>
        <v>0</v>
      </c>
      <c r="EX72" s="270">
        <f t="shared" si="396"/>
        <v>0</v>
      </c>
      <c r="EY72" s="270">
        <f t="shared" si="396"/>
        <v>0</v>
      </c>
      <c r="EZ72" s="270">
        <f t="shared" si="396"/>
        <v>0</v>
      </c>
      <c r="FA72" s="270">
        <f t="shared" si="396"/>
        <v>0</v>
      </c>
      <c r="FB72" s="270">
        <f t="shared" si="396"/>
        <v>0</v>
      </c>
      <c r="FC72" s="270">
        <f t="shared" si="396"/>
        <v>0</v>
      </c>
      <c r="FD72" s="271"/>
      <c r="FE72" s="271"/>
      <c r="FF72" s="271"/>
      <c r="FG72" s="215"/>
      <c r="FH72" s="215"/>
    </row>
    <row r="73" ht="11.25" customHeight="1">
      <c r="A73" s="231">
        <f t="shared" si="19"/>
        <v>53</v>
      </c>
      <c r="B73" s="269">
        <v>47239.0</v>
      </c>
      <c r="C73" s="270">
        <f>IF(A73="","",IF(Calculator!snowball,IF(($E$5-DY73)&lt;0,0,$E$5-DY73),0)+D73)</f>
        <v>908.11</v>
      </c>
      <c r="D73" s="277"/>
      <c r="E73" s="270">
        <f t="shared" si="40"/>
        <v>0</v>
      </c>
      <c r="F73" s="270">
        <f t="shared" ref="F73:AG73" si="397">CU73+EB74</f>
        <v>0</v>
      </c>
      <c r="G73" s="270">
        <f t="shared" si="397"/>
        <v>0</v>
      </c>
      <c r="H73" s="270">
        <f t="shared" si="397"/>
        <v>0</v>
      </c>
      <c r="I73" s="270">
        <f t="shared" si="397"/>
        <v>0</v>
      </c>
      <c r="J73" s="270">
        <f t="shared" si="397"/>
        <v>0</v>
      </c>
      <c r="K73" s="270">
        <f t="shared" si="397"/>
        <v>0</v>
      </c>
      <c r="L73" s="270">
        <f t="shared" si="397"/>
        <v>0</v>
      </c>
      <c r="M73" s="270">
        <f t="shared" si="397"/>
        <v>0</v>
      </c>
      <c r="N73" s="270">
        <f t="shared" si="397"/>
        <v>0</v>
      </c>
      <c r="O73" s="270">
        <f t="shared" si="397"/>
        <v>1603.71</v>
      </c>
      <c r="P73" s="272">
        <f t="shared" si="397"/>
        <v>791.16</v>
      </c>
      <c r="Q73" s="272">
        <f t="shared" si="397"/>
        <v>1467.13</v>
      </c>
      <c r="R73" s="272">
        <f t="shared" si="397"/>
        <v>0</v>
      </c>
      <c r="S73" s="272">
        <f t="shared" si="397"/>
        <v>0</v>
      </c>
      <c r="T73" s="272">
        <f t="shared" si="397"/>
        <v>0</v>
      </c>
      <c r="U73" s="270">
        <f t="shared" si="397"/>
        <v>0</v>
      </c>
      <c r="V73" s="270">
        <f t="shared" si="397"/>
        <v>0</v>
      </c>
      <c r="W73" s="270">
        <f t="shared" si="397"/>
        <v>0</v>
      </c>
      <c r="X73" s="270">
        <f t="shared" si="397"/>
        <v>0</v>
      </c>
      <c r="Y73" s="270">
        <f t="shared" si="397"/>
        <v>0</v>
      </c>
      <c r="Z73" s="270">
        <f t="shared" si="397"/>
        <v>0</v>
      </c>
      <c r="AA73" s="270">
        <f t="shared" si="397"/>
        <v>0</v>
      </c>
      <c r="AB73" s="270">
        <f t="shared" si="397"/>
        <v>0</v>
      </c>
      <c r="AC73" s="270">
        <f t="shared" si="397"/>
        <v>0</v>
      </c>
      <c r="AD73" s="270">
        <f t="shared" si="397"/>
        <v>0</v>
      </c>
      <c r="AE73" s="270">
        <f t="shared" si="397"/>
        <v>0</v>
      </c>
      <c r="AF73" s="270">
        <f t="shared" si="397"/>
        <v>0</v>
      </c>
      <c r="AG73" s="270">
        <f t="shared" si="397"/>
        <v>0</v>
      </c>
      <c r="AH73" s="265">
        <f t="shared" si="13"/>
        <v>155487.32</v>
      </c>
      <c r="AI73" s="270">
        <f t="shared" si="43"/>
        <v>0</v>
      </c>
      <c r="AJ73" s="270">
        <f t="shared" ref="AJ73:AO73" si="398">IF(F$8=0,0,ROUND(AJ72-(F73-BO73),2))</f>
        <v>0</v>
      </c>
      <c r="AK73" s="270">
        <f t="shared" si="398"/>
        <v>0</v>
      </c>
      <c r="AL73" s="270">
        <f t="shared" si="398"/>
        <v>0</v>
      </c>
      <c r="AM73" s="270">
        <f t="shared" si="398"/>
        <v>0</v>
      </c>
      <c r="AN73" s="270">
        <f t="shared" si="398"/>
        <v>0</v>
      </c>
      <c r="AO73" s="270">
        <f t="shared" si="398"/>
        <v>0</v>
      </c>
      <c r="AP73" s="270">
        <v>0.0</v>
      </c>
      <c r="AQ73" s="270">
        <f t="shared" ref="AQ73:AS73" si="399">IF(M$8=0,0,ROUND(AQ72-(M73-BV73),2))</f>
        <v>0</v>
      </c>
      <c r="AR73" s="270">
        <f t="shared" si="399"/>
        <v>0</v>
      </c>
      <c r="AS73" s="270">
        <f t="shared" si="399"/>
        <v>12343.55</v>
      </c>
      <c r="AT73" s="270">
        <f t="shared" ref="AT73:BK73" si="400">IF(P$8=0,0,ROUND(AT72-(P73-BX73),2))</f>
        <v>24275.21</v>
      </c>
      <c r="AU73" s="270">
        <f t="shared" si="400"/>
        <v>118868.56</v>
      </c>
      <c r="AV73" s="270">
        <f t="shared" si="400"/>
        <v>0</v>
      </c>
      <c r="AW73" s="270">
        <f t="shared" si="400"/>
        <v>0</v>
      </c>
      <c r="AX73" s="270">
        <f t="shared" si="400"/>
        <v>0</v>
      </c>
      <c r="AY73" s="270">
        <f t="shared" si="400"/>
        <v>0</v>
      </c>
      <c r="AZ73" s="270">
        <f t="shared" si="400"/>
        <v>0</v>
      </c>
      <c r="BA73" s="270">
        <f t="shared" si="400"/>
        <v>0</v>
      </c>
      <c r="BB73" s="270">
        <f t="shared" si="400"/>
        <v>0</v>
      </c>
      <c r="BC73" s="270">
        <f t="shared" si="400"/>
        <v>0</v>
      </c>
      <c r="BD73" s="270">
        <f t="shared" si="400"/>
        <v>0</v>
      </c>
      <c r="BE73" s="270">
        <f t="shared" si="400"/>
        <v>0</v>
      </c>
      <c r="BF73" s="270">
        <f t="shared" si="400"/>
        <v>0</v>
      </c>
      <c r="BG73" s="270">
        <f t="shared" si="400"/>
        <v>0</v>
      </c>
      <c r="BH73" s="270">
        <f t="shared" si="400"/>
        <v>0</v>
      </c>
      <c r="BI73" s="270">
        <f t="shared" si="400"/>
        <v>0</v>
      </c>
      <c r="BJ73" s="270">
        <f t="shared" si="400"/>
        <v>0</v>
      </c>
      <c r="BK73" s="270">
        <f t="shared" si="400"/>
        <v>0</v>
      </c>
      <c r="BL73" s="265">
        <f t="shared" si="16"/>
        <v>155487.32</v>
      </c>
      <c r="BM73" s="215"/>
      <c r="BN73" s="270">
        <f t="shared" ref="BN73:CP73" si="401">ROUND(AI72*E$9/12,2)</f>
        <v>0</v>
      </c>
      <c r="BO73" s="270">
        <f t="shared" si="401"/>
        <v>0</v>
      </c>
      <c r="BP73" s="270">
        <f t="shared" si="401"/>
        <v>0</v>
      </c>
      <c r="BQ73" s="270">
        <f t="shared" si="401"/>
        <v>0</v>
      </c>
      <c r="BR73" s="270">
        <f t="shared" si="401"/>
        <v>0</v>
      </c>
      <c r="BS73" s="270">
        <f t="shared" si="401"/>
        <v>0</v>
      </c>
      <c r="BT73" s="270">
        <f t="shared" si="401"/>
        <v>0</v>
      </c>
      <c r="BU73" s="270">
        <f t="shared" si="401"/>
        <v>0</v>
      </c>
      <c r="BV73" s="270">
        <f t="shared" si="401"/>
        <v>0</v>
      </c>
      <c r="BW73" s="270">
        <f t="shared" si="401"/>
        <v>0</v>
      </c>
      <c r="BX73" s="270">
        <f t="shared" si="401"/>
        <v>126.69</v>
      </c>
      <c r="BY73" s="270">
        <f t="shared" si="401"/>
        <v>192.87</v>
      </c>
      <c r="BZ73" s="270">
        <f t="shared" si="401"/>
        <v>375.45</v>
      </c>
      <c r="CA73" s="270">
        <f t="shared" si="401"/>
        <v>0</v>
      </c>
      <c r="CB73" s="270">
        <f t="shared" si="401"/>
        <v>0</v>
      </c>
      <c r="CC73" s="270">
        <f t="shared" si="401"/>
        <v>0</v>
      </c>
      <c r="CD73" s="270">
        <f t="shared" si="401"/>
        <v>0</v>
      </c>
      <c r="CE73" s="270">
        <f t="shared" si="401"/>
        <v>0</v>
      </c>
      <c r="CF73" s="270">
        <f t="shared" si="401"/>
        <v>0</v>
      </c>
      <c r="CG73" s="270">
        <f t="shared" si="401"/>
        <v>0</v>
      </c>
      <c r="CH73" s="270">
        <f t="shared" si="401"/>
        <v>0</v>
      </c>
      <c r="CI73" s="270">
        <f t="shared" si="401"/>
        <v>0</v>
      </c>
      <c r="CJ73" s="270">
        <f t="shared" si="401"/>
        <v>0</v>
      </c>
      <c r="CK73" s="270">
        <f t="shared" si="401"/>
        <v>0</v>
      </c>
      <c r="CL73" s="270">
        <f t="shared" si="401"/>
        <v>0</v>
      </c>
      <c r="CM73" s="270">
        <f t="shared" si="401"/>
        <v>0</v>
      </c>
      <c r="CN73" s="270">
        <f t="shared" si="401"/>
        <v>0</v>
      </c>
      <c r="CO73" s="270">
        <f t="shared" si="401"/>
        <v>0</v>
      </c>
      <c r="CP73" s="270">
        <f t="shared" si="401"/>
        <v>0</v>
      </c>
      <c r="CQ73" s="215"/>
      <c r="CR73" s="270">
        <f t="shared" si="27"/>
        <v>695.01</v>
      </c>
      <c r="CS73" s="215"/>
      <c r="CT73" s="270">
        <f t="shared" ref="CT73:DX73" si="402">IF(AI72&gt;0,IF((AI72+BN73)&lt;E$10,AI72+BN73,E$10),0)</f>
        <v>0</v>
      </c>
      <c r="CU73" s="270">
        <f t="shared" si="402"/>
        <v>0</v>
      </c>
      <c r="CV73" s="270">
        <f t="shared" si="402"/>
        <v>0</v>
      </c>
      <c r="CW73" s="270">
        <f t="shared" si="402"/>
        <v>0</v>
      </c>
      <c r="CX73" s="270">
        <f t="shared" si="402"/>
        <v>0</v>
      </c>
      <c r="CY73" s="270">
        <f t="shared" si="402"/>
        <v>0</v>
      </c>
      <c r="CZ73" s="270">
        <f t="shared" si="402"/>
        <v>0</v>
      </c>
      <c r="DA73" s="270">
        <f t="shared" si="402"/>
        <v>0</v>
      </c>
      <c r="DB73" s="270">
        <f t="shared" si="402"/>
        <v>0</v>
      </c>
      <c r="DC73" s="270">
        <f t="shared" si="402"/>
        <v>0</v>
      </c>
      <c r="DD73" s="270">
        <f t="shared" si="402"/>
        <v>695.6</v>
      </c>
      <c r="DE73" s="270">
        <f t="shared" si="402"/>
        <v>791.16</v>
      </c>
      <c r="DF73" s="270">
        <f t="shared" si="402"/>
        <v>1467.13</v>
      </c>
      <c r="DG73" s="270">
        <f t="shared" si="402"/>
        <v>0</v>
      </c>
      <c r="DH73" s="270">
        <f t="shared" si="402"/>
        <v>0</v>
      </c>
      <c r="DI73" s="270">
        <f t="shared" si="402"/>
        <v>0</v>
      </c>
      <c r="DJ73" s="270">
        <f t="shared" si="402"/>
        <v>0</v>
      </c>
      <c r="DK73" s="270">
        <f t="shared" si="402"/>
        <v>0</v>
      </c>
      <c r="DL73" s="270">
        <f t="shared" si="402"/>
        <v>0</v>
      </c>
      <c r="DM73" s="270">
        <f t="shared" si="402"/>
        <v>0</v>
      </c>
      <c r="DN73" s="270">
        <f t="shared" si="402"/>
        <v>0</v>
      </c>
      <c r="DO73" s="270">
        <f t="shared" si="402"/>
        <v>0</v>
      </c>
      <c r="DP73" s="270">
        <f t="shared" si="402"/>
        <v>0</v>
      </c>
      <c r="DQ73" s="270">
        <f t="shared" si="402"/>
        <v>0</v>
      </c>
      <c r="DR73" s="270">
        <f t="shared" si="402"/>
        <v>0</v>
      </c>
      <c r="DS73" s="270">
        <f t="shared" si="402"/>
        <v>0</v>
      </c>
      <c r="DT73" s="270">
        <f t="shared" si="402"/>
        <v>0</v>
      </c>
      <c r="DU73" s="270">
        <f t="shared" si="402"/>
        <v>0</v>
      </c>
      <c r="DV73" s="270">
        <f t="shared" si="402"/>
        <v>0</v>
      </c>
      <c r="DW73" s="271" t="str">
        <f t="shared" si="402"/>
        <v/>
      </c>
      <c r="DX73" s="270">
        <f t="shared" si="402"/>
        <v>0</v>
      </c>
      <c r="DY73" s="270">
        <f t="shared" si="29"/>
        <v>2953.89</v>
      </c>
      <c r="DZ73" s="274"/>
      <c r="EA73" s="275">
        <f t="shared" si="38"/>
        <v>0</v>
      </c>
      <c r="EB73" s="270">
        <f t="shared" ref="EB73:FC73" si="403">IF(AJ71&lt;=0,0,IF($C72&lt;=SUM($EA73:EA73),0,IF(CU72+$C72-SUM($EA73:EA73)&gt;AJ71+BO72,AJ71+BO72-CU72,$C72-SUM($EA73:EA73))))</f>
        <v>0</v>
      </c>
      <c r="EC73" s="270">
        <f t="shared" si="403"/>
        <v>0</v>
      </c>
      <c r="ED73" s="270">
        <f t="shared" si="403"/>
        <v>0</v>
      </c>
      <c r="EE73" s="270">
        <f t="shared" si="403"/>
        <v>0</v>
      </c>
      <c r="EF73" s="270">
        <f t="shared" si="403"/>
        <v>0</v>
      </c>
      <c r="EG73" s="270">
        <f t="shared" si="403"/>
        <v>0</v>
      </c>
      <c r="EH73" s="270">
        <f t="shared" si="403"/>
        <v>0</v>
      </c>
      <c r="EI73" s="270">
        <f t="shared" si="403"/>
        <v>0</v>
      </c>
      <c r="EJ73" s="270">
        <f t="shared" si="403"/>
        <v>0</v>
      </c>
      <c r="EK73" s="270">
        <f t="shared" si="403"/>
        <v>908.11</v>
      </c>
      <c r="EL73" s="270">
        <f t="shared" si="403"/>
        <v>0</v>
      </c>
      <c r="EM73" s="270">
        <f t="shared" si="403"/>
        <v>0</v>
      </c>
      <c r="EN73" s="270">
        <f t="shared" si="403"/>
        <v>0</v>
      </c>
      <c r="EO73" s="270">
        <f t="shared" si="403"/>
        <v>0</v>
      </c>
      <c r="EP73" s="270">
        <f t="shared" si="403"/>
        <v>0</v>
      </c>
      <c r="EQ73" s="270">
        <f t="shared" si="403"/>
        <v>0</v>
      </c>
      <c r="ER73" s="270">
        <f t="shared" si="403"/>
        <v>0</v>
      </c>
      <c r="ES73" s="270">
        <f t="shared" si="403"/>
        <v>0</v>
      </c>
      <c r="ET73" s="270">
        <f t="shared" si="403"/>
        <v>0</v>
      </c>
      <c r="EU73" s="270">
        <f t="shared" si="403"/>
        <v>0</v>
      </c>
      <c r="EV73" s="270">
        <f t="shared" si="403"/>
        <v>0</v>
      </c>
      <c r="EW73" s="270">
        <f t="shared" si="403"/>
        <v>0</v>
      </c>
      <c r="EX73" s="270">
        <f t="shared" si="403"/>
        <v>0</v>
      </c>
      <c r="EY73" s="270">
        <f t="shared" si="403"/>
        <v>0</v>
      </c>
      <c r="EZ73" s="270">
        <f t="shared" si="403"/>
        <v>0</v>
      </c>
      <c r="FA73" s="270">
        <f t="shared" si="403"/>
        <v>0</v>
      </c>
      <c r="FB73" s="270">
        <f t="shared" si="403"/>
        <v>0</v>
      </c>
      <c r="FC73" s="270">
        <f t="shared" si="403"/>
        <v>0</v>
      </c>
      <c r="FD73" s="271"/>
      <c r="FE73" s="271"/>
      <c r="FF73" s="271"/>
      <c r="FG73" s="215"/>
      <c r="FH73" s="215"/>
    </row>
    <row r="74" ht="11.25" customHeight="1">
      <c r="A74" s="231">
        <f t="shared" si="19"/>
        <v>54</v>
      </c>
      <c r="B74" s="269">
        <v>47270.0</v>
      </c>
      <c r="C74" s="270">
        <f>IF(A74="","",IF(Calculator!snowball,IF(($E$5-DY74)&lt;0,0,$E$5-DY74),0)+D74)</f>
        <v>908.11</v>
      </c>
      <c r="D74" s="277"/>
      <c r="E74" s="270">
        <f t="shared" si="40"/>
        <v>0</v>
      </c>
      <c r="F74" s="270">
        <f t="shared" ref="F74:AG74" si="404">CU74+EB75</f>
        <v>0</v>
      </c>
      <c r="G74" s="270">
        <f t="shared" si="404"/>
        <v>0</v>
      </c>
      <c r="H74" s="270">
        <f t="shared" si="404"/>
        <v>0</v>
      </c>
      <c r="I74" s="270">
        <f t="shared" si="404"/>
        <v>0</v>
      </c>
      <c r="J74" s="270">
        <f t="shared" si="404"/>
        <v>0</v>
      </c>
      <c r="K74" s="270">
        <f t="shared" si="404"/>
        <v>0</v>
      </c>
      <c r="L74" s="270">
        <f t="shared" si="404"/>
        <v>0</v>
      </c>
      <c r="M74" s="270">
        <f t="shared" si="404"/>
        <v>0</v>
      </c>
      <c r="N74" s="270">
        <f t="shared" si="404"/>
        <v>0</v>
      </c>
      <c r="O74" s="270">
        <f t="shared" si="404"/>
        <v>1603.71</v>
      </c>
      <c r="P74" s="272">
        <f t="shared" si="404"/>
        <v>791.16</v>
      </c>
      <c r="Q74" s="272">
        <f t="shared" si="404"/>
        <v>1467.13</v>
      </c>
      <c r="R74" s="272">
        <f t="shared" si="404"/>
        <v>0</v>
      </c>
      <c r="S74" s="272">
        <f t="shared" si="404"/>
        <v>0</v>
      </c>
      <c r="T74" s="272">
        <f t="shared" si="404"/>
        <v>0</v>
      </c>
      <c r="U74" s="270">
        <f t="shared" si="404"/>
        <v>0</v>
      </c>
      <c r="V74" s="270">
        <f t="shared" si="404"/>
        <v>0</v>
      </c>
      <c r="W74" s="270">
        <f t="shared" si="404"/>
        <v>0</v>
      </c>
      <c r="X74" s="270">
        <f t="shared" si="404"/>
        <v>0</v>
      </c>
      <c r="Y74" s="270">
        <f t="shared" si="404"/>
        <v>0</v>
      </c>
      <c r="Z74" s="270">
        <f t="shared" si="404"/>
        <v>0</v>
      </c>
      <c r="AA74" s="270">
        <f t="shared" si="404"/>
        <v>0</v>
      </c>
      <c r="AB74" s="270">
        <f t="shared" si="404"/>
        <v>0</v>
      </c>
      <c r="AC74" s="270">
        <f t="shared" si="404"/>
        <v>0</v>
      </c>
      <c r="AD74" s="270">
        <f t="shared" si="404"/>
        <v>0</v>
      </c>
      <c r="AE74" s="270">
        <f t="shared" si="404"/>
        <v>0</v>
      </c>
      <c r="AF74" s="270">
        <f t="shared" si="404"/>
        <v>0</v>
      </c>
      <c r="AG74" s="270">
        <f t="shared" si="404"/>
        <v>0</v>
      </c>
      <c r="AH74" s="265">
        <f t="shared" si="13"/>
        <v>152039.35</v>
      </c>
      <c r="AI74" s="270">
        <f t="shared" si="43"/>
        <v>0</v>
      </c>
      <c r="AJ74" s="270">
        <f t="shared" ref="AJ74:AO74" si="405">IF(F$8=0,0,ROUND(AJ73-(F74-BO74),2))</f>
        <v>0</v>
      </c>
      <c r="AK74" s="270">
        <f t="shared" si="405"/>
        <v>0</v>
      </c>
      <c r="AL74" s="270">
        <f t="shared" si="405"/>
        <v>0</v>
      </c>
      <c r="AM74" s="270">
        <f t="shared" si="405"/>
        <v>0</v>
      </c>
      <c r="AN74" s="270">
        <f t="shared" si="405"/>
        <v>0</v>
      </c>
      <c r="AO74" s="270">
        <f t="shared" si="405"/>
        <v>0</v>
      </c>
      <c r="AP74" s="270">
        <v>0.0</v>
      </c>
      <c r="AQ74" s="270">
        <f t="shared" ref="AQ74:AS74" si="406">IF(M$8=0,0,ROUND(AQ73-(M74-BV74),2))</f>
        <v>0</v>
      </c>
      <c r="AR74" s="270">
        <f t="shared" si="406"/>
        <v>0</v>
      </c>
      <c r="AS74" s="270">
        <f t="shared" si="406"/>
        <v>10852.99</v>
      </c>
      <c r="AT74" s="270">
        <f t="shared" ref="AT74:BK74" si="407">IF(P$8=0,0,ROUND(AT73-(P74-BX74),2))</f>
        <v>23597.2</v>
      </c>
      <c r="AU74" s="270">
        <f t="shared" si="407"/>
        <v>117589.16</v>
      </c>
      <c r="AV74" s="270">
        <f t="shared" si="407"/>
        <v>0</v>
      </c>
      <c r="AW74" s="270">
        <f t="shared" si="407"/>
        <v>0</v>
      </c>
      <c r="AX74" s="270">
        <f t="shared" si="407"/>
        <v>0</v>
      </c>
      <c r="AY74" s="270">
        <f t="shared" si="407"/>
        <v>0</v>
      </c>
      <c r="AZ74" s="270">
        <f t="shared" si="407"/>
        <v>0</v>
      </c>
      <c r="BA74" s="270">
        <f t="shared" si="407"/>
        <v>0</v>
      </c>
      <c r="BB74" s="270">
        <f t="shared" si="407"/>
        <v>0</v>
      </c>
      <c r="BC74" s="270">
        <f t="shared" si="407"/>
        <v>0</v>
      </c>
      <c r="BD74" s="270">
        <f t="shared" si="407"/>
        <v>0</v>
      </c>
      <c r="BE74" s="270">
        <f t="shared" si="407"/>
        <v>0</v>
      </c>
      <c r="BF74" s="270">
        <f t="shared" si="407"/>
        <v>0</v>
      </c>
      <c r="BG74" s="270">
        <f t="shared" si="407"/>
        <v>0</v>
      </c>
      <c r="BH74" s="270">
        <f t="shared" si="407"/>
        <v>0</v>
      </c>
      <c r="BI74" s="270">
        <f t="shared" si="407"/>
        <v>0</v>
      </c>
      <c r="BJ74" s="270">
        <f t="shared" si="407"/>
        <v>0</v>
      </c>
      <c r="BK74" s="270">
        <f t="shared" si="407"/>
        <v>0</v>
      </c>
      <c r="BL74" s="265">
        <f t="shared" si="16"/>
        <v>152039.35</v>
      </c>
      <c r="BM74" s="215"/>
      <c r="BN74" s="270">
        <f t="shared" ref="BN74:CP74" si="408">ROUND(AI73*E$9/12,2)</f>
        <v>0</v>
      </c>
      <c r="BO74" s="270">
        <f t="shared" si="408"/>
        <v>0</v>
      </c>
      <c r="BP74" s="270">
        <f t="shared" si="408"/>
        <v>0</v>
      </c>
      <c r="BQ74" s="270">
        <f t="shared" si="408"/>
        <v>0</v>
      </c>
      <c r="BR74" s="270">
        <f t="shared" si="408"/>
        <v>0</v>
      </c>
      <c r="BS74" s="270">
        <f t="shared" si="408"/>
        <v>0</v>
      </c>
      <c r="BT74" s="270">
        <f t="shared" si="408"/>
        <v>0</v>
      </c>
      <c r="BU74" s="270">
        <f t="shared" si="408"/>
        <v>0</v>
      </c>
      <c r="BV74" s="270">
        <f t="shared" si="408"/>
        <v>0</v>
      </c>
      <c r="BW74" s="270">
        <f t="shared" si="408"/>
        <v>0</v>
      </c>
      <c r="BX74" s="270">
        <f t="shared" si="408"/>
        <v>113.15</v>
      </c>
      <c r="BY74" s="270">
        <f t="shared" si="408"/>
        <v>187.73</v>
      </c>
      <c r="BZ74" s="270">
        <f t="shared" si="408"/>
        <v>371.46</v>
      </c>
      <c r="CA74" s="270">
        <f t="shared" si="408"/>
        <v>0</v>
      </c>
      <c r="CB74" s="270">
        <f t="shared" si="408"/>
        <v>0</v>
      </c>
      <c r="CC74" s="270">
        <f t="shared" si="408"/>
        <v>0</v>
      </c>
      <c r="CD74" s="270">
        <f t="shared" si="408"/>
        <v>0</v>
      </c>
      <c r="CE74" s="270">
        <f t="shared" si="408"/>
        <v>0</v>
      </c>
      <c r="CF74" s="270">
        <f t="shared" si="408"/>
        <v>0</v>
      </c>
      <c r="CG74" s="270">
        <f t="shared" si="408"/>
        <v>0</v>
      </c>
      <c r="CH74" s="270">
        <f t="shared" si="408"/>
        <v>0</v>
      </c>
      <c r="CI74" s="270">
        <f t="shared" si="408"/>
        <v>0</v>
      </c>
      <c r="CJ74" s="270">
        <f t="shared" si="408"/>
        <v>0</v>
      </c>
      <c r="CK74" s="270">
        <f t="shared" si="408"/>
        <v>0</v>
      </c>
      <c r="CL74" s="270">
        <f t="shared" si="408"/>
        <v>0</v>
      </c>
      <c r="CM74" s="270">
        <f t="shared" si="408"/>
        <v>0</v>
      </c>
      <c r="CN74" s="270">
        <f t="shared" si="408"/>
        <v>0</v>
      </c>
      <c r="CO74" s="270">
        <f t="shared" si="408"/>
        <v>0</v>
      </c>
      <c r="CP74" s="270">
        <f t="shared" si="408"/>
        <v>0</v>
      </c>
      <c r="CQ74" s="215"/>
      <c r="CR74" s="270">
        <f t="shared" si="27"/>
        <v>672.34</v>
      </c>
      <c r="CS74" s="215"/>
      <c r="CT74" s="270">
        <f t="shared" ref="CT74:DX74" si="409">IF(AI73&gt;0,IF((AI73+BN74)&lt;E$10,AI73+BN74,E$10),0)</f>
        <v>0</v>
      </c>
      <c r="CU74" s="270">
        <f t="shared" si="409"/>
        <v>0</v>
      </c>
      <c r="CV74" s="270">
        <f t="shared" si="409"/>
        <v>0</v>
      </c>
      <c r="CW74" s="270">
        <f t="shared" si="409"/>
        <v>0</v>
      </c>
      <c r="CX74" s="270">
        <f t="shared" si="409"/>
        <v>0</v>
      </c>
      <c r="CY74" s="270">
        <f t="shared" si="409"/>
        <v>0</v>
      </c>
      <c r="CZ74" s="270">
        <f t="shared" si="409"/>
        <v>0</v>
      </c>
      <c r="DA74" s="270">
        <f t="shared" si="409"/>
        <v>0</v>
      </c>
      <c r="DB74" s="270">
        <f t="shared" si="409"/>
        <v>0</v>
      </c>
      <c r="DC74" s="270">
        <f t="shared" si="409"/>
        <v>0</v>
      </c>
      <c r="DD74" s="270">
        <f t="shared" si="409"/>
        <v>695.6</v>
      </c>
      <c r="DE74" s="270">
        <f t="shared" si="409"/>
        <v>791.16</v>
      </c>
      <c r="DF74" s="270">
        <f t="shared" si="409"/>
        <v>1467.13</v>
      </c>
      <c r="DG74" s="270">
        <f t="shared" si="409"/>
        <v>0</v>
      </c>
      <c r="DH74" s="270">
        <f t="shared" si="409"/>
        <v>0</v>
      </c>
      <c r="DI74" s="270">
        <f t="shared" si="409"/>
        <v>0</v>
      </c>
      <c r="DJ74" s="270">
        <f t="shared" si="409"/>
        <v>0</v>
      </c>
      <c r="DK74" s="270">
        <f t="shared" si="409"/>
        <v>0</v>
      </c>
      <c r="DL74" s="270">
        <f t="shared" si="409"/>
        <v>0</v>
      </c>
      <c r="DM74" s="270">
        <f t="shared" si="409"/>
        <v>0</v>
      </c>
      <c r="DN74" s="270">
        <f t="shared" si="409"/>
        <v>0</v>
      </c>
      <c r="DO74" s="270">
        <f t="shared" si="409"/>
        <v>0</v>
      </c>
      <c r="DP74" s="270">
        <f t="shared" si="409"/>
        <v>0</v>
      </c>
      <c r="DQ74" s="270">
        <f t="shared" si="409"/>
        <v>0</v>
      </c>
      <c r="DR74" s="270">
        <f t="shared" si="409"/>
        <v>0</v>
      </c>
      <c r="DS74" s="270">
        <f t="shared" si="409"/>
        <v>0</v>
      </c>
      <c r="DT74" s="270">
        <f t="shared" si="409"/>
        <v>0</v>
      </c>
      <c r="DU74" s="270">
        <f t="shared" si="409"/>
        <v>0</v>
      </c>
      <c r="DV74" s="270">
        <f t="shared" si="409"/>
        <v>0</v>
      </c>
      <c r="DW74" s="271" t="str">
        <f t="shared" si="409"/>
        <v/>
      </c>
      <c r="DX74" s="270">
        <f t="shared" si="409"/>
        <v>0</v>
      </c>
      <c r="DY74" s="270">
        <f t="shared" si="29"/>
        <v>2953.89</v>
      </c>
      <c r="DZ74" s="274"/>
      <c r="EA74" s="275">
        <f t="shared" si="38"/>
        <v>0</v>
      </c>
      <c r="EB74" s="270">
        <f t="shared" ref="EB74:FC74" si="410">IF(AJ72&lt;=0,0,IF($C73&lt;=SUM($EA74:EA74),0,IF(CU73+$C73-SUM($EA74:EA74)&gt;AJ72+BO73,AJ72+BO73-CU73,$C73-SUM($EA74:EA74))))</f>
        <v>0</v>
      </c>
      <c r="EC74" s="270">
        <f t="shared" si="410"/>
        <v>0</v>
      </c>
      <c r="ED74" s="270">
        <f t="shared" si="410"/>
        <v>0</v>
      </c>
      <c r="EE74" s="270">
        <f t="shared" si="410"/>
        <v>0</v>
      </c>
      <c r="EF74" s="270">
        <f t="shared" si="410"/>
        <v>0</v>
      </c>
      <c r="EG74" s="270">
        <f t="shared" si="410"/>
        <v>0</v>
      </c>
      <c r="EH74" s="270">
        <f t="shared" si="410"/>
        <v>0</v>
      </c>
      <c r="EI74" s="270">
        <f t="shared" si="410"/>
        <v>0</v>
      </c>
      <c r="EJ74" s="270">
        <f t="shared" si="410"/>
        <v>0</v>
      </c>
      <c r="EK74" s="270">
        <f t="shared" si="410"/>
        <v>908.11</v>
      </c>
      <c r="EL74" s="270">
        <f t="shared" si="410"/>
        <v>0</v>
      </c>
      <c r="EM74" s="270">
        <f t="shared" si="410"/>
        <v>0</v>
      </c>
      <c r="EN74" s="270">
        <f t="shared" si="410"/>
        <v>0</v>
      </c>
      <c r="EO74" s="270">
        <f t="shared" si="410"/>
        <v>0</v>
      </c>
      <c r="EP74" s="270">
        <f t="shared" si="410"/>
        <v>0</v>
      </c>
      <c r="EQ74" s="270">
        <f t="shared" si="410"/>
        <v>0</v>
      </c>
      <c r="ER74" s="270">
        <f t="shared" si="410"/>
        <v>0</v>
      </c>
      <c r="ES74" s="270">
        <f t="shared" si="410"/>
        <v>0</v>
      </c>
      <c r="ET74" s="270">
        <f t="shared" si="410"/>
        <v>0</v>
      </c>
      <c r="EU74" s="270">
        <f t="shared" si="410"/>
        <v>0</v>
      </c>
      <c r="EV74" s="270">
        <f t="shared" si="410"/>
        <v>0</v>
      </c>
      <c r="EW74" s="270">
        <f t="shared" si="410"/>
        <v>0</v>
      </c>
      <c r="EX74" s="270">
        <f t="shared" si="410"/>
        <v>0</v>
      </c>
      <c r="EY74" s="270">
        <f t="shared" si="410"/>
        <v>0</v>
      </c>
      <c r="EZ74" s="270">
        <f t="shared" si="410"/>
        <v>0</v>
      </c>
      <c r="FA74" s="270">
        <f t="shared" si="410"/>
        <v>0</v>
      </c>
      <c r="FB74" s="270">
        <f t="shared" si="410"/>
        <v>0</v>
      </c>
      <c r="FC74" s="270">
        <f t="shared" si="410"/>
        <v>0</v>
      </c>
      <c r="FD74" s="271"/>
      <c r="FE74" s="271"/>
      <c r="FF74" s="271"/>
      <c r="FG74" s="215"/>
      <c r="FH74" s="215"/>
    </row>
    <row r="75" ht="11.25" customHeight="1">
      <c r="A75" s="231">
        <f t="shared" si="19"/>
        <v>55</v>
      </c>
      <c r="B75" s="269">
        <v>47300.0</v>
      </c>
      <c r="C75" s="270">
        <f>IF(A75="","",IF(Calculator!snowball,IF(($E$5-DY75)&lt;0,0,$E$5-DY75),0)+D75)</f>
        <v>908.11</v>
      </c>
      <c r="D75" s="277"/>
      <c r="E75" s="270">
        <f t="shared" si="40"/>
        <v>0</v>
      </c>
      <c r="F75" s="270">
        <f t="shared" ref="F75:AG75" si="411">CU75+EB76</f>
        <v>0</v>
      </c>
      <c r="G75" s="270">
        <f t="shared" si="411"/>
        <v>0</v>
      </c>
      <c r="H75" s="270">
        <f t="shared" si="411"/>
        <v>0</v>
      </c>
      <c r="I75" s="270">
        <f t="shared" si="411"/>
        <v>0</v>
      </c>
      <c r="J75" s="270">
        <f t="shared" si="411"/>
        <v>0</v>
      </c>
      <c r="K75" s="270">
        <f t="shared" si="411"/>
        <v>0</v>
      </c>
      <c r="L75" s="270">
        <f t="shared" si="411"/>
        <v>0</v>
      </c>
      <c r="M75" s="270">
        <f t="shared" si="411"/>
        <v>0</v>
      </c>
      <c r="N75" s="270">
        <f t="shared" si="411"/>
        <v>0</v>
      </c>
      <c r="O75" s="270">
        <f t="shared" si="411"/>
        <v>1603.71</v>
      </c>
      <c r="P75" s="272">
        <f t="shared" si="411"/>
        <v>791.16</v>
      </c>
      <c r="Q75" s="272">
        <f t="shared" si="411"/>
        <v>1467.13</v>
      </c>
      <c r="R75" s="272">
        <f t="shared" si="411"/>
        <v>0</v>
      </c>
      <c r="S75" s="272">
        <f t="shared" si="411"/>
        <v>0</v>
      </c>
      <c r="T75" s="272">
        <f t="shared" si="411"/>
        <v>0</v>
      </c>
      <c r="U75" s="270">
        <f t="shared" si="411"/>
        <v>0</v>
      </c>
      <c r="V75" s="270">
        <f t="shared" si="411"/>
        <v>0</v>
      </c>
      <c r="W75" s="270">
        <f t="shared" si="411"/>
        <v>0</v>
      </c>
      <c r="X75" s="270">
        <f t="shared" si="411"/>
        <v>0</v>
      </c>
      <c r="Y75" s="270">
        <f t="shared" si="411"/>
        <v>0</v>
      </c>
      <c r="Z75" s="270">
        <f t="shared" si="411"/>
        <v>0</v>
      </c>
      <c r="AA75" s="270">
        <f t="shared" si="411"/>
        <v>0</v>
      </c>
      <c r="AB75" s="270">
        <f t="shared" si="411"/>
        <v>0</v>
      </c>
      <c r="AC75" s="270">
        <f t="shared" si="411"/>
        <v>0</v>
      </c>
      <c r="AD75" s="270">
        <f t="shared" si="411"/>
        <v>0</v>
      </c>
      <c r="AE75" s="270">
        <f t="shared" si="411"/>
        <v>0</v>
      </c>
      <c r="AF75" s="270">
        <f t="shared" si="411"/>
        <v>0</v>
      </c>
      <c r="AG75" s="270">
        <f t="shared" si="411"/>
        <v>0</v>
      </c>
      <c r="AH75" s="265">
        <f t="shared" si="13"/>
        <v>148641.82</v>
      </c>
      <c r="AI75" s="270">
        <f t="shared" si="43"/>
        <v>0</v>
      </c>
      <c r="AJ75" s="270">
        <f t="shared" ref="AJ75:AO75" si="412">IF(F$8=0,0,ROUND(AJ74-(F75-BO75),2))</f>
        <v>0</v>
      </c>
      <c r="AK75" s="270">
        <f t="shared" si="412"/>
        <v>0</v>
      </c>
      <c r="AL75" s="270">
        <f t="shared" si="412"/>
        <v>0</v>
      </c>
      <c r="AM75" s="270">
        <f t="shared" si="412"/>
        <v>0</v>
      </c>
      <c r="AN75" s="270">
        <f t="shared" si="412"/>
        <v>0</v>
      </c>
      <c r="AO75" s="270">
        <f t="shared" si="412"/>
        <v>0</v>
      </c>
      <c r="AP75" s="270">
        <v>0.0</v>
      </c>
      <c r="AQ75" s="270">
        <f t="shared" ref="AQ75:AT75" si="413">IF(M$8=0,0,ROUND(AQ74-(M75-BV75),2))</f>
        <v>0</v>
      </c>
      <c r="AR75" s="270">
        <f t="shared" si="413"/>
        <v>0</v>
      </c>
      <c r="AS75" s="270">
        <f t="shared" si="413"/>
        <v>9348.77</v>
      </c>
      <c r="AT75" s="270">
        <f t="shared" si="413"/>
        <v>22988.53</v>
      </c>
      <c r="AU75" s="270">
        <f t="shared" ref="AU75:BK75" si="414">IF(Q$8=0,0,ROUND(AU74-(Q75-BY75),2))</f>
        <v>116304.52</v>
      </c>
      <c r="AV75" s="270">
        <f t="shared" si="414"/>
        <v>0</v>
      </c>
      <c r="AW75" s="270">
        <f t="shared" si="414"/>
        <v>0</v>
      </c>
      <c r="AX75" s="270">
        <f t="shared" si="414"/>
        <v>0</v>
      </c>
      <c r="AY75" s="270">
        <f t="shared" si="414"/>
        <v>0</v>
      </c>
      <c r="AZ75" s="270">
        <f t="shared" si="414"/>
        <v>0</v>
      </c>
      <c r="BA75" s="270">
        <f t="shared" si="414"/>
        <v>0</v>
      </c>
      <c r="BB75" s="270">
        <f t="shared" si="414"/>
        <v>0</v>
      </c>
      <c r="BC75" s="270">
        <f t="shared" si="414"/>
        <v>0</v>
      </c>
      <c r="BD75" s="270">
        <f t="shared" si="414"/>
        <v>0</v>
      </c>
      <c r="BE75" s="270">
        <f t="shared" si="414"/>
        <v>0</v>
      </c>
      <c r="BF75" s="270">
        <f t="shared" si="414"/>
        <v>0</v>
      </c>
      <c r="BG75" s="270">
        <f t="shared" si="414"/>
        <v>0</v>
      </c>
      <c r="BH75" s="270">
        <f t="shared" si="414"/>
        <v>0</v>
      </c>
      <c r="BI75" s="270">
        <f t="shared" si="414"/>
        <v>0</v>
      </c>
      <c r="BJ75" s="270">
        <f t="shared" si="414"/>
        <v>0</v>
      </c>
      <c r="BK75" s="270">
        <f t="shared" si="414"/>
        <v>0</v>
      </c>
      <c r="BL75" s="265">
        <f t="shared" si="16"/>
        <v>148641.82</v>
      </c>
      <c r="BM75" s="215"/>
      <c r="BN75" s="270">
        <f t="shared" ref="BN75:CP75" si="415">ROUND(AI74*E$9/12,2)</f>
        <v>0</v>
      </c>
      <c r="BO75" s="270">
        <f t="shared" si="415"/>
        <v>0</v>
      </c>
      <c r="BP75" s="270">
        <f t="shared" si="415"/>
        <v>0</v>
      </c>
      <c r="BQ75" s="270">
        <f t="shared" si="415"/>
        <v>0</v>
      </c>
      <c r="BR75" s="270">
        <f t="shared" si="415"/>
        <v>0</v>
      </c>
      <c r="BS75" s="270">
        <f t="shared" si="415"/>
        <v>0</v>
      </c>
      <c r="BT75" s="270">
        <f t="shared" si="415"/>
        <v>0</v>
      </c>
      <c r="BU75" s="270">
        <f t="shared" si="415"/>
        <v>0</v>
      </c>
      <c r="BV75" s="270">
        <f t="shared" si="415"/>
        <v>0</v>
      </c>
      <c r="BW75" s="270">
        <f t="shared" si="415"/>
        <v>0</v>
      </c>
      <c r="BX75" s="270">
        <f t="shared" si="415"/>
        <v>99.49</v>
      </c>
      <c r="BY75" s="270">
        <f t="shared" si="415"/>
        <v>182.49</v>
      </c>
      <c r="BZ75" s="270">
        <f t="shared" si="415"/>
        <v>367.47</v>
      </c>
      <c r="CA75" s="270">
        <f t="shared" si="415"/>
        <v>0</v>
      </c>
      <c r="CB75" s="270">
        <f t="shared" si="415"/>
        <v>0</v>
      </c>
      <c r="CC75" s="270">
        <f t="shared" si="415"/>
        <v>0</v>
      </c>
      <c r="CD75" s="270">
        <f t="shared" si="415"/>
        <v>0</v>
      </c>
      <c r="CE75" s="270">
        <f t="shared" si="415"/>
        <v>0</v>
      </c>
      <c r="CF75" s="270">
        <f t="shared" si="415"/>
        <v>0</v>
      </c>
      <c r="CG75" s="270">
        <f t="shared" si="415"/>
        <v>0</v>
      </c>
      <c r="CH75" s="270">
        <f t="shared" si="415"/>
        <v>0</v>
      </c>
      <c r="CI75" s="270">
        <f t="shared" si="415"/>
        <v>0</v>
      </c>
      <c r="CJ75" s="270">
        <f t="shared" si="415"/>
        <v>0</v>
      </c>
      <c r="CK75" s="270">
        <f t="shared" si="415"/>
        <v>0</v>
      </c>
      <c r="CL75" s="270">
        <f t="shared" si="415"/>
        <v>0</v>
      </c>
      <c r="CM75" s="270">
        <f t="shared" si="415"/>
        <v>0</v>
      </c>
      <c r="CN75" s="270">
        <f t="shared" si="415"/>
        <v>0</v>
      </c>
      <c r="CO75" s="270">
        <f t="shared" si="415"/>
        <v>0</v>
      </c>
      <c r="CP75" s="270">
        <f t="shared" si="415"/>
        <v>0</v>
      </c>
      <c r="CQ75" s="215"/>
      <c r="CR75" s="270">
        <f t="shared" si="27"/>
        <v>649.45</v>
      </c>
      <c r="CS75" s="215"/>
      <c r="CT75" s="270">
        <f t="shared" ref="CT75:DX75" si="416">IF(AI74&gt;0,IF((AI74+BN75)&lt;E$10,AI74+BN75,E$10),0)</f>
        <v>0</v>
      </c>
      <c r="CU75" s="270">
        <f t="shared" si="416"/>
        <v>0</v>
      </c>
      <c r="CV75" s="270">
        <f t="shared" si="416"/>
        <v>0</v>
      </c>
      <c r="CW75" s="270">
        <f t="shared" si="416"/>
        <v>0</v>
      </c>
      <c r="CX75" s="270">
        <f t="shared" si="416"/>
        <v>0</v>
      </c>
      <c r="CY75" s="270">
        <f t="shared" si="416"/>
        <v>0</v>
      </c>
      <c r="CZ75" s="270">
        <f t="shared" si="416"/>
        <v>0</v>
      </c>
      <c r="DA75" s="270">
        <f t="shared" si="416"/>
        <v>0</v>
      </c>
      <c r="DB75" s="270">
        <f t="shared" si="416"/>
        <v>0</v>
      </c>
      <c r="DC75" s="270">
        <f t="shared" si="416"/>
        <v>0</v>
      </c>
      <c r="DD75" s="270">
        <f t="shared" si="416"/>
        <v>695.6</v>
      </c>
      <c r="DE75" s="270">
        <f t="shared" si="416"/>
        <v>791.16</v>
      </c>
      <c r="DF75" s="270">
        <f t="shared" si="416"/>
        <v>1467.13</v>
      </c>
      <c r="DG75" s="270">
        <f t="shared" si="416"/>
        <v>0</v>
      </c>
      <c r="DH75" s="270">
        <f t="shared" si="416"/>
        <v>0</v>
      </c>
      <c r="DI75" s="270">
        <f t="shared" si="416"/>
        <v>0</v>
      </c>
      <c r="DJ75" s="270">
        <f t="shared" si="416"/>
        <v>0</v>
      </c>
      <c r="DK75" s="270">
        <f t="shared" si="416"/>
        <v>0</v>
      </c>
      <c r="DL75" s="270">
        <f t="shared" si="416"/>
        <v>0</v>
      </c>
      <c r="DM75" s="270">
        <f t="shared" si="416"/>
        <v>0</v>
      </c>
      <c r="DN75" s="270">
        <f t="shared" si="416"/>
        <v>0</v>
      </c>
      <c r="DO75" s="270">
        <f t="shared" si="416"/>
        <v>0</v>
      </c>
      <c r="DP75" s="270">
        <f t="shared" si="416"/>
        <v>0</v>
      </c>
      <c r="DQ75" s="270">
        <f t="shared" si="416"/>
        <v>0</v>
      </c>
      <c r="DR75" s="270">
        <f t="shared" si="416"/>
        <v>0</v>
      </c>
      <c r="DS75" s="270">
        <f t="shared" si="416"/>
        <v>0</v>
      </c>
      <c r="DT75" s="270">
        <f t="shared" si="416"/>
        <v>0</v>
      </c>
      <c r="DU75" s="270">
        <f t="shared" si="416"/>
        <v>0</v>
      </c>
      <c r="DV75" s="270">
        <f t="shared" si="416"/>
        <v>0</v>
      </c>
      <c r="DW75" s="271" t="str">
        <f t="shared" si="416"/>
        <v/>
      </c>
      <c r="DX75" s="270">
        <f t="shared" si="416"/>
        <v>0</v>
      </c>
      <c r="DY75" s="270">
        <f t="shared" si="29"/>
        <v>2953.89</v>
      </c>
      <c r="DZ75" s="274"/>
      <c r="EA75" s="275">
        <f t="shared" si="38"/>
        <v>0</v>
      </c>
      <c r="EB75" s="270">
        <f t="shared" ref="EB75:FC75" si="417">IF(AJ73&lt;=0,0,IF($C74&lt;=SUM($EA75:EA75),0,IF(CU74+$C74-SUM($EA75:EA75)&gt;AJ73+BO74,AJ73+BO74-CU74,$C74-SUM($EA75:EA75))))</f>
        <v>0</v>
      </c>
      <c r="EC75" s="270">
        <f t="shared" si="417"/>
        <v>0</v>
      </c>
      <c r="ED75" s="270">
        <f t="shared" si="417"/>
        <v>0</v>
      </c>
      <c r="EE75" s="270">
        <f t="shared" si="417"/>
        <v>0</v>
      </c>
      <c r="EF75" s="270">
        <f t="shared" si="417"/>
        <v>0</v>
      </c>
      <c r="EG75" s="270">
        <f t="shared" si="417"/>
        <v>0</v>
      </c>
      <c r="EH75" s="270">
        <f t="shared" si="417"/>
        <v>0</v>
      </c>
      <c r="EI75" s="270">
        <f t="shared" si="417"/>
        <v>0</v>
      </c>
      <c r="EJ75" s="270">
        <f t="shared" si="417"/>
        <v>0</v>
      </c>
      <c r="EK75" s="270">
        <f t="shared" si="417"/>
        <v>908.11</v>
      </c>
      <c r="EL75" s="270">
        <f t="shared" si="417"/>
        <v>0</v>
      </c>
      <c r="EM75" s="270">
        <f t="shared" si="417"/>
        <v>0</v>
      </c>
      <c r="EN75" s="270">
        <f t="shared" si="417"/>
        <v>0</v>
      </c>
      <c r="EO75" s="270">
        <f t="shared" si="417"/>
        <v>0</v>
      </c>
      <c r="EP75" s="270">
        <f t="shared" si="417"/>
        <v>0</v>
      </c>
      <c r="EQ75" s="270">
        <f t="shared" si="417"/>
        <v>0</v>
      </c>
      <c r="ER75" s="270">
        <f t="shared" si="417"/>
        <v>0</v>
      </c>
      <c r="ES75" s="270">
        <f t="shared" si="417"/>
        <v>0</v>
      </c>
      <c r="ET75" s="270">
        <f t="shared" si="417"/>
        <v>0</v>
      </c>
      <c r="EU75" s="270">
        <f t="shared" si="417"/>
        <v>0</v>
      </c>
      <c r="EV75" s="270">
        <f t="shared" si="417"/>
        <v>0</v>
      </c>
      <c r="EW75" s="270">
        <f t="shared" si="417"/>
        <v>0</v>
      </c>
      <c r="EX75" s="270">
        <f t="shared" si="417"/>
        <v>0</v>
      </c>
      <c r="EY75" s="270">
        <f t="shared" si="417"/>
        <v>0</v>
      </c>
      <c r="EZ75" s="270">
        <f t="shared" si="417"/>
        <v>0</v>
      </c>
      <c r="FA75" s="270">
        <f t="shared" si="417"/>
        <v>0</v>
      </c>
      <c r="FB75" s="270">
        <f t="shared" si="417"/>
        <v>0</v>
      </c>
      <c r="FC75" s="270">
        <f t="shared" si="417"/>
        <v>0</v>
      </c>
      <c r="FD75" s="271"/>
      <c r="FE75" s="271"/>
      <c r="FF75" s="271"/>
      <c r="FG75" s="215"/>
      <c r="FH75" s="215"/>
    </row>
    <row r="76" ht="11.25" customHeight="1">
      <c r="A76" s="231">
        <f t="shared" si="19"/>
        <v>56</v>
      </c>
      <c r="B76" s="269">
        <v>47331.0</v>
      </c>
      <c r="C76" s="270">
        <f>IF(A76="","",IF(Calculator!snowball,IF(($E$5-DY76)&lt;0,0,$E$5-DY76),0)+D76)</f>
        <v>908.11</v>
      </c>
      <c r="D76" s="277"/>
      <c r="E76" s="270">
        <f t="shared" si="40"/>
        <v>0</v>
      </c>
      <c r="F76" s="270">
        <f t="shared" ref="F76:AG76" si="418">CU76+EB77</f>
        <v>0</v>
      </c>
      <c r="G76" s="270">
        <f t="shared" si="418"/>
        <v>0</v>
      </c>
      <c r="H76" s="270">
        <f t="shared" si="418"/>
        <v>0</v>
      </c>
      <c r="I76" s="270">
        <f t="shared" si="418"/>
        <v>0</v>
      </c>
      <c r="J76" s="270">
        <f t="shared" si="418"/>
        <v>0</v>
      </c>
      <c r="K76" s="270">
        <f t="shared" si="418"/>
        <v>0</v>
      </c>
      <c r="L76" s="270">
        <f t="shared" si="418"/>
        <v>0</v>
      </c>
      <c r="M76" s="270">
        <f t="shared" si="418"/>
        <v>0</v>
      </c>
      <c r="N76" s="270">
        <f t="shared" si="418"/>
        <v>0</v>
      </c>
      <c r="O76" s="270">
        <f t="shared" si="418"/>
        <v>1603.71</v>
      </c>
      <c r="P76" s="272">
        <f t="shared" si="418"/>
        <v>791.16</v>
      </c>
      <c r="Q76" s="272">
        <f t="shared" si="418"/>
        <v>1467.13</v>
      </c>
      <c r="R76" s="272">
        <f t="shared" si="418"/>
        <v>0</v>
      </c>
      <c r="S76" s="272">
        <f t="shared" si="418"/>
        <v>0</v>
      </c>
      <c r="T76" s="272">
        <f t="shared" si="418"/>
        <v>0</v>
      </c>
      <c r="U76" s="270">
        <f t="shared" si="418"/>
        <v>0</v>
      </c>
      <c r="V76" s="270">
        <f t="shared" si="418"/>
        <v>0</v>
      </c>
      <c r="W76" s="270">
        <f t="shared" si="418"/>
        <v>0</v>
      </c>
      <c r="X76" s="270">
        <f t="shared" si="418"/>
        <v>0</v>
      </c>
      <c r="Y76" s="270">
        <f t="shared" si="418"/>
        <v>0</v>
      </c>
      <c r="Z76" s="270">
        <f t="shared" si="418"/>
        <v>0</v>
      </c>
      <c r="AA76" s="270">
        <f t="shared" si="418"/>
        <v>0</v>
      </c>
      <c r="AB76" s="270">
        <f t="shared" si="418"/>
        <v>0</v>
      </c>
      <c r="AC76" s="270">
        <f t="shared" si="418"/>
        <v>0</v>
      </c>
      <c r="AD76" s="270">
        <f t="shared" si="418"/>
        <v>0</v>
      </c>
      <c r="AE76" s="270">
        <f t="shared" si="418"/>
        <v>0</v>
      </c>
      <c r="AF76" s="270">
        <f t="shared" si="418"/>
        <v>0</v>
      </c>
      <c r="AG76" s="270">
        <f t="shared" si="418"/>
        <v>0</v>
      </c>
      <c r="AH76" s="265">
        <f t="shared" si="13"/>
        <v>145221.08</v>
      </c>
      <c r="AI76" s="270">
        <f t="shared" si="43"/>
        <v>0</v>
      </c>
      <c r="AJ76" s="270">
        <f t="shared" ref="AJ76:AO76" si="419">IF(F$8=0,0,ROUND(AJ75-(F76-BO76),2))</f>
        <v>0</v>
      </c>
      <c r="AK76" s="270">
        <f t="shared" si="419"/>
        <v>0</v>
      </c>
      <c r="AL76" s="270">
        <f t="shared" si="419"/>
        <v>0</v>
      </c>
      <c r="AM76" s="270">
        <f t="shared" si="419"/>
        <v>0</v>
      </c>
      <c r="AN76" s="270">
        <f t="shared" si="419"/>
        <v>0</v>
      </c>
      <c r="AO76" s="270">
        <f t="shared" si="419"/>
        <v>0</v>
      </c>
      <c r="AP76" s="270">
        <v>0.0</v>
      </c>
      <c r="AQ76" s="270">
        <f t="shared" ref="AQ76:AT76" si="420">IF(M$8=0,0,ROUND(AQ75-(M76-BV76),2))</f>
        <v>0</v>
      </c>
      <c r="AR76" s="270">
        <f t="shared" si="420"/>
        <v>0</v>
      </c>
      <c r="AS76" s="270">
        <f t="shared" si="420"/>
        <v>7830.76</v>
      </c>
      <c r="AT76" s="270">
        <f t="shared" si="420"/>
        <v>22375.15</v>
      </c>
      <c r="AU76" s="270">
        <f t="shared" ref="AU76:BK76" si="421">IF(Q$8=0,0,ROUND(AU75-(Q76-BY76),2))</f>
        <v>115015.17</v>
      </c>
      <c r="AV76" s="270">
        <f t="shared" si="421"/>
        <v>0</v>
      </c>
      <c r="AW76" s="270">
        <f t="shared" si="421"/>
        <v>0</v>
      </c>
      <c r="AX76" s="270">
        <f t="shared" si="421"/>
        <v>0</v>
      </c>
      <c r="AY76" s="270">
        <f t="shared" si="421"/>
        <v>0</v>
      </c>
      <c r="AZ76" s="270">
        <f t="shared" si="421"/>
        <v>0</v>
      </c>
      <c r="BA76" s="270">
        <f t="shared" si="421"/>
        <v>0</v>
      </c>
      <c r="BB76" s="270">
        <f t="shared" si="421"/>
        <v>0</v>
      </c>
      <c r="BC76" s="270">
        <f t="shared" si="421"/>
        <v>0</v>
      </c>
      <c r="BD76" s="270">
        <f t="shared" si="421"/>
        <v>0</v>
      </c>
      <c r="BE76" s="270">
        <f t="shared" si="421"/>
        <v>0</v>
      </c>
      <c r="BF76" s="270">
        <f t="shared" si="421"/>
        <v>0</v>
      </c>
      <c r="BG76" s="270">
        <f t="shared" si="421"/>
        <v>0</v>
      </c>
      <c r="BH76" s="270">
        <f t="shared" si="421"/>
        <v>0</v>
      </c>
      <c r="BI76" s="270">
        <f t="shared" si="421"/>
        <v>0</v>
      </c>
      <c r="BJ76" s="270">
        <f t="shared" si="421"/>
        <v>0</v>
      </c>
      <c r="BK76" s="270">
        <f t="shared" si="421"/>
        <v>0</v>
      </c>
      <c r="BL76" s="265">
        <f t="shared" si="16"/>
        <v>145221.08</v>
      </c>
      <c r="BM76" s="215"/>
      <c r="BN76" s="270">
        <f t="shared" ref="BN76:CP76" si="422">ROUND(AI75*E$9/12,2)</f>
        <v>0</v>
      </c>
      <c r="BO76" s="270">
        <f t="shared" si="422"/>
        <v>0</v>
      </c>
      <c r="BP76" s="270">
        <f t="shared" si="422"/>
        <v>0</v>
      </c>
      <c r="BQ76" s="270">
        <f t="shared" si="422"/>
        <v>0</v>
      </c>
      <c r="BR76" s="270">
        <f t="shared" si="422"/>
        <v>0</v>
      </c>
      <c r="BS76" s="270">
        <f t="shared" si="422"/>
        <v>0</v>
      </c>
      <c r="BT76" s="270">
        <f t="shared" si="422"/>
        <v>0</v>
      </c>
      <c r="BU76" s="270">
        <f t="shared" si="422"/>
        <v>0</v>
      </c>
      <c r="BV76" s="270">
        <f t="shared" si="422"/>
        <v>0</v>
      </c>
      <c r="BW76" s="270">
        <f t="shared" si="422"/>
        <v>0</v>
      </c>
      <c r="BX76" s="270">
        <f t="shared" si="422"/>
        <v>85.7</v>
      </c>
      <c r="BY76" s="270">
        <f t="shared" si="422"/>
        <v>177.78</v>
      </c>
      <c r="BZ76" s="270">
        <f t="shared" si="422"/>
        <v>363.45</v>
      </c>
      <c r="CA76" s="270">
        <f t="shared" si="422"/>
        <v>0</v>
      </c>
      <c r="CB76" s="270">
        <f t="shared" si="422"/>
        <v>0</v>
      </c>
      <c r="CC76" s="270">
        <f t="shared" si="422"/>
        <v>0</v>
      </c>
      <c r="CD76" s="270">
        <f t="shared" si="422"/>
        <v>0</v>
      </c>
      <c r="CE76" s="270">
        <f t="shared" si="422"/>
        <v>0</v>
      </c>
      <c r="CF76" s="270">
        <f t="shared" si="422"/>
        <v>0</v>
      </c>
      <c r="CG76" s="270">
        <f t="shared" si="422"/>
        <v>0</v>
      </c>
      <c r="CH76" s="270">
        <f t="shared" si="422"/>
        <v>0</v>
      </c>
      <c r="CI76" s="270">
        <f t="shared" si="422"/>
        <v>0</v>
      </c>
      <c r="CJ76" s="270">
        <f t="shared" si="422"/>
        <v>0</v>
      </c>
      <c r="CK76" s="270">
        <f t="shared" si="422"/>
        <v>0</v>
      </c>
      <c r="CL76" s="270">
        <f t="shared" si="422"/>
        <v>0</v>
      </c>
      <c r="CM76" s="270">
        <f t="shared" si="422"/>
        <v>0</v>
      </c>
      <c r="CN76" s="270">
        <f t="shared" si="422"/>
        <v>0</v>
      </c>
      <c r="CO76" s="270">
        <f t="shared" si="422"/>
        <v>0</v>
      </c>
      <c r="CP76" s="270">
        <f t="shared" si="422"/>
        <v>0</v>
      </c>
      <c r="CQ76" s="215"/>
      <c r="CR76" s="270">
        <f t="shared" si="27"/>
        <v>626.93</v>
      </c>
      <c r="CS76" s="215"/>
      <c r="CT76" s="270">
        <f t="shared" ref="CT76:DX76" si="423">IF(AI75&gt;0,IF((AI75+BN76)&lt;E$10,AI75+BN76,E$10),0)</f>
        <v>0</v>
      </c>
      <c r="CU76" s="270">
        <f t="shared" si="423"/>
        <v>0</v>
      </c>
      <c r="CV76" s="270">
        <f t="shared" si="423"/>
        <v>0</v>
      </c>
      <c r="CW76" s="270">
        <f t="shared" si="423"/>
        <v>0</v>
      </c>
      <c r="CX76" s="270">
        <f t="shared" si="423"/>
        <v>0</v>
      </c>
      <c r="CY76" s="270">
        <f t="shared" si="423"/>
        <v>0</v>
      </c>
      <c r="CZ76" s="270">
        <f t="shared" si="423"/>
        <v>0</v>
      </c>
      <c r="DA76" s="270">
        <f t="shared" si="423"/>
        <v>0</v>
      </c>
      <c r="DB76" s="270">
        <f t="shared" si="423"/>
        <v>0</v>
      </c>
      <c r="DC76" s="270">
        <f t="shared" si="423"/>
        <v>0</v>
      </c>
      <c r="DD76" s="270">
        <f t="shared" si="423"/>
        <v>695.6</v>
      </c>
      <c r="DE76" s="270">
        <f t="shared" si="423"/>
        <v>791.16</v>
      </c>
      <c r="DF76" s="270">
        <f t="shared" si="423"/>
        <v>1467.13</v>
      </c>
      <c r="DG76" s="270">
        <f t="shared" si="423"/>
        <v>0</v>
      </c>
      <c r="DH76" s="270">
        <f t="shared" si="423"/>
        <v>0</v>
      </c>
      <c r="DI76" s="270">
        <f t="shared" si="423"/>
        <v>0</v>
      </c>
      <c r="DJ76" s="270">
        <f t="shared" si="423"/>
        <v>0</v>
      </c>
      <c r="DK76" s="270">
        <f t="shared" si="423"/>
        <v>0</v>
      </c>
      <c r="DL76" s="270">
        <f t="shared" si="423"/>
        <v>0</v>
      </c>
      <c r="DM76" s="270">
        <f t="shared" si="423"/>
        <v>0</v>
      </c>
      <c r="DN76" s="270">
        <f t="shared" si="423"/>
        <v>0</v>
      </c>
      <c r="DO76" s="270">
        <f t="shared" si="423"/>
        <v>0</v>
      </c>
      <c r="DP76" s="270">
        <f t="shared" si="423"/>
        <v>0</v>
      </c>
      <c r="DQ76" s="270">
        <f t="shared" si="423"/>
        <v>0</v>
      </c>
      <c r="DR76" s="270">
        <f t="shared" si="423"/>
        <v>0</v>
      </c>
      <c r="DS76" s="270">
        <f t="shared" si="423"/>
        <v>0</v>
      </c>
      <c r="DT76" s="270">
        <f t="shared" si="423"/>
        <v>0</v>
      </c>
      <c r="DU76" s="270">
        <f t="shared" si="423"/>
        <v>0</v>
      </c>
      <c r="DV76" s="270">
        <f t="shared" si="423"/>
        <v>0</v>
      </c>
      <c r="DW76" s="271" t="str">
        <f t="shared" si="423"/>
        <v/>
      </c>
      <c r="DX76" s="270">
        <f t="shared" si="423"/>
        <v>0</v>
      </c>
      <c r="DY76" s="270">
        <f t="shared" si="29"/>
        <v>2953.89</v>
      </c>
      <c r="DZ76" s="274"/>
      <c r="EA76" s="275">
        <f t="shared" si="38"/>
        <v>0</v>
      </c>
      <c r="EB76" s="270">
        <f t="shared" ref="EB76:FC76" si="424">IF(AJ74&lt;=0,0,IF($C75&lt;=SUM($EA76:EA76),0,IF(CU75+$C75-SUM($EA76:EA76)&gt;AJ74+BO75,AJ74+BO75-CU75,$C75-SUM($EA76:EA76))))</f>
        <v>0</v>
      </c>
      <c r="EC76" s="270">
        <f t="shared" si="424"/>
        <v>0</v>
      </c>
      <c r="ED76" s="270">
        <f t="shared" si="424"/>
        <v>0</v>
      </c>
      <c r="EE76" s="270">
        <f t="shared" si="424"/>
        <v>0</v>
      </c>
      <c r="EF76" s="270">
        <f t="shared" si="424"/>
        <v>0</v>
      </c>
      <c r="EG76" s="270">
        <f t="shared" si="424"/>
        <v>0</v>
      </c>
      <c r="EH76" s="270">
        <f t="shared" si="424"/>
        <v>0</v>
      </c>
      <c r="EI76" s="270">
        <f t="shared" si="424"/>
        <v>0</v>
      </c>
      <c r="EJ76" s="270">
        <f t="shared" si="424"/>
        <v>0</v>
      </c>
      <c r="EK76" s="270">
        <f t="shared" si="424"/>
        <v>908.11</v>
      </c>
      <c r="EL76" s="270">
        <f t="shared" si="424"/>
        <v>0</v>
      </c>
      <c r="EM76" s="270">
        <f t="shared" si="424"/>
        <v>0</v>
      </c>
      <c r="EN76" s="270">
        <f t="shared" si="424"/>
        <v>0</v>
      </c>
      <c r="EO76" s="270">
        <f t="shared" si="424"/>
        <v>0</v>
      </c>
      <c r="EP76" s="270">
        <f t="shared" si="424"/>
        <v>0</v>
      </c>
      <c r="EQ76" s="270">
        <f t="shared" si="424"/>
        <v>0</v>
      </c>
      <c r="ER76" s="270">
        <f t="shared" si="424"/>
        <v>0</v>
      </c>
      <c r="ES76" s="270">
        <f t="shared" si="424"/>
        <v>0</v>
      </c>
      <c r="ET76" s="270">
        <f t="shared" si="424"/>
        <v>0</v>
      </c>
      <c r="EU76" s="270">
        <f t="shared" si="424"/>
        <v>0</v>
      </c>
      <c r="EV76" s="270">
        <f t="shared" si="424"/>
        <v>0</v>
      </c>
      <c r="EW76" s="270">
        <f t="shared" si="424"/>
        <v>0</v>
      </c>
      <c r="EX76" s="270">
        <f t="shared" si="424"/>
        <v>0</v>
      </c>
      <c r="EY76" s="270">
        <f t="shared" si="424"/>
        <v>0</v>
      </c>
      <c r="EZ76" s="270">
        <f t="shared" si="424"/>
        <v>0</v>
      </c>
      <c r="FA76" s="270">
        <f t="shared" si="424"/>
        <v>0</v>
      </c>
      <c r="FB76" s="270">
        <f t="shared" si="424"/>
        <v>0</v>
      </c>
      <c r="FC76" s="270">
        <f t="shared" si="424"/>
        <v>0</v>
      </c>
      <c r="FD76" s="271"/>
      <c r="FE76" s="271"/>
      <c r="FF76" s="271"/>
      <c r="FG76" s="215"/>
      <c r="FH76" s="215"/>
    </row>
    <row r="77" ht="11.25" customHeight="1">
      <c r="A77" s="231">
        <f t="shared" si="19"/>
        <v>57</v>
      </c>
      <c r="B77" s="269">
        <v>47362.0</v>
      </c>
      <c r="C77" s="270">
        <f>IF(A77="","",IF(Calculator!snowball,IF(($E$5-DY77)&lt;0,0,$E$5-DY77),0)+D77)</f>
        <v>908.11</v>
      </c>
      <c r="D77" s="277"/>
      <c r="E77" s="270">
        <f t="shared" si="40"/>
        <v>0</v>
      </c>
      <c r="F77" s="270">
        <f t="shared" ref="F77:AG77" si="425">CU77+EB78</f>
        <v>0</v>
      </c>
      <c r="G77" s="270">
        <f t="shared" si="425"/>
        <v>0</v>
      </c>
      <c r="H77" s="270">
        <f t="shared" si="425"/>
        <v>0</v>
      </c>
      <c r="I77" s="270">
        <f t="shared" si="425"/>
        <v>0</v>
      </c>
      <c r="J77" s="270">
        <f t="shared" si="425"/>
        <v>0</v>
      </c>
      <c r="K77" s="270">
        <f t="shared" si="425"/>
        <v>0</v>
      </c>
      <c r="L77" s="270">
        <f t="shared" si="425"/>
        <v>0</v>
      </c>
      <c r="M77" s="270">
        <f t="shared" si="425"/>
        <v>0</v>
      </c>
      <c r="N77" s="270">
        <f t="shared" si="425"/>
        <v>0</v>
      </c>
      <c r="O77" s="270">
        <f t="shared" si="425"/>
        <v>1603.71</v>
      </c>
      <c r="P77" s="272">
        <f t="shared" si="425"/>
        <v>791.16</v>
      </c>
      <c r="Q77" s="272">
        <f t="shared" si="425"/>
        <v>1467.13</v>
      </c>
      <c r="R77" s="272">
        <f t="shared" si="425"/>
        <v>0</v>
      </c>
      <c r="S77" s="272">
        <f t="shared" si="425"/>
        <v>0</v>
      </c>
      <c r="T77" s="272">
        <f t="shared" si="425"/>
        <v>0</v>
      </c>
      <c r="U77" s="270">
        <f t="shared" si="425"/>
        <v>0</v>
      </c>
      <c r="V77" s="270">
        <f t="shared" si="425"/>
        <v>0</v>
      </c>
      <c r="W77" s="270">
        <f t="shared" si="425"/>
        <v>0</v>
      </c>
      <c r="X77" s="270">
        <f t="shared" si="425"/>
        <v>0</v>
      </c>
      <c r="Y77" s="270">
        <f t="shared" si="425"/>
        <v>0</v>
      </c>
      <c r="Z77" s="270">
        <f t="shared" si="425"/>
        <v>0</v>
      </c>
      <c r="AA77" s="270">
        <f t="shared" si="425"/>
        <v>0</v>
      </c>
      <c r="AB77" s="270">
        <f t="shared" si="425"/>
        <v>0</v>
      </c>
      <c r="AC77" s="270">
        <f t="shared" si="425"/>
        <v>0</v>
      </c>
      <c r="AD77" s="270">
        <f t="shared" si="425"/>
        <v>0</v>
      </c>
      <c r="AE77" s="270">
        <f t="shared" si="425"/>
        <v>0</v>
      </c>
      <c r="AF77" s="270">
        <f t="shared" si="425"/>
        <v>0</v>
      </c>
      <c r="AG77" s="270">
        <f t="shared" si="425"/>
        <v>0</v>
      </c>
      <c r="AH77" s="265">
        <f t="shared" si="13"/>
        <v>141776.92</v>
      </c>
      <c r="AI77" s="270">
        <f t="shared" si="43"/>
        <v>0</v>
      </c>
      <c r="AJ77" s="270">
        <f t="shared" ref="AJ77:AO77" si="426">IF(F$8=0,0,ROUND(AJ76-(F77-BO77),2))</f>
        <v>0</v>
      </c>
      <c r="AK77" s="270">
        <f t="shared" si="426"/>
        <v>0</v>
      </c>
      <c r="AL77" s="270">
        <f t="shared" si="426"/>
        <v>0</v>
      </c>
      <c r="AM77" s="270">
        <f t="shared" si="426"/>
        <v>0</v>
      </c>
      <c r="AN77" s="270">
        <f t="shared" si="426"/>
        <v>0</v>
      </c>
      <c r="AO77" s="270">
        <f t="shared" si="426"/>
        <v>0</v>
      </c>
      <c r="AP77" s="270">
        <v>0.0</v>
      </c>
      <c r="AQ77" s="270">
        <f t="shared" ref="AQ77:AT77" si="427">IF(M$8=0,0,ROUND(AQ76-(M77-BV77),2))</f>
        <v>0</v>
      </c>
      <c r="AR77" s="270">
        <f t="shared" si="427"/>
        <v>0</v>
      </c>
      <c r="AS77" s="270">
        <f t="shared" si="427"/>
        <v>6298.83</v>
      </c>
      <c r="AT77" s="270">
        <f t="shared" si="427"/>
        <v>21757.02</v>
      </c>
      <c r="AU77" s="270">
        <f t="shared" ref="AU77:BK77" si="428">IF(Q$8=0,0,ROUND(AU76-(Q77-BY77),2))</f>
        <v>113721.07</v>
      </c>
      <c r="AV77" s="270">
        <f t="shared" si="428"/>
        <v>0</v>
      </c>
      <c r="AW77" s="270">
        <f t="shared" si="428"/>
        <v>0</v>
      </c>
      <c r="AX77" s="270">
        <f t="shared" si="428"/>
        <v>0</v>
      </c>
      <c r="AY77" s="270">
        <f t="shared" si="428"/>
        <v>0</v>
      </c>
      <c r="AZ77" s="270">
        <f t="shared" si="428"/>
        <v>0</v>
      </c>
      <c r="BA77" s="270">
        <f t="shared" si="428"/>
        <v>0</v>
      </c>
      <c r="BB77" s="270">
        <f t="shared" si="428"/>
        <v>0</v>
      </c>
      <c r="BC77" s="270">
        <f t="shared" si="428"/>
        <v>0</v>
      </c>
      <c r="BD77" s="270">
        <f t="shared" si="428"/>
        <v>0</v>
      </c>
      <c r="BE77" s="270">
        <f t="shared" si="428"/>
        <v>0</v>
      </c>
      <c r="BF77" s="270">
        <f t="shared" si="428"/>
        <v>0</v>
      </c>
      <c r="BG77" s="270">
        <f t="shared" si="428"/>
        <v>0</v>
      </c>
      <c r="BH77" s="270">
        <f t="shared" si="428"/>
        <v>0</v>
      </c>
      <c r="BI77" s="270">
        <f t="shared" si="428"/>
        <v>0</v>
      </c>
      <c r="BJ77" s="270">
        <f t="shared" si="428"/>
        <v>0</v>
      </c>
      <c r="BK77" s="270">
        <f t="shared" si="428"/>
        <v>0</v>
      </c>
      <c r="BL77" s="265">
        <f t="shared" si="16"/>
        <v>141776.92</v>
      </c>
      <c r="BM77" s="215"/>
      <c r="BN77" s="270">
        <f t="shared" ref="BN77:CP77" si="429">ROUND(AI76*E$9/12,2)</f>
        <v>0</v>
      </c>
      <c r="BO77" s="270">
        <f t="shared" si="429"/>
        <v>0</v>
      </c>
      <c r="BP77" s="270">
        <f t="shared" si="429"/>
        <v>0</v>
      </c>
      <c r="BQ77" s="270">
        <f t="shared" si="429"/>
        <v>0</v>
      </c>
      <c r="BR77" s="270">
        <f t="shared" si="429"/>
        <v>0</v>
      </c>
      <c r="BS77" s="270">
        <f t="shared" si="429"/>
        <v>0</v>
      </c>
      <c r="BT77" s="270">
        <f t="shared" si="429"/>
        <v>0</v>
      </c>
      <c r="BU77" s="270">
        <f t="shared" si="429"/>
        <v>0</v>
      </c>
      <c r="BV77" s="270">
        <f t="shared" si="429"/>
        <v>0</v>
      </c>
      <c r="BW77" s="270">
        <f t="shared" si="429"/>
        <v>0</v>
      </c>
      <c r="BX77" s="270">
        <f t="shared" si="429"/>
        <v>71.78</v>
      </c>
      <c r="BY77" s="270">
        <f t="shared" si="429"/>
        <v>173.03</v>
      </c>
      <c r="BZ77" s="270">
        <f t="shared" si="429"/>
        <v>359.42</v>
      </c>
      <c r="CA77" s="270">
        <f t="shared" si="429"/>
        <v>0</v>
      </c>
      <c r="CB77" s="270">
        <f t="shared" si="429"/>
        <v>0</v>
      </c>
      <c r="CC77" s="270">
        <f t="shared" si="429"/>
        <v>0</v>
      </c>
      <c r="CD77" s="270">
        <f t="shared" si="429"/>
        <v>0</v>
      </c>
      <c r="CE77" s="270">
        <f t="shared" si="429"/>
        <v>0</v>
      </c>
      <c r="CF77" s="270">
        <f t="shared" si="429"/>
        <v>0</v>
      </c>
      <c r="CG77" s="270">
        <f t="shared" si="429"/>
        <v>0</v>
      </c>
      <c r="CH77" s="270">
        <f t="shared" si="429"/>
        <v>0</v>
      </c>
      <c r="CI77" s="270">
        <f t="shared" si="429"/>
        <v>0</v>
      </c>
      <c r="CJ77" s="270">
        <f t="shared" si="429"/>
        <v>0</v>
      </c>
      <c r="CK77" s="270">
        <f t="shared" si="429"/>
        <v>0</v>
      </c>
      <c r="CL77" s="270">
        <f t="shared" si="429"/>
        <v>0</v>
      </c>
      <c r="CM77" s="270">
        <f t="shared" si="429"/>
        <v>0</v>
      </c>
      <c r="CN77" s="270">
        <f t="shared" si="429"/>
        <v>0</v>
      </c>
      <c r="CO77" s="270">
        <f t="shared" si="429"/>
        <v>0</v>
      </c>
      <c r="CP77" s="270">
        <f t="shared" si="429"/>
        <v>0</v>
      </c>
      <c r="CQ77" s="215"/>
      <c r="CR77" s="270">
        <f t="shared" si="27"/>
        <v>604.23</v>
      </c>
      <c r="CS77" s="215"/>
      <c r="CT77" s="270">
        <f t="shared" ref="CT77:DX77" si="430">IF(AI76&gt;0,IF((AI76+BN77)&lt;E$10,AI76+BN77,E$10),0)</f>
        <v>0</v>
      </c>
      <c r="CU77" s="270">
        <f t="shared" si="430"/>
        <v>0</v>
      </c>
      <c r="CV77" s="270">
        <f t="shared" si="430"/>
        <v>0</v>
      </c>
      <c r="CW77" s="270">
        <f t="shared" si="430"/>
        <v>0</v>
      </c>
      <c r="CX77" s="270">
        <f t="shared" si="430"/>
        <v>0</v>
      </c>
      <c r="CY77" s="270">
        <f t="shared" si="430"/>
        <v>0</v>
      </c>
      <c r="CZ77" s="270">
        <f t="shared" si="430"/>
        <v>0</v>
      </c>
      <c r="DA77" s="270">
        <f t="shared" si="430"/>
        <v>0</v>
      </c>
      <c r="DB77" s="270">
        <f t="shared" si="430"/>
        <v>0</v>
      </c>
      <c r="DC77" s="270">
        <f t="shared" si="430"/>
        <v>0</v>
      </c>
      <c r="DD77" s="270">
        <f t="shared" si="430"/>
        <v>695.6</v>
      </c>
      <c r="DE77" s="270">
        <f t="shared" si="430"/>
        <v>791.16</v>
      </c>
      <c r="DF77" s="270">
        <f t="shared" si="430"/>
        <v>1467.13</v>
      </c>
      <c r="DG77" s="270">
        <f t="shared" si="430"/>
        <v>0</v>
      </c>
      <c r="DH77" s="270">
        <f t="shared" si="430"/>
        <v>0</v>
      </c>
      <c r="DI77" s="270">
        <f t="shared" si="430"/>
        <v>0</v>
      </c>
      <c r="DJ77" s="270">
        <f t="shared" si="430"/>
        <v>0</v>
      </c>
      <c r="DK77" s="270">
        <f t="shared" si="430"/>
        <v>0</v>
      </c>
      <c r="DL77" s="270">
        <f t="shared" si="430"/>
        <v>0</v>
      </c>
      <c r="DM77" s="270">
        <f t="shared" si="430"/>
        <v>0</v>
      </c>
      <c r="DN77" s="270">
        <f t="shared" si="430"/>
        <v>0</v>
      </c>
      <c r="DO77" s="270">
        <f t="shared" si="430"/>
        <v>0</v>
      </c>
      <c r="DP77" s="270">
        <f t="shared" si="430"/>
        <v>0</v>
      </c>
      <c r="DQ77" s="270">
        <f t="shared" si="430"/>
        <v>0</v>
      </c>
      <c r="DR77" s="270">
        <f t="shared" si="430"/>
        <v>0</v>
      </c>
      <c r="DS77" s="270">
        <f t="shared" si="430"/>
        <v>0</v>
      </c>
      <c r="DT77" s="270">
        <f t="shared" si="430"/>
        <v>0</v>
      </c>
      <c r="DU77" s="270">
        <f t="shared" si="430"/>
        <v>0</v>
      </c>
      <c r="DV77" s="270">
        <f t="shared" si="430"/>
        <v>0</v>
      </c>
      <c r="DW77" s="271" t="str">
        <f t="shared" si="430"/>
        <v/>
      </c>
      <c r="DX77" s="270">
        <f t="shared" si="430"/>
        <v>0</v>
      </c>
      <c r="DY77" s="270">
        <f t="shared" si="29"/>
        <v>2953.89</v>
      </c>
      <c r="DZ77" s="274"/>
      <c r="EA77" s="275">
        <f t="shared" si="38"/>
        <v>0</v>
      </c>
      <c r="EB77" s="270">
        <f t="shared" ref="EB77:FC77" si="431">IF(AJ75&lt;=0,0,IF($C76&lt;=SUM($EA77:EA77),0,IF(CU76+$C76-SUM($EA77:EA77)&gt;AJ75+BO76,AJ75+BO76-CU76,$C76-SUM($EA77:EA77))))</f>
        <v>0</v>
      </c>
      <c r="EC77" s="270">
        <f t="shared" si="431"/>
        <v>0</v>
      </c>
      <c r="ED77" s="270">
        <f t="shared" si="431"/>
        <v>0</v>
      </c>
      <c r="EE77" s="270">
        <f t="shared" si="431"/>
        <v>0</v>
      </c>
      <c r="EF77" s="270">
        <f t="shared" si="431"/>
        <v>0</v>
      </c>
      <c r="EG77" s="270">
        <f t="shared" si="431"/>
        <v>0</v>
      </c>
      <c r="EH77" s="270">
        <f t="shared" si="431"/>
        <v>0</v>
      </c>
      <c r="EI77" s="270">
        <f t="shared" si="431"/>
        <v>0</v>
      </c>
      <c r="EJ77" s="270">
        <f t="shared" si="431"/>
        <v>0</v>
      </c>
      <c r="EK77" s="270">
        <f t="shared" si="431"/>
        <v>908.11</v>
      </c>
      <c r="EL77" s="270">
        <f t="shared" si="431"/>
        <v>0</v>
      </c>
      <c r="EM77" s="270">
        <f t="shared" si="431"/>
        <v>0</v>
      </c>
      <c r="EN77" s="270">
        <f t="shared" si="431"/>
        <v>0</v>
      </c>
      <c r="EO77" s="270">
        <f t="shared" si="431"/>
        <v>0</v>
      </c>
      <c r="EP77" s="270">
        <f t="shared" si="431"/>
        <v>0</v>
      </c>
      <c r="EQ77" s="270">
        <f t="shared" si="431"/>
        <v>0</v>
      </c>
      <c r="ER77" s="270">
        <f t="shared" si="431"/>
        <v>0</v>
      </c>
      <c r="ES77" s="270">
        <f t="shared" si="431"/>
        <v>0</v>
      </c>
      <c r="ET77" s="270">
        <f t="shared" si="431"/>
        <v>0</v>
      </c>
      <c r="EU77" s="270">
        <f t="shared" si="431"/>
        <v>0</v>
      </c>
      <c r="EV77" s="270">
        <f t="shared" si="431"/>
        <v>0</v>
      </c>
      <c r="EW77" s="270">
        <f t="shared" si="431"/>
        <v>0</v>
      </c>
      <c r="EX77" s="270">
        <f t="shared" si="431"/>
        <v>0</v>
      </c>
      <c r="EY77" s="270">
        <f t="shared" si="431"/>
        <v>0</v>
      </c>
      <c r="EZ77" s="270">
        <f t="shared" si="431"/>
        <v>0</v>
      </c>
      <c r="FA77" s="270">
        <f t="shared" si="431"/>
        <v>0</v>
      </c>
      <c r="FB77" s="270">
        <f t="shared" si="431"/>
        <v>0</v>
      </c>
      <c r="FC77" s="270">
        <f t="shared" si="431"/>
        <v>0</v>
      </c>
      <c r="FD77" s="271"/>
      <c r="FE77" s="271"/>
      <c r="FF77" s="271"/>
      <c r="FG77" s="215"/>
      <c r="FH77" s="215"/>
    </row>
    <row r="78" ht="11.25" customHeight="1">
      <c r="A78" s="231">
        <f t="shared" si="19"/>
        <v>58</v>
      </c>
      <c r="B78" s="269">
        <v>47392.0</v>
      </c>
      <c r="C78" s="270">
        <f>IF(A78="","",IF(Calculator!snowball,IF(($E$5-DY78)&lt;0,0,$E$5-DY78),0)+D78)</f>
        <v>908.11</v>
      </c>
      <c r="D78" s="277"/>
      <c r="E78" s="270">
        <f t="shared" si="40"/>
        <v>0</v>
      </c>
      <c r="F78" s="270">
        <f t="shared" ref="F78:AG78" si="432">CU78+EB79</f>
        <v>0</v>
      </c>
      <c r="G78" s="270">
        <f t="shared" si="432"/>
        <v>0</v>
      </c>
      <c r="H78" s="270">
        <f t="shared" si="432"/>
        <v>0</v>
      </c>
      <c r="I78" s="270">
        <f t="shared" si="432"/>
        <v>0</v>
      </c>
      <c r="J78" s="270">
        <f t="shared" si="432"/>
        <v>0</v>
      </c>
      <c r="K78" s="270">
        <f t="shared" si="432"/>
        <v>0</v>
      </c>
      <c r="L78" s="270">
        <f t="shared" si="432"/>
        <v>0</v>
      </c>
      <c r="M78" s="270">
        <f t="shared" si="432"/>
        <v>0</v>
      </c>
      <c r="N78" s="270">
        <f t="shared" si="432"/>
        <v>0</v>
      </c>
      <c r="O78" s="270">
        <f t="shared" si="432"/>
        <v>1603.71</v>
      </c>
      <c r="P78" s="272">
        <f t="shared" si="432"/>
        <v>791.16</v>
      </c>
      <c r="Q78" s="272">
        <f t="shared" si="432"/>
        <v>1467.13</v>
      </c>
      <c r="R78" s="272">
        <f t="shared" si="432"/>
        <v>0</v>
      </c>
      <c r="S78" s="272">
        <f t="shared" si="432"/>
        <v>0</v>
      </c>
      <c r="T78" s="272">
        <f t="shared" si="432"/>
        <v>0</v>
      </c>
      <c r="U78" s="270">
        <f t="shared" si="432"/>
        <v>0</v>
      </c>
      <c r="V78" s="270">
        <f t="shared" si="432"/>
        <v>0</v>
      </c>
      <c r="W78" s="270">
        <f t="shared" si="432"/>
        <v>0</v>
      </c>
      <c r="X78" s="270">
        <f t="shared" si="432"/>
        <v>0</v>
      </c>
      <c r="Y78" s="270">
        <f t="shared" si="432"/>
        <v>0</v>
      </c>
      <c r="Z78" s="270">
        <f t="shared" si="432"/>
        <v>0</v>
      </c>
      <c r="AA78" s="270">
        <f t="shared" si="432"/>
        <v>0</v>
      </c>
      <c r="AB78" s="270">
        <f t="shared" si="432"/>
        <v>0</v>
      </c>
      <c r="AC78" s="270">
        <f t="shared" si="432"/>
        <v>0</v>
      </c>
      <c r="AD78" s="270">
        <f t="shared" si="432"/>
        <v>0</v>
      </c>
      <c r="AE78" s="270">
        <f t="shared" si="432"/>
        <v>0</v>
      </c>
      <c r="AF78" s="270">
        <f t="shared" si="432"/>
        <v>0</v>
      </c>
      <c r="AG78" s="270">
        <f t="shared" si="432"/>
        <v>0</v>
      </c>
      <c r="AH78" s="265">
        <f t="shared" si="13"/>
        <v>138309.16</v>
      </c>
      <c r="AI78" s="270">
        <f t="shared" si="43"/>
        <v>0</v>
      </c>
      <c r="AJ78" s="270">
        <f t="shared" ref="AJ78:AO78" si="433">IF(F$8=0,0,ROUND(AJ77-(F78-BO78),2))</f>
        <v>0</v>
      </c>
      <c r="AK78" s="270">
        <f t="shared" si="433"/>
        <v>0</v>
      </c>
      <c r="AL78" s="270">
        <f t="shared" si="433"/>
        <v>0</v>
      </c>
      <c r="AM78" s="270">
        <f t="shared" si="433"/>
        <v>0</v>
      </c>
      <c r="AN78" s="270">
        <f t="shared" si="433"/>
        <v>0</v>
      </c>
      <c r="AO78" s="270">
        <f t="shared" si="433"/>
        <v>0</v>
      </c>
      <c r="AP78" s="270">
        <v>0.0</v>
      </c>
      <c r="AQ78" s="270">
        <f t="shared" ref="AQ78:AT78" si="434">IF(M$8=0,0,ROUND(AQ77-(M78-BV78),2))</f>
        <v>0</v>
      </c>
      <c r="AR78" s="270">
        <f t="shared" si="434"/>
        <v>0</v>
      </c>
      <c r="AS78" s="270">
        <f t="shared" si="434"/>
        <v>4752.86</v>
      </c>
      <c r="AT78" s="270">
        <f t="shared" si="434"/>
        <v>21134.11</v>
      </c>
      <c r="AU78" s="270">
        <f t="shared" ref="AU78:BK78" si="435">IF(Q$8=0,0,ROUND(AU77-(Q78-BY78),2))</f>
        <v>112422.19</v>
      </c>
      <c r="AV78" s="270">
        <f t="shared" si="435"/>
        <v>0</v>
      </c>
      <c r="AW78" s="270">
        <f t="shared" si="435"/>
        <v>0</v>
      </c>
      <c r="AX78" s="270">
        <f t="shared" si="435"/>
        <v>0</v>
      </c>
      <c r="AY78" s="270">
        <f t="shared" si="435"/>
        <v>0</v>
      </c>
      <c r="AZ78" s="270">
        <f t="shared" si="435"/>
        <v>0</v>
      </c>
      <c r="BA78" s="270">
        <f t="shared" si="435"/>
        <v>0</v>
      </c>
      <c r="BB78" s="270">
        <f t="shared" si="435"/>
        <v>0</v>
      </c>
      <c r="BC78" s="270">
        <f t="shared" si="435"/>
        <v>0</v>
      </c>
      <c r="BD78" s="270">
        <f t="shared" si="435"/>
        <v>0</v>
      </c>
      <c r="BE78" s="270">
        <f t="shared" si="435"/>
        <v>0</v>
      </c>
      <c r="BF78" s="270">
        <f t="shared" si="435"/>
        <v>0</v>
      </c>
      <c r="BG78" s="270">
        <f t="shared" si="435"/>
        <v>0</v>
      </c>
      <c r="BH78" s="270">
        <f t="shared" si="435"/>
        <v>0</v>
      </c>
      <c r="BI78" s="270">
        <f t="shared" si="435"/>
        <v>0</v>
      </c>
      <c r="BJ78" s="270">
        <f t="shared" si="435"/>
        <v>0</v>
      </c>
      <c r="BK78" s="270">
        <f t="shared" si="435"/>
        <v>0</v>
      </c>
      <c r="BL78" s="265">
        <f t="shared" si="16"/>
        <v>138309.16</v>
      </c>
      <c r="BM78" s="215"/>
      <c r="BN78" s="270">
        <f t="shared" ref="BN78:CP78" si="436">ROUND(AI77*E$9/12,2)</f>
        <v>0</v>
      </c>
      <c r="BO78" s="270">
        <f t="shared" si="436"/>
        <v>0</v>
      </c>
      <c r="BP78" s="270">
        <f t="shared" si="436"/>
        <v>0</v>
      </c>
      <c r="BQ78" s="270">
        <f t="shared" si="436"/>
        <v>0</v>
      </c>
      <c r="BR78" s="270">
        <f t="shared" si="436"/>
        <v>0</v>
      </c>
      <c r="BS78" s="270">
        <f t="shared" si="436"/>
        <v>0</v>
      </c>
      <c r="BT78" s="270">
        <f t="shared" si="436"/>
        <v>0</v>
      </c>
      <c r="BU78" s="270">
        <f t="shared" si="436"/>
        <v>0</v>
      </c>
      <c r="BV78" s="270">
        <f t="shared" si="436"/>
        <v>0</v>
      </c>
      <c r="BW78" s="270">
        <f t="shared" si="436"/>
        <v>0</v>
      </c>
      <c r="BX78" s="270">
        <f t="shared" si="436"/>
        <v>57.74</v>
      </c>
      <c r="BY78" s="270">
        <f t="shared" si="436"/>
        <v>168.25</v>
      </c>
      <c r="BZ78" s="270">
        <f t="shared" si="436"/>
        <v>355.38</v>
      </c>
      <c r="CA78" s="270">
        <f t="shared" si="436"/>
        <v>0</v>
      </c>
      <c r="CB78" s="270">
        <f t="shared" si="436"/>
        <v>0</v>
      </c>
      <c r="CC78" s="270">
        <f t="shared" si="436"/>
        <v>0</v>
      </c>
      <c r="CD78" s="270">
        <f t="shared" si="436"/>
        <v>0</v>
      </c>
      <c r="CE78" s="270">
        <f t="shared" si="436"/>
        <v>0</v>
      </c>
      <c r="CF78" s="270">
        <f t="shared" si="436"/>
        <v>0</v>
      </c>
      <c r="CG78" s="270">
        <f t="shared" si="436"/>
        <v>0</v>
      </c>
      <c r="CH78" s="270">
        <f t="shared" si="436"/>
        <v>0</v>
      </c>
      <c r="CI78" s="270">
        <f t="shared" si="436"/>
        <v>0</v>
      </c>
      <c r="CJ78" s="270">
        <f t="shared" si="436"/>
        <v>0</v>
      </c>
      <c r="CK78" s="270">
        <f t="shared" si="436"/>
        <v>0</v>
      </c>
      <c r="CL78" s="270">
        <f t="shared" si="436"/>
        <v>0</v>
      </c>
      <c r="CM78" s="270">
        <f t="shared" si="436"/>
        <v>0</v>
      </c>
      <c r="CN78" s="270">
        <f t="shared" si="436"/>
        <v>0</v>
      </c>
      <c r="CO78" s="270">
        <f t="shared" si="436"/>
        <v>0</v>
      </c>
      <c r="CP78" s="270">
        <f t="shared" si="436"/>
        <v>0</v>
      </c>
      <c r="CQ78" s="215"/>
      <c r="CR78" s="270">
        <f t="shared" si="27"/>
        <v>581.37</v>
      </c>
      <c r="CS78" s="215"/>
      <c r="CT78" s="270">
        <f t="shared" ref="CT78:DX78" si="437">IF(AI77&gt;0,IF((AI77+BN78)&lt;E$10,AI77+BN78,E$10),0)</f>
        <v>0</v>
      </c>
      <c r="CU78" s="270">
        <f t="shared" si="437"/>
        <v>0</v>
      </c>
      <c r="CV78" s="270">
        <f t="shared" si="437"/>
        <v>0</v>
      </c>
      <c r="CW78" s="270">
        <f t="shared" si="437"/>
        <v>0</v>
      </c>
      <c r="CX78" s="270">
        <f t="shared" si="437"/>
        <v>0</v>
      </c>
      <c r="CY78" s="270">
        <f t="shared" si="437"/>
        <v>0</v>
      </c>
      <c r="CZ78" s="270">
        <f t="shared" si="437"/>
        <v>0</v>
      </c>
      <c r="DA78" s="270">
        <f t="shared" si="437"/>
        <v>0</v>
      </c>
      <c r="DB78" s="270">
        <f t="shared" si="437"/>
        <v>0</v>
      </c>
      <c r="DC78" s="270">
        <f t="shared" si="437"/>
        <v>0</v>
      </c>
      <c r="DD78" s="270">
        <f t="shared" si="437"/>
        <v>695.6</v>
      </c>
      <c r="DE78" s="270">
        <f t="shared" si="437"/>
        <v>791.16</v>
      </c>
      <c r="DF78" s="270">
        <f t="shared" si="437"/>
        <v>1467.13</v>
      </c>
      <c r="DG78" s="270">
        <f t="shared" si="437"/>
        <v>0</v>
      </c>
      <c r="DH78" s="270">
        <f t="shared" si="437"/>
        <v>0</v>
      </c>
      <c r="DI78" s="270">
        <f t="shared" si="437"/>
        <v>0</v>
      </c>
      <c r="DJ78" s="270">
        <f t="shared" si="437"/>
        <v>0</v>
      </c>
      <c r="DK78" s="270">
        <f t="shared" si="437"/>
        <v>0</v>
      </c>
      <c r="DL78" s="270">
        <f t="shared" si="437"/>
        <v>0</v>
      </c>
      <c r="DM78" s="270">
        <f t="shared" si="437"/>
        <v>0</v>
      </c>
      <c r="DN78" s="270">
        <f t="shared" si="437"/>
        <v>0</v>
      </c>
      <c r="DO78" s="270">
        <f t="shared" si="437"/>
        <v>0</v>
      </c>
      <c r="DP78" s="270">
        <f t="shared" si="437"/>
        <v>0</v>
      </c>
      <c r="DQ78" s="270">
        <f t="shared" si="437"/>
        <v>0</v>
      </c>
      <c r="DR78" s="270">
        <f t="shared" si="437"/>
        <v>0</v>
      </c>
      <c r="DS78" s="270">
        <f t="shared" si="437"/>
        <v>0</v>
      </c>
      <c r="DT78" s="270">
        <f t="shared" si="437"/>
        <v>0</v>
      </c>
      <c r="DU78" s="270">
        <f t="shared" si="437"/>
        <v>0</v>
      </c>
      <c r="DV78" s="270">
        <f t="shared" si="437"/>
        <v>0</v>
      </c>
      <c r="DW78" s="271" t="str">
        <f t="shared" si="437"/>
        <v/>
      </c>
      <c r="DX78" s="270">
        <f t="shared" si="437"/>
        <v>0</v>
      </c>
      <c r="DY78" s="270">
        <f t="shared" si="29"/>
        <v>2953.89</v>
      </c>
      <c r="DZ78" s="274"/>
      <c r="EA78" s="275">
        <f t="shared" si="38"/>
        <v>0</v>
      </c>
      <c r="EB78" s="270">
        <f t="shared" ref="EB78:FC78" si="438">IF(AJ76&lt;=0,0,IF($C77&lt;=SUM($EA78:EA78),0,IF(CU77+$C77-SUM($EA78:EA78)&gt;AJ76+BO77,AJ76+BO77-CU77,$C77-SUM($EA78:EA78))))</f>
        <v>0</v>
      </c>
      <c r="EC78" s="270">
        <f t="shared" si="438"/>
        <v>0</v>
      </c>
      <c r="ED78" s="270">
        <f t="shared" si="438"/>
        <v>0</v>
      </c>
      <c r="EE78" s="270">
        <f t="shared" si="438"/>
        <v>0</v>
      </c>
      <c r="EF78" s="270">
        <f t="shared" si="438"/>
        <v>0</v>
      </c>
      <c r="EG78" s="270">
        <f t="shared" si="438"/>
        <v>0</v>
      </c>
      <c r="EH78" s="270">
        <f t="shared" si="438"/>
        <v>0</v>
      </c>
      <c r="EI78" s="270">
        <f t="shared" si="438"/>
        <v>0</v>
      </c>
      <c r="EJ78" s="270">
        <f t="shared" si="438"/>
        <v>0</v>
      </c>
      <c r="EK78" s="270">
        <f t="shared" si="438"/>
        <v>908.11</v>
      </c>
      <c r="EL78" s="270">
        <f t="shared" si="438"/>
        <v>0</v>
      </c>
      <c r="EM78" s="270">
        <f t="shared" si="438"/>
        <v>0</v>
      </c>
      <c r="EN78" s="270">
        <f t="shared" si="438"/>
        <v>0</v>
      </c>
      <c r="EO78" s="270">
        <f t="shared" si="438"/>
        <v>0</v>
      </c>
      <c r="EP78" s="270">
        <f t="shared" si="438"/>
        <v>0</v>
      </c>
      <c r="EQ78" s="270">
        <f t="shared" si="438"/>
        <v>0</v>
      </c>
      <c r="ER78" s="270">
        <f t="shared" si="438"/>
        <v>0</v>
      </c>
      <c r="ES78" s="270">
        <f t="shared" si="438"/>
        <v>0</v>
      </c>
      <c r="ET78" s="270">
        <f t="shared" si="438"/>
        <v>0</v>
      </c>
      <c r="EU78" s="270">
        <f t="shared" si="438"/>
        <v>0</v>
      </c>
      <c r="EV78" s="270">
        <f t="shared" si="438"/>
        <v>0</v>
      </c>
      <c r="EW78" s="270">
        <f t="shared" si="438"/>
        <v>0</v>
      </c>
      <c r="EX78" s="270">
        <f t="shared" si="438"/>
        <v>0</v>
      </c>
      <c r="EY78" s="270">
        <f t="shared" si="438"/>
        <v>0</v>
      </c>
      <c r="EZ78" s="270">
        <f t="shared" si="438"/>
        <v>0</v>
      </c>
      <c r="FA78" s="270">
        <f t="shared" si="438"/>
        <v>0</v>
      </c>
      <c r="FB78" s="270">
        <f t="shared" si="438"/>
        <v>0</v>
      </c>
      <c r="FC78" s="270">
        <f t="shared" si="438"/>
        <v>0</v>
      </c>
      <c r="FD78" s="271"/>
      <c r="FE78" s="271"/>
      <c r="FF78" s="271"/>
      <c r="FG78" s="215"/>
      <c r="FH78" s="215"/>
    </row>
    <row r="79" ht="11.25" customHeight="1">
      <c r="A79" s="231">
        <f t="shared" si="19"/>
        <v>59</v>
      </c>
      <c r="B79" s="269">
        <v>47423.0</v>
      </c>
      <c r="C79" s="270">
        <f>IF(A79="","",IF(Calculator!snowball,IF(($E$5-DY79)&lt;0,0,$E$5-DY79),0)+D79)</f>
        <v>908.11</v>
      </c>
      <c r="D79" s="277"/>
      <c r="E79" s="270">
        <f t="shared" si="40"/>
        <v>0</v>
      </c>
      <c r="F79" s="270">
        <f t="shared" ref="F79:AG79" si="439">CU79+EB80</f>
        <v>0</v>
      </c>
      <c r="G79" s="270">
        <f t="shared" si="439"/>
        <v>0</v>
      </c>
      <c r="H79" s="270">
        <f t="shared" si="439"/>
        <v>0</v>
      </c>
      <c r="I79" s="270">
        <f t="shared" si="439"/>
        <v>0</v>
      </c>
      <c r="J79" s="270">
        <f t="shared" si="439"/>
        <v>0</v>
      </c>
      <c r="K79" s="270">
        <f t="shared" si="439"/>
        <v>0</v>
      </c>
      <c r="L79" s="270">
        <f t="shared" si="439"/>
        <v>0</v>
      </c>
      <c r="M79" s="270">
        <f t="shared" si="439"/>
        <v>0</v>
      </c>
      <c r="N79" s="270">
        <f t="shared" si="439"/>
        <v>0</v>
      </c>
      <c r="O79" s="270">
        <f t="shared" si="439"/>
        <v>1603.71</v>
      </c>
      <c r="P79" s="272">
        <f t="shared" si="439"/>
        <v>791.16</v>
      </c>
      <c r="Q79" s="272">
        <f t="shared" si="439"/>
        <v>1467.13</v>
      </c>
      <c r="R79" s="272">
        <f t="shared" si="439"/>
        <v>0</v>
      </c>
      <c r="S79" s="272">
        <f t="shared" si="439"/>
        <v>0</v>
      </c>
      <c r="T79" s="272">
        <f t="shared" si="439"/>
        <v>0</v>
      </c>
      <c r="U79" s="270">
        <f t="shared" si="439"/>
        <v>0</v>
      </c>
      <c r="V79" s="270">
        <f t="shared" si="439"/>
        <v>0</v>
      </c>
      <c r="W79" s="270">
        <f t="shared" si="439"/>
        <v>0</v>
      </c>
      <c r="X79" s="270">
        <f t="shared" si="439"/>
        <v>0</v>
      </c>
      <c r="Y79" s="270">
        <f t="shared" si="439"/>
        <v>0</v>
      </c>
      <c r="Z79" s="270">
        <f t="shared" si="439"/>
        <v>0</v>
      </c>
      <c r="AA79" s="270">
        <f t="shared" si="439"/>
        <v>0</v>
      </c>
      <c r="AB79" s="270">
        <f t="shared" si="439"/>
        <v>0</v>
      </c>
      <c r="AC79" s="270">
        <f t="shared" si="439"/>
        <v>0</v>
      </c>
      <c r="AD79" s="270">
        <f t="shared" si="439"/>
        <v>0</v>
      </c>
      <c r="AE79" s="270">
        <f t="shared" si="439"/>
        <v>0</v>
      </c>
      <c r="AF79" s="270">
        <f t="shared" si="439"/>
        <v>0</v>
      </c>
      <c r="AG79" s="270">
        <f t="shared" si="439"/>
        <v>0</v>
      </c>
      <c r="AH79" s="265">
        <f t="shared" si="13"/>
        <v>134817.61</v>
      </c>
      <c r="AI79" s="270">
        <f t="shared" si="43"/>
        <v>0</v>
      </c>
      <c r="AJ79" s="270">
        <f t="shared" ref="AJ79:AO79" si="440">IF(F$8=0,0,ROUND(AJ78-(F79-BO79),2))</f>
        <v>0</v>
      </c>
      <c r="AK79" s="270">
        <f t="shared" si="440"/>
        <v>0</v>
      </c>
      <c r="AL79" s="270">
        <f t="shared" si="440"/>
        <v>0</v>
      </c>
      <c r="AM79" s="270">
        <f t="shared" si="440"/>
        <v>0</v>
      </c>
      <c r="AN79" s="270">
        <f t="shared" si="440"/>
        <v>0</v>
      </c>
      <c r="AO79" s="270">
        <f t="shared" si="440"/>
        <v>0</v>
      </c>
      <c r="AP79" s="270">
        <v>0.0</v>
      </c>
      <c r="AQ79" s="270">
        <f t="shared" ref="AQ79:AT79" si="441">IF(M$8=0,0,ROUND(AQ78-(M79-BV79),2))</f>
        <v>0</v>
      </c>
      <c r="AR79" s="270">
        <f t="shared" si="441"/>
        <v>0</v>
      </c>
      <c r="AS79" s="270">
        <f t="shared" si="441"/>
        <v>3192.72</v>
      </c>
      <c r="AT79" s="270">
        <f t="shared" si="441"/>
        <v>20506.39</v>
      </c>
      <c r="AU79" s="270">
        <f t="shared" ref="AU79:BK79" si="442">IF(Q$8=0,0,ROUND(AU78-(Q79-BY79),2))</f>
        <v>111118.5</v>
      </c>
      <c r="AV79" s="270">
        <f t="shared" si="442"/>
        <v>0</v>
      </c>
      <c r="AW79" s="270">
        <f t="shared" si="442"/>
        <v>0</v>
      </c>
      <c r="AX79" s="270">
        <f t="shared" si="442"/>
        <v>0</v>
      </c>
      <c r="AY79" s="270">
        <f t="shared" si="442"/>
        <v>0</v>
      </c>
      <c r="AZ79" s="270">
        <f t="shared" si="442"/>
        <v>0</v>
      </c>
      <c r="BA79" s="270">
        <f t="shared" si="442"/>
        <v>0</v>
      </c>
      <c r="BB79" s="270">
        <f t="shared" si="442"/>
        <v>0</v>
      </c>
      <c r="BC79" s="270">
        <f t="shared" si="442"/>
        <v>0</v>
      </c>
      <c r="BD79" s="270">
        <f t="shared" si="442"/>
        <v>0</v>
      </c>
      <c r="BE79" s="270">
        <f t="shared" si="442"/>
        <v>0</v>
      </c>
      <c r="BF79" s="270">
        <f t="shared" si="442"/>
        <v>0</v>
      </c>
      <c r="BG79" s="270">
        <f t="shared" si="442"/>
        <v>0</v>
      </c>
      <c r="BH79" s="270">
        <f t="shared" si="442"/>
        <v>0</v>
      </c>
      <c r="BI79" s="270">
        <f t="shared" si="442"/>
        <v>0</v>
      </c>
      <c r="BJ79" s="270">
        <f t="shared" si="442"/>
        <v>0</v>
      </c>
      <c r="BK79" s="270">
        <f t="shared" si="442"/>
        <v>0</v>
      </c>
      <c r="BL79" s="265">
        <f t="shared" si="16"/>
        <v>134817.61</v>
      </c>
      <c r="BM79" s="215"/>
      <c r="BN79" s="270">
        <f t="shared" ref="BN79:CP79" si="443">ROUND(AI78*E$9/12,2)</f>
        <v>0</v>
      </c>
      <c r="BO79" s="270">
        <f t="shared" si="443"/>
        <v>0</v>
      </c>
      <c r="BP79" s="270">
        <f t="shared" si="443"/>
        <v>0</v>
      </c>
      <c r="BQ79" s="270">
        <f t="shared" si="443"/>
        <v>0</v>
      </c>
      <c r="BR79" s="270">
        <f t="shared" si="443"/>
        <v>0</v>
      </c>
      <c r="BS79" s="270">
        <f t="shared" si="443"/>
        <v>0</v>
      </c>
      <c r="BT79" s="270">
        <f t="shared" si="443"/>
        <v>0</v>
      </c>
      <c r="BU79" s="270">
        <f t="shared" si="443"/>
        <v>0</v>
      </c>
      <c r="BV79" s="270">
        <f t="shared" si="443"/>
        <v>0</v>
      </c>
      <c r="BW79" s="270">
        <f t="shared" si="443"/>
        <v>0</v>
      </c>
      <c r="BX79" s="270">
        <f t="shared" si="443"/>
        <v>43.57</v>
      </c>
      <c r="BY79" s="270">
        <f t="shared" si="443"/>
        <v>163.44</v>
      </c>
      <c r="BZ79" s="270">
        <f t="shared" si="443"/>
        <v>351.32</v>
      </c>
      <c r="CA79" s="270">
        <f t="shared" si="443"/>
        <v>0</v>
      </c>
      <c r="CB79" s="270">
        <f t="shared" si="443"/>
        <v>0</v>
      </c>
      <c r="CC79" s="270">
        <f t="shared" si="443"/>
        <v>0</v>
      </c>
      <c r="CD79" s="270">
        <f t="shared" si="443"/>
        <v>0</v>
      </c>
      <c r="CE79" s="270">
        <f t="shared" si="443"/>
        <v>0</v>
      </c>
      <c r="CF79" s="270">
        <f t="shared" si="443"/>
        <v>0</v>
      </c>
      <c r="CG79" s="270">
        <f t="shared" si="443"/>
        <v>0</v>
      </c>
      <c r="CH79" s="270">
        <f t="shared" si="443"/>
        <v>0</v>
      </c>
      <c r="CI79" s="270">
        <f t="shared" si="443"/>
        <v>0</v>
      </c>
      <c r="CJ79" s="270">
        <f t="shared" si="443"/>
        <v>0</v>
      </c>
      <c r="CK79" s="270">
        <f t="shared" si="443"/>
        <v>0</v>
      </c>
      <c r="CL79" s="270">
        <f t="shared" si="443"/>
        <v>0</v>
      </c>
      <c r="CM79" s="270">
        <f t="shared" si="443"/>
        <v>0</v>
      </c>
      <c r="CN79" s="270">
        <f t="shared" si="443"/>
        <v>0</v>
      </c>
      <c r="CO79" s="270">
        <f t="shared" si="443"/>
        <v>0</v>
      </c>
      <c r="CP79" s="270">
        <f t="shared" si="443"/>
        <v>0</v>
      </c>
      <c r="CQ79" s="215"/>
      <c r="CR79" s="270">
        <f t="shared" si="27"/>
        <v>558.33</v>
      </c>
      <c r="CS79" s="215"/>
      <c r="CT79" s="270">
        <f t="shared" ref="CT79:DX79" si="444">IF(AI78&gt;0,IF((AI78+BN79)&lt;E$10,AI78+BN79,E$10),0)</f>
        <v>0</v>
      </c>
      <c r="CU79" s="270">
        <f t="shared" si="444"/>
        <v>0</v>
      </c>
      <c r="CV79" s="270">
        <f t="shared" si="444"/>
        <v>0</v>
      </c>
      <c r="CW79" s="270">
        <f t="shared" si="444"/>
        <v>0</v>
      </c>
      <c r="CX79" s="270">
        <f t="shared" si="444"/>
        <v>0</v>
      </c>
      <c r="CY79" s="270">
        <f t="shared" si="444"/>
        <v>0</v>
      </c>
      <c r="CZ79" s="270">
        <f t="shared" si="444"/>
        <v>0</v>
      </c>
      <c r="DA79" s="270">
        <f t="shared" si="444"/>
        <v>0</v>
      </c>
      <c r="DB79" s="270">
        <f t="shared" si="444"/>
        <v>0</v>
      </c>
      <c r="DC79" s="270">
        <f t="shared" si="444"/>
        <v>0</v>
      </c>
      <c r="DD79" s="270">
        <f t="shared" si="444"/>
        <v>695.6</v>
      </c>
      <c r="DE79" s="270">
        <f t="shared" si="444"/>
        <v>791.16</v>
      </c>
      <c r="DF79" s="270">
        <f t="shared" si="444"/>
        <v>1467.13</v>
      </c>
      <c r="DG79" s="270">
        <f t="shared" si="444"/>
        <v>0</v>
      </c>
      <c r="DH79" s="270">
        <f t="shared" si="444"/>
        <v>0</v>
      </c>
      <c r="DI79" s="270">
        <f t="shared" si="444"/>
        <v>0</v>
      </c>
      <c r="DJ79" s="270">
        <f t="shared" si="444"/>
        <v>0</v>
      </c>
      <c r="DK79" s="270">
        <f t="shared" si="444"/>
        <v>0</v>
      </c>
      <c r="DL79" s="270">
        <f t="shared" si="444"/>
        <v>0</v>
      </c>
      <c r="DM79" s="270">
        <f t="shared" si="444"/>
        <v>0</v>
      </c>
      <c r="DN79" s="270">
        <f t="shared" si="444"/>
        <v>0</v>
      </c>
      <c r="DO79" s="270">
        <f t="shared" si="444"/>
        <v>0</v>
      </c>
      <c r="DP79" s="270">
        <f t="shared" si="444"/>
        <v>0</v>
      </c>
      <c r="DQ79" s="270">
        <f t="shared" si="444"/>
        <v>0</v>
      </c>
      <c r="DR79" s="270">
        <f t="shared" si="444"/>
        <v>0</v>
      </c>
      <c r="DS79" s="270">
        <f t="shared" si="444"/>
        <v>0</v>
      </c>
      <c r="DT79" s="270">
        <f t="shared" si="444"/>
        <v>0</v>
      </c>
      <c r="DU79" s="270">
        <f t="shared" si="444"/>
        <v>0</v>
      </c>
      <c r="DV79" s="270">
        <f t="shared" si="444"/>
        <v>0</v>
      </c>
      <c r="DW79" s="271" t="str">
        <f t="shared" si="444"/>
        <v/>
      </c>
      <c r="DX79" s="270">
        <f t="shared" si="444"/>
        <v>0</v>
      </c>
      <c r="DY79" s="270">
        <f t="shared" si="29"/>
        <v>2953.89</v>
      </c>
      <c r="DZ79" s="274"/>
      <c r="EA79" s="275">
        <f t="shared" si="38"/>
        <v>0</v>
      </c>
      <c r="EB79" s="270">
        <f t="shared" ref="EB79:FC79" si="445">IF(AJ77&lt;=0,0,IF($C78&lt;=SUM($EA79:EA79),0,IF(CU78+$C78-SUM($EA79:EA79)&gt;AJ77+BO78,AJ77+BO78-CU78,$C78-SUM($EA79:EA79))))</f>
        <v>0</v>
      </c>
      <c r="EC79" s="270">
        <f t="shared" si="445"/>
        <v>0</v>
      </c>
      <c r="ED79" s="270">
        <f t="shared" si="445"/>
        <v>0</v>
      </c>
      <c r="EE79" s="270">
        <f t="shared" si="445"/>
        <v>0</v>
      </c>
      <c r="EF79" s="270">
        <f t="shared" si="445"/>
        <v>0</v>
      </c>
      <c r="EG79" s="270">
        <f t="shared" si="445"/>
        <v>0</v>
      </c>
      <c r="EH79" s="270">
        <f t="shared" si="445"/>
        <v>0</v>
      </c>
      <c r="EI79" s="270">
        <f t="shared" si="445"/>
        <v>0</v>
      </c>
      <c r="EJ79" s="270">
        <f t="shared" si="445"/>
        <v>0</v>
      </c>
      <c r="EK79" s="270">
        <f t="shared" si="445"/>
        <v>908.11</v>
      </c>
      <c r="EL79" s="270">
        <f t="shared" si="445"/>
        <v>0</v>
      </c>
      <c r="EM79" s="270">
        <f t="shared" si="445"/>
        <v>0</v>
      </c>
      <c r="EN79" s="270">
        <f t="shared" si="445"/>
        <v>0</v>
      </c>
      <c r="EO79" s="270">
        <f t="shared" si="445"/>
        <v>0</v>
      </c>
      <c r="EP79" s="270">
        <f t="shared" si="445"/>
        <v>0</v>
      </c>
      <c r="EQ79" s="270">
        <f t="shared" si="445"/>
        <v>0</v>
      </c>
      <c r="ER79" s="270">
        <f t="shared" si="445"/>
        <v>0</v>
      </c>
      <c r="ES79" s="270">
        <f t="shared" si="445"/>
        <v>0</v>
      </c>
      <c r="ET79" s="270">
        <f t="shared" si="445"/>
        <v>0</v>
      </c>
      <c r="EU79" s="270">
        <f t="shared" si="445"/>
        <v>0</v>
      </c>
      <c r="EV79" s="270">
        <f t="shared" si="445"/>
        <v>0</v>
      </c>
      <c r="EW79" s="270">
        <f t="shared" si="445"/>
        <v>0</v>
      </c>
      <c r="EX79" s="270">
        <f t="shared" si="445"/>
        <v>0</v>
      </c>
      <c r="EY79" s="270">
        <f t="shared" si="445"/>
        <v>0</v>
      </c>
      <c r="EZ79" s="270">
        <f t="shared" si="445"/>
        <v>0</v>
      </c>
      <c r="FA79" s="270">
        <f t="shared" si="445"/>
        <v>0</v>
      </c>
      <c r="FB79" s="270">
        <f t="shared" si="445"/>
        <v>0</v>
      </c>
      <c r="FC79" s="270">
        <f t="shared" si="445"/>
        <v>0</v>
      </c>
      <c r="FD79" s="271"/>
      <c r="FE79" s="271"/>
      <c r="FF79" s="271"/>
      <c r="FG79" s="215"/>
      <c r="FH79" s="215"/>
    </row>
    <row r="80" ht="11.25" customHeight="1">
      <c r="A80" s="231">
        <f t="shared" si="19"/>
        <v>60</v>
      </c>
      <c r="B80" s="269">
        <v>47453.0</v>
      </c>
      <c r="C80" s="270">
        <f>IF(A80="","",IF(Calculator!snowball,IF(($E$5-DY80)&lt;0,0,$E$5-DY80),0)+D80)</f>
        <v>908.11</v>
      </c>
      <c r="D80" s="277"/>
      <c r="E80" s="270">
        <f t="shared" si="40"/>
        <v>0</v>
      </c>
      <c r="F80" s="270">
        <f t="shared" ref="F80:AG80" si="446">CU80+EB81</f>
        <v>0</v>
      </c>
      <c r="G80" s="270">
        <f t="shared" si="446"/>
        <v>0</v>
      </c>
      <c r="H80" s="270">
        <f t="shared" si="446"/>
        <v>0</v>
      </c>
      <c r="I80" s="270">
        <f t="shared" si="446"/>
        <v>0</v>
      </c>
      <c r="J80" s="270">
        <f t="shared" si="446"/>
        <v>0</v>
      </c>
      <c r="K80" s="270">
        <f t="shared" si="446"/>
        <v>0</v>
      </c>
      <c r="L80" s="270">
        <f t="shared" si="446"/>
        <v>0</v>
      </c>
      <c r="M80" s="270">
        <f t="shared" si="446"/>
        <v>0</v>
      </c>
      <c r="N80" s="270">
        <f t="shared" si="446"/>
        <v>0</v>
      </c>
      <c r="O80" s="270">
        <f t="shared" si="446"/>
        <v>1603.71</v>
      </c>
      <c r="P80" s="272">
        <f t="shared" si="446"/>
        <v>791.16</v>
      </c>
      <c r="Q80" s="272">
        <f t="shared" si="446"/>
        <v>1467.13</v>
      </c>
      <c r="R80" s="272">
        <f t="shared" si="446"/>
        <v>0</v>
      </c>
      <c r="S80" s="272">
        <f t="shared" si="446"/>
        <v>0</v>
      </c>
      <c r="T80" s="272">
        <f t="shared" si="446"/>
        <v>0</v>
      </c>
      <c r="U80" s="270">
        <f t="shared" si="446"/>
        <v>0</v>
      </c>
      <c r="V80" s="270">
        <f t="shared" si="446"/>
        <v>0</v>
      </c>
      <c r="W80" s="270">
        <f t="shared" si="446"/>
        <v>0</v>
      </c>
      <c r="X80" s="270">
        <f t="shared" si="446"/>
        <v>0</v>
      </c>
      <c r="Y80" s="270">
        <f t="shared" si="446"/>
        <v>0</v>
      </c>
      <c r="Z80" s="270">
        <f t="shared" si="446"/>
        <v>0</v>
      </c>
      <c r="AA80" s="270">
        <f t="shared" si="446"/>
        <v>0</v>
      </c>
      <c r="AB80" s="270">
        <f t="shared" si="446"/>
        <v>0</v>
      </c>
      <c r="AC80" s="270">
        <f t="shared" si="446"/>
        <v>0</v>
      </c>
      <c r="AD80" s="270">
        <f t="shared" si="446"/>
        <v>0</v>
      </c>
      <c r="AE80" s="270">
        <f t="shared" si="446"/>
        <v>0</v>
      </c>
      <c r="AF80" s="270">
        <f t="shared" si="446"/>
        <v>0</v>
      </c>
      <c r="AG80" s="270">
        <f t="shared" si="446"/>
        <v>0</v>
      </c>
      <c r="AH80" s="265">
        <f t="shared" si="13"/>
        <v>131302.04</v>
      </c>
      <c r="AI80" s="270">
        <f t="shared" si="43"/>
        <v>0</v>
      </c>
      <c r="AJ80" s="270">
        <f t="shared" ref="AJ80:AO80" si="447">IF(F$8=0,0,ROUND(AJ79-(F80-BO80),2))</f>
        <v>0</v>
      </c>
      <c r="AK80" s="270">
        <f t="shared" si="447"/>
        <v>0</v>
      </c>
      <c r="AL80" s="270">
        <f t="shared" si="447"/>
        <v>0</v>
      </c>
      <c r="AM80" s="270">
        <f t="shared" si="447"/>
        <v>0</v>
      </c>
      <c r="AN80" s="270">
        <f t="shared" si="447"/>
        <v>0</v>
      </c>
      <c r="AO80" s="270">
        <f t="shared" si="447"/>
        <v>0</v>
      </c>
      <c r="AP80" s="270">
        <v>0.0</v>
      </c>
      <c r="AQ80" s="270">
        <f t="shared" ref="AQ80:AT80" si="448">IF(M$8=0,0,ROUND(AQ79-(M80-BV80),2))</f>
        <v>0</v>
      </c>
      <c r="AR80" s="270">
        <f t="shared" si="448"/>
        <v>0</v>
      </c>
      <c r="AS80" s="270">
        <f t="shared" si="448"/>
        <v>1618.28</v>
      </c>
      <c r="AT80" s="270">
        <f t="shared" si="448"/>
        <v>19873.81</v>
      </c>
      <c r="AU80" s="270">
        <f t="shared" ref="AU80:BK80" si="449">IF(Q$8=0,0,ROUND(AU79-(Q80-BY80),2))</f>
        <v>109809.95</v>
      </c>
      <c r="AV80" s="270">
        <f t="shared" si="449"/>
        <v>0</v>
      </c>
      <c r="AW80" s="270">
        <f t="shared" si="449"/>
        <v>0</v>
      </c>
      <c r="AX80" s="270">
        <f t="shared" si="449"/>
        <v>0</v>
      </c>
      <c r="AY80" s="270">
        <f t="shared" si="449"/>
        <v>0</v>
      </c>
      <c r="AZ80" s="270">
        <f t="shared" si="449"/>
        <v>0</v>
      </c>
      <c r="BA80" s="270">
        <f t="shared" si="449"/>
        <v>0</v>
      </c>
      <c r="BB80" s="270">
        <f t="shared" si="449"/>
        <v>0</v>
      </c>
      <c r="BC80" s="270">
        <f t="shared" si="449"/>
        <v>0</v>
      </c>
      <c r="BD80" s="270">
        <f t="shared" si="449"/>
        <v>0</v>
      </c>
      <c r="BE80" s="270">
        <f t="shared" si="449"/>
        <v>0</v>
      </c>
      <c r="BF80" s="270">
        <f t="shared" si="449"/>
        <v>0</v>
      </c>
      <c r="BG80" s="270">
        <f t="shared" si="449"/>
        <v>0</v>
      </c>
      <c r="BH80" s="270">
        <f t="shared" si="449"/>
        <v>0</v>
      </c>
      <c r="BI80" s="270">
        <f t="shared" si="449"/>
        <v>0</v>
      </c>
      <c r="BJ80" s="270">
        <f t="shared" si="449"/>
        <v>0</v>
      </c>
      <c r="BK80" s="270">
        <f t="shared" si="449"/>
        <v>0</v>
      </c>
      <c r="BL80" s="265">
        <f t="shared" si="16"/>
        <v>131302.04</v>
      </c>
      <c r="BM80" s="215"/>
      <c r="BN80" s="270">
        <f t="shared" ref="BN80:CP80" si="450">ROUND(AI79*E$9/12,2)</f>
        <v>0</v>
      </c>
      <c r="BO80" s="270">
        <f t="shared" si="450"/>
        <v>0</v>
      </c>
      <c r="BP80" s="270">
        <f t="shared" si="450"/>
        <v>0</v>
      </c>
      <c r="BQ80" s="270">
        <f t="shared" si="450"/>
        <v>0</v>
      </c>
      <c r="BR80" s="270">
        <f t="shared" si="450"/>
        <v>0</v>
      </c>
      <c r="BS80" s="270">
        <f t="shared" si="450"/>
        <v>0</v>
      </c>
      <c r="BT80" s="270">
        <f t="shared" si="450"/>
        <v>0</v>
      </c>
      <c r="BU80" s="270">
        <f t="shared" si="450"/>
        <v>0</v>
      </c>
      <c r="BV80" s="270">
        <f t="shared" si="450"/>
        <v>0</v>
      </c>
      <c r="BW80" s="270">
        <f t="shared" si="450"/>
        <v>0</v>
      </c>
      <c r="BX80" s="270">
        <f t="shared" si="450"/>
        <v>29.27</v>
      </c>
      <c r="BY80" s="270">
        <f t="shared" si="450"/>
        <v>158.58</v>
      </c>
      <c r="BZ80" s="270">
        <f t="shared" si="450"/>
        <v>347.25</v>
      </c>
      <c r="CA80" s="270">
        <f t="shared" si="450"/>
        <v>0</v>
      </c>
      <c r="CB80" s="270">
        <f t="shared" si="450"/>
        <v>0</v>
      </c>
      <c r="CC80" s="270">
        <f t="shared" si="450"/>
        <v>0</v>
      </c>
      <c r="CD80" s="270">
        <f t="shared" si="450"/>
        <v>0</v>
      </c>
      <c r="CE80" s="270">
        <f t="shared" si="450"/>
        <v>0</v>
      </c>
      <c r="CF80" s="270">
        <f t="shared" si="450"/>
        <v>0</v>
      </c>
      <c r="CG80" s="270">
        <f t="shared" si="450"/>
        <v>0</v>
      </c>
      <c r="CH80" s="270">
        <f t="shared" si="450"/>
        <v>0</v>
      </c>
      <c r="CI80" s="270">
        <f t="shared" si="450"/>
        <v>0</v>
      </c>
      <c r="CJ80" s="270">
        <f t="shared" si="450"/>
        <v>0</v>
      </c>
      <c r="CK80" s="270">
        <f t="shared" si="450"/>
        <v>0</v>
      </c>
      <c r="CL80" s="270">
        <f t="shared" si="450"/>
        <v>0</v>
      </c>
      <c r="CM80" s="270">
        <f t="shared" si="450"/>
        <v>0</v>
      </c>
      <c r="CN80" s="270">
        <f t="shared" si="450"/>
        <v>0</v>
      </c>
      <c r="CO80" s="270">
        <f t="shared" si="450"/>
        <v>0</v>
      </c>
      <c r="CP80" s="270">
        <f t="shared" si="450"/>
        <v>0</v>
      </c>
      <c r="CQ80" s="215"/>
      <c r="CR80" s="270">
        <f t="shared" si="27"/>
        <v>535.1</v>
      </c>
      <c r="CS80" s="215"/>
      <c r="CT80" s="270">
        <f t="shared" ref="CT80:DX80" si="451">IF(AI79&gt;0,IF((AI79+BN80)&lt;E$10,AI79+BN80,E$10),0)</f>
        <v>0</v>
      </c>
      <c r="CU80" s="270">
        <f t="shared" si="451"/>
        <v>0</v>
      </c>
      <c r="CV80" s="270">
        <f t="shared" si="451"/>
        <v>0</v>
      </c>
      <c r="CW80" s="270">
        <f t="shared" si="451"/>
        <v>0</v>
      </c>
      <c r="CX80" s="270">
        <f t="shared" si="451"/>
        <v>0</v>
      </c>
      <c r="CY80" s="270">
        <f t="shared" si="451"/>
        <v>0</v>
      </c>
      <c r="CZ80" s="270">
        <f t="shared" si="451"/>
        <v>0</v>
      </c>
      <c r="DA80" s="270">
        <f t="shared" si="451"/>
        <v>0</v>
      </c>
      <c r="DB80" s="270">
        <f t="shared" si="451"/>
        <v>0</v>
      </c>
      <c r="DC80" s="270">
        <f t="shared" si="451"/>
        <v>0</v>
      </c>
      <c r="DD80" s="270">
        <f t="shared" si="451"/>
        <v>695.6</v>
      </c>
      <c r="DE80" s="270">
        <f t="shared" si="451"/>
        <v>791.16</v>
      </c>
      <c r="DF80" s="270">
        <f t="shared" si="451"/>
        <v>1467.13</v>
      </c>
      <c r="DG80" s="270">
        <f t="shared" si="451"/>
        <v>0</v>
      </c>
      <c r="DH80" s="270">
        <f t="shared" si="451"/>
        <v>0</v>
      </c>
      <c r="DI80" s="270">
        <f t="shared" si="451"/>
        <v>0</v>
      </c>
      <c r="DJ80" s="270">
        <f t="shared" si="451"/>
        <v>0</v>
      </c>
      <c r="DK80" s="270">
        <f t="shared" si="451"/>
        <v>0</v>
      </c>
      <c r="DL80" s="270">
        <f t="shared" si="451"/>
        <v>0</v>
      </c>
      <c r="DM80" s="270">
        <f t="shared" si="451"/>
        <v>0</v>
      </c>
      <c r="DN80" s="270">
        <f t="shared" si="451"/>
        <v>0</v>
      </c>
      <c r="DO80" s="270">
        <f t="shared" si="451"/>
        <v>0</v>
      </c>
      <c r="DP80" s="270">
        <f t="shared" si="451"/>
        <v>0</v>
      </c>
      <c r="DQ80" s="270">
        <f t="shared" si="451"/>
        <v>0</v>
      </c>
      <c r="DR80" s="270">
        <f t="shared" si="451"/>
        <v>0</v>
      </c>
      <c r="DS80" s="270">
        <f t="shared" si="451"/>
        <v>0</v>
      </c>
      <c r="DT80" s="270">
        <f t="shared" si="451"/>
        <v>0</v>
      </c>
      <c r="DU80" s="270">
        <f t="shared" si="451"/>
        <v>0</v>
      </c>
      <c r="DV80" s="270">
        <f t="shared" si="451"/>
        <v>0</v>
      </c>
      <c r="DW80" s="271" t="str">
        <f t="shared" si="451"/>
        <v/>
      </c>
      <c r="DX80" s="270">
        <f t="shared" si="451"/>
        <v>0</v>
      </c>
      <c r="DY80" s="270">
        <f t="shared" si="29"/>
        <v>2953.89</v>
      </c>
      <c r="DZ80" s="274"/>
      <c r="EA80" s="275">
        <f t="shared" si="38"/>
        <v>0</v>
      </c>
      <c r="EB80" s="270">
        <f t="shared" ref="EB80:FC80" si="452">IF(AJ78&lt;=0,0,IF($C79&lt;=SUM($EA80:EA80),0,IF(CU79+$C79-SUM($EA80:EA80)&gt;AJ78+BO79,AJ78+BO79-CU79,$C79-SUM($EA80:EA80))))</f>
        <v>0</v>
      </c>
      <c r="EC80" s="270">
        <f t="shared" si="452"/>
        <v>0</v>
      </c>
      <c r="ED80" s="270">
        <f t="shared" si="452"/>
        <v>0</v>
      </c>
      <c r="EE80" s="270">
        <f t="shared" si="452"/>
        <v>0</v>
      </c>
      <c r="EF80" s="270">
        <f t="shared" si="452"/>
        <v>0</v>
      </c>
      <c r="EG80" s="270">
        <f t="shared" si="452"/>
        <v>0</v>
      </c>
      <c r="EH80" s="270">
        <f t="shared" si="452"/>
        <v>0</v>
      </c>
      <c r="EI80" s="270">
        <f t="shared" si="452"/>
        <v>0</v>
      </c>
      <c r="EJ80" s="270">
        <f t="shared" si="452"/>
        <v>0</v>
      </c>
      <c r="EK80" s="270">
        <f t="shared" si="452"/>
        <v>908.11</v>
      </c>
      <c r="EL80" s="270">
        <f t="shared" si="452"/>
        <v>0</v>
      </c>
      <c r="EM80" s="270">
        <f t="shared" si="452"/>
        <v>0</v>
      </c>
      <c r="EN80" s="270">
        <f t="shared" si="452"/>
        <v>0</v>
      </c>
      <c r="EO80" s="270">
        <f t="shared" si="452"/>
        <v>0</v>
      </c>
      <c r="EP80" s="270">
        <f t="shared" si="452"/>
        <v>0</v>
      </c>
      <c r="EQ80" s="270">
        <f t="shared" si="452"/>
        <v>0</v>
      </c>
      <c r="ER80" s="270">
        <f t="shared" si="452"/>
        <v>0</v>
      </c>
      <c r="ES80" s="270">
        <f t="shared" si="452"/>
        <v>0</v>
      </c>
      <c r="ET80" s="270">
        <f t="shared" si="452"/>
        <v>0</v>
      </c>
      <c r="EU80" s="270">
        <f t="shared" si="452"/>
        <v>0</v>
      </c>
      <c r="EV80" s="270">
        <f t="shared" si="452"/>
        <v>0</v>
      </c>
      <c r="EW80" s="270">
        <f t="shared" si="452"/>
        <v>0</v>
      </c>
      <c r="EX80" s="270">
        <f t="shared" si="452"/>
        <v>0</v>
      </c>
      <c r="EY80" s="270">
        <f t="shared" si="452"/>
        <v>0</v>
      </c>
      <c r="EZ80" s="270">
        <f t="shared" si="452"/>
        <v>0</v>
      </c>
      <c r="FA80" s="270">
        <f t="shared" si="452"/>
        <v>0</v>
      </c>
      <c r="FB80" s="270">
        <f t="shared" si="452"/>
        <v>0</v>
      </c>
      <c r="FC80" s="270">
        <f t="shared" si="452"/>
        <v>0</v>
      </c>
      <c r="FD80" s="271"/>
      <c r="FE80" s="271"/>
      <c r="FF80" s="271"/>
      <c r="FG80" s="215"/>
      <c r="FH80" s="215"/>
    </row>
    <row r="81" ht="11.25" customHeight="1">
      <c r="A81" s="231">
        <f t="shared" si="19"/>
        <v>61</v>
      </c>
      <c r="B81" s="269">
        <v>47484.0</v>
      </c>
      <c r="C81" s="270">
        <f>IF(A81="","",IF(Calculator!snowball,IF(($E$5-DY81)&lt;0,0,$E$5-DY81),0)+D81)</f>
        <v>908.11</v>
      </c>
      <c r="D81" s="277"/>
      <c r="E81" s="270">
        <f t="shared" si="40"/>
        <v>0</v>
      </c>
      <c r="F81" s="270">
        <f t="shared" ref="F81:AG81" si="453">CU81+EB82</f>
        <v>0</v>
      </c>
      <c r="G81" s="270">
        <f t="shared" si="453"/>
        <v>0</v>
      </c>
      <c r="H81" s="270">
        <f t="shared" si="453"/>
        <v>0</v>
      </c>
      <c r="I81" s="270">
        <f t="shared" si="453"/>
        <v>0</v>
      </c>
      <c r="J81" s="270">
        <f t="shared" si="453"/>
        <v>0</v>
      </c>
      <c r="K81" s="270">
        <f t="shared" si="453"/>
        <v>0</v>
      </c>
      <c r="L81" s="270">
        <f t="shared" si="453"/>
        <v>0</v>
      </c>
      <c r="M81" s="270">
        <f t="shared" si="453"/>
        <v>0</v>
      </c>
      <c r="N81" s="270">
        <f t="shared" si="453"/>
        <v>0</v>
      </c>
      <c r="O81" s="270">
        <f t="shared" si="453"/>
        <v>1603.71</v>
      </c>
      <c r="P81" s="272">
        <f t="shared" si="453"/>
        <v>791.16</v>
      </c>
      <c r="Q81" s="272">
        <f t="shared" si="453"/>
        <v>1467.13</v>
      </c>
      <c r="R81" s="272">
        <f t="shared" si="453"/>
        <v>0</v>
      </c>
      <c r="S81" s="272">
        <f t="shared" si="453"/>
        <v>0</v>
      </c>
      <c r="T81" s="272">
        <f t="shared" si="453"/>
        <v>0</v>
      </c>
      <c r="U81" s="270">
        <f t="shared" si="453"/>
        <v>0</v>
      </c>
      <c r="V81" s="270">
        <f t="shared" si="453"/>
        <v>0</v>
      </c>
      <c r="W81" s="270">
        <f t="shared" si="453"/>
        <v>0</v>
      </c>
      <c r="X81" s="270">
        <f t="shared" si="453"/>
        <v>0</v>
      </c>
      <c r="Y81" s="270">
        <f t="shared" si="453"/>
        <v>0</v>
      </c>
      <c r="Z81" s="270">
        <f t="shared" si="453"/>
        <v>0</v>
      </c>
      <c r="AA81" s="270">
        <f t="shared" si="453"/>
        <v>0</v>
      </c>
      <c r="AB81" s="270">
        <f t="shared" si="453"/>
        <v>0</v>
      </c>
      <c r="AC81" s="270">
        <f t="shared" si="453"/>
        <v>0</v>
      </c>
      <c r="AD81" s="270">
        <f t="shared" si="453"/>
        <v>0</v>
      </c>
      <c r="AE81" s="270">
        <f t="shared" si="453"/>
        <v>0</v>
      </c>
      <c r="AF81" s="270">
        <f t="shared" si="453"/>
        <v>0</v>
      </c>
      <c r="AG81" s="270">
        <f t="shared" si="453"/>
        <v>0</v>
      </c>
      <c r="AH81" s="265">
        <f t="shared" si="13"/>
        <v>127762.25</v>
      </c>
      <c r="AI81" s="270">
        <f t="shared" si="43"/>
        <v>0</v>
      </c>
      <c r="AJ81" s="270">
        <f t="shared" ref="AJ81:AO81" si="454">IF(F$8=0,0,ROUND(AJ80-(F81-BO81),2))</f>
        <v>0</v>
      </c>
      <c r="AK81" s="270">
        <f t="shared" si="454"/>
        <v>0</v>
      </c>
      <c r="AL81" s="270">
        <f t="shared" si="454"/>
        <v>0</v>
      </c>
      <c r="AM81" s="270">
        <f t="shared" si="454"/>
        <v>0</v>
      </c>
      <c r="AN81" s="270">
        <f t="shared" si="454"/>
        <v>0</v>
      </c>
      <c r="AO81" s="270">
        <f t="shared" si="454"/>
        <v>0</v>
      </c>
      <c r="AP81" s="270">
        <v>0.0</v>
      </c>
      <c r="AQ81" s="270">
        <f t="shared" ref="AQ81:AT81" si="455">IF(M$8=0,0,ROUND(AQ80-(M81-BV81),2))</f>
        <v>0</v>
      </c>
      <c r="AR81" s="270">
        <f t="shared" si="455"/>
        <v>0</v>
      </c>
      <c r="AS81" s="270">
        <f t="shared" si="455"/>
        <v>29.4</v>
      </c>
      <c r="AT81" s="270">
        <f t="shared" si="455"/>
        <v>19236.34</v>
      </c>
      <c r="AU81" s="270">
        <f t="shared" ref="AU81:BK81" si="456">IF(Q$8=0,0,ROUND(AU80-(Q81-BY81),2))</f>
        <v>108496.51</v>
      </c>
      <c r="AV81" s="270">
        <f t="shared" si="456"/>
        <v>0</v>
      </c>
      <c r="AW81" s="270">
        <f t="shared" si="456"/>
        <v>0</v>
      </c>
      <c r="AX81" s="270">
        <f t="shared" si="456"/>
        <v>0</v>
      </c>
      <c r="AY81" s="270">
        <f t="shared" si="456"/>
        <v>0</v>
      </c>
      <c r="AZ81" s="270">
        <f t="shared" si="456"/>
        <v>0</v>
      </c>
      <c r="BA81" s="270">
        <f t="shared" si="456"/>
        <v>0</v>
      </c>
      <c r="BB81" s="270">
        <f t="shared" si="456"/>
        <v>0</v>
      </c>
      <c r="BC81" s="270">
        <f t="shared" si="456"/>
        <v>0</v>
      </c>
      <c r="BD81" s="270">
        <f t="shared" si="456"/>
        <v>0</v>
      </c>
      <c r="BE81" s="270">
        <f t="shared" si="456"/>
        <v>0</v>
      </c>
      <c r="BF81" s="270">
        <f t="shared" si="456"/>
        <v>0</v>
      </c>
      <c r="BG81" s="270">
        <f t="shared" si="456"/>
        <v>0</v>
      </c>
      <c r="BH81" s="270">
        <f t="shared" si="456"/>
        <v>0</v>
      </c>
      <c r="BI81" s="270">
        <f t="shared" si="456"/>
        <v>0</v>
      </c>
      <c r="BJ81" s="270">
        <f t="shared" si="456"/>
        <v>0</v>
      </c>
      <c r="BK81" s="270">
        <f t="shared" si="456"/>
        <v>0</v>
      </c>
      <c r="BL81" s="265">
        <f t="shared" si="16"/>
        <v>127762.25</v>
      </c>
      <c r="BM81" s="215"/>
      <c r="BN81" s="270">
        <f t="shared" ref="BN81:CP81" si="457">ROUND(AI80*E$9/12,2)</f>
        <v>0</v>
      </c>
      <c r="BO81" s="270">
        <f t="shared" si="457"/>
        <v>0</v>
      </c>
      <c r="BP81" s="270">
        <f t="shared" si="457"/>
        <v>0</v>
      </c>
      <c r="BQ81" s="270">
        <f t="shared" si="457"/>
        <v>0</v>
      </c>
      <c r="BR81" s="270">
        <f t="shared" si="457"/>
        <v>0</v>
      </c>
      <c r="BS81" s="270">
        <f t="shared" si="457"/>
        <v>0</v>
      </c>
      <c r="BT81" s="270">
        <f t="shared" si="457"/>
        <v>0</v>
      </c>
      <c r="BU81" s="270">
        <f t="shared" si="457"/>
        <v>0</v>
      </c>
      <c r="BV81" s="270">
        <f t="shared" si="457"/>
        <v>0</v>
      </c>
      <c r="BW81" s="270">
        <f t="shared" si="457"/>
        <v>0</v>
      </c>
      <c r="BX81" s="270">
        <f t="shared" si="457"/>
        <v>14.83</v>
      </c>
      <c r="BY81" s="270">
        <f t="shared" si="457"/>
        <v>153.69</v>
      </c>
      <c r="BZ81" s="270">
        <f t="shared" si="457"/>
        <v>343.16</v>
      </c>
      <c r="CA81" s="270">
        <f t="shared" si="457"/>
        <v>0</v>
      </c>
      <c r="CB81" s="270">
        <f t="shared" si="457"/>
        <v>0</v>
      </c>
      <c r="CC81" s="270">
        <f t="shared" si="457"/>
        <v>0</v>
      </c>
      <c r="CD81" s="270">
        <f t="shared" si="457"/>
        <v>0</v>
      </c>
      <c r="CE81" s="270">
        <f t="shared" si="457"/>
        <v>0</v>
      </c>
      <c r="CF81" s="270">
        <f t="shared" si="457"/>
        <v>0</v>
      </c>
      <c r="CG81" s="270">
        <f t="shared" si="457"/>
        <v>0</v>
      </c>
      <c r="CH81" s="270">
        <f t="shared" si="457"/>
        <v>0</v>
      </c>
      <c r="CI81" s="270">
        <f t="shared" si="457"/>
        <v>0</v>
      </c>
      <c r="CJ81" s="270">
        <f t="shared" si="457"/>
        <v>0</v>
      </c>
      <c r="CK81" s="270">
        <f t="shared" si="457"/>
        <v>0</v>
      </c>
      <c r="CL81" s="270">
        <f t="shared" si="457"/>
        <v>0</v>
      </c>
      <c r="CM81" s="270">
        <f t="shared" si="457"/>
        <v>0</v>
      </c>
      <c r="CN81" s="270">
        <f t="shared" si="457"/>
        <v>0</v>
      </c>
      <c r="CO81" s="270">
        <f t="shared" si="457"/>
        <v>0</v>
      </c>
      <c r="CP81" s="270">
        <f t="shared" si="457"/>
        <v>0</v>
      </c>
      <c r="CQ81" s="215"/>
      <c r="CR81" s="270">
        <f t="shared" si="27"/>
        <v>511.68</v>
      </c>
      <c r="CS81" s="215"/>
      <c r="CT81" s="270">
        <f t="shared" ref="CT81:DX81" si="458">IF(AI80&gt;0,IF((AI80+BN81)&lt;E$10,AI80+BN81,E$10),0)</f>
        <v>0</v>
      </c>
      <c r="CU81" s="270">
        <f t="shared" si="458"/>
        <v>0</v>
      </c>
      <c r="CV81" s="270">
        <f t="shared" si="458"/>
        <v>0</v>
      </c>
      <c r="CW81" s="270">
        <f t="shared" si="458"/>
        <v>0</v>
      </c>
      <c r="CX81" s="270">
        <f t="shared" si="458"/>
        <v>0</v>
      </c>
      <c r="CY81" s="270">
        <f t="shared" si="458"/>
        <v>0</v>
      </c>
      <c r="CZ81" s="270">
        <f t="shared" si="458"/>
        <v>0</v>
      </c>
      <c r="DA81" s="270">
        <f t="shared" si="458"/>
        <v>0</v>
      </c>
      <c r="DB81" s="270">
        <f t="shared" si="458"/>
        <v>0</v>
      </c>
      <c r="DC81" s="270">
        <f t="shared" si="458"/>
        <v>0</v>
      </c>
      <c r="DD81" s="270">
        <f t="shared" si="458"/>
        <v>695.6</v>
      </c>
      <c r="DE81" s="270">
        <f t="shared" si="458"/>
        <v>791.16</v>
      </c>
      <c r="DF81" s="270">
        <f t="shared" si="458"/>
        <v>1467.13</v>
      </c>
      <c r="DG81" s="270">
        <f t="shared" si="458"/>
        <v>0</v>
      </c>
      <c r="DH81" s="270">
        <f t="shared" si="458"/>
        <v>0</v>
      </c>
      <c r="DI81" s="270">
        <f t="shared" si="458"/>
        <v>0</v>
      </c>
      <c r="DJ81" s="270">
        <f t="shared" si="458"/>
        <v>0</v>
      </c>
      <c r="DK81" s="270">
        <f t="shared" si="458"/>
        <v>0</v>
      </c>
      <c r="DL81" s="270">
        <f t="shared" si="458"/>
        <v>0</v>
      </c>
      <c r="DM81" s="270">
        <f t="shared" si="458"/>
        <v>0</v>
      </c>
      <c r="DN81" s="270">
        <f t="shared" si="458"/>
        <v>0</v>
      </c>
      <c r="DO81" s="270">
        <f t="shared" si="458"/>
        <v>0</v>
      </c>
      <c r="DP81" s="270">
        <f t="shared" si="458"/>
        <v>0</v>
      </c>
      <c r="DQ81" s="270">
        <f t="shared" si="458"/>
        <v>0</v>
      </c>
      <c r="DR81" s="270">
        <f t="shared" si="458"/>
        <v>0</v>
      </c>
      <c r="DS81" s="270">
        <f t="shared" si="458"/>
        <v>0</v>
      </c>
      <c r="DT81" s="270">
        <f t="shared" si="458"/>
        <v>0</v>
      </c>
      <c r="DU81" s="270">
        <f t="shared" si="458"/>
        <v>0</v>
      </c>
      <c r="DV81" s="270">
        <f t="shared" si="458"/>
        <v>0</v>
      </c>
      <c r="DW81" s="271" t="str">
        <f t="shared" si="458"/>
        <v/>
      </c>
      <c r="DX81" s="270">
        <f t="shared" si="458"/>
        <v>0</v>
      </c>
      <c r="DY81" s="270">
        <f t="shared" si="29"/>
        <v>2953.89</v>
      </c>
      <c r="DZ81" s="274"/>
      <c r="EA81" s="275">
        <f t="shared" si="38"/>
        <v>0</v>
      </c>
      <c r="EB81" s="270">
        <f t="shared" ref="EB81:FC81" si="459">IF(AJ79&lt;=0,0,IF($C80&lt;=SUM($EA81:EA81),0,IF(CU80+$C80-SUM($EA81:EA81)&gt;AJ79+BO80,AJ79+BO80-CU80,$C80-SUM($EA81:EA81))))</f>
        <v>0</v>
      </c>
      <c r="EC81" s="270">
        <f t="shared" si="459"/>
        <v>0</v>
      </c>
      <c r="ED81" s="270">
        <f t="shared" si="459"/>
        <v>0</v>
      </c>
      <c r="EE81" s="270">
        <f t="shared" si="459"/>
        <v>0</v>
      </c>
      <c r="EF81" s="270">
        <f t="shared" si="459"/>
        <v>0</v>
      </c>
      <c r="EG81" s="270">
        <f t="shared" si="459"/>
        <v>0</v>
      </c>
      <c r="EH81" s="270">
        <f t="shared" si="459"/>
        <v>0</v>
      </c>
      <c r="EI81" s="270">
        <f t="shared" si="459"/>
        <v>0</v>
      </c>
      <c r="EJ81" s="270">
        <f t="shared" si="459"/>
        <v>0</v>
      </c>
      <c r="EK81" s="270">
        <f t="shared" si="459"/>
        <v>908.11</v>
      </c>
      <c r="EL81" s="270">
        <f t="shared" si="459"/>
        <v>0</v>
      </c>
      <c r="EM81" s="270">
        <f t="shared" si="459"/>
        <v>0</v>
      </c>
      <c r="EN81" s="270">
        <f t="shared" si="459"/>
        <v>0</v>
      </c>
      <c r="EO81" s="270">
        <f t="shared" si="459"/>
        <v>0</v>
      </c>
      <c r="EP81" s="270">
        <f t="shared" si="459"/>
        <v>0</v>
      </c>
      <c r="EQ81" s="270">
        <f t="shared" si="459"/>
        <v>0</v>
      </c>
      <c r="ER81" s="270">
        <f t="shared" si="459"/>
        <v>0</v>
      </c>
      <c r="ES81" s="270">
        <f t="shared" si="459"/>
        <v>0</v>
      </c>
      <c r="ET81" s="270">
        <f t="shared" si="459"/>
        <v>0</v>
      </c>
      <c r="EU81" s="270">
        <f t="shared" si="459"/>
        <v>0</v>
      </c>
      <c r="EV81" s="270">
        <f t="shared" si="459"/>
        <v>0</v>
      </c>
      <c r="EW81" s="270">
        <f t="shared" si="459"/>
        <v>0</v>
      </c>
      <c r="EX81" s="270">
        <f t="shared" si="459"/>
        <v>0</v>
      </c>
      <c r="EY81" s="270">
        <f t="shared" si="459"/>
        <v>0</v>
      </c>
      <c r="EZ81" s="270">
        <f t="shared" si="459"/>
        <v>0</v>
      </c>
      <c r="FA81" s="270">
        <f t="shared" si="459"/>
        <v>0</v>
      </c>
      <c r="FB81" s="270">
        <f t="shared" si="459"/>
        <v>0</v>
      </c>
      <c r="FC81" s="270">
        <f t="shared" si="459"/>
        <v>0</v>
      </c>
      <c r="FD81" s="271"/>
      <c r="FE81" s="271"/>
      <c r="FF81" s="271"/>
      <c r="FG81" s="215"/>
      <c r="FH81" s="215"/>
    </row>
    <row r="82" ht="11.25" customHeight="1">
      <c r="A82" s="231">
        <f t="shared" si="19"/>
        <v>62</v>
      </c>
      <c r="B82" s="269">
        <v>47515.0</v>
      </c>
      <c r="C82" s="270">
        <f>IF(A82="","",IF(Calculator!snowball,IF(($E$5-DY82)&lt;0,0,$E$5-DY82),0)+D82)</f>
        <v>1574.04</v>
      </c>
      <c r="D82" s="277"/>
      <c r="E82" s="270">
        <f t="shared" si="40"/>
        <v>0</v>
      </c>
      <c r="F82" s="270">
        <f t="shared" ref="F82:AG82" si="460">CU82+EB83</f>
        <v>0</v>
      </c>
      <c r="G82" s="270">
        <f t="shared" si="460"/>
        <v>0</v>
      </c>
      <c r="H82" s="270">
        <f t="shared" si="460"/>
        <v>0</v>
      </c>
      <c r="I82" s="270">
        <f t="shared" si="460"/>
        <v>0</v>
      </c>
      <c r="J82" s="270">
        <f t="shared" si="460"/>
        <v>0</v>
      </c>
      <c r="K82" s="270">
        <f t="shared" si="460"/>
        <v>0</v>
      </c>
      <c r="L82" s="270">
        <f t="shared" si="460"/>
        <v>0</v>
      </c>
      <c r="M82" s="270">
        <f t="shared" si="460"/>
        <v>0</v>
      </c>
      <c r="N82" s="270">
        <f t="shared" si="460"/>
        <v>0</v>
      </c>
      <c r="O82" s="270">
        <f t="shared" si="460"/>
        <v>29.67</v>
      </c>
      <c r="P82" s="272">
        <f t="shared" si="460"/>
        <v>2365.2</v>
      </c>
      <c r="Q82" s="272">
        <f t="shared" si="460"/>
        <v>1467.13</v>
      </c>
      <c r="R82" s="272">
        <f t="shared" si="460"/>
        <v>0</v>
      </c>
      <c r="S82" s="272">
        <f t="shared" si="460"/>
        <v>0</v>
      </c>
      <c r="T82" s="272">
        <f t="shared" si="460"/>
        <v>0</v>
      </c>
      <c r="U82" s="270">
        <f t="shared" si="460"/>
        <v>0</v>
      </c>
      <c r="V82" s="270">
        <f t="shared" si="460"/>
        <v>0</v>
      </c>
      <c r="W82" s="270">
        <f t="shared" si="460"/>
        <v>0</v>
      </c>
      <c r="X82" s="270">
        <f t="shared" si="460"/>
        <v>0</v>
      </c>
      <c r="Y82" s="270">
        <f t="shared" si="460"/>
        <v>0</v>
      </c>
      <c r="Z82" s="270">
        <f t="shared" si="460"/>
        <v>0</v>
      </c>
      <c r="AA82" s="270">
        <f t="shared" si="460"/>
        <v>0</v>
      </c>
      <c r="AB82" s="270">
        <f t="shared" si="460"/>
        <v>0</v>
      </c>
      <c r="AC82" s="270">
        <f t="shared" si="460"/>
        <v>0</v>
      </c>
      <c r="AD82" s="270">
        <f t="shared" si="460"/>
        <v>0</v>
      </c>
      <c r="AE82" s="270">
        <f t="shared" si="460"/>
        <v>0</v>
      </c>
      <c r="AF82" s="270">
        <f t="shared" si="460"/>
        <v>0</v>
      </c>
      <c r="AG82" s="270">
        <f t="shared" si="460"/>
        <v>0</v>
      </c>
      <c r="AH82" s="265">
        <f t="shared" si="13"/>
        <v>124198.04</v>
      </c>
      <c r="AI82" s="270">
        <f t="shared" si="43"/>
        <v>0</v>
      </c>
      <c r="AJ82" s="270">
        <f t="shared" ref="AJ82:AO82" si="461">IF(F$8=0,0,ROUND(AJ81-(F82-BO82),2))</f>
        <v>0</v>
      </c>
      <c r="AK82" s="270">
        <f t="shared" si="461"/>
        <v>0</v>
      </c>
      <c r="AL82" s="270">
        <f t="shared" si="461"/>
        <v>0</v>
      </c>
      <c r="AM82" s="270">
        <f t="shared" si="461"/>
        <v>0</v>
      </c>
      <c r="AN82" s="270">
        <f t="shared" si="461"/>
        <v>0</v>
      </c>
      <c r="AO82" s="270">
        <f t="shared" si="461"/>
        <v>0</v>
      </c>
      <c r="AP82" s="270">
        <v>0.0</v>
      </c>
      <c r="AQ82" s="270">
        <f t="shared" ref="AQ82:AT82" si="462">IF(M$8=0,0,ROUND(AQ81-(M82-BV82),2))</f>
        <v>0</v>
      </c>
      <c r="AR82" s="270">
        <f t="shared" si="462"/>
        <v>0</v>
      </c>
      <c r="AS82" s="270">
        <f t="shared" si="462"/>
        <v>0</v>
      </c>
      <c r="AT82" s="270">
        <f t="shared" si="462"/>
        <v>17019.9</v>
      </c>
      <c r="AU82" s="270">
        <f t="shared" ref="AU82:BK82" si="463">IF(Q$8=0,0,ROUND(AU81-(Q82-BY82),2))</f>
        <v>107178.14</v>
      </c>
      <c r="AV82" s="270">
        <f t="shared" si="463"/>
        <v>0</v>
      </c>
      <c r="AW82" s="270">
        <f t="shared" si="463"/>
        <v>0</v>
      </c>
      <c r="AX82" s="270">
        <f t="shared" si="463"/>
        <v>0</v>
      </c>
      <c r="AY82" s="270">
        <f t="shared" si="463"/>
        <v>0</v>
      </c>
      <c r="AZ82" s="270">
        <f t="shared" si="463"/>
        <v>0</v>
      </c>
      <c r="BA82" s="270">
        <f t="shared" si="463"/>
        <v>0</v>
      </c>
      <c r="BB82" s="270">
        <f t="shared" si="463"/>
        <v>0</v>
      </c>
      <c r="BC82" s="270">
        <f t="shared" si="463"/>
        <v>0</v>
      </c>
      <c r="BD82" s="270">
        <f t="shared" si="463"/>
        <v>0</v>
      </c>
      <c r="BE82" s="270">
        <f t="shared" si="463"/>
        <v>0</v>
      </c>
      <c r="BF82" s="270">
        <f t="shared" si="463"/>
        <v>0</v>
      </c>
      <c r="BG82" s="270">
        <f t="shared" si="463"/>
        <v>0</v>
      </c>
      <c r="BH82" s="270">
        <f t="shared" si="463"/>
        <v>0</v>
      </c>
      <c r="BI82" s="270">
        <f t="shared" si="463"/>
        <v>0</v>
      </c>
      <c r="BJ82" s="270">
        <f t="shared" si="463"/>
        <v>0</v>
      </c>
      <c r="BK82" s="270">
        <f t="shared" si="463"/>
        <v>0</v>
      </c>
      <c r="BL82" s="265">
        <f t="shared" si="16"/>
        <v>124198.04</v>
      </c>
      <c r="BM82" s="215"/>
      <c r="BN82" s="270">
        <f t="shared" ref="BN82:CP82" si="464">ROUND(AI81*E$9/12,2)</f>
        <v>0</v>
      </c>
      <c r="BO82" s="270">
        <f t="shared" si="464"/>
        <v>0</v>
      </c>
      <c r="BP82" s="270">
        <f t="shared" si="464"/>
        <v>0</v>
      </c>
      <c r="BQ82" s="270">
        <f t="shared" si="464"/>
        <v>0</v>
      </c>
      <c r="BR82" s="270">
        <f t="shared" si="464"/>
        <v>0</v>
      </c>
      <c r="BS82" s="270">
        <f t="shared" si="464"/>
        <v>0</v>
      </c>
      <c r="BT82" s="270">
        <f t="shared" si="464"/>
        <v>0</v>
      </c>
      <c r="BU82" s="270">
        <f t="shared" si="464"/>
        <v>0</v>
      </c>
      <c r="BV82" s="270">
        <f t="shared" si="464"/>
        <v>0</v>
      </c>
      <c r="BW82" s="270">
        <f t="shared" si="464"/>
        <v>0</v>
      </c>
      <c r="BX82" s="270">
        <f t="shared" si="464"/>
        <v>0.27</v>
      </c>
      <c r="BY82" s="270">
        <f t="shared" si="464"/>
        <v>148.76</v>
      </c>
      <c r="BZ82" s="270">
        <f t="shared" si="464"/>
        <v>339.05</v>
      </c>
      <c r="CA82" s="270">
        <f t="shared" si="464"/>
        <v>0</v>
      </c>
      <c r="CB82" s="270">
        <f t="shared" si="464"/>
        <v>0</v>
      </c>
      <c r="CC82" s="270">
        <f t="shared" si="464"/>
        <v>0</v>
      </c>
      <c r="CD82" s="270">
        <f t="shared" si="464"/>
        <v>0</v>
      </c>
      <c r="CE82" s="270">
        <f t="shared" si="464"/>
        <v>0</v>
      </c>
      <c r="CF82" s="270">
        <f t="shared" si="464"/>
        <v>0</v>
      </c>
      <c r="CG82" s="270">
        <f t="shared" si="464"/>
        <v>0</v>
      </c>
      <c r="CH82" s="270">
        <f t="shared" si="464"/>
        <v>0</v>
      </c>
      <c r="CI82" s="270">
        <f t="shared" si="464"/>
        <v>0</v>
      </c>
      <c r="CJ82" s="270">
        <f t="shared" si="464"/>
        <v>0</v>
      </c>
      <c r="CK82" s="270">
        <f t="shared" si="464"/>
        <v>0</v>
      </c>
      <c r="CL82" s="270">
        <f t="shared" si="464"/>
        <v>0</v>
      </c>
      <c r="CM82" s="270">
        <f t="shared" si="464"/>
        <v>0</v>
      </c>
      <c r="CN82" s="270">
        <f t="shared" si="464"/>
        <v>0</v>
      </c>
      <c r="CO82" s="270">
        <f t="shared" si="464"/>
        <v>0</v>
      </c>
      <c r="CP82" s="270">
        <f t="shared" si="464"/>
        <v>0</v>
      </c>
      <c r="CQ82" s="215"/>
      <c r="CR82" s="270">
        <f t="shared" si="27"/>
        <v>488.08</v>
      </c>
      <c r="CS82" s="215"/>
      <c r="CT82" s="270">
        <f t="shared" ref="CT82:DX82" si="465">IF(AI81&gt;0,IF((AI81+BN82)&lt;E$10,AI81+BN82,E$10),0)</f>
        <v>0</v>
      </c>
      <c r="CU82" s="270">
        <f t="shared" si="465"/>
        <v>0</v>
      </c>
      <c r="CV82" s="270">
        <f t="shared" si="465"/>
        <v>0</v>
      </c>
      <c r="CW82" s="270">
        <f t="shared" si="465"/>
        <v>0</v>
      </c>
      <c r="CX82" s="270">
        <f t="shared" si="465"/>
        <v>0</v>
      </c>
      <c r="CY82" s="270">
        <f t="shared" si="465"/>
        <v>0</v>
      </c>
      <c r="CZ82" s="270">
        <f t="shared" si="465"/>
        <v>0</v>
      </c>
      <c r="DA82" s="270">
        <f t="shared" si="465"/>
        <v>0</v>
      </c>
      <c r="DB82" s="270">
        <f t="shared" si="465"/>
        <v>0</v>
      </c>
      <c r="DC82" s="270">
        <f t="shared" si="465"/>
        <v>0</v>
      </c>
      <c r="DD82" s="270">
        <f t="shared" si="465"/>
        <v>29.67</v>
      </c>
      <c r="DE82" s="270">
        <f t="shared" si="465"/>
        <v>791.16</v>
      </c>
      <c r="DF82" s="270">
        <f t="shared" si="465"/>
        <v>1467.13</v>
      </c>
      <c r="DG82" s="270">
        <f t="shared" si="465"/>
        <v>0</v>
      </c>
      <c r="DH82" s="270">
        <f t="shared" si="465"/>
        <v>0</v>
      </c>
      <c r="DI82" s="270">
        <f t="shared" si="465"/>
        <v>0</v>
      </c>
      <c r="DJ82" s="270">
        <f t="shared" si="465"/>
        <v>0</v>
      </c>
      <c r="DK82" s="270">
        <f t="shared" si="465"/>
        <v>0</v>
      </c>
      <c r="DL82" s="270">
        <f t="shared" si="465"/>
        <v>0</v>
      </c>
      <c r="DM82" s="270">
        <f t="shared" si="465"/>
        <v>0</v>
      </c>
      <c r="DN82" s="270">
        <f t="shared" si="465"/>
        <v>0</v>
      </c>
      <c r="DO82" s="270">
        <f t="shared" si="465"/>
        <v>0</v>
      </c>
      <c r="DP82" s="270">
        <f t="shared" si="465"/>
        <v>0</v>
      </c>
      <c r="DQ82" s="270">
        <f t="shared" si="465"/>
        <v>0</v>
      </c>
      <c r="DR82" s="270">
        <f t="shared" si="465"/>
        <v>0</v>
      </c>
      <c r="DS82" s="270">
        <f t="shared" si="465"/>
        <v>0</v>
      </c>
      <c r="DT82" s="270">
        <f t="shared" si="465"/>
        <v>0</v>
      </c>
      <c r="DU82" s="270">
        <f t="shared" si="465"/>
        <v>0</v>
      </c>
      <c r="DV82" s="270">
        <f t="shared" si="465"/>
        <v>0</v>
      </c>
      <c r="DW82" s="271" t="str">
        <f t="shared" si="465"/>
        <v/>
      </c>
      <c r="DX82" s="270">
        <f t="shared" si="465"/>
        <v>0</v>
      </c>
      <c r="DY82" s="270">
        <f t="shared" si="29"/>
        <v>2287.96</v>
      </c>
      <c r="DZ82" s="274"/>
      <c r="EA82" s="275">
        <f t="shared" si="38"/>
        <v>0</v>
      </c>
      <c r="EB82" s="270">
        <f t="shared" ref="EB82:FC82" si="466">IF(AJ80&lt;=0,0,IF($C81&lt;=SUM($EA82:EA82),0,IF(CU81+$C81-SUM($EA82:EA82)&gt;AJ80+BO81,AJ80+BO81-CU81,$C81-SUM($EA82:EA82))))</f>
        <v>0</v>
      </c>
      <c r="EC82" s="270">
        <f t="shared" si="466"/>
        <v>0</v>
      </c>
      <c r="ED82" s="270">
        <f t="shared" si="466"/>
        <v>0</v>
      </c>
      <c r="EE82" s="270">
        <f t="shared" si="466"/>
        <v>0</v>
      </c>
      <c r="EF82" s="270">
        <f t="shared" si="466"/>
        <v>0</v>
      </c>
      <c r="EG82" s="270">
        <f t="shared" si="466"/>
        <v>0</v>
      </c>
      <c r="EH82" s="270">
        <f t="shared" si="466"/>
        <v>0</v>
      </c>
      <c r="EI82" s="270">
        <f t="shared" si="466"/>
        <v>0</v>
      </c>
      <c r="EJ82" s="270">
        <f t="shared" si="466"/>
        <v>0</v>
      </c>
      <c r="EK82" s="270">
        <f t="shared" si="466"/>
        <v>908.11</v>
      </c>
      <c r="EL82" s="270">
        <f t="shared" si="466"/>
        <v>0</v>
      </c>
      <c r="EM82" s="270">
        <f t="shared" si="466"/>
        <v>0</v>
      </c>
      <c r="EN82" s="270">
        <f t="shared" si="466"/>
        <v>0</v>
      </c>
      <c r="EO82" s="270">
        <f t="shared" si="466"/>
        <v>0</v>
      </c>
      <c r="EP82" s="270">
        <f t="shared" si="466"/>
        <v>0</v>
      </c>
      <c r="EQ82" s="270">
        <f t="shared" si="466"/>
        <v>0</v>
      </c>
      <c r="ER82" s="270">
        <f t="shared" si="466"/>
        <v>0</v>
      </c>
      <c r="ES82" s="270">
        <f t="shared" si="466"/>
        <v>0</v>
      </c>
      <c r="ET82" s="270">
        <f t="shared" si="466"/>
        <v>0</v>
      </c>
      <c r="EU82" s="270">
        <f t="shared" si="466"/>
        <v>0</v>
      </c>
      <c r="EV82" s="270">
        <f t="shared" si="466"/>
        <v>0</v>
      </c>
      <c r="EW82" s="270">
        <f t="shared" si="466"/>
        <v>0</v>
      </c>
      <c r="EX82" s="270">
        <f t="shared" si="466"/>
        <v>0</v>
      </c>
      <c r="EY82" s="270">
        <f t="shared" si="466"/>
        <v>0</v>
      </c>
      <c r="EZ82" s="270">
        <f t="shared" si="466"/>
        <v>0</v>
      </c>
      <c r="FA82" s="270">
        <f t="shared" si="466"/>
        <v>0</v>
      </c>
      <c r="FB82" s="270">
        <f t="shared" si="466"/>
        <v>0</v>
      </c>
      <c r="FC82" s="270">
        <f t="shared" si="466"/>
        <v>0</v>
      </c>
      <c r="FD82" s="271"/>
      <c r="FE82" s="271"/>
      <c r="FF82" s="271"/>
      <c r="FG82" s="215"/>
      <c r="FH82" s="215"/>
    </row>
    <row r="83" ht="11.25" customHeight="1">
      <c r="A83" s="231">
        <f t="shared" si="19"/>
        <v>63</v>
      </c>
      <c r="B83" s="269">
        <v>47543.0</v>
      </c>
      <c r="C83" s="270">
        <f>IF(A83="","",IF(Calculator!snowball,IF(($E$5-DY83)&lt;0,0,$E$5-DY83),0)+D83)</f>
        <v>1603.71</v>
      </c>
      <c r="D83" s="277"/>
      <c r="E83" s="270">
        <f t="shared" si="40"/>
        <v>0</v>
      </c>
      <c r="F83" s="270">
        <f t="shared" ref="F83:AG83" si="467">CU83+EB84</f>
        <v>0</v>
      </c>
      <c r="G83" s="270">
        <f t="shared" si="467"/>
        <v>0</v>
      </c>
      <c r="H83" s="270">
        <f t="shared" si="467"/>
        <v>0</v>
      </c>
      <c r="I83" s="270">
        <f t="shared" si="467"/>
        <v>0</v>
      </c>
      <c r="J83" s="270">
        <f t="shared" si="467"/>
        <v>0</v>
      </c>
      <c r="K83" s="270">
        <f t="shared" si="467"/>
        <v>0</v>
      </c>
      <c r="L83" s="270">
        <f t="shared" si="467"/>
        <v>0</v>
      </c>
      <c r="M83" s="270">
        <f t="shared" si="467"/>
        <v>0</v>
      </c>
      <c r="N83" s="270">
        <f t="shared" si="467"/>
        <v>0</v>
      </c>
      <c r="O83" s="270">
        <f t="shared" si="467"/>
        <v>0</v>
      </c>
      <c r="P83" s="272">
        <f t="shared" si="467"/>
        <v>2394.87</v>
      </c>
      <c r="Q83" s="272">
        <f t="shared" si="467"/>
        <v>1467.13</v>
      </c>
      <c r="R83" s="272">
        <f t="shared" si="467"/>
        <v>0</v>
      </c>
      <c r="S83" s="272">
        <f t="shared" si="467"/>
        <v>0</v>
      </c>
      <c r="T83" s="272">
        <f t="shared" si="467"/>
        <v>0</v>
      </c>
      <c r="U83" s="270">
        <f t="shared" si="467"/>
        <v>0</v>
      </c>
      <c r="V83" s="270">
        <f t="shared" si="467"/>
        <v>0</v>
      </c>
      <c r="W83" s="270">
        <f t="shared" si="467"/>
        <v>0</v>
      </c>
      <c r="X83" s="270">
        <f t="shared" si="467"/>
        <v>0</v>
      </c>
      <c r="Y83" s="270">
        <f t="shared" si="467"/>
        <v>0</v>
      </c>
      <c r="Z83" s="270">
        <f t="shared" si="467"/>
        <v>0</v>
      </c>
      <c r="AA83" s="270">
        <f t="shared" si="467"/>
        <v>0</v>
      </c>
      <c r="AB83" s="270">
        <f t="shared" si="467"/>
        <v>0</v>
      </c>
      <c r="AC83" s="270">
        <f t="shared" si="467"/>
        <v>0</v>
      </c>
      <c r="AD83" s="270">
        <f t="shared" si="467"/>
        <v>0</v>
      </c>
      <c r="AE83" s="270">
        <f t="shared" si="467"/>
        <v>0</v>
      </c>
      <c r="AF83" s="270">
        <f t="shared" si="467"/>
        <v>0</v>
      </c>
      <c r="AG83" s="270">
        <f t="shared" si="467"/>
        <v>0</v>
      </c>
      <c r="AH83" s="265">
        <f t="shared" si="13"/>
        <v>120599.28</v>
      </c>
      <c r="AI83" s="270">
        <f t="shared" si="43"/>
        <v>0</v>
      </c>
      <c r="AJ83" s="270">
        <f t="shared" ref="AJ83:AO83" si="468">IF(F$8=0,0,ROUND(AJ82-(F83-BO83),2))</f>
        <v>0</v>
      </c>
      <c r="AK83" s="270">
        <f t="shared" si="468"/>
        <v>0</v>
      </c>
      <c r="AL83" s="270">
        <f t="shared" si="468"/>
        <v>0</v>
      </c>
      <c r="AM83" s="270">
        <f t="shared" si="468"/>
        <v>0</v>
      </c>
      <c r="AN83" s="270">
        <f t="shared" si="468"/>
        <v>0</v>
      </c>
      <c r="AO83" s="270">
        <f t="shared" si="468"/>
        <v>0</v>
      </c>
      <c r="AP83" s="270">
        <v>0.0</v>
      </c>
      <c r="AQ83" s="270">
        <f t="shared" ref="AQ83:AT83" si="469">IF(M$8=0,0,ROUND(AQ82-(M83-BV83),2))</f>
        <v>0</v>
      </c>
      <c r="AR83" s="270">
        <f t="shared" si="469"/>
        <v>0</v>
      </c>
      <c r="AS83" s="270">
        <f t="shared" si="469"/>
        <v>0</v>
      </c>
      <c r="AT83" s="270">
        <f t="shared" si="469"/>
        <v>14756.65</v>
      </c>
      <c r="AU83" s="270">
        <f t="shared" ref="AU83:BK83" si="470">IF(Q$8=0,0,ROUND(AU82-(Q83-BY83),2))</f>
        <v>105842.63</v>
      </c>
      <c r="AV83" s="270">
        <f t="shared" si="470"/>
        <v>0</v>
      </c>
      <c r="AW83" s="270">
        <f t="shared" si="470"/>
        <v>0</v>
      </c>
      <c r="AX83" s="270">
        <f t="shared" si="470"/>
        <v>0</v>
      </c>
      <c r="AY83" s="270">
        <f t="shared" si="470"/>
        <v>0</v>
      </c>
      <c r="AZ83" s="270">
        <f t="shared" si="470"/>
        <v>0</v>
      </c>
      <c r="BA83" s="270">
        <f t="shared" si="470"/>
        <v>0</v>
      </c>
      <c r="BB83" s="270">
        <f t="shared" si="470"/>
        <v>0</v>
      </c>
      <c r="BC83" s="270">
        <f t="shared" si="470"/>
        <v>0</v>
      </c>
      <c r="BD83" s="270">
        <f t="shared" si="470"/>
        <v>0</v>
      </c>
      <c r="BE83" s="270">
        <f t="shared" si="470"/>
        <v>0</v>
      </c>
      <c r="BF83" s="270">
        <f t="shared" si="470"/>
        <v>0</v>
      </c>
      <c r="BG83" s="270">
        <f t="shared" si="470"/>
        <v>0</v>
      </c>
      <c r="BH83" s="270">
        <f t="shared" si="470"/>
        <v>0</v>
      </c>
      <c r="BI83" s="270">
        <f t="shared" si="470"/>
        <v>0</v>
      </c>
      <c r="BJ83" s="270">
        <f t="shared" si="470"/>
        <v>0</v>
      </c>
      <c r="BK83" s="270">
        <f t="shared" si="470"/>
        <v>0</v>
      </c>
      <c r="BL83" s="265">
        <f t="shared" si="16"/>
        <v>120599.28</v>
      </c>
      <c r="BM83" s="215"/>
      <c r="BN83" s="270">
        <f t="shared" ref="BN83:CP83" si="471">ROUND(AI82*E$9/12,2)</f>
        <v>0</v>
      </c>
      <c r="BO83" s="270">
        <f t="shared" si="471"/>
        <v>0</v>
      </c>
      <c r="BP83" s="270">
        <f t="shared" si="471"/>
        <v>0</v>
      </c>
      <c r="BQ83" s="270">
        <f t="shared" si="471"/>
        <v>0</v>
      </c>
      <c r="BR83" s="270">
        <f t="shared" si="471"/>
        <v>0</v>
      </c>
      <c r="BS83" s="270">
        <f t="shared" si="471"/>
        <v>0</v>
      </c>
      <c r="BT83" s="270">
        <f t="shared" si="471"/>
        <v>0</v>
      </c>
      <c r="BU83" s="270">
        <f t="shared" si="471"/>
        <v>0</v>
      </c>
      <c r="BV83" s="270">
        <f t="shared" si="471"/>
        <v>0</v>
      </c>
      <c r="BW83" s="270">
        <f t="shared" si="471"/>
        <v>0</v>
      </c>
      <c r="BX83" s="270">
        <f t="shared" si="471"/>
        <v>0</v>
      </c>
      <c r="BY83" s="270">
        <f t="shared" si="471"/>
        <v>131.62</v>
      </c>
      <c r="BZ83" s="270">
        <f t="shared" si="471"/>
        <v>334.93</v>
      </c>
      <c r="CA83" s="270">
        <f t="shared" si="471"/>
        <v>0</v>
      </c>
      <c r="CB83" s="270">
        <f t="shared" si="471"/>
        <v>0</v>
      </c>
      <c r="CC83" s="270">
        <f t="shared" si="471"/>
        <v>0</v>
      </c>
      <c r="CD83" s="270">
        <f t="shared" si="471"/>
        <v>0</v>
      </c>
      <c r="CE83" s="270">
        <f t="shared" si="471"/>
        <v>0</v>
      </c>
      <c r="CF83" s="270">
        <f t="shared" si="471"/>
        <v>0</v>
      </c>
      <c r="CG83" s="270">
        <f t="shared" si="471"/>
        <v>0</v>
      </c>
      <c r="CH83" s="270">
        <f t="shared" si="471"/>
        <v>0</v>
      </c>
      <c r="CI83" s="270">
        <f t="shared" si="471"/>
        <v>0</v>
      </c>
      <c r="CJ83" s="270">
        <f t="shared" si="471"/>
        <v>0</v>
      </c>
      <c r="CK83" s="270">
        <f t="shared" si="471"/>
        <v>0</v>
      </c>
      <c r="CL83" s="270">
        <f t="shared" si="471"/>
        <v>0</v>
      </c>
      <c r="CM83" s="270">
        <f t="shared" si="471"/>
        <v>0</v>
      </c>
      <c r="CN83" s="270">
        <f t="shared" si="471"/>
        <v>0</v>
      </c>
      <c r="CO83" s="270">
        <f t="shared" si="471"/>
        <v>0</v>
      </c>
      <c r="CP83" s="270">
        <f t="shared" si="471"/>
        <v>0</v>
      </c>
      <c r="CQ83" s="215"/>
      <c r="CR83" s="270">
        <f t="shared" si="27"/>
        <v>466.55</v>
      </c>
      <c r="CS83" s="215"/>
      <c r="CT83" s="270">
        <f t="shared" ref="CT83:DX83" si="472">IF(AI82&gt;0,IF((AI82+BN83)&lt;E$10,AI82+BN83,E$10),0)</f>
        <v>0</v>
      </c>
      <c r="CU83" s="270">
        <f t="shared" si="472"/>
        <v>0</v>
      </c>
      <c r="CV83" s="270">
        <f t="shared" si="472"/>
        <v>0</v>
      </c>
      <c r="CW83" s="270">
        <f t="shared" si="472"/>
        <v>0</v>
      </c>
      <c r="CX83" s="270">
        <f t="shared" si="472"/>
        <v>0</v>
      </c>
      <c r="CY83" s="270">
        <f t="shared" si="472"/>
        <v>0</v>
      </c>
      <c r="CZ83" s="270">
        <f t="shared" si="472"/>
        <v>0</v>
      </c>
      <c r="DA83" s="270">
        <f t="shared" si="472"/>
        <v>0</v>
      </c>
      <c r="DB83" s="270">
        <f t="shared" si="472"/>
        <v>0</v>
      </c>
      <c r="DC83" s="270">
        <f t="shared" si="472"/>
        <v>0</v>
      </c>
      <c r="DD83" s="270">
        <f t="shared" si="472"/>
        <v>0</v>
      </c>
      <c r="DE83" s="270">
        <f t="shared" si="472"/>
        <v>791.16</v>
      </c>
      <c r="DF83" s="270">
        <f t="shared" si="472"/>
        <v>1467.13</v>
      </c>
      <c r="DG83" s="270">
        <f t="shared" si="472"/>
        <v>0</v>
      </c>
      <c r="DH83" s="270">
        <f t="shared" si="472"/>
        <v>0</v>
      </c>
      <c r="DI83" s="270">
        <f t="shared" si="472"/>
        <v>0</v>
      </c>
      <c r="DJ83" s="270">
        <f t="shared" si="472"/>
        <v>0</v>
      </c>
      <c r="DK83" s="270">
        <f t="shared" si="472"/>
        <v>0</v>
      </c>
      <c r="DL83" s="270">
        <f t="shared" si="472"/>
        <v>0</v>
      </c>
      <c r="DM83" s="270">
        <f t="shared" si="472"/>
        <v>0</v>
      </c>
      <c r="DN83" s="270">
        <f t="shared" si="472"/>
        <v>0</v>
      </c>
      <c r="DO83" s="270">
        <f t="shared" si="472"/>
        <v>0</v>
      </c>
      <c r="DP83" s="270">
        <f t="shared" si="472"/>
        <v>0</v>
      </c>
      <c r="DQ83" s="270">
        <f t="shared" si="472"/>
        <v>0</v>
      </c>
      <c r="DR83" s="270">
        <f t="shared" si="472"/>
        <v>0</v>
      </c>
      <c r="DS83" s="270">
        <f t="shared" si="472"/>
        <v>0</v>
      </c>
      <c r="DT83" s="270">
        <f t="shared" si="472"/>
        <v>0</v>
      </c>
      <c r="DU83" s="270">
        <f t="shared" si="472"/>
        <v>0</v>
      </c>
      <c r="DV83" s="270">
        <f t="shared" si="472"/>
        <v>0</v>
      </c>
      <c r="DW83" s="271" t="str">
        <f t="shared" si="472"/>
        <v/>
      </c>
      <c r="DX83" s="270">
        <f t="shared" si="472"/>
        <v>0</v>
      </c>
      <c r="DY83" s="270">
        <f t="shared" si="29"/>
        <v>2258.29</v>
      </c>
      <c r="DZ83" s="274"/>
      <c r="EA83" s="275">
        <f t="shared" si="38"/>
        <v>0</v>
      </c>
      <c r="EB83" s="270">
        <f t="shared" ref="EB83:FC83" si="473">IF(AJ81&lt;=0,0,IF($C82&lt;=SUM($EA83:EA83),0,IF(CU82+$C82-SUM($EA83:EA83)&gt;AJ81+BO82,AJ81+BO82-CU82,$C82-SUM($EA83:EA83))))</f>
        <v>0</v>
      </c>
      <c r="EC83" s="270">
        <f t="shared" si="473"/>
        <v>0</v>
      </c>
      <c r="ED83" s="270">
        <f t="shared" si="473"/>
        <v>0</v>
      </c>
      <c r="EE83" s="270">
        <f t="shared" si="473"/>
        <v>0</v>
      </c>
      <c r="EF83" s="270">
        <f t="shared" si="473"/>
        <v>0</v>
      </c>
      <c r="EG83" s="270">
        <f t="shared" si="473"/>
        <v>0</v>
      </c>
      <c r="EH83" s="270">
        <f t="shared" si="473"/>
        <v>0</v>
      </c>
      <c r="EI83" s="270">
        <f t="shared" si="473"/>
        <v>0</v>
      </c>
      <c r="EJ83" s="270">
        <f t="shared" si="473"/>
        <v>0</v>
      </c>
      <c r="EK83" s="270">
        <f t="shared" si="473"/>
        <v>0</v>
      </c>
      <c r="EL83" s="270">
        <f t="shared" si="473"/>
        <v>1574.04</v>
      </c>
      <c r="EM83" s="270">
        <f t="shared" si="473"/>
        <v>0</v>
      </c>
      <c r="EN83" s="270">
        <f t="shared" si="473"/>
        <v>0</v>
      </c>
      <c r="EO83" s="270">
        <f t="shared" si="473"/>
        <v>0</v>
      </c>
      <c r="EP83" s="270">
        <f t="shared" si="473"/>
        <v>0</v>
      </c>
      <c r="EQ83" s="270">
        <f t="shared" si="473"/>
        <v>0</v>
      </c>
      <c r="ER83" s="270">
        <f t="shared" si="473"/>
        <v>0</v>
      </c>
      <c r="ES83" s="270">
        <f t="shared" si="473"/>
        <v>0</v>
      </c>
      <c r="ET83" s="270">
        <f t="shared" si="473"/>
        <v>0</v>
      </c>
      <c r="EU83" s="270">
        <f t="shared" si="473"/>
        <v>0</v>
      </c>
      <c r="EV83" s="270">
        <f t="shared" si="473"/>
        <v>0</v>
      </c>
      <c r="EW83" s="270">
        <f t="shared" si="473"/>
        <v>0</v>
      </c>
      <c r="EX83" s="270">
        <f t="shared" si="473"/>
        <v>0</v>
      </c>
      <c r="EY83" s="270">
        <f t="shared" si="473"/>
        <v>0</v>
      </c>
      <c r="EZ83" s="270">
        <f t="shared" si="473"/>
        <v>0</v>
      </c>
      <c r="FA83" s="270">
        <f t="shared" si="473"/>
        <v>0</v>
      </c>
      <c r="FB83" s="270">
        <f t="shared" si="473"/>
        <v>0</v>
      </c>
      <c r="FC83" s="270">
        <f t="shared" si="473"/>
        <v>0</v>
      </c>
      <c r="FD83" s="271"/>
      <c r="FE83" s="271"/>
      <c r="FF83" s="271"/>
      <c r="FG83" s="215"/>
      <c r="FH83" s="215"/>
    </row>
    <row r="84" ht="11.25" customHeight="1">
      <c r="A84" s="231">
        <f t="shared" si="19"/>
        <v>64</v>
      </c>
      <c r="B84" s="269">
        <v>47574.0</v>
      </c>
      <c r="C84" s="270">
        <f>IF(A84="","",IF(Calculator!snowball,IF(($E$5-DY84)&lt;0,0,$E$5-DY84),0)+D84)</f>
        <v>1603.71</v>
      </c>
      <c r="D84" s="277"/>
      <c r="E84" s="270">
        <f t="shared" si="40"/>
        <v>0</v>
      </c>
      <c r="F84" s="270">
        <f t="shared" ref="F84:AG84" si="474">CU84+EB85</f>
        <v>0</v>
      </c>
      <c r="G84" s="270">
        <f t="shared" si="474"/>
        <v>0</v>
      </c>
      <c r="H84" s="270">
        <f t="shared" si="474"/>
        <v>0</v>
      </c>
      <c r="I84" s="270">
        <f t="shared" si="474"/>
        <v>0</v>
      </c>
      <c r="J84" s="270">
        <f t="shared" si="474"/>
        <v>0</v>
      </c>
      <c r="K84" s="270">
        <f t="shared" si="474"/>
        <v>0</v>
      </c>
      <c r="L84" s="270">
        <f t="shared" si="474"/>
        <v>0</v>
      </c>
      <c r="M84" s="270">
        <f t="shared" si="474"/>
        <v>0</v>
      </c>
      <c r="N84" s="270">
        <f t="shared" si="474"/>
        <v>0</v>
      </c>
      <c r="O84" s="270">
        <f t="shared" si="474"/>
        <v>0</v>
      </c>
      <c r="P84" s="272">
        <f t="shared" si="474"/>
        <v>2394.87</v>
      </c>
      <c r="Q84" s="272">
        <f t="shared" si="474"/>
        <v>1467.13</v>
      </c>
      <c r="R84" s="272">
        <f t="shared" si="474"/>
        <v>0</v>
      </c>
      <c r="S84" s="272">
        <f t="shared" si="474"/>
        <v>0</v>
      </c>
      <c r="T84" s="272">
        <f t="shared" si="474"/>
        <v>0</v>
      </c>
      <c r="U84" s="270">
        <f t="shared" si="474"/>
        <v>0</v>
      </c>
      <c r="V84" s="270">
        <f t="shared" si="474"/>
        <v>0</v>
      </c>
      <c r="W84" s="270">
        <f t="shared" si="474"/>
        <v>0</v>
      </c>
      <c r="X84" s="270">
        <f t="shared" si="474"/>
        <v>0</v>
      </c>
      <c r="Y84" s="270">
        <f t="shared" si="474"/>
        <v>0</v>
      </c>
      <c r="Z84" s="270">
        <f t="shared" si="474"/>
        <v>0</v>
      </c>
      <c r="AA84" s="270">
        <f t="shared" si="474"/>
        <v>0</v>
      </c>
      <c r="AB84" s="270">
        <f t="shared" si="474"/>
        <v>0</v>
      </c>
      <c r="AC84" s="270">
        <f t="shared" si="474"/>
        <v>0</v>
      </c>
      <c r="AD84" s="270">
        <f t="shared" si="474"/>
        <v>0</v>
      </c>
      <c r="AE84" s="270">
        <f t="shared" si="474"/>
        <v>0</v>
      </c>
      <c r="AF84" s="270">
        <f t="shared" si="474"/>
        <v>0</v>
      </c>
      <c r="AG84" s="270">
        <f t="shared" si="474"/>
        <v>0</v>
      </c>
      <c r="AH84" s="265">
        <f t="shared" si="13"/>
        <v>116965.52</v>
      </c>
      <c r="AI84" s="270">
        <f t="shared" si="43"/>
        <v>0</v>
      </c>
      <c r="AJ84" s="270">
        <f t="shared" ref="AJ84:AO84" si="475">IF(F$8=0,0,ROUND(AJ83-(F84-BO84),2))</f>
        <v>0</v>
      </c>
      <c r="AK84" s="270">
        <f t="shared" si="475"/>
        <v>0</v>
      </c>
      <c r="AL84" s="270">
        <f t="shared" si="475"/>
        <v>0</v>
      </c>
      <c r="AM84" s="270">
        <f t="shared" si="475"/>
        <v>0</v>
      </c>
      <c r="AN84" s="270">
        <f t="shared" si="475"/>
        <v>0</v>
      </c>
      <c r="AO84" s="270">
        <f t="shared" si="475"/>
        <v>0</v>
      </c>
      <c r="AP84" s="270">
        <v>0.0</v>
      </c>
      <c r="AQ84" s="270">
        <f t="shared" ref="AQ84:AT84" si="476">IF(M$8=0,0,ROUND(AQ83-(M84-BV84),2))</f>
        <v>0</v>
      </c>
      <c r="AR84" s="270">
        <f t="shared" si="476"/>
        <v>0</v>
      </c>
      <c r="AS84" s="270">
        <f t="shared" si="476"/>
        <v>0</v>
      </c>
      <c r="AT84" s="270">
        <f t="shared" si="476"/>
        <v>12475.9</v>
      </c>
      <c r="AU84" s="270">
        <f t="shared" ref="AU84:BK84" si="477">IF(Q$8=0,0,ROUND(AU83-(Q84-BY84),2))</f>
        <v>104489.62</v>
      </c>
      <c r="AV84" s="270">
        <f t="shared" si="477"/>
        <v>0</v>
      </c>
      <c r="AW84" s="270">
        <f t="shared" si="477"/>
        <v>0</v>
      </c>
      <c r="AX84" s="270">
        <f t="shared" si="477"/>
        <v>0</v>
      </c>
      <c r="AY84" s="270">
        <f t="shared" si="477"/>
        <v>0</v>
      </c>
      <c r="AZ84" s="270">
        <f t="shared" si="477"/>
        <v>0</v>
      </c>
      <c r="BA84" s="270">
        <f t="shared" si="477"/>
        <v>0</v>
      </c>
      <c r="BB84" s="270">
        <f t="shared" si="477"/>
        <v>0</v>
      </c>
      <c r="BC84" s="270">
        <f t="shared" si="477"/>
        <v>0</v>
      </c>
      <c r="BD84" s="270">
        <f t="shared" si="477"/>
        <v>0</v>
      </c>
      <c r="BE84" s="270">
        <f t="shared" si="477"/>
        <v>0</v>
      </c>
      <c r="BF84" s="270">
        <f t="shared" si="477"/>
        <v>0</v>
      </c>
      <c r="BG84" s="270">
        <f t="shared" si="477"/>
        <v>0</v>
      </c>
      <c r="BH84" s="270">
        <f t="shared" si="477"/>
        <v>0</v>
      </c>
      <c r="BI84" s="270">
        <f t="shared" si="477"/>
        <v>0</v>
      </c>
      <c r="BJ84" s="270">
        <f t="shared" si="477"/>
        <v>0</v>
      </c>
      <c r="BK84" s="270">
        <f t="shared" si="477"/>
        <v>0</v>
      </c>
      <c r="BL84" s="265">
        <f t="shared" si="16"/>
        <v>116965.52</v>
      </c>
      <c r="BM84" s="215"/>
      <c r="BN84" s="270">
        <f t="shared" ref="BN84:CP84" si="478">ROUND(AI83*E$9/12,2)</f>
        <v>0</v>
      </c>
      <c r="BO84" s="270">
        <f t="shared" si="478"/>
        <v>0</v>
      </c>
      <c r="BP84" s="270">
        <f t="shared" si="478"/>
        <v>0</v>
      </c>
      <c r="BQ84" s="270">
        <f t="shared" si="478"/>
        <v>0</v>
      </c>
      <c r="BR84" s="270">
        <f t="shared" si="478"/>
        <v>0</v>
      </c>
      <c r="BS84" s="270">
        <f t="shared" si="478"/>
        <v>0</v>
      </c>
      <c r="BT84" s="270">
        <f t="shared" si="478"/>
        <v>0</v>
      </c>
      <c r="BU84" s="270">
        <f t="shared" si="478"/>
        <v>0</v>
      </c>
      <c r="BV84" s="270">
        <f t="shared" si="478"/>
        <v>0</v>
      </c>
      <c r="BW84" s="270">
        <f t="shared" si="478"/>
        <v>0</v>
      </c>
      <c r="BX84" s="270">
        <f t="shared" si="478"/>
        <v>0</v>
      </c>
      <c r="BY84" s="270">
        <f t="shared" si="478"/>
        <v>114.12</v>
      </c>
      <c r="BZ84" s="270">
        <f t="shared" si="478"/>
        <v>330.76</v>
      </c>
      <c r="CA84" s="270">
        <f t="shared" si="478"/>
        <v>0</v>
      </c>
      <c r="CB84" s="270">
        <f t="shared" si="478"/>
        <v>0</v>
      </c>
      <c r="CC84" s="270">
        <f t="shared" si="478"/>
        <v>0</v>
      </c>
      <c r="CD84" s="270">
        <f t="shared" si="478"/>
        <v>0</v>
      </c>
      <c r="CE84" s="270">
        <f t="shared" si="478"/>
        <v>0</v>
      </c>
      <c r="CF84" s="270">
        <f t="shared" si="478"/>
        <v>0</v>
      </c>
      <c r="CG84" s="270">
        <f t="shared" si="478"/>
        <v>0</v>
      </c>
      <c r="CH84" s="270">
        <f t="shared" si="478"/>
        <v>0</v>
      </c>
      <c r="CI84" s="270">
        <f t="shared" si="478"/>
        <v>0</v>
      </c>
      <c r="CJ84" s="270">
        <f t="shared" si="478"/>
        <v>0</v>
      </c>
      <c r="CK84" s="270">
        <f t="shared" si="478"/>
        <v>0</v>
      </c>
      <c r="CL84" s="270">
        <f t="shared" si="478"/>
        <v>0</v>
      </c>
      <c r="CM84" s="270">
        <f t="shared" si="478"/>
        <v>0</v>
      </c>
      <c r="CN84" s="270">
        <f t="shared" si="478"/>
        <v>0</v>
      </c>
      <c r="CO84" s="270">
        <f t="shared" si="478"/>
        <v>0</v>
      </c>
      <c r="CP84" s="270">
        <f t="shared" si="478"/>
        <v>0</v>
      </c>
      <c r="CQ84" s="215"/>
      <c r="CR84" s="270">
        <f t="shared" si="27"/>
        <v>444.88</v>
      </c>
      <c r="CS84" s="215"/>
      <c r="CT84" s="270">
        <f t="shared" ref="CT84:DX84" si="479">IF(AI83&gt;0,IF((AI83+BN84)&lt;E$10,AI83+BN84,E$10),0)</f>
        <v>0</v>
      </c>
      <c r="CU84" s="270">
        <f t="shared" si="479"/>
        <v>0</v>
      </c>
      <c r="CV84" s="270">
        <f t="shared" si="479"/>
        <v>0</v>
      </c>
      <c r="CW84" s="270">
        <f t="shared" si="479"/>
        <v>0</v>
      </c>
      <c r="CX84" s="270">
        <f t="shared" si="479"/>
        <v>0</v>
      </c>
      <c r="CY84" s="270">
        <f t="shared" si="479"/>
        <v>0</v>
      </c>
      <c r="CZ84" s="270">
        <f t="shared" si="479"/>
        <v>0</v>
      </c>
      <c r="DA84" s="270">
        <f t="shared" si="479"/>
        <v>0</v>
      </c>
      <c r="DB84" s="270">
        <f t="shared" si="479"/>
        <v>0</v>
      </c>
      <c r="DC84" s="270">
        <f t="shared" si="479"/>
        <v>0</v>
      </c>
      <c r="DD84" s="270">
        <f t="shared" si="479"/>
        <v>0</v>
      </c>
      <c r="DE84" s="270">
        <f t="shared" si="479"/>
        <v>791.16</v>
      </c>
      <c r="DF84" s="270">
        <f t="shared" si="479"/>
        <v>1467.13</v>
      </c>
      <c r="DG84" s="270">
        <f t="shared" si="479"/>
        <v>0</v>
      </c>
      <c r="DH84" s="270">
        <f t="shared" si="479"/>
        <v>0</v>
      </c>
      <c r="DI84" s="270">
        <f t="shared" si="479"/>
        <v>0</v>
      </c>
      <c r="DJ84" s="270">
        <f t="shared" si="479"/>
        <v>0</v>
      </c>
      <c r="DK84" s="270">
        <f t="shared" si="479"/>
        <v>0</v>
      </c>
      <c r="DL84" s="270">
        <f t="shared" si="479"/>
        <v>0</v>
      </c>
      <c r="DM84" s="270">
        <f t="shared" si="479"/>
        <v>0</v>
      </c>
      <c r="DN84" s="270">
        <f t="shared" si="479"/>
        <v>0</v>
      </c>
      <c r="DO84" s="270">
        <f t="shared" si="479"/>
        <v>0</v>
      </c>
      <c r="DP84" s="270">
        <f t="shared" si="479"/>
        <v>0</v>
      </c>
      <c r="DQ84" s="270">
        <f t="shared" si="479"/>
        <v>0</v>
      </c>
      <c r="DR84" s="270">
        <f t="shared" si="479"/>
        <v>0</v>
      </c>
      <c r="DS84" s="270">
        <f t="shared" si="479"/>
        <v>0</v>
      </c>
      <c r="DT84" s="270">
        <f t="shared" si="479"/>
        <v>0</v>
      </c>
      <c r="DU84" s="270">
        <f t="shared" si="479"/>
        <v>0</v>
      </c>
      <c r="DV84" s="270">
        <f t="shared" si="479"/>
        <v>0</v>
      </c>
      <c r="DW84" s="271" t="str">
        <f t="shared" si="479"/>
        <v/>
      </c>
      <c r="DX84" s="270">
        <f t="shared" si="479"/>
        <v>0</v>
      </c>
      <c r="DY84" s="270">
        <f t="shared" si="29"/>
        <v>2258.29</v>
      </c>
      <c r="DZ84" s="274"/>
      <c r="EA84" s="275">
        <f t="shared" si="38"/>
        <v>0</v>
      </c>
      <c r="EB84" s="270">
        <f t="shared" ref="EB84:FC84" si="480">IF(AJ82&lt;=0,0,IF($C83&lt;=SUM($EA84:EA84),0,IF(CU83+$C83-SUM($EA84:EA84)&gt;AJ82+BO83,AJ82+BO83-CU83,$C83-SUM($EA84:EA84))))</f>
        <v>0</v>
      </c>
      <c r="EC84" s="270">
        <f t="shared" si="480"/>
        <v>0</v>
      </c>
      <c r="ED84" s="270">
        <f t="shared" si="480"/>
        <v>0</v>
      </c>
      <c r="EE84" s="270">
        <f t="shared" si="480"/>
        <v>0</v>
      </c>
      <c r="EF84" s="270">
        <f t="shared" si="480"/>
        <v>0</v>
      </c>
      <c r="EG84" s="270">
        <f t="shared" si="480"/>
        <v>0</v>
      </c>
      <c r="EH84" s="270">
        <f t="shared" si="480"/>
        <v>0</v>
      </c>
      <c r="EI84" s="270">
        <f t="shared" si="480"/>
        <v>0</v>
      </c>
      <c r="EJ84" s="270">
        <f t="shared" si="480"/>
        <v>0</v>
      </c>
      <c r="EK84" s="270">
        <f t="shared" si="480"/>
        <v>0</v>
      </c>
      <c r="EL84" s="270">
        <f t="shared" si="480"/>
        <v>1603.71</v>
      </c>
      <c r="EM84" s="270">
        <f t="shared" si="480"/>
        <v>0</v>
      </c>
      <c r="EN84" s="270">
        <f t="shared" si="480"/>
        <v>0</v>
      </c>
      <c r="EO84" s="270">
        <f t="shared" si="480"/>
        <v>0</v>
      </c>
      <c r="EP84" s="270">
        <f t="shared" si="480"/>
        <v>0</v>
      </c>
      <c r="EQ84" s="270">
        <f t="shared" si="480"/>
        <v>0</v>
      </c>
      <c r="ER84" s="270">
        <f t="shared" si="480"/>
        <v>0</v>
      </c>
      <c r="ES84" s="270">
        <f t="shared" si="480"/>
        <v>0</v>
      </c>
      <c r="ET84" s="270">
        <f t="shared" si="480"/>
        <v>0</v>
      </c>
      <c r="EU84" s="270">
        <f t="shared" si="480"/>
        <v>0</v>
      </c>
      <c r="EV84" s="270">
        <f t="shared" si="480"/>
        <v>0</v>
      </c>
      <c r="EW84" s="270">
        <f t="shared" si="480"/>
        <v>0</v>
      </c>
      <c r="EX84" s="270">
        <f t="shared" si="480"/>
        <v>0</v>
      </c>
      <c r="EY84" s="270">
        <f t="shared" si="480"/>
        <v>0</v>
      </c>
      <c r="EZ84" s="270">
        <f t="shared" si="480"/>
        <v>0</v>
      </c>
      <c r="FA84" s="270">
        <f t="shared" si="480"/>
        <v>0</v>
      </c>
      <c r="FB84" s="270">
        <f t="shared" si="480"/>
        <v>0</v>
      </c>
      <c r="FC84" s="270">
        <f t="shared" si="480"/>
        <v>0</v>
      </c>
      <c r="FD84" s="271"/>
      <c r="FE84" s="271"/>
      <c r="FF84" s="271"/>
      <c r="FG84" s="215"/>
      <c r="FH84" s="215"/>
    </row>
    <row r="85" ht="11.25" customHeight="1">
      <c r="A85" s="231">
        <f t="shared" si="19"/>
        <v>65</v>
      </c>
      <c r="B85" s="269">
        <v>47604.0</v>
      </c>
      <c r="C85" s="270">
        <f>IF(A85="","",IF(Calculator!snowball,IF(($E$5-DY85)&lt;0,0,$E$5-DY85),0)+D85)</f>
        <v>1603.71</v>
      </c>
      <c r="D85" s="277"/>
      <c r="E85" s="270">
        <f t="shared" si="40"/>
        <v>0</v>
      </c>
      <c r="F85" s="270">
        <f t="shared" ref="F85:AG85" si="481">CU85+EB86</f>
        <v>0</v>
      </c>
      <c r="G85" s="270">
        <f t="shared" si="481"/>
        <v>0</v>
      </c>
      <c r="H85" s="270">
        <f t="shared" si="481"/>
        <v>0</v>
      </c>
      <c r="I85" s="270">
        <f t="shared" si="481"/>
        <v>0</v>
      </c>
      <c r="J85" s="270">
        <f t="shared" si="481"/>
        <v>0</v>
      </c>
      <c r="K85" s="270">
        <f t="shared" si="481"/>
        <v>0</v>
      </c>
      <c r="L85" s="270">
        <f t="shared" si="481"/>
        <v>0</v>
      </c>
      <c r="M85" s="270">
        <f t="shared" si="481"/>
        <v>0</v>
      </c>
      <c r="N85" s="270">
        <f t="shared" si="481"/>
        <v>0</v>
      </c>
      <c r="O85" s="270">
        <f t="shared" si="481"/>
        <v>0</v>
      </c>
      <c r="P85" s="272">
        <f t="shared" si="481"/>
        <v>2394.87</v>
      </c>
      <c r="Q85" s="272">
        <f t="shared" si="481"/>
        <v>1467.13</v>
      </c>
      <c r="R85" s="272">
        <f t="shared" si="481"/>
        <v>0</v>
      </c>
      <c r="S85" s="272">
        <f t="shared" si="481"/>
        <v>0</v>
      </c>
      <c r="T85" s="272">
        <f t="shared" si="481"/>
        <v>0</v>
      </c>
      <c r="U85" s="270">
        <f t="shared" si="481"/>
        <v>0</v>
      </c>
      <c r="V85" s="270">
        <f t="shared" si="481"/>
        <v>0</v>
      </c>
      <c r="W85" s="270">
        <f t="shared" si="481"/>
        <v>0</v>
      </c>
      <c r="X85" s="270">
        <f t="shared" si="481"/>
        <v>0</v>
      </c>
      <c r="Y85" s="270">
        <f t="shared" si="481"/>
        <v>0</v>
      </c>
      <c r="Z85" s="270">
        <f t="shared" si="481"/>
        <v>0</v>
      </c>
      <c r="AA85" s="270">
        <f t="shared" si="481"/>
        <v>0</v>
      </c>
      <c r="AB85" s="270">
        <f t="shared" si="481"/>
        <v>0</v>
      </c>
      <c r="AC85" s="270">
        <f t="shared" si="481"/>
        <v>0</v>
      </c>
      <c r="AD85" s="270">
        <f t="shared" si="481"/>
        <v>0</v>
      </c>
      <c r="AE85" s="270">
        <f t="shared" si="481"/>
        <v>0</v>
      </c>
      <c r="AF85" s="270">
        <f t="shared" si="481"/>
        <v>0</v>
      </c>
      <c r="AG85" s="270">
        <f t="shared" si="481"/>
        <v>0</v>
      </c>
      <c r="AH85" s="265">
        <f t="shared" si="13"/>
        <v>113296.48</v>
      </c>
      <c r="AI85" s="270">
        <f t="shared" si="43"/>
        <v>0</v>
      </c>
      <c r="AJ85" s="270">
        <f t="shared" ref="AJ85:AO85" si="482">IF(F$8=0,0,ROUND(AJ84-(F85-BO85),2))</f>
        <v>0</v>
      </c>
      <c r="AK85" s="270">
        <f t="shared" si="482"/>
        <v>0</v>
      </c>
      <c r="AL85" s="270">
        <f t="shared" si="482"/>
        <v>0</v>
      </c>
      <c r="AM85" s="270">
        <f t="shared" si="482"/>
        <v>0</v>
      </c>
      <c r="AN85" s="270">
        <f t="shared" si="482"/>
        <v>0</v>
      </c>
      <c r="AO85" s="270">
        <f t="shared" si="482"/>
        <v>0</v>
      </c>
      <c r="AP85" s="270">
        <v>0.0</v>
      </c>
      <c r="AQ85" s="270">
        <f t="shared" ref="AQ85:AT85" si="483">IF(M$8=0,0,ROUND(AQ84-(M85-BV85),2))</f>
        <v>0</v>
      </c>
      <c r="AR85" s="270">
        <f t="shared" si="483"/>
        <v>0</v>
      </c>
      <c r="AS85" s="270">
        <f t="shared" si="483"/>
        <v>0</v>
      </c>
      <c r="AT85" s="270">
        <f t="shared" si="483"/>
        <v>10177.51</v>
      </c>
      <c r="AU85" s="270">
        <f t="shared" ref="AU85:BK85" si="484">IF(Q$8=0,0,ROUND(AU84-(Q85-BY85),2))</f>
        <v>103118.97</v>
      </c>
      <c r="AV85" s="270">
        <f t="shared" si="484"/>
        <v>0</v>
      </c>
      <c r="AW85" s="270">
        <f t="shared" si="484"/>
        <v>0</v>
      </c>
      <c r="AX85" s="270">
        <f t="shared" si="484"/>
        <v>0</v>
      </c>
      <c r="AY85" s="270">
        <f t="shared" si="484"/>
        <v>0</v>
      </c>
      <c r="AZ85" s="270">
        <f t="shared" si="484"/>
        <v>0</v>
      </c>
      <c r="BA85" s="270">
        <f t="shared" si="484"/>
        <v>0</v>
      </c>
      <c r="BB85" s="270">
        <f t="shared" si="484"/>
        <v>0</v>
      </c>
      <c r="BC85" s="270">
        <f t="shared" si="484"/>
        <v>0</v>
      </c>
      <c r="BD85" s="270">
        <f t="shared" si="484"/>
        <v>0</v>
      </c>
      <c r="BE85" s="270">
        <f t="shared" si="484"/>
        <v>0</v>
      </c>
      <c r="BF85" s="270">
        <f t="shared" si="484"/>
        <v>0</v>
      </c>
      <c r="BG85" s="270">
        <f t="shared" si="484"/>
        <v>0</v>
      </c>
      <c r="BH85" s="270">
        <f t="shared" si="484"/>
        <v>0</v>
      </c>
      <c r="BI85" s="270">
        <f t="shared" si="484"/>
        <v>0</v>
      </c>
      <c r="BJ85" s="270">
        <f t="shared" si="484"/>
        <v>0</v>
      </c>
      <c r="BK85" s="270">
        <f t="shared" si="484"/>
        <v>0</v>
      </c>
      <c r="BL85" s="265">
        <f t="shared" si="16"/>
        <v>113296.48</v>
      </c>
      <c r="BM85" s="215"/>
      <c r="BN85" s="270">
        <f t="shared" ref="BN85:CP85" si="485">ROUND(AI84*E$9/12,2)</f>
        <v>0</v>
      </c>
      <c r="BO85" s="270">
        <f t="shared" si="485"/>
        <v>0</v>
      </c>
      <c r="BP85" s="270">
        <f t="shared" si="485"/>
        <v>0</v>
      </c>
      <c r="BQ85" s="270">
        <f t="shared" si="485"/>
        <v>0</v>
      </c>
      <c r="BR85" s="270">
        <f t="shared" si="485"/>
        <v>0</v>
      </c>
      <c r="BS85" s="270">
        <f t="shared" si="485"/>
        <v>0</v>
      </c>
      <c r="BT85" s="270">
        <f t="shared" si="485"/>
        <v>0</v>
      </c>
      <c r="BU85" s="270">
        <f t="shared" si="485"/>
        <v>0</v>
      </c>
      <c r="BV85" s="270">
        <f t="shared" si="485"/>
        <v>0</v>
      </c>
      <c r="BW85" s="270">
        <f t="shared" si="485"/>
        <v>0</v>
      </c>
      <c r="BX85" s="270">
        <f t="shared" si="485"/>
        <v>0</v>
      </c>
      <c r="BY85" s="270">
        <f t="shared" si="485"/>
        <v>96.48</v>
      </c>
      <c r="BZ85" s="270">
        <f t="shared" si="485"/>
        <v>326.53</v>
      </c>
      <c r="CA85" s="270">
        <f t="shared" si="485"/>
        <v>0</v>
      </c>
      <c r="CB85" s="270">
        <f t="shared" si="485"/>
        <v>0</v>
      </c>
      <c r="CC85" s="270">
        <f t="shared" si="485"/>
        <v>0</v>
      </c>
      <c r="CD85" s="270">
        <f t="shared" si="485"/>
        <v>0</v>
      </c>
      <c r="CE85" s="270">
        <f t="shared" si="485"/>
        <v>0</v>
      </c>
      <c r="CF85" s="270">
        <f t="shared" si="485"/>
        <v>0</v>
      </c>
      <c r="CG85" s="270">
        <f t="shared" si="485"/>
        <v>0</v>
      </c>
      <c r="CH85" s="270">
        <f t="shared" si="485"/>
        <v>0</v>
      </c>
      <c r="CI85" s="270">
        <f t="shared" si="485"/>
        <v>0</v>
      </c>
      <c r="CJ85" s="270">
        <f t="shared" si="485"/>
        <v>0</v>
      </c>
      <c r="CK85" s="270">
        <f t="shared" si="485"/>
        <v>0</v>
      </c>
      <c r="CL85" s="270">
        <f t="shared" si="485"/>
        <v>0</v>
      </c>
      <c r="CM85" s="270">
        <f t="shared" si="485"/>
        <v>0</v>
      </c>
      <c r="CN85" s="270">
        <f t="shared" si="485"/>
        <v>0</v>
      </c>
      <c r="CO85" s="270">
        <f t="shared" si="485"/>
        <v>0</v>
      </c>
      <c r="CP85" s="270">
        <f t="shared" si="485"/>
        <v>0</v>
      </c>
      <c r="CQ85" s="215"/>
      <c r="CR85" s="270">
        <f t="shared" si="27"/>
        <v>423.01</v>
      </c>
      <c r="CS85" s="215"/>
      <c r="CT85" s="270">
        <f t="shared" ref="CT85:DX85" si="486">IF(AI84&gt;0,IF((AI84+BN85)&lt;E$10,AI84+BN85,E$10),0)</f>
        <v>0</v>
      </c>
      <c r="CU85" s="270">
        <f t="shared" si="486"/>
        <v>0</v>
      </c>
      <c r="CV85" s="270">
        <f t="shared" si="486"/>
        <v>0</v>
      </c>
      <c r="CW85" s="270">
        <f t="shared" si="486"/>
        <v>0</v>
      </c>
      <c r="CX85" s="270">
        <f t="shared" si="486"/>
        <v>0</v>
      </c>
      <c r="CY85" s="270">
        <f t="shared" si="486"/>
        <v>0</v>
      </c>
      <c r="CZ85" s="270">
        <f t="shared" si="486"/>
        <v>0</v>
      </c>
      <c r="DA85" s="270">
        <f t="shared" si="486"/>
        <v>0</v>
      </c>
      <c r="DB85" s="270">
        <f t="shared" si="486"/>
        <v>0</v>
      </c>
      <c r="DC85" s="270">
        <f t="shared" si="486"/>
        <v>0</v>
      </c>
      <c r="DD85" s="270">
        <f t="shared" si="486"/>
        <v>0</v>
      </c>
      <c r="DE85" s="270">
        <f t="shared" si="486"/>
        <v>791.16</v>
      </c>
      <c r="DF85" s="270">
        <f t="shared" si="486"/>
        <v>1467.13</v>
      </c>
      <c r="DG85" s="270">
        <f t="shared" si="486"/>
        <v>0</v>
      </c>
      <c r="DH85" s="270">
        <f t="shared" si="486"/>
        <v>0</v>
      </c>
      <c r="DI85" s="270">
        <f t="shared" si="486"/>
        <v>0</v>
      </c>
      <c r="DJ85" s="270">
        <f t="shared" si="486"/>
        <v>0</v>
      </c>
      <c r="DK85" s="270">
        <f t="shared" si="486"/>
        <v>0</v>
      </c>
      <c r="DL85" s="270">
        <f t="shared" si="486"/>
        <v>0</v>
      </c>
      <c r="DM85" s="270">
        <f t="shared" si="486"/>
        <v>0</v>
      </c>
      <c r="DN85" s="270">
        <f t="shared" si="486"/>
        <v>0</v>
      </c>
      <c r="DO85" s="270">
        <f t="shared" si="486"/>
        <v>0</v>
      </c>
      <c r="DP85" s="270">
        <f t="shared" si="486"/>
        <v>0</v>
      </c>
      <c r="DQ85" s="270">
        <f t="shared" si="486"/>
        <v>0</v>
      </c>
      <c r="DR85" s="270">
        <f t="shared" si="486"/>
        <v>0</v>
      </c>
      <c r="DS85" s="270">
        <f t="shared" si="486"/>
        <v>0</v>
      </c>
      <c r="DT85" s="270">
        <f t="shared" si="486"/>
        <v>0</v>
      </c>
      <c r="DU85" s="270">
        <f t="shared" si="486"/>
        <v>0</v>
      </c>
      <c r="DV85" s="270">
        <f t="shared" si="486"/>
        <v>0</v>
      </c>
      <c r="DW85" s="271" t="str">
        <f t="shared" si="486"/>
        <v/>
      </c>
      <c r="DX85" s="270">
        <f t="shared" si="486"/>
        <v>0</v>
      </c>
      <c r="DY85" s="270">
        <f t="shared" si="29"/>
        <v>2258.29</v>
      </c>
      <c r="DZ85" s="274"/>
      <c r="EA85" s="275">
        <f t="shared" si="38"/>
        <v>0</v>
      </c>
      <c r="EB85" s="270">
        <f t="shared" ref="EB85:FC85" si="487">IF(AJ83&lt;=0,0,IF($C84&lt;=SUM($EA85:EA85),0,IF(CU84+$C84-SUM($EA85:EA85)&gt;AJ83+BO84,AJ83+BO84-CU84,$C84-SUM($EA85:EA85))))</f>
        <v>0</v>
      </c>
      <c r="EC85" s="270">
        <f t="shared" si="487"/>
        <v>0</v>
      </c>
      <c r="ED85" s="270">
        <f t="shared" si="487"/>
        <v>0</v>
      </c>
      <c r="EE85" s="270">
        <f t="shared" si="487"/>
        <v>0</v>
      </c>
      <c r="EF85" s="270">
        <f t="shared" si="487"/>
        <v>0</v>
      </c>
      <c r="EG85" s="270">
        <f t="shared" si="487"/>
        <v>0</v>
      </c>
      <c r="EH85" s="270">
        <f t="shared" si="487"/>
        <v>0</v>
      </c>
      <c r="EI85" s="270">
        <f t="shared" si="487"/>
        <v>0</v>
      </c>
      <c r="EJ85" s="270">
        <f t="shared" si="487"/>
        <v>0</v>
      </c>
      <c r="EK85" s="270">
        <f t="shared" si="487"/>
        <v>0</v>
      </c>
      <c r="EL85" s="270">
        <f t="shared" si="487"/>
        <v>1603.71</v>
      </c>
      <c r="EM85" s="270">
        <f t="shared" si="487"/>
        <v>0</v>
      </c>
      <c r="EN85" s="270">
        <f t="shared" si="487"/>
        <v>0</v>
      </c>
      <c r="EO85" s="270">
        <f t="shared" si="487"/>
        <v>0</v>
      </c>
      <c r="EP85" s="270">
        <f t="shared" si="487"/>
        <v>0</v>
      </c>
      <c r="EQ85" s="270">
        <f t="shared" si="487"/>
        <v>0</v>
      </c>
      <c r="ER85" s="270">
        <f t="shared" si="487"/>
        <v>0</v>
      </c>
      <c r="ES85" s="270">
        <f t="shared" si="487"/>
        <v>0</v>
      </c>
      <c r="ET85" s="270">
        <f t="shared" si="487"/>
        <v>0</v>
      </c>
      <c r="EU85" s="270">
        <f t="shared" si="487"/>
        <v>0</v>
      </c>
      <c r="EV85" s="270">
        <f t="shared" si="487"/>
        <v>0</v>
      </c>
      <c r="EW85" s="270">
        <f t="shared" si="487"/>
        <v>0</v>
      </c>
      <c r="EX85" s="270">
        <f t="shared" si="487"/>
        <v>0</v>
      </c>
      <c r="EY85" s="270">
        <f t="shared" si="487"/>
        <v>0</v>
      </c>
      <c r="EZ85" s="270">
        <f t="shared" si="487"/>
        <v>0</v>
      </c>
      <c r="FA85" s="270">
        <f t="shared" si="487"/>
        <v>0</v>
      </c>
      <c r="FB85" s="270">
        <f t="shared" si="487"/>
        <v>0</v>
      </c>
      <c r="FC85" s="270">
        <f t="shared" si="487"/>
        <v>0</v>
      </c>
      <c r="FD85" s="271"/>
      <c r="FE85" s="271"/>
      <c r="FF85" s="271"/>
      <c r="FG85" s="215"/>
      <c r="FH85" s="215"/>
    </row>
    <row r="86" ht="11.25" customHeight="1">
      <c r="A86" s="231">
        <f t="shared" si="19"/>
        <v>66</v>
      </c>
      <c r="B86" s="269">
        <v>47635.0</v>
      </c>
      <c r="C86" s="270">
        <f>IF(A86="","",IF(Calculator!snowball,IF(($E$5-DY86)&lt;0,0,$E$5-DY86),0)+D86)</f>
        <v>1603.71</v>
      </c>
      <c r="D86" s="277"/>
      <c r="E86" s="270">
        <f t="shared" si="40"/>
        <v>0</v>
      </c>
      <c r="F86" s="270">
        <f t="shared" ref="F86:AG86" si="488">CU86+EB87</f>
        <v>0</v>
      </c>
      <c r="G86" s="270">
        <f t="shared" si="488"/>
        <v>0</v>
      </c>
      <c r="H86" s="270">
        <f t="shared" si="488"/>
        <v>0</v>
      </c>
      <c r="I86" s="270">
        <f t="shared" si="488"/>
        <v>0</v>
      </c>
      <c r="J86" s="270">
        <f t="shared" si="488"/>
        <v>0</v>
      </c>
      <c r="K86" s="270">
        <f t="shared" si="488"/>
        <v>0</v>
      </c>
      <c r="L86" s="270">
        <f t="shared" si="488"/>
        <v>0</v>
      </c>
      <c r="M86" s="270">
        <f t="shared" si="488"/>
        <v>0</v>
      </c>
      <c r="N86" s="270">
        <f t="shared" si="488"/>
        <v>0</v>
      </c>
      <c r="O86" s="270">
        <f t="shared" si="488"/>
        <v>0</v>
      </c>
      <c r="P86" s="272">
        <f t="shared" si="488"/>
        <v>2394.87</v>
      </c>
      <c r="Q86" s="272">
        <f t="shared" si="488"/>
        <v>1467.13</v>
      </c>
      <c r="R86" s="272">
        <f t="shared" si="488"/>
        <v>0</v>
      </c>
      <c r="S86" s="272">
        <f t="shared" si="488"/>
        <v>0</v>
      </c>
      <c r="T86" s="272">
        <f t="shared" si="488"/>
        <v>0</v>
      </c>
      <c r="U86" s="270">
        <f t="shared" si="488"/>
        <v>0</v>
      </c>
      <c r="V86" s="270">
        <f t="shared" si="488"/>
        <v>0</v>
      </c>
      <c r="W86" s="270">
        <f t="shared" si="488"/>
        <v>0</v>
      </c>
      <c r="X86" s="270">
        <f t="shared" si="488"/>
        <v>0</v>
      </c>
      <c r="Y86" s="270">
        <f t="shared" si="488"/>
        <v>0</v>
      </c>
      <c r="Z86" s="270">
        <f t="shared" si="488"/>
        <v>0</v>
      </c>
      <c r="AA86" s="270">
        <f t="shared" si="488"/>
        <v>0</v>
      </c>
      <c r="AB86" s="270">
        <f t="shared" si="488"/>
        <v>0</v>
      </c>
      <c r="AC86" s="270">
        <f t="shared" si="488"/>
        <v>0</v>
      </c>
      <c r="AD86" s="270">
        <f t="shared" si="488"/>
        <v>0</v>
      </c>
      <c r="AE86" s="270">
        <f t="shared" si="488"/>
        <v>0</v>
      </c>
      <c r="AF86" s="270">
        <f t="shared" si="488"/>
        <v>0</v>
      </c>
      <c r="AG86" s="270">
        <f t="shared" si="488"/>
        <v>0</v>
      </c>
      <c r="AH86" s="265">
        <f t="shared" si="13"/>
        <v>109591.9</v>
      </c>
      <c r="AI86" s="270">
        <f t="shared" si="43"/>
        <v>0</v>
      </c>
      <c r="AJ86" s="270">
        <f t="shared" ref="AJ86:AO86" si="489">IF(F$8=0,0,ROUND(AJ85-(F86-BO86),2))</f>
        <v>0</v>
      </c>
      <c r="AK86" s="270">
        <f t="shared" si="489"/>
        <v>0</v>
      </c>
      <c r="AL86" s="270">
        <f t="shared" si="489"/>
        <v>0</v>
      </c>
      <c r="AM86" s="270">
        <f t="shared" si="489"/>
        <v>0</v>
      </c>
      <c r="AN86" s="270">
        <f t="shared" si="489"/>
        <v>0</v>
      </c>
      <c r="AO86" s="270">
        <f t="shared" si="489"/>
        <v>0</v>
      </c>
      <c r="AP86" s="270">
        <v>0.0</v>
      </c>
      <c r="AQ86" s="270">
        <f t="shared" ref="AQ86:AT86" si="490">IF(M$8=0,0,ROUND(AQ85-(M86-BV86),2))</f>
        <v>0</v>
      </c>
      <c r="AR86" s="270">
        <f t="shared" si="490"/>
        <v>0</v>
      </c>
      <c r="AS86" s="270">
        <f t="shared" si="490"/>
        <v>0</v>
      </c>
      <c r="AT86" s="270">
        <f t="shared" si="490"/>
        <v>7861.35</v>
      </c>
      <c r="AU86" s="270">
        <f t="shared" ref="AU86:BK86" si="491">IF(Q$8=0,0,ROUND(AU85-(Q86-BY86),2))</f>
        <v>101730.55</v>
      </c>
      <c r="AV86" s="270">
        <f t="shared" si="491"/>
        <v>0</v>
      </c>
      <c r="AW86" s="270">
        <f t="shared" si="491"/>
        <v>0</v>
      </c>
      <c r="AX86" s="270">
        <f t="shared" si="491"/>
        <v>0</v>
      </c>
      <c r="AY86" s="270">
        <f t="shared" si="491"/>
        <v>0</v>
      </c>
      <c r="AZ86" s="270">
        <f t="shared" si="491"/>
        <v>0</v>
      </c>
      <c r="BA86" s="270">
        <f t="shared" si="491"/>
        <v>0</v>
      </c>
      <c r="BB86" s="270">
        <f t="shared" si="491"/>
        <v>0</v>
      </c>
      <c r="BC86" s="270">
        <f t="shared" si="491"/>
        <v>0</v>
      </c>
      <c r="BD86" s="270">
        <f t="shared" si="491"/>
        <v>0</v>
      </c>
      <c r="BE86" s="270">
        <f t="shared" si="491"/>
        <v>0</v>
      </c>
      <c r="BF86" s="270">
        <f t="shared" si="491"/>
        <v>0</v>
      </c>
      <c r="BG86" s="270">
        <f t="shared" si="491"/>
        <v>0</v>
      </c>
      <c r="BH86" s="270">
        <f t="shared" si="491"/>
        <v>0</v>
      </c>
      <c r="BI86" s="270">
        <f t="shared" si="491"/>
        <v>0</v>
      </c>
      <c r="BJ86" s="270">
        <f t="shared" si="491"/>
        <v>0</v>
      </c>
      <c r="BK86" s="270">
        <f t="shared" si="491"/>
        <v>0</v>
      </c>
      <c r="BL86" s="265">
        <f t="shared" si="16"/>
        <v>109591.9</v>
      </c>
      <c r="BM86" s="215"/>
      <c r="BN86" s="270">
        <f t="shared" ref="BN86:CP86" si="492">ROUND(AI85*E$9/12,2)</f>
        <v>0</v>
      </c>
      <c r="BO86" s="270">
        <f t="shared" si="492"/>
        <v>0</v>
      </c>
      <c r="BP86" s="270">
        <f t="shared" si="492"/>
        <v>0</v>
      </c>
      <c r="BQ86" s="270">
        <f t="shared" si="492"/>
        <v>0</v>
      </c>
      <c r="BR86" s="270">
        <f t="shared" si="492"/>
        <v>0</v>
      </c>
      <c r="BS86" s="270">
        <f t="shared" si="492"/>
        <v>0</v>
      </c>
      <c r="BT86" s="270">
        <f t="shared" si="492"/>
        <v>0</v>
      </c>
      <c r="BU86" s="270">
        <f t="shared" si="492"/>
        <v>0</v>
      </c>
      <c r="BV86" s="270">
        <f t="shared" si="492"/>
        <v>0</v>
      </c>
      <c r="BW86" s="270">
        <f t="shared" si="492"/>
        <v>0</v>
      </c>
      <c r="BX86" s="270">
        <f t="shared" si="492"/>
        <v>0</v>
      </c>
      <c r="BY86" s="270">
        <f t="shared" si="492"/>
        <v>78.71</v>
      </c>
      <c r="BZ86" s="270">
        <f t="shared" si="492"/>
        <v>322.25</v>
      </c>
      <c r="CA86" s="270">
        <f t="shared" si="492"/>
        <v>0</v>
      </c>
      <c r="CB86" s="270">
        <f t="shared" si="492"/>
        <v>0</v>
      </c>
      <c r="CC86" s="270">
        <f t="shared" si="492"/>
        <v>0</v>
      </c>
      <c r="CD86" s="270">
        <f t="shared" si="492"/>
        <v>0</v>
      </c>
      <c r="CE86" s="270">
        <f t="shared" si="492"/>
        <v>0</v>
      </c>
      <c r="CF86" s="270">
        <f t="shared" si="492"/>
        <v>0</v>
      </c>
      <c r="CG86" s="270">
        <f t="shared" si="492"/>
        <v>0</v>
      </c>
      <c r="CH86" s="270">
        <f t="shared" si="492"/>
        <v>0</v>
      </c>
      <c r="CI86" s="270">
        <f t="shared" si="492"/>
        <v>0</v>
      </c>
      <c r="CJ86" s="270">
        <f t="shared" si="492"/>
        <v>0</v>
      </c>
      <c r="CK86" s="270">
        <f t="shared" si="492"/>
        <v>0</v>
      </c>
      <c r="CL86" s="270">
        <f t="shared" si="492"/>
        <v>0</v>
      </c>
      <c r="CM86" s="270">
        <f t="shared" si="492"/>
        <v>0</v>
      </c>
      <c r="CN86" s="270">
        <f t="shared" si="492"/>
        <v>0</v>
      </c>
      <c r="CO86" s="270">
        <f t="shared" si="492"/>
        <v>0</v>
      </c>
      <c r="CP86" s="270">
        <f t="shared" si="492"/>
        <v>0</v>
      </c>
      <c r="CQ86" s="215"/>
      <c r="CR86" s="270">
        <f t="shared" si="27"/>
        <v>400.96</v>
      </c>
      <c r="CS86" s="215"/>
      <c r="CT86" s="270">
        <f t="shared" ref="CT86:DX86" si="493">IF(AI85&gt;0,IF((AI85+BN86)&lt;E$10,AI85+BN86,E$10),0)</f>
        <v>0</v>
      </c>
      <c r="CU86" s="270">
        <f t="shared" si="493"/>
        <v>0</v>
      </c>
      <c r="CV86" s="270">
        <f t="shared" si="493"/>
        <v>0</v>
      </c>
      <c r="CW86" s="270">
        <f t="shared" si="493"/>
        <v>0</v>
      </c>
      <c r="CX86" s="270">
        <f t="shared" si="493"/>
        <v>0</v>
      </c>
      <c r="CY86" s="270">
        <f t="shared" si="493"/>
        <v>0</v>
      </c>
      <c r="CZ86" s="270">
        <f t="shared" si="493"/>
        <v>0</v>
      </c>
      <c r="DA86" s="270">
        <f t="shared" si="493"/>
        <v>0</v>
      </c>
      <c r="DB86" s="270">
        <f t="shared" si="493"/>
        <v>0</v>
      </c>
      <c r="DC86" s="270">
        <f t="shared" si="493"/>
        <v>0</v>
      </c>
      <c r="DD86" s="270">
        <f t="shared" si="493"/>
        <v>0</v>
      </c>
      <c r="DE86" s="270">
        <f t="shared" si="493"/>
        <v>791.16</v>
      </c>
      <c r="DF86" s="270">
        <f t="shared" si="493"/>
        <v>1467.13</v>
      </c>
      <c r="DG86" s="270">
        <f t="shared" si="493"/>
        <v>0</v>
      </c>
      <c r="DH86" s="270">
        <f t="shared" si="493"/>
        <v>0</v>
      </c>
      <c r="DI86" s="270">
        <f t="shared" si="493"/>
        <v>0</v>
      </c>
      <c r="DJ86" s="270">
        <f t="shared" si="493"/>
        <v>0</v>
      </c>
      <c r="DK86" s="270">
        <f t="shared" si="493"/>
        <v>0</v>
      </c>
      <c r="DL86" s="270">
        <f t="shared" si="493"/>
        <v>0</v>
      </c>
      <c r="DM86" s="270">
        <f t="shared" si="493"/>
        <v>0</v>
      </c>
      <c r="DN86" s="270">
        <f t="shared" si="493"/>
        <v>0</v>
      </c>
      <c r="DO86" s="270">
        <f t="shared" si="493"/>
        <v>0</v>
      </c>
      <c r="DP86" s="270">
        <f t="shared" si="493"/>
        <v>0</v>
      </c>
      <c r="DQ86" s="270">
        <f t="shared" si="493"/>
        <v>0</v>
      </c>
      <c r="DR86" s="270">
        <f t="shared" si="493"/>
        <v>0</v>
      </c>
      <c r="DS86" s="270">
        <f t="shared" si="493"/>
        <v>0</v>
      </c>
      <c r="DT86" s="270">
        <f t="shared" si="493"/>
        <v>0</v>
      </c>
      <c r="DU86" s="270">
        <f t="shared" si="493"/>
        <v>0</v>
      </c>
      <c r="DV86" s="270">
        <f t="shared" si="493"/>
        <v>0</v>
      </c>
      <c r="DW86" s="271" t="str">
        <f t="shared" si="493"/>
        <v/>
      </c>
      <c r="DX86" s="270">
        <f t="shared" si="493"/>
        <v>0</v>
      </c>
      <c r="DY86" s="270">
        <f t="shared" si="29"/>
        <v>2258.29</v>
      </c>
      <c r="DZ86" s="274"/>
      <c r="EA86" s="275">
        <f t="shared" si="38"/>
        <v>0</v>
      </c>
      <c r="EB86" s="270">
        <f t="shared" ref="EB86:FC86" si="494">IF(AJ84&lt;=0,0,IF($C85&lt;=SUM($EA86:EA86),0,IF(CU85+$C85-SUM($EA86:EA86)&gt;AJ84+BO85,AJ84+BO85-CU85,$C85-SUM($EA86:EA86))))</f>
        <v>0</v>
      </c>
      <c r="EC86" s="270">
        <f t="shared" si="494"/>
        <v>0</v>
      </c>
      <c r="ED86" s="270">
        <f t="shared" si="494"/>
        <v>0</v>
      </c>
      <c r="EE86" s="270">
        <f t="shared" si="494"/>
        <v>0</v>
      </c>
      <c r="EF86" s="270">
        <f t="shared" si="494"/>
        <v>0</v>
      </c>
      <c r="EG86" s="270">
        <f t="shared" si="494"/>
        <v>0</v>
      </c>
      <c r="EH86" s="270">
        <f t="shared" si="494"/>
        <v>0</v>
      </c>
      <c r="EI86" s="270">
        <f t="shared" si="494"/>
        <v>0</v>
      </c>
      <c r="EJ86" s="270">
        <f t="shared" si="494"/>
        <v>0</v>
      </c>
      <c r="EK86" s="270">
        <f t="shared" si="494"/>
        <v>0</v>
      </c>
      <c r="EL86" s="270">
        <f t="shared" si="494"/>
        <v>1603.71</v>
      </c>
      <c r="EM86" s="270">
        <f t="shared" si="494"/>
        <v>0</v>
      </c>
      <c r="EN86" s="270">
        <f t="shared" si="494"/>
        <v>0</v>
      </c>
      <c r="EO86" s="270">
        <f t="shared" si="494"/>
        <v>0</v>
      </c>
      <c r="EP86" s="270">
        <f t="shared" si="494"/>
        <v>0</v>
      </c>
      <c r="EQ86" s="270">
        <f t="shared" si="494"/>
        <v>0</v>
      </c>
      <c r="ER86" s="270">
        <f t="shared" si="494"/>
        <v>0</v>
      </c>
      <c r="ES86" s="270">
        <f t="shared" si="494"/>
        <v>0</v>
      </c>
      <c r="ET86" s="270">
        <f t="shared" si="494"/>
        <v>0</v>
      </c>
      <c r="EU86" s="270">
        <f t="shared" si="494"/>
        <v>0</v>
      </c>
      <c r="EV86" s="270">
        <f t="shared" si="494"/>
        <v>0</v>
      </c>
      <c r="EW86" s="270">
        <f t="shared" si="494"/>
        <v>0</v>
      </c>
      <c r="EX86" s="270">
        <f t="shared" si="494"/>
        <v>0</v>
      </c>
      <c r="EY86" s="270">
        <f t="shared" si="494"/>
        <v>0</v>
      </c>
      <c r="EZ86" s="270">
        <f t="shared" si="494"/>
        <v>0</v>
      </c>
      <c r="FA86" s="270">
        <f t="shared" si="494"/>
        <v>0</v>
      </c>
      <c r="FB86" s="270">
        <f t="shared" si="494"/>
        <v>0</v>
      </c>
      <c r="FC86" s="270">
        <f t="shared" si="494"/>
        <v>0</v>
      </c>
      <c r="FD86" s="271"/>
      <c r="FE86" s="271"/>
      <c r="FF86" s="271"/>
      <c r="FG86" s="215"/>
      <c r="FH86" s="215"/>
    </row>
    <row r="87" ht="11.25" customHeight="1">
      <c r="A87" s="231">
        <f t="shared" si="19"/>
        <v>67</v>
      </c>
      <c r="B87" s="269">
        <v>47665.0</v>
      </c>
      <c r="C87" s="270">
        <f>IF(A87="","",IF(Calculator!snowball,IF(($E$5-DY87)&lt;0,0,$E$5-DY87),0)+D87)</f>
        <v>1603.71</v>
      </c>
      <c r="D87" s="277"/>
      <c r="E87" s="270">
        <f t="shared" si="40"/>
        <v>0</v>
      </c>
      <c r="F87" s="270">
        <f t="shared" ref="F87:AG87" si="495">CU87+EB88</f>
        <v>0</v>
      </c>
      <c r="G87" s="270">
        <f t="shared" si="495"/>
        <v>0</v>
      </c>
      <c r="H87" s="270">
        <f t="shared" si="495"/>
        <v>0</v>
      </c>
      <c r="I87" s="270">
        <f t="shared" si="495"/>
        <v>0</v>
      </c>
      <c r="J87" s="270">
        <f t="shared" si="495"/>
        <v>0</v>
      </c>
      <c r="K87" s="270">
        <f t="shared" si="495"/>
        <v>0</v>
      </c>
      <c r="L87" s="270">
        <f t="shared" si="495"/>
        <v>0</v>
      </c>
      <c r="M87" s="270">
        <f t="shared" si="495"/>
        <v>0</v>
      </c>
      <c r="N87" s="270">
        <f t="shared" si="495"/>
        <v>0</v>
      </c>
      <c r="O87" s="270">
        <f t="shared" si="495"/>
        <v>0</v>
      </c>
      <c r="P87" s="272">
        <f t="shared" si="495"/>
        <v>2394.87</v>
      </c>
      <c r="Q87" s="272">
        <f t="shared" si="495"/>
        <v>1467.13</v>
      </c>
      <c r="R87" s="272">
        <f t="shared" si="495"/>
        <v>0</v>
      </c>
      <c r="S87" s="272">
        <f t="shared" si="495"/>
        <v>0</v>
      </c>
      <c r="T87" s="272">
        <f t="shared" si="495"/>
        <v>0</v>
      </c>
      <c r="U87" s="270">
        <f t="shared" si="495"/>
        <v>0</v>
      </c>
      <c r="V87" s="270">
        <f t="shared" si="495"/>
        <v>0</v>
      </c>
      <c r="W87" s="270">
        <f t="shared" si="495"/>
        <v>0</v>
      </c>
      <c r="X87" s="270">
        <f t="shared" si="495"/>
        <v>0</v>
      </c>
      <c r="Y87" s="270">
        <f t="shared" si="495"/>
        <v>0</v>
      </c>
      <c r="Z87" s="270">
        <f t="shared" si="495"/>
        <v>0</v>
      </c>
      <c r="AA87" s="270">
        <f t="shared" si="495"/>
        <v>0</v>
      </c>
      <c r="AB87" s="270">
        <f t="shared" si="495"/>
        <v>0</v>
      </c>
      <c r="AC87" s="270">
        <f t="shared" si="495"/>
        <v>0</v>
      </c>
      <c r="AD87" s="270">
        <f t="shared" si="495"/>
        <v>0</v>
      </c>
      <c r="AE87" s="270">
        <f t="shared" si="495"/>
        <v>0</v>
      </c>
      <c r="AF87" s="270">
        <f t="shared" si="495"/>
        <v>0</v>
      </c>
      <c r="AG87" s="270">
        <f t="shared" si="495"/>
        <v>0</v>
      </c>
      <c r="AH87" s="265">
        <f t="shared" si="13"/>
        <v>105851.48</v>
      </c>
      <c r="AI87" s="270">
        <f t="shared" si="43"/>
        <v>0</v>
      </c>
      <c r="AJ87" s="270">
        <f t="shared" ref="AJ87:AO87" si="496">IF(F$8=0,0,ROUND(AJ86-(F87-BO87),2))</f>
        <v>0</v>
      </c>
      <c r="AK87" s="270">
        <f t="shared" si="496"/>
        <v>0</v>
      </c>
      <c r="AL87" s="270">
        <f t="shared" si="496"/>
        <v>0</v>
      </c>
      <c r="AM87" s="270">
        <f t="shared" si="496"/>
        <v>0</v>
      </c>
      <c r="AN87" s="270">
        <f t="shared" si="496"/>
        <v>0</v>
      </c>
      <c r="AO87" s="270">
        <f t="shared" si="496"/>
        <v>0</v>
      </c>
      <c r="AP87" s="270">
        <v>0.0</v>
      </c>
      <c r="AQ87" s="270">
        <f t="shared" ref="AQ87:AT87" si="497">IF(M$8=0,0,ROUND(AQ86-(M87-BV87),2))</f>
        <v>0</v>
      </c>
      <c r="AR87" s="270">
        <f t="shared" si="497"/>
        <v>0</v>
      </c>
      <c r="AS87" s="270">
        <f t="shared" si="497"/>
        <v>0</v>
      </c>
      <c r="AT87" s="270">
        <f t="shared" si="497"/>
        <v>5527.27</v>
      </c>
      <c r="AU87" s="270">
        <f t="shared" ref="AU87:BK87" si="498">IF(Q$8=0,0,ROUND(AU86-(Q87-BY87),2))</f>
        <v>100324.21</v>
      </c>
      <c r="AV87" s="270">
        <f t="shared" si="498"/>
        <v>0</v>
      </c>
      <c r="AW87" s="270">
        <f t="shared" si="498"/>
        <v>0</v>
      </c>
      <c r="AX87" s="270">
        <f t="shared" si="498"/>
        <v>0</v>
      </c>
      <c r="AY87" s="270">
        <f t="shared" si="498"/>
        <v>0</v>
      </c>
      <c r="AZ87" s="270">
        <f t="shared" si="498"/>
        <v>0</v>
      </c>
      <c r="BA87" s="270">
        <f t="shared" si="498"/>
        <v>0</v>
      </c>
      <c r="BB87" s="270">
        <f t="shared" si="498"/>
        <v>0</v>
      </c>
      <c r="BC87" s="270">
        <f t="shared" si="498"/>
        <v>0</v>
      </c>
      <c r="BD87" s="270">
        <f t="shared" si="498"/>
        <v>0</v>
      </c>
      <c r="BE87" s="270">
        <f t="shared" si="498"/>
        <v>0</v>
      </c>
      <c r="BF87" s="270">
        <f t="shared" si="498"/>
        <v>0</v>
      </c>
      <c r="BG87" s="270">
        <f t="shared" si="498"/>
        <v>0</v>
      </c>
      <c r="BH87" s="270">
        <f t="shared" si="498"/>
        <v>0</v>
      </c>
      <c r="BI87" s="270">
        <f t="shared" si="498"/>
        <v>0</v>
      </c>
      <c r="BJ87" s="270">
        <f t="shared" si="498"/>
        <v>0</v>
      </c>
      <c r="BK87" s="270">
        <f t="shared" si="498"/>
        <v>0</v>
      </c>
      <c r="BL87" s="265">
        <f t="shared" si="16"/>
        <v>105851.48</v>
      </c>
      <c r="BM87" s="215"/>
      <c r="BN87" s="270">
        <f t="shared" ref="BN87:CP87" si="499">ROUND(AI86*E$9/12,2)</f>
        <v>0</v>
      </c>
      <c r="BO87" s="270">
        <f t="shared" si="499"/>
        <v>0</v>
      </c>
      <c r="BP87" s="270">
        <f t="shared" si="499"/>
        <v>0</v>
      </c>
      <c r="BQ87" s="270">
        <f t="shared" si="499"/>
        <v>0</v>
      </c>
      <c r="BR87" s="270">
        <f t="shared" si="499"/>
        <v>0</v>
      </c>
      <c r="BS87" s="270">
        <f t="shared" si="499"/>
        <v>0</v>
      </c>
      <c r="BT87" s="270">
        <f t="shared" si="499"/>
        <v>0</v>
      </c>
      <c r="BU87" s="270">
        <f t="shared" si="499"/>
        <v>0</v>
      </c>
      <c r="BV87" s="270">
        <f t="shared" si="499"/>
        <v>0</v>
      </c>
      <c r="BW87" s="270">
        <f t="shared" si="499"/>
        <v>0</v>
      </c>
      <c r="BX87" s="270">
        <f t="shared" si="499"/>
        <v>0</v>
      </c>
      <c r="BY87" s="270">
        <f t="shared" si="499"/>
        <v>60.79</v>
      </c>
      <c r="BZ87" s="270">
        <f t="shared" si="499"/>
        <v>317.91</v>
      </c>
      <c r="CA87" s="270">
        <f t="shared" si="499"/>
        <v>0</v>
      </c>
      <c r="CB87" s="270">
        <f t="shared" si="499"/>
        <v>0</v>
      </c>
      <c r="CC87" s="270">
        <f t="shared" si="499"/>
        <v>0</v>
      </c>
      <c r="CD87" s="270">
        <f t="shared" si="499"/>
        <v>0</v>
      </c>
      <c r="CE87" s="270">
        <f t="shared" si="499"/>
        <v>0</v>
      </c>
      <c r="CF87" s="270">
        <f t="shared" si="499"/>
        <v>0</v>
      </c>
      <c r="CG87" s="270">
        <f t="shared" si="499"/>
        <v>0</v>
      </c>
      <c r="CH87" s="270">
        <f t="shared" si="499"/>
        <v>0</v>
      </c>
      <c r="CI87" s="270">
        <f t="shared" si="499"/>
        <v>0</v>
      </c>
      <c r="CJ87" s="270">
        <f t="shared" si="499"/>
        <v>0</v>
      </c>
      <c r="CK87" s="270">
        <f t="shared" si="499"/>
        <v>0</v>
      </c>
      <c r="CL87" s="270">
        <f t="shared" si="499"/>
        <v>0</v>
      </c>
      <c r="CM87" s="270">
        <f t="shared" si="499"/>
        <v>0</v>
      </c>
      <c r="CN87" s="270">
        <f t="shared" si="499"/>
        <v>0</v>
      </c>
      <c r="CO87" s="270">
        <f t="shared" si="499"/>
        <v>0</v>
      </c>
      <c r="CP87" s="270">
        <f t="shared" si="499"/>
        <v>0</v>
      </c>
      <c r="CQ87" s="215"/>
      <c r="CR87" s="270">
        <f t="shared" si="27"/>
        <v>378.7</v>
      </c>
      <c r="CS87" s="215"/>
      <c r="CT87" s="270">
        <f t="shared" ref="CT87:DX87" si="500">IF(AI86&gt;0,IF((AI86+BN87)&lt;E$10,AI86+BN87,E$10),0)</f>
        <v>0</v>
      </c>
      <c r="CU87" s="270">
        <f t="shared" si="500"/>
        <v>0</v>
      </c>
      <c r="CV87" s="270">
        <f t="shared" si="500"/>
        <v>0</v>
      </c>
      <c r="CW87" s="270">
        <f t="shared" si="500"/>
        <v>0</v>
      </c>
      <c r="CX87" s="270">
        <f t="shared" si="500"/>
        <v>0</v>
      </c>
      <c r="CY87" s="270">
        <f t="shared" si="500"/>
        <v>0</v>
      </c>
      <c r="CZ87" s="270">
        <f t="shared" si="500"/>
        <v>0</v>
      </c>
      <c r="DA87" s="270">
        <f t="shared" si="500"/>
        <v>0</v>
      </c>
      <c r="DB87" s="270">
        <f t="shared" si="500"/>
        <v>0</v>
      </c>
      <c r="DC87" s="270">
        <f t="shared" si="500"/>
        <v>0</v>
      </c>
      <c r="DD87" s="270">
        <f t="shared" si="500"/>
        <v>0</v>
      </c>
      <c r="DE87" s="270">
        <f t="shared" si="500"/>
        <v>791.16</v>
      </c>
      <c r="DF87" s="270">
        <f t="shared" si="500"/>
        <v>1467.13</v>
      </c>
      <c r="DG87" s="270">
        <f t="shared" si="500"/>
        <v>0</v>
      </c>
      <c r="DH87" s="270">
        <f t="shared" si="500"/>
        <v>0</v>
      </c>
      <c r="DI87" s="270">
        <f t="shared" si="500"/>
        <v>0</v>
      </c>
      <c r="DJ87" s="270">
        <f t="shared" si="500"/>
        <v>0</v>
      </c>
      <c r="DK87" s="270">
        <f t="shared" si="500"/>
        <v>0</v>
      </c>
      <c r="DL87" s="270">
        <f t="shared" si="500"/>
        <v>0</v>
      </c>
      <c r="DM87" s="270">
        <f t="shared" si="500"/>
        <v>0</v>
      </c>
      <c r="DN87" s="270">
        <f t="shared" si="500"/>
        <v>0</v>
      </c>
      <c r="DO87" s="270">
        <f t="shared" si="500"/>
        <v>0</v>
      </c>
      <c r="DP87" s="270">
        <f t="shared" si="500"/>
        <v>0</v>
      </c>
      <c r="DQ87" s="270">
        <f t="shared" si="500"/>
        <v>0</v>
      </c>
      <c r="DR87" s="270">
        <f t="shared" si="500"/>
        <v>0</v>
      </c>
      <c r="DS87" s="270">
        <f t="shared" si="500"/>
        <v>0</v>
      </c>
      <c r="DT87" s="270">
        <f t="shared" si="500"/>
        <v>0</v>
      </c>
      <c r="DU87" s="270">
        <f t="shared" si="500"/>
        <v>0</v>
      </c>
      <c r="DV87" s="270">
        <f t="shared" si="500"/>
        <v>0</v>
      </c>
      <c r="DW87" s="271" t="str">
        <f t="shared" si="500"/>
        <v/>
      </c>
      <c r="DX87" s="270">
        <f t="shared" si="500"/>
        <v>0</v>
      </c>
      <c r="DY87" s="270">
        <f t="shared" si="29"/>
        <v>2258.29</v>
      </c>
      <c r="DZ87" s="274"/>
      <c r="EA87" s="275">
        <f t="shared" si="38"/>
        <v>0</v>
      </c>
      <c r="EB87" s="270">
        <f t="shared" ref="EB87:FC87" si="501">IF(AJ85&lt;=0,0,IF($C86&lt;=SUM($EA87:EA87),0,IF(CU86+$C86-SUM($EA87:EA87)&gt;AJ85+BO86,AJ85+BO86-CU86,$C86-SUM($EA87:EA87))))</f>
        <v>0</v>
      </c>
      <c r="EC87" s="270">
        <f t="shared" si="501"/>
        <v>0</v>
      </c>
      <c r="ED87" s="270">
        <f t="shared" si="501"/>
        <v>0</v>
      </c>
      <c r="EE87" s="270">
        <f t="shared" si="501"/>
        <v>0</v>
      </c>
      <c r="EF87" s="270">
        <f t="shared" si="501"/>
        <v>0</v>
      </c>
      <c r="EG87" s="270">
        <f t="shared" si="501"/>
        <v>0</v>
      </c>
      <c r="EH87" s="270">
        <f t="shared" si="501"/>
        <v>0</v>
      </c>
      <c r="EI87" s="270">
        <f t="shared" si="501"/>
        <v>0</v>
      </c>
      <c r="EJ87" s="270">
        <f t="shared" si="501"/>
        <v>0</v>
      </c>
      <c r="EK87" s="270">
        <f t="shared" si="501"/>
        <v>0</v>
      </c>
      <c r="EL87" s="270">
        <f t="shared" si="501"/>
        <v>1603.71</v>
      </c>
      <c r="EM87" s="270">
        <f t="shared" si="501"/>
        <v>0</v>
      </c>
      <c r="EN87" s="270">
        <f t="shared" si="501"/>
        <v>0</v>
      </c>
      <c r="EO87" s="270">
        <f t="shared" si="501"/>
        <v>0</v>
      </c>
      <c r="EP87" s="270">
        <f t="shared" si="501"/>
        <v>0</v>
      </c>
      <c r="EQ87" s="270">
        <f t="shared" si="501"/>
        <v>0</v>
      </c>
      <c r="ER87" s="270">
        <f t="shared" si="501"/>
        <v>0</v>
      </c>
      <c r="ES87" s="270">
        <f t="shared" si="501"/>
        <v>0</v>
      </c>
      <c r="ET87" s="270">
        <f t="shared" si="501"/>
        <v>0</v>
      </c>
      <c r="EU87" s="270">
        <f t="shared" si="501"/>
        <v>0</v>
      </c>
      <c r="EV87" s="270">
        <f t="shared" si="501"/>
        <v>0</v>
      </c>
      <c r="EW87" s="270">
        <f t="shared" si="501"/>
        <v>0</v>
      </c>
      <c r="EX87" s="270">
        <f t="shared" si="501"/>
        <v>0</v>
      </c>
      <c r="EY87" s="270">
        <f t="shared" si="501"/>
        <v>0</v>
      </c>
      <c r="EZ87" s="270">
        <f t="shared" si="501"/>
        <v>0</v>
      </c>
      <c r="FA87" s="270">
        <f t="shared" si="501"/>
        <v>0</v>
      </c>
      <c r="FB87" s="270">
        <f t="shared" si="501"/>
        <v>0</v>
      </c>
      <c r="FC87" s="270">
        <f t="shared" si="501"/>
        <v>0</v>
      </c>
      <c r="FD87" s="271"/>
      <c r="FE87" s="271"/>
      <c r="FF87" s="271"/>
      <c r="FG87" s="215"/>
      <c r="FH87" s="215"/>
    </row>
    <row r="88" ht="11.25" customHeight="1">
      <c r="A88" s="231">
        <f t="shared" si="19"/>
        <v>68</v>
      </c>
      <c r="B88" s="269">
        <v>47696.0</v>
      </c>
      <c r="C88" s="270">
        <f>IF(A88="","",IF(Calculator!snowball,IF(($E$5-DY88)&lt;0,0,$E$5-DY88),0)+D88)</f>
        <v>1603.71</v>
      </c>
      <c r="D88" s="277"/>
      <c r="E88" s="270">
        <f t="shared" si="40"/>
        <v>0</v>
      </c>
      <c r="F88" s="270">
        <f t="shared" ref="F88:AG88" si="502">CU88+EB89</f>
        <v>0</v>
      </c>
      <c r="G88" s="270">
        <f t="shared" si="502"/>
        <v>0</v>
      </c>
      <c r="H88" s="270">
        <f t="shared" si="502"/>
        <v>0</v>
      </c>
      <c r="I88" s="270">
        <f t="shared" si="502"/>
        <v>0</v>
      </c>
      <c r="J88" s="270">
        <f t="shared" si="502"/>
        <v>0</v>
      </c>
      <c r="K88" s="270">
        <f t="shared" si="502"/>
        <v>0</v>
      </c>
      <c r="L88" s="270">
        <f t="shared" si="502"/>
        <v>0</v>
      </c>
      <c r="M88" s="270">
        <f t="shared" si="502"/>
        <v>0</v>
      </c>
      <c r="N88" s="270">
        <f t="shared" si="502"/>
        <v>0</v>
      </c>
      <c r="O88" s="270">
        <f t="shared" si="502"/>
        <v>0</v>
      </c>
      <c r="P88" s="272">
        <f t="shared" si="502"/>
        <v>2394.87</v>
      </c>
      <c r="Q88" s="272">
        <f t="shared" si="502"/>
        <v>1467.13</v>
      </c>
      <c r="R88" s="272">
        <f t="shared" si="502"/>
        <v>0</v>
      </c>
      <c r="S88" s="272">
        <f t="shared" si="502"/>
        <v>0</v>
      </c>
      <c r="T88" s="272">
        <f t="shared" si="502"/>
        <v>0</v>
      </c>
      <c r="U88" s="270">
        <f t="shared" si="502"/>
        <v>0</v>
      </c>
      <c r="V88" s="270">
        <f t="shared" si="502"/>
        <v>0</v>
      </c>
      <c r="W88" s="270">
        <f t="shared" si="502"/>
        <v>0</v>
      </c>
      <c r="X88" s="270">
        <f t="shared" si="502"/>
        <v>0</v>
      </c>
      <c r="Y88" s="270">
        <f t="shared" si="502"/>
        <v>0</v>
      </c>
      <c r="Z88" s="270">
        <f t="shared" si="502"/>
        <v>0</v>
      </c>
      <c r="AA88" s="270">
        <f t="shared" si="502"/>
        <v>0</v>
      </c>
      <c r="AB88" s="270">
        <f t="shared" si="502"/>
        <v>0</v>
      </c>
      <c r="AC88" s="270">
        <f t="shared" si="502"/>
        <v>0</v>
      </c>
      <c r="AD88" s="270">
        <f t="shared" si="502"/>
        <v>0</v>
      </c>
      <c r="AE88" s="270">
        <f t="shared" si="502"/>
        <v>0</v>
      </c>
      <c r="AF88" s="270">
        <f t="shared" si="502"/>
        <v>0</v>
      </c>
      <c r="AG88" s="270">
        <f t="shared" si="502"/>
        <v>0</v>
      </c>
      <c r="AH88" s="265">
        <f t="shared" si="13"/>
        <v>102074.96</v>
      </c>
      <c r="AI88" s="270">
        <f t="shared" si="43"/>
        <v>0</v>
      </c>
      <c r="AJ88" s="270">
        <f t="shared" ref="AJ88:AO88" si="503">IF(F$8=0,0,ROUND(AJ87-(F88-BO88),2))</f>
        <v>0</v>
      </c>
      <c r="AK88" s="270">
        <f t="shared" si="503"/>
        <v>0</v>
      </c>
      <c r="AL88" s="270">
        <f t="shared" si="503"/>
        <v>0</v>
      </c>
      <c r="AM88" s="270">
        <f t="shared" si="503"/>
        <v>0</v>
      </c>
      <c r="AN88" s="270">
        <f t="shared" si="503"/>
        <v>0</v>
      </c>
      <c r="AO88" s="270">
        <f t="shared" si="503"/>
        <v>0</v>
      </c>
      <c r="AP88" s="270">
        <v>0.0</v>
      </c>
      <c r="AQ88" s="270">
        <f t="shared" ref="AQ88:AT88" si="504">IF(M$8=0,0,ROUND(AQ87-(M88-BV88),2))</f>
        <v>0</v>
      </c>
      <c r="AR88" s="270">
        <f t="shared" si="504"/>
        <v>0</v>
      </c>
      <c r="AS88" s="270">
        <f t="shared" si="504"/>
        <v>0</v>
      </c>
      <c r="AT88" s="270">
        <f t="shared" si="504"/>
        <v>3175.14</v>
      </c>
      <c r="AU88" s="270">
        <f t="shared" ref="AU88:BK88" si="505">IF(Q$8=0,0,ROUND(AU87-(Q88-BY88),2))</f>
        <v>98899.82</v>
      </c>
      <c r="AV88" s="270">
        <f t="shared" si="505"/>
        <v>0</v>
      </c>
      <c r="AW88" s="270">
        <f t="shared" si="505"/>
        <v>0</v>
      </c>
      <c r="AX88" s="270">
        <f t="shared" si="505"/>
        <v>0</v>
      </c>
      <c r="AY88" s="270">
        <f t="shared" si="505"/>
        <v>0</v>
      </c>
      <c r="AZ88" s="270">
        <f t="shared" si="505"/>
        <v>0</v>
      </c>
      <c r="BA88" s="270">
        <f t="shared" si="505"/>
        <v>0</v>
      </c>
      <c r="BB88" s="270">
        <f t="shared" si="505"/>
        <v>0</v>
      </c>
      <c r="BC88" s="270">
        <f t="shared" si="505"/>
        <v>0</v>
      </c>
      <c r="BD88" s="270">
        <f t="shared" si="505"/>
        <v>0</v>
      </c>
      <c r="BE88" s="270">
        <f t="shared" si="505"/>
        <v>0</v>
      </c>
      <c r="BF88" s="270">
        <f t="shared" si="505"/>
        <v>0</v>
      </c>
      <c r="BG88" s="270">
        <f t="shared" si="505"/>
        <v>0</v>
      </c>
      <c r="BH88" s="270">
        <f t="shared" si="505"/>
        <v>0</v>
      </c>
      <c r="BI88" s="270">
        <f t="shared" si="505"/>
        <v>0</v>
      </c>
      <c r="BJ88" s="270">
        <f t="shared" si="505"/>
        <v>0</v>
      </c>
      <c r="BK88" s="270">
        <f t="shared" si="505"/>
        <v>0</v>
      </c>
      <c r="BL88" s="265">
        <f t="shared" si="16"/>
        <v>102074.96</v>
      </c>
      <c r="BM88" s="215"/>
      <c r="BN88" s="270">
        <f t="shared" ref="BN88:CP88" si="506">ROUND(AI87*E$9/12,2)</f>
        <v>0</v>
      </c>
      <c r="BO88" s="270">
        <f t="shared" si="506"/>
        <v>0</v>
      </c>
      <c r="BP88" s="270">
        <f t="shared" si="506"/>
        <v>0</v>
      </c>
      <c r="BQ88" s="270">
        <f t="shared" si="506"/>
        <v>0</v>
      </c>
      <c r="BR88" s="270">
        <f t="shared" si="506"/>
        <v>0</v>
      </c>
      <c r="BS88" s="270">
        <f t="shared" si="506"/>
        <v>0</v>
      </c>
      <c r="BT88" s="270">
        <f t="shared" si="506"/>
        <v>0</v>
      </c>
      <c r="BU88" s="270">
        <f t="shared" si="506"/>
        <v>0</v>
      </c>
      <c r="BV88" s="270">
        <f t="shared" si="506"/>
        <v>0</v>
      </c>
      <c r="BW88" s="270">
        <f t="shared" si="506"/>
        <v>0</v>
      </c>
      <c r="BX88" s="270">
        <f t="shared" si="506"/>
        <v>0</v>
      </c>
      <c r="BY88" s="270">
        <f t="shared" si="506"/>
        <v>42.74</v>
      </c>
      <c r="BZ88" s="270">
        <f t="shared" si="506"/>
        <v>313.51</v>
      </c>
      <c r="CA88" s="270">
        <f t="shared" si="506"/>
        <v>0</v>
      </c>
      <c r="CB88" s="270">
        <f t="shared" si="506"/>
        <v>0</v>
      </c>
      <c r="CC88" s="270">
        <f t="shared" si="506"/>
        <v>0</v>
      </c>
      <c r="CD88" s="270">
        <f t="shared" si="506"/>
        <v>0</v>
      </c>
      <c r="CE88" s="270">
        <f t="shared" si="506"/>
        <v>0</v>
      </c>
      <c r="CF88" s="270">
        <f t="shared" si="506"/>
        <v>0</v>
      </c>
      <c r="CG88" s="270">
        <f t="shared" si="506"/>
        <v>0</v>
      </c>
      <c r="CH88" s="270">
        <f t="shared" si="506"/>
        <v>0</v>
      </c>
      <c r="CI88" s="270">
        <f t="shared" si="506"/>
        <v>0</v>
      </c>
      <c r="CJ88" s="270">
        <f t="shared" si="506"/>
        <v>0</v>
      </c>
      <c r="CK88" s="270">
        <f t="shared" si="506"/>
        <v>0</v>
      </c>
      <c r="CL88" s="270">
        <f t="shared" si="506"/>
        <v>0</v>
      </c>
      <c r="CM88" s="270">
        <f t="shared" si="506"/>
        <v>0</v>
      </c>
      <c r="CN88" s="270">
        <f t="shared" si="506"/>
        <v>0</v>
      </c>
      <c r="CO88" s="270">
        <f t="shared" si="506"/>
        <v>0</v>
      </c>
      <c r="CP88" s="270">
        <f t="shared" si="506"/>
        <v>0</v>
      </c>
      <c r="CQ88" s="215"/>
      <c r="CR88" s="270">
        <f t="shared" si="27"/>
        <v>356.25</v>
      </c>
      <c r="CS88" s="215"/>
      <c r="CT88" s="270">
        <f t="shared" ref="CT88:DX88" si="507">IF(AI87&gt;0,IF((AI87+BN88)&lt;E$10,AI87+BN88,E$10),0)</f>
        <v>0</v>
      </c>
      <c r="CU88" s="270">
        <f t="shared" si="507"/>
        <v>0</v>
      </c>
      <c r="CV88" s="270">
        <f t="shared" si="507"/>
        <v>0</v>
      </c>
      <c r="CW88" s="270">
        <f t="shared" si="507"/>
        <v>0</v>
      </c>
      <c r="CX88" s="270">
        <f t="shared" si="507"/>
        <v>0</v>
      </c>
      <c r="CY88" s="270">
        <f t="shared" si="507"/>
        <v>0</v>
      </c>
      <c r="CZ88" s="270">
        <f t="shared" si="507"/>
        <v>0</v>
      </c>
      <c r="DA88" s="270">
        <f t="shared" si="507"/>
        <v>0</v>
      </c>
      <c r="DB88" s="270">
        <f t="shared" si="507"/>
        <v>0</v>
      </c>
      <c r="DC88" s="270">
        <f t="shared" si="507"/>
        <v>0</v>
      </c>
      <c r="DD88" s="270">
        <f t="shared" si="507"/>
        <v>0</v>
      </c>
      <c r="DE88" s="270">
        <f t="shared" si="507"/>
        <v>791.16</v>
      </c>
      <c r="DF88" s="270">
        <f t="shared" si="507"/>
        <v>1467.13</v>
      </c>
      <c r="DG88" s="270">
        <f t="shared" si="507"/>
        <v>0</v>
      </c>
      <c r="DH88" s="270">
        <f t="shared" si="507"/>
        <v>0</v>
      </c>
      <c r="DI88" s="270">
        <f t="shared" si="507"/>
        <v>0</v>
      </c>
      <c r="DJ88" s="270">
        <f t="shared" si="507"/>
        <v>0</v>
      </c>
      <c r="DK88" s="270">
        <f t="shared" si="507"/>
        <v>0</v>
      </c>
      <c r="DL88" s="270">
        <f t="shared" si="507"/>
        <v>0</v>
      </c>
      <c r="DM88" s="270">
        <f t="shared" si="507"/>
        <v>0</v>
      </c>
      <c r="DN88" s="270">
        <f t="shared" si="507"/>
        <v>0</v>
      </c>
      <c r="DO88" s="270">
        <f t="shared" si="507"/>
        <v>0</v>
      </c>
      <c r="DP88" s="270">
        <f t="shared" si="507"/>
        <v>0</v>
      </c>
      <c r="DQ88" s="270">
        <f t="shared" si="507"/>
        <v>0</v>
      </c>
      <c r="DR88" s="270">
        <f t="shared" si="507"/>
        <v>0</v>
      </c>
      <c r="DS88" s="270">
        <f t="shared" si="507"/>
        <v>0</v>
      </c>
      <c r="DT88" s="270">
        <f t="shared" si="507"/>
        <v>0</v>
      </c>
      <c r="DU88" s="270">
        <f t="shared" si="507"/>
        <v>0</v>
      </c>
      <c r="DV88" s="270">
        <f t="shared" si="507"/>
        <v>0</v>
      </c>
      <c r="DW88" s="271" t="str">
        <f t="shared" si="507"/>
        <v/>
      </c>
      <c r="DX88" s="270">
        <f t="shared" si="507"/>
        <v>0</v>
      </c>
      <c r="DY88" s="270">
        <f t="shared" si="29"/>
        <v>2258.29</v>
      </c>
      <c r="DZ88" s="274"/>
      <c r="EA88" s="275">
        <f t="shared" si="38"/>
        <v>0</v>
      </c>
      <c r="EB88" s="270">
        <f t="shared" ref="EB88:FC88" si="508">IF(AJ86&lt;=0,0,IF($C87&lt;=SUM($EA88:EA88),0,IF(CU87+$C87-SUM($EA88:EA88)&gt;AJ86+BO87,AJ86+BO87-CU87,$C87-SUM($EA88:EA88))))</f>
        <v>0</v>
      </c>
      <c r="EC88" s="270">
        <f t="shared" si="508"/>
        <v>0</v>
      </c>
      <c r="ED88" s="270">
        <f t="shared" si="508"/>
        <v>0</v>
      </c>
      <c r="EE88" s="270">
        <f t="shared" si="508"/>
        <v>0</v>
      </c>
      <c r="EF88" s="270">
        <f t="shared" si="508"/>
        <v>0</v>
      </c>
      <c r="EG88" s="270">
        <f t="shared" si="508"/>
        <v>0</v>
      </c>
      <c r="EH88" s="270">
        <f t="shared" si="508"/>
        <v>0</v>
      </c>
      <c r="EI88" s="270">
        <f t="shared" si="508"/>
        <v>0</v>
      </c>
      <c r="EJ88" s="270">
        <f t="shared" si="508"/>
        <v>0</v>
      </c>
      <c r="EK88" s="270">
        <f t="shared" si="508"/>
        <v>0</v>
      </c>
      <c r="EL88" s="270">
        <f t="shared" si="508"/>
        <v>1603.71</v>
      </c>
      <c r="EM88" s="270">
        <f t="shared" si="508"/>
        <v>0</v>
      </c>
      <c r="EN88" s="270">
        <f t="shared" si="508"/>
        <v>0</v>
      </c>
      <c r="EO88" s="270">
        <f t="shared" si="508"/>
        <v>0</v>
      </c>
      <c r="EP88" s="270">
        <f t="shared" si="508"/>
        <v>0</v>
      </c>
      <c r="EQ88" s="270">
        <f t="shared" si="508"/>
        <v>0</v>
      </c>
      <c r="ER88" s="270">
        <f t="shared" si="508"/>
        <v>0</v>
      </c>
      <c r="ES88" s="270">
        <f t="shared" si="508"/>
        <v>0</v>
      </c>
      <c r="ET88" s="270">
        <f t="shared" si="508"/>
        <v>0</v>
      </c>
      <c r="EU88" s="270">
        <f t="shared" si="508"/>
        <v>0</v>
      </c>
      <c r="EV88" s="270">
        <f t="shared" si="508"/>
        <v>0</v>
      </c>
      <c r="EW88" s="270">
        <f t="shared" si="508"/>
        <v>0</v>
      </c>
      <c r="EX88" s="270">
        <f t="shared" si="508"/>
        <v>0</v>
      </c>
      <c r="EY88" s="270">
        <f t="shared" si="508"/>
        <v>0</v>
      </c>
      <c r="EZ88" s="270">
        <f t="shared" si="508"/>
        <v>0</v>
      </c>
      <c r="FA88" s="270">
        <f t="shared" si="508"/>
        <v>0</v>
      </c>
      <c r="FB88" s="270">
        <f t="shared" si="508"/>
        <v>0</v>
      </c>
      <c r="FC88" s="270">
        <f t="shared" si="508"/>
        <v>0</v>
      </c>
      <c r="FD88" s="271"/>
      <c r="FE88" s="271"/>
      <c r="FF88" s="271"/>
      <c r="FG88" s="215"/>
      <c r="FH88" s="215"/>
    </row>
    <row r="89" ht="11.25" customHeight="1">
      <c r="A89" s="231">
        <f t="shared" si="19"/>
        <v>69</v>
      </c>
      <c r="B89" s="269">
        <v>47727.0</v>
      </c>
      <c r="C89" s="270">
        <f>IF(A89="","",IF(Calculator!snowball,IF(($E$5-DY89)&lt;0,0,$E$5-DY89),0)+D89)</f>
        <v>1603.71</v>
      </c>
      <c r="D89" s="277"/>
      <c r="E89" s="270">
        <f t="shared" si="40"/>
        <v>0</v>
      </c>
      <c r="F89" s="270">
        <f t="shared" ref="F89:AG89" si="509">CU89+EB90</f>
        <v>0</v>
      </c>
      <c r="G89" s="270">
        <f t="shared" si="509"/>
        <v>0</v>
      </c>
      <c r="H89" s="270">
        <f t="shared" si="509"/>
        <v>0</v>
      </c>
      <c r="I89" s="270">
        <f t="shared" si="509"/>
        <v>0</v>
      </c>
      <c r="J89" s="270">
        <f t="shared" si="509"/>
        <v>0</v>
      </c>
      <c r="K89" s="270">
        <f t="shared" si="509"/>
        <v>0</v>
      </c>
      <c r="L89" s="270">
        <f t="shared" si="509"/>
        <v>0</v>
      </c>
      <c r="M89" s="270">
        <f t="shared" si="509"/>
        <v>0</v>
      </c>
      <c r="N89" s="270">
        <f t="shared" si="509"/>
        <v>0</v>
      </c>
      <c r="O89" s="270">
        <f t="shared" si="509"/>
        <v>0</v>
      </c>
      <c r="P89" s="272">
        <f t="shared" si="509"/>
        <v>2394.87</v>
      </c>
      <c r="Q89" s="272">
        <f t="shared" si="509"/>
        <v>1467.13</v>
      </c>
      <c r="R89" s="272">
        <f t="shared" si="509"/>
        <v>0</v>
      </c>
      <c r="S89" s="272">
        <f t="shared" si="509"/>
        <v>0</v>
      </c>
      <c r="T89" s="272">
        <f t="shared" si="509"/>
        <v>0</v>
      </c>
      <c r="U89" s="270">
        <f t="shared" si="509"/>
        <v>0</v>
      </c>
      <c r="V89" s="270">
        <f t="shared" si="509"/>
        <v>0</v>
      </c>
      <c r="W89" s="270">
        <f t="shared" si="509"/>
        <v>0</v>
      </c>
      <c r="X89" s="270">
        <f t="shared" si="509"/>
        <v>0</v>
      </c>
      <c r="Y89" s="270">
        <f t="shared" si="509"/>
        <v>0</v>
      </c>
      <c r="Z89" s="270">
        <f t="shared" si="509"/>
        <v>0</v>
      </c>
      <c r="AA89" s="270">
        <f t="shared" si="509"/>
        <v>0</v>
      </c>
      <c r="AB89" s="270">
        <f t="shared" si="509"/>
        <v>0</v>
      </c>
      <c r="AC89" s="270">
        <f t="shared" si="509"/>
        <v>0</v>
      </c>
      <c r="AD89" s="270">
        <f t="shared" si="509"/>
        <v>0</v>
      </c>
      <c r="AE89" s="270">
        <f t="shared" si="509"/>
        <v>0</v>
      </c>
      <c r="AF89" s="270">
        <f t="shared" si="509"/>
        <v>0</v>
      </c>
      <c r="AG89" s="270">
        <f t="shared" si="509"/>
        <v>0</v>
      </c>
      <c r="AH89" s="265">
        <f t="shared" si="13"/>
        <v>98262.06</v>
      </c>
      <c r="AI89" s="270">
        <f t="shared" si="43"/>
        <v>0</v>
      </c>
      <c r="AJ89" s="270">
        <f t="shared" ref="AJ89:AO89" si="510">IF(F$8=0,0,ROUND(AJ88-(F89-BO89),2))</f>
        <v>0</v>
      </c>
      <c r="AK89" s="270">
        <f t="shared" si="510"/>
        <v>0</v>
      </c>
      <c r="AL89" s="270">
        <f t="shared" si="510"/>
        <v>0</v>
      </c>
      <c r="AM89" s="270">
        <f t="shared" si="510"/>
        <v>0</v>
      </c>
      <c r="AN89" s="270">
        <f t="shared" si="510"/>
        <v>0</v>
      </c>
      <c r="AO89" s="270">
        <f t="shared" si="510"/>
        <v>0</v>
      </c>
      <c r="AP89" s="270">
        <v>0.0</v>
      </c>
      <c r="AQ89" s="270">
        <f t="shared" ref="AQ89:AT89" si="511">IF(M$8=0,0,ROUND(AQ88-(M89-BV89),2))</f>
        <v>0</v>
      </c>
      <c r="AR89" s="270">
        <f t="shared" si="511"/>
        <v>0</v>
      </c>
      <c r="AS89" s="270">
        <f t="shared" si="511"/>
        <v>0</v>
      </c>
      <c r="AT89" s="270">
        <f t="shared" si="511"/>
        <v>804.82</v>
      </c>
      <c r="AU89" s="270">
        <f t="shared" ref="AU89:BK89" si="512">IF(Q$8=0,0,ROUND(AU88-(Q89-BY89),2))</f>
        <v>97457.24</v>
      </c>
      <c r="AV89" s="270">
        <f t="shared" si="512"/>
        <v>0</v>
      </c>
      <c r="AW89" s="270">
        <f t="shared" si="512"/>
        <v>0</v>
      </c>
      <c r="AX89" s="270">
        <f t="shared" si="512"/>
        <v>0</v>
      </c>
      <c r="AY89" s="270">
        <f t="shared" si="512"/>
        <v>0</v>
      </c>
      <c r="AZ89" s="270">
        <f t="shared" si="512"/>
        <v>0</v>
      </c>
      <c r="BA89" s="270">
        <f t="shared" si="512"/>
        <v>0</v>
      </c>
      <c r="BB89" s="270">
        <f t="shared" si="512"/>
        <v>0</v>
      </c>
      <c r="BC89" s="270">
        <f t="shared" si="512"/>
        <v>0</v>
      </c>
      <c r="BD89" s="270">
        <f t="shared" si="512"/>
        <v>0</v>
      </c>
      <c r="BE89" s="270">
        <f t="shared" si="512"/>
        <v>0</v>
      </c>
      <c r="BF89" s="270">
        <f t="shared" si="512"/>
        <v>0</v>
      </c>
      <c r="BG89" s="270">
        <f t="shared" si="512"/>
        <v>0</v>
      </c>
      <c r="BH89" s="270">
        <f t="shared" si="512"/>
        <v>0</v>
      </c>
      <c r="BI89" s="270">
        <f t="shared" si="512"/>
        <v>0</v>
      </c>
      <c r="BJ89" s="270">
        <f t="shared" si="512"/>
        <v>0</v>
      </c>
      <c r="BK89" s="270">
        <f t="shared" si="512"/>
        <v>0</v>
      </c>
      <c r="BL89" s="265">
        <f t="shared" si="16"/>
        <v>98262.06</v>
      </c>
      <c r="BM89" s="215"/>
      <c r="BN89" s="270">
        <f t="shared" ref="BN89:CP89" si="513">ROUND(AI88*E$9/12,2)</f>
        <v>0</v>
      </c>
      <c r="BO89" s="270">
        <f t="shared" si="513"/>
        <v>0</v>
      </c>
      <c r="BP89" s="270">
        <f t="shared" si="513"/>
        <v>0</v>
      </c>
      <c r="BQ89" s="270">
        <f t="shared" si="513"/>
        <v>0</v>
      </c>
      <c r="BR89" s="270">
        <f t="shared" si="513"/>
        <v>0</v>
      </c>
      <c r="BS89" s="270">
        <f t="shared" si="513"/>
        <v>0</v>
      </c>
      <c r="BT89" s="270">
        <f t="shared" si="513"/>
        <v>0</v>
      </c>
      <c r="BU89" s="270">
        <f t="shared" si="513"/>
        <v>0</v>
      </c>
      <c r="BV89" s="270">
        <f t="shared" si="513"/>
        <v>0</v>
      </c>
      <c r="BW89" s="270">
        <f t="shared" si="513"/>
        <v>0</v>
      </c>
      <c r="BX89" s="270">
        <f t="shared" si="513"/>
        <v>0</v>
      </c>
      <c r="BY89" s="270">
        <f t="shared" si="513"/>
        <v>24.55</v>
      </c>
      <c r="BZ89" s="270">
        <f t="shared" si="513"/>
        <v>309.06</v>
      </c>
      <c r="CA89" s="270">
        <f t="shared" si="513"/>
        <v>0</v>
      </c>
      <c r="CB89" s="270">
        <f t="shared" si="513"/>
        <v>0</v>
      </c>
      <c r="CC89" s="270">
        <f t="shared" si="513"/>
        <v>0</v>
      </c>
      <c r="CD89" s="270">
        <f t="shared" si="513"/>
        <v>0</v>
      </c>
      <c r="CE89" s="270">
        <f t="shared" si="513"/>
        <v>0</v>
      </c>
      <c r="CF89" s="270">
        <f t="shared" si="513"/>
        <v>0</v>
      </c>
      <c r="CG89" s="270">
        <f t="shared" si="513"/>
        <v>0</v>
      </c>
      <c r="CH89" s="270">
        <f t="shared" si="513"/>
        <v>0</v>
      </c>
      <c r="CI89" s="270">
        <f t="shared" si="513"/>
        <v>0</v>
      </c>
      <c r="CJ89" s="270">
        <f t="shared" si="513"/>
        <v>0</v>
      </c>
      <c r="CK89" s="270">
        <f t="shared" si="513"/>
        <v>0</v>
      </c>
      <c r="CL89" s="270">
        <f t="shared" si="513"/>
        <v>0</v>
      </c>
      <c r="CM89" s="270">
        <f t="shared" si="513"/>
        <v>0</v>
      </c>
      <c r="CN89" s="270">
        <f t="shared" si="513"/>
        <v>0</v>
      </c>
      <c r="CO89" s="270">
        <f t="shared" si="513"/>
        <v>0</v>
      </c>
      <c r="CP89" s="270">
        <f t="shared" si="513"/>
        <v>0</v>
      </c>
      <c r="CQ89" s="215"/>
      <c r="CR89" s="270">
        <f t="shared" si="27"/>
        <v>333.61</v>
      </c>
      <c r="CS89" s="215"/>
      <c r="CT89" s="270">
        <f t="shared" ref="CT89:DX89" si="514">IF(AI88&gt;0,IF((AI88+BN89)&lt;E$10,AI88+BN89,E$10),0)</f>
        <v>0</v>
      </c>
      <c r="CU89" s="270">
        <f t="shared" si="514"/>
        <v>0</v>
      </c>
      <c r="CV89" s="270">
        <f t="shared" si="514"/>
        <v>0</v>
      </c>
      <c r="CW89" s="270">
        <f t="shared" si="514"/>
        <v>0</v>
      </c>
      <c r="CX89" s="270">
        <f t="shared" si="514"/>
        <v>0</v>
      </c>
      <c r="CY89" s="270">
        <f t="shared" si="514"/>
        <v>0</v>
      </c>
      <c r="CZ89" s="270">
        <f t="shared" si="514"/>
        <v>0</v>
      </c>
      <c r="DA89" s="270">
        <f t="shared" si="514"/>
        <v>0</v>
      </c>
      <c r="DB89" s="270">
        <f t="shared" si="514"/>
        <v>0</v>
      </c>
      <c r="DC89" s="270">
        <f t="shared" si="514"/>
        <v>0</v>
      </c>
      <c r="DD89" s="270">
        <f t="shared" si="514"/>
        <v>0</v>
      </c>
      <c r="DE89" s="270">
        <f t="shared" si="514"/>
        <v>791.16</v>
      </c>
      <c r="DF89" s="270">
        <f t="shared" si="514"/>
        <v>1467.13</v>
      </c>
      <c r="DG89" s="270">
        <f t="shared" si="514"/>
        <v>0</v>
      </c>
      <c r="DH89" s="270">
        <f t="shared" si="514"/>
        <v>0</v>
      </c>
      <c r="DI89" s="270">
        <f t="shared" si="514"/>
        <v>0</v>
      </c>
      <c r="DJ89" s="270">
        <f t="shared" si="514"/>
        <v>0</v>
      </c>
      <c r="DK89" s="270">
        <f t="shared" si="514"/>
        <v>0</v>
      </c>
      <c r="DL89" s="270">
        <f t="shared" si="514"/>
        <v>0</v>
      </c>
      <c r="DM89" s="270">
        <f t="shared" si="514"/>
        <v>0</v>
      </c>
      <c r="DN89" s="270">
        <f t="shared" si="514"/>
        <v>0</v>
      </c>
      <c r="DO89" s="270">
        <f t="shared" si="514"/>
        <v>0</v>
      </c>
      <c r="DP89" s="270">
        <f t="shared" si="514"/>
        <v>0</v>
      </c>
      <c r="DQ89" s="270">
        <f t="shared" si="514"/>
        <v>0</v>
      </c>
      <c r="DR89" s="270">
        <f t="shared" si="514"/>
        <v>0</v>
      </c>
      <c r="DS89" s="270">
        <f t="shared" si="514"/>
        <v>0</v>
      </c>
      <c r="DT89" s="270">
        <f t="shared" si="514"/>
        <v>0</v>
      </c>
      <c r="DU89" s="270">
        <f t="shared" si="514"/>
        <v>0</v>
      </c>
      <c r="DV89" s="270">
        <f t="shared" si="514"/>
        <v>0</v>
      </c>
      <c r="DW89" s="271" t="str">
        <f t="shared" si="514"/>
        <v/>
      </c>
      <c r="DX89" s="270">
        <f t="shared" si="514"/>
        <v>0</v>
      </c>
      <c r="DY89" s="270">
        <f t="shared" si="29"/>
        <v>2258.29</v>
      </c>
      <c r="DZ89" s="274"/>
      <c r="EA89" s="275">
        <f t="shared" si="38"/>
        <v>0</v>
      </c>
      <c r="EB89" s="270">
        <f t="shared" ref="EB89:FC89" si="515">IF(AJ87&lt;=0,0,IF($C88&lt;=SUM($EA89:EA89),0,IF(CU88+$C88-SUM($EA89:EA89)&gt;AJ87+BO88,AJ87+BO88-CU88,$C88-SUM($EA89:EA89))))</f>
        <v>0</v>
      </c>
      <c r="EC89" s="270">
        <f t="shared" si="515"/>
        <v>0</v>
      </c>
      <c r="ED89" s="270">
        <f t="shared" si="515"/>
        <v>0</v>
      </c>
      <c r="EE89" s="270">
        <f t="shared" si="515"/>
        <v>0</v>
      </c>
      <c r="EF89" s="270">
        <f t="shared" si="515"/>
        <v>0</v>
      </c>
      <c r="EG89" s="270">
        <f t="shared" si="515"/>
        <v>0</v>
      </c>
      <c r="EH89" s="270">
        <f t="shared" si="515"/>
        <v>0</v>
      </c>
      <c r="EI89" s="270">
        <f t="shared" si="515"/>
        <v>0</v>
      </c>
      <c r="EJ89" s="270">
        <f t="shared" si="515"/>
        <v>0</v>
      </c>
      <c r="EK89" s="270">
        <f t="shared" si="515"/>
        <v>0</v>
      </c>
      <c r="EL89" s="270">
        <f t="shared" si="515"/>
        <v>1603.71</v>
      </c>
      <c r="EM89" s="270">
        <f t="shared" si="515"/>
        <v>0</v>
      </c>
      <c r="EN89" s="270">
        <f t="shared" si="515"/>
        <v>0</v>
      </c>
      <c r="EO89" s="270">
        <f t="shared" si="515"/>
        <v>0</v>
      </c>
      <c r="EP89" s="270">
        <f t="shared" si="515"/>
        <v>0</v>
      </c>
      <c r="EQ89" s="270">
        <f t="shared" si="515"/>
        <v>0</v>
      </c>
      <c r="ER89" s="270">
        <f t="shared" si="515"/>
        <v>0</v>
      </c>
      <c r="ES89" s="270">
        <f t="shared" si="515"/>
        <v>0</v>
      </c>
      <c r="ET89" s="270">
        <f t="shared" si="515"/>
        <v>0</v>
      </c>
      <c r="EU89" s="270">
        <f t="shared" si="515"/>
        <v>0</v>
      </c>
      <c r="EV89" s="270">
        <f t="shared" si="515"/>
        <v>0</v>
      </c>
      <c r="EW89" s="270">
        <f t="shared" si="515"/>
        <v>0</v>
      </c>
      <c r="EX89" s="270">
        <f t="shared" si="515"/>
        <v>0</v>
      </c>
      <c r="EY89" s="270">
        <f t="shared" si="515"/>
        <v>0</v>
      </c>
      <c r="EZ89" s="270">
        <f t="shared" si="515"/>
        <v>0</v>
      </c>
      <c r="FA89" s="270">
        <f t="shared" si="515"/>
        <v>0</v>
      </c>
      <c r="FB89" s="270">
        <f t="shared" si="515"/>
        <v>0</v>
      </c>
      <c r="FC89" s="270">
        <f t="shared" si="515"/>
        <v>0</v>
      </c>
      <c r="FD89" s="271"/>
      <c r="FE89" s="271"/>
      <c r="FF89" s="271"/>
      <c r="FG89" s="215"/>
      <c r="FH89" s="215"/>
    </row>
    <row r="90" ht="11.25" customHeight="1">
      <c r="A90" s="231">
        <f t="shared" si="19"/>
        <v>70</v>
      </c>
      <c r="B90" s="269">
        <v>47757.0</v>
      </c>
      <c r="C90" s="270">
        <f>IF(A90="","",IF(Calculator!snowball,IF(($E$5-DY90)&lt;0,0,$E$5-DY90),0)+D90)</f>
        <v>1603.71</v>
      </c>
      <c r="D90" s="277"/>
      <c r="E90" s="270">
        <f t="shared" si="40"/>
        <v>0</v>
      </c>
      <c r="F90" s="270">
        <f t="shared" ref="F90:AG90" si="516">CU90+EB91</f>
        <v>0</v>
      </c>
      <c r="G90" s="270">
        <f t="shared" si="516"/>
        <v>0</v>
      </c>
      <c r="H90" s="270">
        <f t="shared" si="516"/>
        <v>0</v>
      </c>
      <c r="I90" s="270">
        <f t="shared" si="516"/>
        <v>0</v>
      </c>
      <c r="J90" s="270">
        <f t="shared" si="516"/>
        <v>0</v>
      </c>
      <c r="K90" s="270">
        <f t="shared" si="516"/>
        <v>0</v>
      </c>
      <c r="L90" s="270">
        <f t="shared" si="516"/>
        <v>0</v>
      </c>
      <c r="M90" s="270">
        <f t="shared" si="516"/>
        <v>0</v>
      </c>
      <c r="N90" s="270">
        <f t="shared" si="516"/>
        <v>0</v>
      </c>
      <c r="O90" s="270">
        <f t="shared" si="516"/>
        <v>0</v>
      </c>
      <c r="P90" s="272">
        <f t="shared" si="516"/>
        <v>811.04</v>
      </c>
      <c r="Q90" s="272">
        <f t="shared" si="516"/>
        <v>3050.96</v>
      </c>
      <c r="R90" s="272">
        <f t="shared" si="516"/>
        <v>0</v>
      </c>
      <c r="S90" s="272">
        <f t="shared" si="516"/>
        <v>0</v>
      </c>
      <c r="T90" s="272">
        <f t="shared" si="516"/>
        <v>0</v>
      </c>
      <c r="U90" s="270">
        <f t="shared" si="516"/>
        <v>0</v>
      </c>
      <c r="V90" s="270">
        <f t="shared" si="516"/>
        <v>0</v>
      </c>
      <c r="W90" s="270">
        <f t="shared" si="516"/>
        <v>0</v>
      </c>
      <c r="X90" s="270">
        <f t="shared" si="516"/>
        <v>0</v>
      </c>
      <c r="Y90" s="270">
        <f t="shared" si="516"/>
        <v>0</v>
      </c>
      <c r="Z90" s="270">
        <f t="shared" si="516"/>
        <v>0</v>
      </c>
      <c r="AA90" s="270">
        <f t="shared" si="516"/>
        <v>0</v>
      </c>
      <c r="AB90" s="270">
        <f t="shared" si="516"/>
        <v>0</v>
      </c>
      <c r="AC90" s="270">
        <f t="shared" si="516"/>
        <v>0</v>
      </c>
      <c r="AD90" s="270">
        <f t="shared" si="516"/>
        <v>0</v>
      </c>
      <c r="AE90" s="270">
        <f t="shared" si="516"/>
        <v>0</v>
      </c>
      <c r="AF90" s="270">
        <f t="shared" si="516"/>
        <v>0</v>
      </c>
      <c r="AG90" s="270">
        <f t="shared" si="516"/>
        <v>0</v>
      </c>
      <c r="AH90" s="265">
        <f t="shared" si="13"/>
        <v>94406.28</v>
      </c>
      <c r="AI90" s="270">
        <f t="shared" si="43"/>
        <v>0</v>
      </c>
      <c r="AJ90" s="270">
        <f t="shared" ref="AJ90:AO90" si="517">IF(F$8=0,0,ROUND(AJ89-(F90-BO90),2))</f>
        <v>0</v>
      </c>
      <c r="AK90" s="270">
        <f t="shared" si="517"/>
        <v>0</v>
      </c>
      <c r="AL90" s="270">
        <f t="shared" si="517"/>
        <v>0</v>
      </c>
      <c r="AM90" s="270">
        <f t="shared" si="517"/>
        <v>0</v>
      </c>
      <c r="AN90" s="270">
        <f t="shared" si="517"/>
        <v>0</v>
      </c>
      <c r="AO90" s="270">
        <f t="shared" si="517"/>
        <v>0</v>
      </c>
      <c r="AP90" s="270">
        <v>0.0</v>
      </c>
      <c r="AQ90" s="270">
        <f t="shared" ref="AQ90:AS90" si="518">IF(M$8=0,0,ROUND(AQ89-(M90-BV90),2))</f>
        <v>0</v>
      </c>
      <c r="AR90" s="270">
        <f t="shared" si="518"/>
        <v>0</v>
      </c>
      <c r="AS90" s="270">
        <f t="shared" si="518"/>
        <v>0</v>
      </c>
      <c r="AT90" s="270">
        <f t="shared" ref="AT90:BK90" si="519">IF(P$8=0,0,ROUND(AT89-(P90-BX90),2))</f>
        <v>-6.22</v>
      </c>
      <c r="AU90" s="270">
        <f t="shared" si="519"/>
        <v>94412.5</v>
      </c>
      <c r="AV90" s="270">
        <f t="shared" si="519"/>
        <v>0</v>
      </c>
      <c r="AW90" s="270">
        <f t="shared" si="519"/>
        <v>0</v>
      </c>
      <c r="AX90" s="270">
        <f t="shared" si="519"/>
        <v>0</v>
      </c>
      <c r="AY90" s="270">
        <f t="shared" si="519"/>
        <v>0</v>
      </c>
      <c r="AZ90" s="270">
        <f t="shared" si="519"/>
        <v>0</v>
      </c>
      <c r="BA90" s="270">
        <f t="shared" si="519"/>
        <v>0</v>
      </c>
      <c r="BB90" s="270">
        <f t="shared" si="519"/>
        <v>0</v>
      </c>
      <c r="BC90" s="270">
        <f t="shared" si="519"/>
        <v>0</v>
      </c>
      <c r="BD90" s="270">
        <f t="shared" si="519"/>
        <v>0</v>
      </c>
      <c r="BE90" s="270">
        <f t="shared" si="519"/>
        <v>0</v>
      </c>
      <c r="BF90" s="270">
        <f t="shared" si="519"/>
        <v>0</v>
      </c>
      <c r="BG90" s="270">
        <f t="shared" si="519"/>
        <v>0</v>
      </c>
      <c r="BH90" s="270">
        <f t="shared" si="519"/>
        <v>0</v>
      </c>
      <c r="BI90" s="270">
        <f t="shared" si="519"/>
        <v>0</v>
      </c>
      <c r="BJ90" s="270">
        <f t="shared" si="519"/>
        <v>0</v>
      </c>
      <c r="BK90" s="270">
        <f t="shared" si="519"/>
        <v>0</v>
      </c>
      <c r="BL90" s="265">
        <f t="shared" si="16"/>
        <v>94406.28</v>
      </c>
      <c r="BM90" s="215"/>
      <c r="BN90" s="270">
        <f t="shared" ref="BN90:CP90" si="520">ROUND(AI89*E$9/12,2)</f>
        <v>0</v>
      </c>
      <c r="BO90" s="270">
        <f t="shared" si="520"/>
        <v>0</v>
      </c>
      <c r="BP90" s="270">
        <f t="shared" si="520"/>
        <v>0</v>
      </c>
      <c r="BQ90" s="270">
        <f t="shared" si="520"/>
        <v>0</v>
      </c>
      <c r="BR90" s="270">
        <f t="shared" si="520"/>
        <v>0</v>
      </c>
      <c r="BS90" s="270">
        <f t="shared" si="520"/>
        <v>0</v>
      </c>
      <c r="BT90" s="270">
        <f t="shared" si="520"/>
        <v>0</v>
      </c>
      <c r="BU90" s="270">
        <f t="shared" si="520"/>
        <v>0</v>
      </c>
      <c r="BV90" s="270">
        <f t="shared" si="520"/>
        <v>0</v>
      </c>
      <c r="BW90" s="270">
        <f t="shared" si="520"/>
        <v>0</v>
      </c>
      <c r="BX90" s="270">
        <f t="shared" si="520"/>
        <v>0</v>
      </c>
      <c r="BY90" s="270">
        <f t="shared" si="520"/>
        <v>6.22</v>
      </c>
      <c r="BZ90" s="270">
        <f t="shared" si="520"/>
        <v>304.55</v>
      </c>
      <c r="CA90" s="270">
        <f t="shared" si="520"/>
        <v>0</v>
      </c>
      <c r="CB90" s="270">
        <f t="shared" si="520"/>
        <v>0</v>
      </c>
      <c r="CC90" s="270">
        <f t="shared" si="520"/>
        <v>0</v>
      </c>
      <c r="CD90" s="270">
        <f t="shared" si="520"/>
        <v>0</v>
      </c>
      <c r="CE90" s="270">
        <f t="shared" si="520"/>
        <v>0</v>
      </c>
      <c r="CF90" s="270">
        <f t="shared" si="520"/>
        <v>0</v>
      </c>
      <c r="CG90" s="270">
        <f t="shared" si="520"/>
        <v>0</v>
      </c>
      <c r="CH90" s="270">
        <f t="shared" si="520"/>
        <v>0</v>
      </c>
      <c r="CI90" s="270">
        <f t="shared" si="520"/>
        <v>0</v>
      </c>
      <c r="CJ90" s="270">
        <f t="shared" si="520"/>
        <v>0</v>
      </c>
      <c r="CK90" s="270">
        <f t="shared" si="520"/>
        <v>0</v>
      </c>
      <c r="CL90" s="270">
        <f t="shared" si="520"/>
        <v>0</v>
      </c>
      <c r="CM90" s="270">
        <f t="shared" si="520"/>
        <v>0</v>
      </c>
      <c r="CN90" s="270">
        <f t="shared" si="520"/>
        <v>0</v>
      </c>
      <c r="CO90" s="270">
        <f t="shared" si="520"/>
        <v>0</v>
      </c>
      <c r="CP90" s="270">
        <f t="shared" si="520"/>
        <v>0</v>
      </c>
      <c r="CQ90" s="215"/>
      <c r="CR90" s="270">
        <f t="shared" si="27"/>
        <v>310.77</v>
      </c>
      <c r="CS90" s="215"/>
      <c r="CT90" s="270">
        <f t="shared" ref="CT90:DX90" si="521">IF(AI89&gt;0,IF((AI89+BN90)&lt;E$10,AI89+BN90,E$10),0)</f>
        <v>0</v>
      </c>
      <c r="CU90" s="270">
        <f t="shared" si="521"/>
        <v>0</v>
      </c>
      <c r="CV90" s="270">
        <f t="shared" si="521"/>
        <v>0</v>
      </c>
      <c r="CW90" s="270">
        <f t="shared" si="521"/>
        <v>0</v>
      </c>
      <c r="CX90" s="270">
        <f t="shared" si="521"/>
        <v>0</v>
      </c>
      <c r="CY90" s="270">
        <f t="shared" si="521"/>
        <v>0</v>
      </c>
      <c r="CZ90" s="270">
        <f t="shared" si="521"/>
        <v>0</v>
      </c>
      <c r="DA90" s="270">
        <f t="shared" si="521"/>
        <v>0</v>
      </c>
      <c r="DB90" s="270">
        <f t="shared" si="521"/>
        <v>0</v>
      </c>
      <c r="DC90" s="270">
        <f t="shared" si="521"/>
        <v>0</v>
      </c>
      <c r="DD90" s="270">
        <f t="shared" si="521"/>
        <v>0</v>
      </c>
      <c r="DE90" s="270">
        <f t="shared" si="521"/>
        <v>791.16</v>
      </c>
      <c r="DF90" s="270">
        <f t="shared" si="521"/>
        <v>1467.13</v>
      </c>
      <c r="DG90" s="270">
        <f t="shared" si="521"/>
        <v>0</v>
      </c>
      <c r="DH90" s="270">
        <f t="shared" si="521"/>
        <v>0</v>
      </c>
      <c r="DI90" s="270">
        <f t="shared" si="521"/>
        <v>0</v>
      </c>
      <c r="DJ90" s="270">
        <f t="shared" si="521"/>
        <v>0</v>
      </c>
      <c r="DK90" s="270">
        <f t="shared" si="521"/>
        <v>0</v>
      </c>
      <c r="DL90" s="270">
        <f t="shared" si="521"/>
        <v>0</v>
      </c>
      <c r="DM90" s="270">
        <f t="shared" si="521"/>
        <v>0</v>
      </c>
      <c r="DN90" s="270">
        <f t="shared" si="521"/>
        <v>0</v>
      </c>
      <c r="DO90" s="270">
        <f t="shared" si="521"/>
        <v>0</v>
      </c>
      <c r="DP90" s="270">
        <f t="shared" si="521"/>
        <v>0</v>
      </c>
      <c r="DQ90" s="270">
        <f t="shared" si="521"/>
        <v>0</v>
      </c>
      <c r="DR90" s="270">
        <f t="shared" si="521"/>
        <v>0</v>
      </c>
      <c r="DS90" s="270">
        <f t="shared" si="521"/>
        <v>0</v>
      </c>
      <c r="DT90" s="270">
        <f t="shared" si="521"/>
        <v>0</v>
      </c>
      <c r="DU90" s="270">
        <f t="shared" si="521"/>
        <v>0</v>
      </c>
      <c r="DV90" s="270">
        <f t="shared" si="521"/>
        <v>0</v>
      </c>
      <c r="DW90" s="271" t="str">
        <f t="shared" si="521"/>
        <v/>
      </c>
      <c r="DX90" s="270">
        <f t="shared" si="521"/>
        <v>0</v>
      </c>
      <c r="DY90" s="270">
        <f t="shared" si="29"/>
        <v>2258.29</v>
      </c>
      <c r="DZ90" s="274"/>
      <c r="EA90" s="275">
        <f t="shared" si="38"/>
        <v>0</v>
      </c>
      <c r="EB90" s="270">
        <f t="shared" ref="EB90:FC90" si="522">IF(AJ88&lt;=0,0,IF($C89&lt;=SUM($EA90:EA90),0,IF(CU89+$C89-SUM($EA90:EA90)&gt;AJ88+BO89,AJ88+BO89-CU89,$C89-SUM($EA90:EA90))))</f>
        <v>0</v>
      </c>
      <c r="EC90" s="270">
        <f t="shared" si="522"/>
        <v>0</v>
      </c>
      <c r="ED90" s="270">
        <f t="shared" si="522"/>
        <v>0</v>
      </c>
      <c r="EE90" s="270">
        <f t="shared" si="522"/>
        <v>0</v>
      </c>
      <c r="EF90" s="270">
        <f t="shared" si="522"/>
        <v>0</v>
      </c>
      <c r="EG90" s="270">
        <f t="shared" si="522"/>
        <v>0</v>
      </c>
      <c r="EH90" s="270">
        <f t="shared" si="522"/>
        <v>0</v>
      </c>
      <c r="EI90" s="270">
        <f t="shared" si="522"/>
        <v>0</v>
      </c>
      <c r="EJ90" s="270">
        <f t="shared" si="522"/>
        <v>0</v>
      </c>
      <c r="EK90" s="270">
        <f t="shared" si="522"/>
        <v>0</v>
      </c>
      <c r="EL90" s="270">
        <f t="shared" si="522"/>
        <v>1603.71</v>
      </c>
      <c r="EM90" s="270">
        <f t="shared" si="522"/>
        <v>0</v>
      </c>
      <c r="EN90" s="270">
        <f t="shared" si="522"/>
        <v>0</v>
      </c>
      <c r="EO90" s="270">
        <f t="shared" si="522"/>
        <v>0</v>
      </c>
      <c r="EP90" s="270">
        <f t="shared" si="522"/>
        <v>0</v>
      </c>
      <c r="EQ90" s="270">
        <f t="shared" si="522"/>
        <v>0</v>
      </c>
      <c r="ER90" s="270">
        <f t="shared" si="522"/>
        <v>0</v>
      </c>
      <c r="ES90" s="270">
        <f t="shared" si="522"/>
        <v>0</v>
      </c>
      <c r="ET90" s="270">
        <f t="shared" si="522"/>
        <v>0</v>
      </c>
      <c r="EU90" s="270">
        <f t="shared" si="522"/>
        <v>0</v>
      </c>
      <c r="EV90" s="270">
        <f t="shared" si="522"/>
        <v>0</v>
      </c>
      <c r="EW90" s="270">
        <f t="shared" si="522"/>
        <v>0</v>
      </c>
      <c r="EX90" s="270">
        <f t="shared" si="522"/>
        <v>0</v>
      </c>
      <c r="EY90" s="270">
        <f t="shared" si="522"/>
        <v>0</v>
      </c>
      <c r="EZ90" s="270">
        <f t="shared" si="522"/>
        <v>0</v>
      </c>
      <c r="FA90" s="270">
        <f t="shared" si="522"/>
        <v>0</v>
      </c>
      <c r="FB90" s="270">
        <f t="shared" si="522"/>
        <v>0</v>
      </c>
      <c r="FC90" s="270">
        <f t="shared" si="522"/>
        <v>0</v>
      </c>
      <c r="FD90" s="271"/>
      <c r="FE90" s="271"/>
      <c r="FF90" s="271"/>
      <c r="FG90" s="215"/>
      <c r="FH90" s="215"/>
    </row>
    <row r="91" ht="11.25" customHeight="1">
      <c r="A91" s="231">
        <f t="shared" si="19"/>
        <v>71</v>
      </c>
      <c r="B91" s="269">
        <v>47788.0</v>
      </c>
      <c r="C91" s="270">
        <f>IF(A91="","",IF(Calculator!snowball,IF(($E$5-DY91)&lt;0,0,$E$5-DY91),0)+D91)</f>
        <v>2394.87</v>
      </c>
      <c r="D91" s="277"/>
      <c r="E91" s="270">
        <f t="shared" si="40"/>
        <v>0</v>
      </c>
      <c r="F91" s="270">
        <f t="shared" ref="F91:AG91" si="523">CU91+EB92</f>
        <v>0</v>
      </c>
      <c r="G91" s="270">
        <f t="shared" si="523"/>
        <v>0</v>
      </c>
      <c r="H91" s="270">
        <f t="shared" si="523"/>
        <v>0</v>
      </c>
      <c r="I91" s="270">
        <f t="shared" si="523"/>
        <v>0</v>
      </c>
      <c r="J91" s="270">
        <f t="shared" si="523"/>
        <v>0</v>
      </c>
      <c r="K91" s="270">
        <f t="shared" si="523"/>
        <v>0</v>
      </c>
      <c r="L91" s="270">
        <f t="shared" si="523"/>
        <v>0</v>
      </c>
      <c r="M91" s="270">
        <f t="shared" si="523"/>
        <v>0</v>
      </c>
      <c r="N91" s="270">
        <f t="shared" si="523"/>
        <v>0</v>
      </c>
      <c r="O91" s="270">
        <f t="shared" si="523"/>
        <v>0</v>
      </c>
      <c r="P91" s="272">
        <f t="shared" si="523"/>
        <v>0</v>
      </c>
      <c r="Q91" s="272">
        <f t="shared" si="523"/>
        <v>3862</v>
      </c>
      <c r="R91" s="272">
        <f t="shared" si="523"/>
        <v>0</v>
      </c>
      <c r="S91" s="272">
        <f t="shared" si="523"/>
        <v>0</v>
      </c>
      <c r="T91" s="272">
        <f t="shared" si="523"/>
        <v>0</v>
      </c>
      <c r="U91" s="270">
        <f t="shared" si="523"/>
        <v>0</v>
      </c>
      <c r="V91" s="270">
        <f t="shared" si="523"/>
        <v>0</v>
      </c>
      <c r="W91" s="270">
        <f t="shared" si="523"/>
        <v>0</v>
      </c>
      <c r="X91" s="270">
        <f t="shared" si="523"/>
        <v>0</v>
      </c>
      <c r="Y91" s="270">
        <f t="shared" si="523"/>
        <v>0</v>
      </c>
      <c r="Z91" s="270">
        <f t="shared" si="523"/>
        <v>0</v>
      </c>
      <c r="AA91" s="270">
        <f t="shared" si="523"/>
        <v>0</v>
      </c>
      <c r="AB91" s="270">
        <f t="shared" si="523"/>
        <v>0</v>
      </c>
      <c r="AC91" s="270">
        <f t="shared" si="523"/>
        <v>0</v>
      </c>
      <c r="AD91" s="270">
        <f t="shared" si="523"/>
        <v>0</v>
      </c>
      <c r="AE91" s="270">
        <f t="shared" si="523"/>
        <v>0</v>
      </c>
      <c r="AF91" s="270">
        <f t="shared" si="523"/>
        <v>0</v>
      </c>
      <c r="AG91" s="270">
        <f t="shared" si="523"/>
        <v>0</v>
      </c>
      <c r="AH91" s="265">
        <f t="shared" si="13"/>
        <v>90544.23</v>
      </c>
      <c r="AI91" s="270">
        <f t="shared" si="43"/>
        <v>0</v>
      </c>
      <c r="AJ91" s="270">
        <f t="shared" ref="AJ91:AO91" si="524">IF(F$8=0,0,ROUND(AJ90-(F91-BO91),2))</f>
        <v>0</v>
      </c>
      <c r="AK91" s="270">
        <f t="shared" si="524"/>
        <v>0</v>
      </c>
      <c r="AL91" s="270">
        <f t="shared" si="524"/>
        <v>0</v>
      </c>
      <c r="AM91" s="270">
        <f t="shared" si="524"/>
        <v>0</v>
      </c>
      <c r="AN91" s="270">
        <f t="shared" si="524"/>
        <v>0</v>
      </c>
      <c r="AO91" s="270">
        <f t="shared" si="524"/>
        <v>0</v>
      </c>
      <c r="AP91" s="270">
        <v>0.0</v>
      </c>
      <c r="AQ91" s="270">
        <f t="shared" ref="AQ91:AS91" si="525">IF(M$8=0,0,ROUND(AQ90-(M91-BV91),2))</f>
        <v>0</v>
      </c>
      <c r="AR91" s="270">
        <f t="shared" si="525"/>
        <v>0</v>
      </c>
      <c r="AS91" s="270">
        <f t="shared" si="525"/>
        <v>0</v>
      </c>
      <c r="AT91" s="270">
        <f t="shared" ref="AT91:BK91" si="526">IF(P$8=0,0,ROUND(AT90-(P91-BX91),2))</f>
        <v>-6.22</v>
      </c>
      <c r="AU91" s="270">
        <f t="shared" si="526"/>
        <v>90550.45</v>
      </c>
      <c r="AV91" s="270">
        <f t="shared" si="526"/>
        <v>0</v>
      </c>
      <c r="AW91" s="270">
        <f t="shared" si="526"/>
        <v>0</v>
      </c>
      <c r="AX91" s="270">
        <f t="shared" si="526"/>
        <v>0</v>
      </c>
      <c r="AY91" s="270">
        <f t="shared" si="526"/>
        <v>0</v>
      </c>
      <c r="AZ91" s="270">
        <f t="shared" si="526"/>
        <v>0</v>
      </c>
      <c r="BA91" s="270">
        <f t="shared" si="526"/>
        <v>0</v>
      </c>
      <c r="BB91" s="270">
        <f t="shared" si="526"/>
        <v>0</v>
      </c>
      <c r="BC91" s="270">
        <f t="shared" si="526"/>
        <v>0</v>
      </c>
      <c r="BD91" s="270">
        <f t="shared" si="526"/>
        <v>0</v>
      </c>
      <c r="BE91" s="270">
        <f t="shared" si="526"/>
        <v>0</v>
      </c>
      <c r="BF91" s="270">
        <f t="shared" si="526"/>
        <v>0</v>
      </c>
      <c r="BG91" s="270">
        <f t="shared" si="526"/>
        <v>0</v>
      </c>
      <c r="BH91" s="270">
        <f t="shared" si="526"/>
        <v>0</v>
      </c>
      <c r="BI91" s="270">
        <f t="shared" si="526"/>
        <v>0</v>
      </c>
      <c r="BJ91" s="270">
        <f t="shared" si="526"/>
        <v>0</v>
      </c>
      <c r="BK91" s="270">
        <f t="shared" si="526"/>
        <v>0</v>
      </c>
      <c r="BL91" s="265">
        <f t="shared" si="16"/>
        <v>90544.23</v>
      </c>
      <c r="BM91" s="215"/>
      <c r="BN91" s="270">
        <f t="shared" ref="BN91:CP91" si="527">ROUND(AI90*E$9/12,2)</f>
        <v>0</v>
      </c>
      <c r="BO91" s="270">
        <f t="shared" si="527"/>
        <v>0</v>
      </c>
      <c r="BP91" s="270">
        <f t="shared" si="527"/>
        <v>0</v>
      </c>
      <c r="BQ91" s="270">
        <f t="shared" si="527"/>
        <v>0</v>
      </c>
      <c r="BR91" s="270">
        <f t="shared" si="527"/>
        <v>0</v>
      </c>
      <c r="BS91" s="270">
        <f t="shared" si="527"/>
        <v>0</v>
      </c>
      <c r="BT91" s="270">
        <f t="shared" si="527"/>
        <v>0</v>
      </c>
      <c r="BU91" s="270">
        <f t="shared" si="527"/>
        <v>0</v>
      </c>
      <c r="BV91" s="270">
        <f t="shared" si="527"/>
        <v>0</v>
      </c>
      <c r="BW91" s="270">
        <f t="shared" si="527"/>
        <v>0</v>
      </c>
      <c r="BX91" s="270">
        <f t="shared" si="527"/>
        <v>0</v>
      </c>
      <c r="BY91" s="270">
        <f t="shared" si="527"/>
        <v>-0.05</v>
      </c>
      <c r="BZ91" s="270">
        <f t="shared" si="527"/>
        <v>295.04</v>
      </c>
      <c r="CA91" s="270">
        <f t="shared" si="527"/>
        <v>0</v>
      </c>
      <c r="CB91" s="270">
        <f t="shared" si="527"/>
        <v>0</v>
      </c>
      <c r="CC91" s="270">
        <f t="shared" si="527"/>
        <v>0</v>
      </c>
      <c r="CD91" s="270">
        <f t="shared" si="527"/>
        <v>0</v>
      </c>
      <c r="CE91" s="270">
        <f t="shared" si="527"/>
        <v>0</v>
      </c>
      <c r="CF91" s="270">
        <f t="shared" si="527"/>
        <v>0</v>
      </c>
      <c r="CG91" s="270">
        <f t="shared" si="527"/>
        <v>0</v>
      </c>
      <c r="CH91" s="270">
        <f t="shared" si="527"/>
        <v>0</v>
      </c>
      <c r="CI91" s="270">
        <f t="shared" si="527"/>
        <v>0</v>
      </c>
      <c r="CJ91" s="270">
        <f t="shared" si="527"/>
        <v>0</v>
      </c>
      <c r="CK91" s="270">
        <f t="shared" si="527"/>
        <v>0</v>
      </c>
      <c r="CL91" s="270">
        <f t="shared" si="527"/>
        <v>0</v>
      </c>
      <c r="CM91" s="270">
        <f t="shared" si="527"/>
        <v>0</v>
      </c>
      <c r="CN91" s="270">
        <f t="shared" si="527"/>
        <v>0</v>
      </c>
      <c r="CO91" s="270">
        <f t="shared" si="527"/>
        <v>0</v>
      </c>
      <c r="CP91" s="270">
        <f t="shared" si="527"/>
        <v>0</v>
      </c>
      <c r="CQ91" s="215"/>
      <c r="CR91" s="270">
        <f t="shared" si="27"/>
        <v>294.99</v>
      </c>
      <c r="CS91" s="215"/>
      <c r="CT91" s="270">
        <f t="shared" ref="CT91:DX91" si="528">IF(AI90&gt;0,IF((AI90+BN91)&lt;E$10,AI90+BN91,E$10),0)</f>
        <v>0</v>
      </c>
      <c r="CU91" s="270">
        <f t="shared" si="528"/>
        <v>0</v>
      </c>
      <c r="CV91" s="270">
        <f t="shared" si="528"/>
        <v>0</v>
      </c>
      <c r="CW91" s="270">
        <f t="shared" si="528"/>
        <v>0</v>
      </c>
      <c r="CX91" s="270">
        <f t="shared" si="528"/>
        <v>0</v>
      </c>
      <c r="CY91" s="270">
        <f t="shared" si="528"/>
        <v>0</v>
      </c>
      <c r="CZ91" s="270">
        <f t="shared" si="528"/>
        <v>0</v>
      </c>
      <c r="DA91" s="270">
        <f t="shared" si="528"/>
        <v>0</v>
      </c>
      <c r="DB91" s="270">
        <f t="shared" si="528"/>
        <v>0</v>
      </c>
      <c r="DC91" s="270">
        <f t="shared" si="528"/>
        <v>0</v>
      </c>
      <c r="DD91" s="270">
        <f t="shared" si="528"/>
        <v>0</v>
      </c>
      <c r="DE91" s="270">
        <f t="shared" si="528"/>
        <v>0</v>
      </c>
      <c r="DF91" s="270">
        <f t="shared" si="528"/>
        <v>1467.13</v>
      </c>
      <c r="DG91" s="270">
        <f t="shared" si="528"/>
        <v>0</v>
      </c>
      <c r="DH91" s="270">
        <f t="shared" si="528"/>
        <v>0</v>
      </c>
      <c r="DI91" s="270">
        <f t="shared" si="528"/>
        <v>0</v>
      </c>
      <c r="DJ91" s="270">
        <f t="shared" si="528"/>
        <v>0</v>
      </c>
      <c r="DK91" s="270">
        <f t="shared" si="528"/>
        <v>0</v>
      </c>
      <c r="DL91" s="270">
        <f t="shared" si="528"/>
        <v>0</v>
      </c>
      <c r="DM91" s="270">
        <f t="shared" si="528"/>
        <v>0</v>
      </c>
      <c r="DN91" s="270">
        <f t="shared" si="528"/>
        <v>0</v>
      </c>
      <c r="DO91" s="270">
        <f t="shared" si="528"/>
        <v>0</v>
      </c>
      <c r="DP91" s="270">
        <f t="shared" si="528"/>
        <v>0</v>
      </c>
      <c r="DQ91" s="270">
        <f t="shared" si="528"/>
        <v>0</v>
      </c>
      <c r="DR91" s="270">
        <f t="shared" si="528"/>
        <v>0</v>
      </c>
      <c r="DS91" s="270">
        <f t="shared" si="528"/>
        <v>0</v>
      </c>
      <c r="DT91" s="270">
        <f t="shared" si="528"/>
        <v>0</v>
      </c>
      <c r="DU91" s="270">
        <f t="shared" si="528"/>
        <v>0</v>
      </c>
      <c r="DV91" s="270">
        <f t="shared" si="528"/>
        <v>0</v>
      </c>
      <c r="DW91" s="271" t="str">
        <f t="shared" si="528"/>
        <v/>
      </c>
      <c r="DX91" s="270">
        <f t="shared" si="528"/>
        <v>0</v>
      </c>
      <c r="DY91" s="270">
        <f t="shared" si="29"/>
        <v>1467.13</v>
      </c>
      <c r="DZ91" s="274"/>
      <c r="EA91" s="275">
        <f t="shared" si="38"/>
        <v>0</v>
      </c>
      <c r="EB91" s="270">
        <f t="shared" ref="EB91:FC91" si="529">IF(AJ89&lt;=0,0,IF($C90&lt;=SUM($EA91:EA91),0,IF(CU90+$C90-SUM($EA91:EA91)&gt;AJ89+BO90,AJ89+BO90-CU90,$C90-SUM($EA91:EA91))))</f>
        <v>0</v>
      </c>
      <c r="EC91" s="270">
        <f t="shared" si="529"/>
        <v>0</v>
      </c>
      <c r="ED91" s="270">
        <f t="shared" si="529"/>
        <v>0</v>
      </c>
      <c r="EE91" s="270">
        <f t="shared" si="529"/>
        <v>0</v>
      </c>
      <c r="EF91" s="270">
        <f t="shared" si="529"/>
        <v>0</v>
      </c>
      <c r="EG91" s="270">
        <f t="shared" si="529"/>
        <v>0</v>
      </c>
      <c r="EH91" s="270">
        <f t="shared" si="529"/>
        <v>0</v>
      </c>
      <c r="EI91" s="270">
        <f t="shared" si="529"/>
        <v>0</v>
      </c>
      <c r="EJ91" s="270">
        <f t="shared" si="529"/>
        <v>0</v>
      </c>
      <c r="EK91" s="270">
        <f t="shared" si="529"/>
        <v>0</v>
      </c>
      <c r="EL91" s="270">
        <f t="shared" si="529"/>
        <v>19.88</v>
      </c>
      <c r="EM91" s="270">
        <f t="shared" si="529"/>
        <v>1583.83</v>
      </c>
      <c r="EN91" s="270">
        <f t="shared" si="529"/>
        <v>0</v>
      </c>
      <c r="EO91" s="270">
        <f t="shared" si="529"/>
        <v>0</v>
      </c>
      <c r="EP91" s="270">
        <f t="shared" si="529"/>
        <v>0</v>
      </c>
      <c r="EQ91" s="270">
        <f t="shared" si="529"/>
        <v>0</v>
      </c>
      <c r="ER91" s="270">
        <f t="shared" si="529"/>
        <v>0</v>
      </c>
      <c r="ES91" s="270">
        <f t="shared" si="529"/>
        <v>0</v>
      </c>
      <c r="ET91" s="270">
        <f t="shared" si="529"/>
        <v>0</v>
      </c>
      <c r="EU91" s="270">
        <f t="shared" si="529"/>
        <v>0</v>
      </c>
      <c r="EV91" s="270">
        <f t="shared" si="529"/>
        <v>0</v>
      </c>
      <c r="EW91" s="270">
        <f t="shared" si="529"/>
        <v>0</v>
      </c>
      <c r="EX91" s="270">
        <f t="shared" si="529"/>
        <v>0</v>
      </c>
      <c r="EY91" s="270">
        <f t="shared" si="529"/>
        <v>0</v>
      </c>
      <c r="EZ91" s="270">
        <f t="shared" si="529"/>
        <v>0</v>
      </c>
      <c r="FA91" s="270">
        <f t="shared" si="529"/>
        <v>0</v>
      </c>
      <c r="FB91" s="270">
        <f t="shared" si="529"/>
        <v>0</v>
      </c>
      <c r="FC91" s="270">
        <f t="shared" si="529"/>
        <v>0</v>
      </c>
      <c r="FD91" s="271"/>
      <c r="FE91" s="271"/>
      <c r="FF91" s="271"/>
      <c r="FG91" s="215"/>
      <c r="FH91" s="215"/>
    </row>
    <row r="92" ht="11.25" customHeight="1">
      <c r="A92" s="231">
        <f t="shared" si="19"/>
        <v>72</v>
      </c>
      <c r="B92" s="269">
        <v>47818.0</v>
      </c>
      <c r="C92" s="270">
        <f>IF(A92="","",IF(Calculator!snowball,IF(($E$5-DY92)&lt;0,0,$E$5-DY92),0)+D92)</f>
        <v>2394.87</v>
      </c>
      <c r="D92" s="277"/>
      <c r="E92" s="270">
        <f t="shared" si="40"/>
        <v>0</v>
      </c>
      <c r="F92" s="270">
        <f t="shared" ref="F92:AG92" si="530">CU92+EB93</f>
        <v>0</v>
      </c>
      <c r="G92" s="270">
        <f t="shared" si="530"/>
        <v>0</v>
      </c>
      <c r="H92" s="270">
        <f t="shared" si="530"/>
        <v>0</v>
      </c>
      <c r="I92" s="270">
        <f t="shared" si="530"/>
        <v>0</v>
      </c>
      <c r="J92" s="270">
        <f t="shared" si="530"/>
        <v>0</v>
      </c>
      <c r="K92" s="270">
        <f t="shared" si="530"/>
        <v>0</v>
      </c>
      <c r="L92" s="270">
        <f t="shared" si="530"/>
        <v>0</v>
      </c>
      <c r="M92" s="270">
        <f t="shared" si="530"/>
        <v>0</v>
      </c>
      <c r="N92" s="270">
        <f t="shared" si="530"/>
        <v>0</v>
      </c>
      <c r="O92" s="270">
        <f t="shared" si="530"/>
        <v>0</v>
      </c>
      <c r="P92" s="272">
        <f t="shared" si="530"/>
        <v>0</v>
      </c>
      <c r="Q92" s="272">
        <f t="shared" si="530"/>
        <v>3862</v>
      </c>
      <c r="R92" s="272">
        <f t="shared" si="530"/>
        <v>0</v>
      </c>
      <c r="S92" s="272">
        <f t="shared" si="530"/>
        <v>0</v>
      </c>
      <c r="T92" s="272">
        <f t="shared" si="530"/>
        <v>0</v>
      </c>
      <c r="U92" s="270">
        <f t="shared" si="530"/>
        <v>0</v>
      </c>
      <c r="V92" s="270">
        <f t="shared" si="530"/>
        <v>0</v>
      </c>
      <c r="W92" s="270">
        <f t="shared" si="530"/>
        <v>0</v>
      </c>
      <c r="X92" s="270">
        <f t="shared" si="530"/>
        <v>0</v>
      </c>
      <c r="Y92" s="270">
        <f t="shared" si="530"/>
        <v>0</v>
      </c>
      <c r="Z92" s="270">
        <f t="shared" si="530"/>
        <v>0</v>
      </c>
      <c r="AA92" s="270">
        <f t="shared" si="530"/>
        <v>0</v>
      </c>
      <c r="AB92" s="270">
        <f t="shared" si="530"/>
        <v>0</v>
      </c>
      <c r="AC92" s="270">
        <f t="shared" si="530"/>
        <v>0</v>
      </c>
      <c r="AD92" s="270">
        <f t="shared" si="530"/>
        <v>0</v>
      </c>
      <c r="AE92" s="270">
        <f t="shared" si="530"/>
        <v>0</v>
      </c>
      <c r="AF92" s="270">
        <f t="shared" si="530"/>
        <v>0</v>
      </c>
      <c r="AG92" s="270">
        <f t="shared" si="530"/>
        <v>0</v>
      </c>
      <c r="AH92" s="265">
        <f t="shared" si="13"/>
        <v>86682.18</v>
      </c>
      <c r="AI92" s="270">
        <f t="shared" si="43"/>
        <v>0</v>
      </c>
      <c r="AJ92" s="270">
        <f t="shared" ref="AJ92:AO92" si="531">IF(F$8=0,0,ROUND(AJ91-(F92-BO92),2))</f>
        <v>0</v>
      </c>
      <c r="AK92" s="270">
        <f t="shared" si="531"/>
        <v>0</v>
      </c>
      <c r="AL92" s="270">
        <f t="shared" si="531"/>
        <v>0</v>
      </c>
      <c r="AM92" s="270">
        <f t="shared" si="531"/>
        <v>0</v>
      </c>
      <c r="AN92" s="270">
        <f t="shared" si="531"/>
        <v>0</v>
      </c>
      <c r="AO92" s="270">
        <f t="shared" si="531"/>
        <v>0</v>
      </c>
      <c r="AP92" s="270">
        <v>0.0</v>
      </c>
      <c r="AQ92" s="270">
        <f t="shared" ref="AQ92:AS92" si="532">IF(M$8=0,0,ROUND(AQ91-(M92-BV92),2))</f>
        <v>0</v>
      </c>
      <c r="AR92" s="270">
        <f t="shared" si="532"/>
        <v>0</v>
      </c>
      <c r="AS92" s="270">
        <f t="shared" si="532"/>
        <v>0</v>
      </c>
      <c r="AT92" s="270">
        <f t="shared" ref="AT92:BK92" si="533">IF(P$8=0,0,ROUND(AT91-(P92-BX92),2))</f>
        <v>-6.22</v>
      </c>
      <c r="AU92" s="270">
        <f t="shared" si="533"/>
        <v>86688.4</v>
      </c>
      <c r="AV92" s="270">
        <f t="shared" si="533"/>
        <v>0</v>
      </c>
      <c r="AW92" s="270">
        <f t="shared" si="533"/>
        <v>0</v>
      </c>
      <c r="AX92" s="270">
        <f t="shared" si="533"/>
        <v>0</v>
      </c>
      <c r="AY92" s="270">
        <f t="shared" si="533"/>
        <v>0</v>
      </c>
      <c r="AZ92" s="270">
        <f t="shared" si="533"/>
        <v>0</v>
      </c>
      <c r="BA92" s="270">
        <f t="shared" si="533"/>
        <v>0</v>
      </c>
      <c r="BB92" s="270">
        <f t="shared" si="533"/>
        <v>0</v>
      </c>
      <c r="BC92" s="270">
        <f t="shared" si="533"/>
        <v>0</v>
      </c>
      <c r="BD92" s="270">
        <f t="shared" si="533"/>
        <v>0</v>
      </c>
      <c r="BE92" s="270">
        <f t="shared" si="533"/>
        <v>0</v>
      </c>
      <c r="BF92" s="270">
        <f t="shared" si="533"/>
        <v>0</v>
      </c>
      <c r="BG92" s="270">
        <f t="shared" si="533"/>
        <v>0</v>
      </c>
      <c r="BH92" s="270">
        <f t="shared" si="533"/>
        <v>0</v>
      </c>
      <c r="BI92" s="270">
        <f t="shared" si="533"/>
        <v>0</v>
      </c>
      <c r="BJ92" s="270">
        <f t="shared" si="533"/>
        <v>0</v>
      </c>
      <c r="BK92" s="270">
        <f t="shared" si="533"/>
        <v>0</v>
      </c>
      <c r="BL92" s="265">
        <f t="shared" si="16"/>
        <v>86682.18</v>
      </c>
      <c r="BM92" s="215"/>
      <c r="BN92" s="270">
        <f t="shared" ref="BN92:CP92" si="534">ROUND(AI91*E$9/12,2)</f>
        <v>0</v>
      </c>
      <c r="BO92" s="270">
        <f t="shared" si="534"/>
        <v>0</v>
      </c>
      <c r="BP92" s="270">
        <f t="shared" si="534"/>
        <v>0</v>
      </c>
      <c r="BQ92" s="270">
        <f t="shared" si="534"/>
        <v>0</v>
      </c>
      <c r="BR92" s="270">
        <f t="shared" si="534"/>
        <v>0</v>
      </c>
      <c r="BS92" s="270">
        <f t="shared" si="534"/>
        <v>0</v>
      </c>
      <c r="BT92" s="270">
        <f t="shared" si="534"/>
        <v>0</v>
      </c>
      <c r="BU92" s="270">
        <f t="shared" si="534"/>
        <v>0</v>
      </c>
      <c r="BV92" s="270">
        <f t="shared" si="534"/>
        <v>0</v>
      </c>
      <c r="BW92" s="270">
        <f t="shared" si="534"/>
        <v>0</v>
      </c>
      <c r="BX92" s="270">
        <f t="shared" si="534"/>
        <v>0</v>
      </c>
      <c r="BY92" s="270">
        <f t="shared" si="534"/>
        <v>-0.05</v>
      </c>
      <c r="BZ92" s="270">
        <f t="shared" si="534"/>
        <v>282.97</v>
      </c>
      <c r="CA92" s="270">
        <f t="shared" si="534"/>
        <v>0</v>
      </c>
      <c r="CB92" s="270">
        <f t="shared" si="534"/>
        <v>0</v>
      </c>
      <c r="CC92" s="270">
        <f t="shared" si="534"/>
        <v>0</v>
      </c>
      <c r="CD92" s="270">
        <f t="shared" si="534"/>
        <v>0</v>
      </c>
      <c r="CE92" s="270">
        <f t="shared" si="534"/>
        <v>0</v>
      </c>
      <c r="CF92" s="270">
        <f t="shared" si="534"/>
        <v>0</v>
      </c>
      <c r="CG92" s="270">
        <f t="shared" si="534"/>
        <v>0</v>
      </c>
      <c r="CH92" s="270">
        <f t="shared" si="534"/>
        <v>0</v>
      </c>
      <c r="CI92" s="270">
        <f t="shared" si="534"/>
        <v>0</v>
      </c>
      <c r="CJ92" s="270">
        <f t="shared" si="534"/>
        <v>0</v>
      </c>
      <c r="CK92" s="270">
        <f t="shared" si="534"/>
        <v>0</v>
      </c>
      <c r="CL92" s="270">
        <f t="shared" si="534"/>
        <v>0</v>
      </c>
      <c r="CM92" s="270">
        <f t="shared" si="534"/>
        <v>0</v>
      </c>
      <c r="CN92" s="270">
        <f t="shared" si="534"/>
        <v>0</v>
      </c>
      <c r="CO92" s="270">
        <f t="shared" si="534"/>
        <v>0</v>
      </c>
      <c r="CP92" s="270">
        <f t="shared" si="534"/>
        <v>0</v>
      </c>
      <c r="CQ92" s="215"/>
      <c r="CR92" s="270">
        <f t="shared" si="27"/>
        <v>282.92</v>
      </c>
      <c r="CS92" s="215"/>
      <c r="CT92" s="270">
        <f t="shared" ref="CT92:DX92" si="535">IF(AI91&gt;0,IF((AI91+BN92)&lt;E$10,AI91+BN92,E$10),0)</f>
        <v>0</v>
      </c>
      <c r="CU92" s="270">
        <f t="shared" si="535"/>
        <v>0</v>
      </c>
      <c r="CV92" s="270">
        <f t="shared" si="535"/>
        <v>0</v>
      </c>
      <c r="CW92" s="270">
        <f t="shared" si="535"/>
        <v>0</v>
      </c>
      <c r="CX92" s="270">
        <f t="shared" si="535"/>
        <v>0</v>
      </c>
      <c r="CY92" s="270">
        <f t="shared" si="535"/>
        <v>0</v>
      </c>
      <c r="CZ92" s="270">
        <f t="shared" si="535"/>
        <v>0</v>
      </c>
      <c r="DA92" s="270">
        <f t="shared" si="535"/>
        <v>0</v>
      </c>
      <c r="DB92" s="270">
        <f t="shared" si="535"/>
        <v>0</v>
      </c>
      <c r="DC92" s="270">
        <f t="shared" si="535"/>
        <v>0</v>
      </c>
      <c r="DD92" s="270">
        <f t="shared" si="535"/>
        <v>0</v>
      </c>
      <c r="DE92" s="270">
        <f t="shared" si="535"/>
        <v>0</v>
      </c>
      <c r="DF92" s="270">
        <f t="shared" si="535"/>
        <v>1467.13</v>
      </c>
      <c r="DG92" s="270">
        <f t="shared" si="535"/>
        <v>0</v>
      </c>
      <c r="DH92" s="270">
        <f t="shared" si="535"/>
        <v>0</v>
      </c>
      <c r="DI92" s="270">
        <f t="shared" si="535"/>
        <v>0</v>
      </c>
      <c r="DJ92" s="270">
        <f t="shared" si="535"/>
        <v>0</v>
      </c>
      <c r="DK92" s="270">
        <f t="shared" si="535"/>
        <v>0</v>
      </c>
      <c r="DL92" s="270">
        <f t="shared" si="535"/>
        <v>0</v>
      </c>
      <c r="DM92" s="270">
        <f t="shared" si="535"/>
        <v>0</v>
      </c>
      <c r="DN92" s="270">
        <f t="shared" si="535"/>
        <v>0</v>
      </c>
      <c r="DO92" s="270">
        <f t="shared" si="535"/>
        <v>0</v>
      </c>
      <c r="DP92" s="270">
        <f t="shared" si="535"/>
        <v>0</v>
      </c>
      <c r="DQ92" s="270">
        <f t="shared" si="535"/>
        <v>0</v>
      </c>
      <c r="DR92" s="270">
        <f t="shared" si="535"/>
        <v>0</v>
      </c>
      <c r="DS92" s="270">
        <f t="shared" si="535"/>
        <v>0</v>
      </c>
      <c r="DT92" s="270">
        <f t="shared" si="535"/>
        <v>0</v>
      </c>
      <c r="DU92" s="270">
        <f t="shared" si="535"/>
        <v>0</v>
      </c>
      <c r="DV92" s="270">
        <f t="shared" si="535"/>
        <v>0</v>
      </c>
      <c r="DW92" s="271" t="str">
        <f t="shared" si="535"/>
        <v/>
      </c>
      <c r="DX92" s="270">
        <f t="shared" si="535"/>
        <v>0</v>
      </c>
      <c r="DY92" s="270">
        <f t="shared" si="29"/>
        <v>1467.13</v>
      </c>
      <c r="DZ92" s="274"/>
      <c r="EA92" s="275">
        <f t="shared" si="38"/>
        <v>0</v>
      </c>
      <c r="EB92" s="270">
        <f t="shared" ref="EB92:FC92" si="536">IF(AJ90&lt;=0,0,IF($C91&lt;=SUM($EA92:EA92),0,IF(CU91+$C91-SUM($EA92:EA92)&gt;AJ90+BO91,AJ90+BO91-CU91,$C91-SUM($EA92:EA92))))</f>
        <v>0</v>
      </c>
      <c r="EC92" s="270">
        <f t="shared" si="536"/>
        <v>0</v>
      </c>
      <c r="ED92" s="270">
        <f t="shared" si="536"/>
        <v>0</v>
      </c>
      <c r="EE92" s="270">
        <f t="shared" si="536"/>
        <v>0</v>
      </c>
      <c r="EF92" s="270">
        <f t="shared" si="536"/>
        <v>0</v>
      </c>
      <c r="EG92" s="270">
        <f t="shared" si="536"/>
        <v>0</v>
      </c>
      <c r="EH92" s="270">
        <f t="shared" si="536"/>
        <v>0</v>
      </c>
      <c r="EI92" s="270">
        <f t="shared" si="536"/>
        <v>0</v>
      </c>
      <c r="EJ92" s="270">
        <f t="shared" si="536"/>
        <v>0</v>
      </c>
      <c r="EK92" s="270">
        <f t="shared" si="536"/>
        <v>0</v>
      </c>
      <c r="EL92" s="270">
        <f t="shared" si="536"/>
        <v>0</v>
      </c>
      <c r="EM92" s="270">
        <f t="shared" si="536"/>
        <v>2394.87</v>
      </c>
      <c r="EN92" s="270">
        <f t="shared" si="536"/>
        <v>0</v>
      </c>
      <c r="EO92" s="270">
        <f t="shared" si="536"/>
        <v>0</v>
      </c>
      <c r="EP92" s="270">
        <f t="shared" si="536"/>
        <v>0</v>
      </c>
      <c r="EQ92" s="270">
        <f t="shared" si="536"/>
        <v>0</v>
      </c>
      <c r="ER92" s="270">
        <f t="shared" si="536"/>
        <v>0</v>
      </c>
      <c r="ES92" s="270">
        <f t="shared" si="536"/>
        <v>0</v>
      </c>
      <c r="ET92" s="270">
        <f t="shared" si="536"/>
        <v>0</v>
      </c>
      <c r="EU92" s="270">
        <f t="shared" si="536"/>
        <v>0</v>
      </c>
      <c r="EV92" s="270">
        <f t="shared" si="536"/>
        <v>0</v>
      </c>
      <c r="EW92" s="270">
        <f t="shared" si="536"/>
        <v>0</v>
      </c>
      <c r="EX92" s="270">
        <f t="shared" si="536"/>
        <v>0</v>
      </c>
      <c r="EY92" s="270">
        <f t="shared" si="536"/>
        <v>0</v>
      </c>
      <c r="EZ92" s="270">
        <f t="shared" si="536"/>
        <v>0</v>
      </c>
      <c r="FA92" s="270">
        <f t="shared" si="536"/>
        <v>0</v>
      </c>
      <c r="FB92" s="270">
        <f t="shared" si="536"/>
        <v>0</v>
      </c>
      <c r="FC92" s="270">
        <f t="shared" si="536"/>
        <v>0</v>
      </c>
      <c r="FD92" s="271"/>
      <c r="FE92" s="271"/>
      <c r="FF92" s="271"/>
      <c r="FG92" s="215"/>
      <c r="FH92" s="215"/>
    </row>
    <row r="93" ht="11.25" customHeight="1">
      <c r="A93" s="231">
        <f t="shared" si="19"/>
        <v>73</v>
      </c>
      <c r="B93" s="269">
        <v>47849.0</v>
      </c>
      <c r="C93" s="270">
        <f>IF(A93="","",IF(Calculator!snowball,IF(($E$5-DY93)&lt;0,0,$E$5-DY93),0)+D93)</f>
        <v>2394.87</v>
      </c>
      <c r="D93" s="277"/>
      <c r="E93" s="270">
        <f t="shared" si="40"/>
        <v>0</v>
      </c>
      <c r="F93" s="270">
        <f t="shared" ref="F93:AG93" si="537">CU93+EB94</f>
        <v>0</v>
      </c>
      <c r="G93" s="270">
        <f t="shared" si="537"/>
        <v>0</v>
      </c>
      <c r="H93" s="270">
        <f t="shared" si="537"/>
        <v>0</v>
      </c>
      <c r="I93" s="270">
        <f t="shared" si="537"/>
        <v>0</v>
      </c>
      <c r="J93" s="270">
        <f t="shared" si="537"/>
        <v>0</v>
      </c>
      <c r="K93" s="270">
        <f t="shared" si="537"/>
        <v>0</v>
      </c>
      <c r="L93" s="270">
        <f t="shared" si="537"/>
        <v>0</v>
      </c>
      <c r="M93" s="270">
        <f t="shared" si="537"/>
        <v>0</v>
      </c>
      <c r="N93" s="270">
        <f t="shared" si="537"/>
        <v>0</v>
      </c>
      <c r="O93" s="270">
        <f t="shared" si="537"/>
        <v>0</v>
      </c>
      <c r="P93" s="272">
        <f t="shared" si="537"/>
        <v>0</v>
      </c>
      <c r="Q93" s="272">
        <f t="shared" si="537"/>
        <v>3862</v>
      </c>
      <c r="R93" s="272">
        <f t="shared" si="537"/>
        <v>0</v>
      </c>
      <c r="S93" s="272">
        <f t="shared" si="537"/>
        <v>0</v>
      </c>
      <c r="T93" s="272">
        <f t="shared" si="537"/>
        <v>0</v>
      </c>
      <c r="U93" s="270">
        <f t="shared" si="537"/>
        <v>0</v>
      </c>
      <c r="V93" s="270">
        <f t="shared" si="537"/>
        <v>0</v>
      </c>
      <c r="W93" s="270">
        <f t="shared" si="537"/>
        <v>0</v>
      </c>
      <c r="X93" s="270">
        <f t="shared" si="537"/>
        <v>0</v>
      </c>
      <c r="Y93" s="270">
        <f t="shared" si="537"/>
        <v>0</v>
      </c>
      <c r="Z93" s="270">
        <f t="shared" si="537"/>
        <v>0</v>
      </c>
      <c r="AA93" s="270">
        <f t="shared" si="537"/>
        <v>0</v>
      </c>
      <c r="AB93" s="270">
        <f t="shared" si="537"/>
        <v>0</v>
      </c>
      <c r="AC93" s="270">
        <f t="shared" si="537"/>
        <v>0</v>
      </c>
      <c r="AD93" s="270">
        <f t="shared" si="537"/>
        <v>0</v>
      </c>
      <c r="AE93" s="270">
        <f t="shared" si="537"/>
        <v>0</v>
      </c>
      <c r="AF93" s="270">
        <f t="shared" si="537"/>
        <v>0</v>
      </c>
      <c r="AG93" s="270">
        <f t="shared" si="537"/>
        <v>0</v>
      </c>
      <c r="AH93" s="265">
        <f t="shared" si="13"/>
        <v>82820.13</v>
      </c>
      <c r="AI93" s="270">
        <f t="shared" si="43"/>
        <v>0</v>
      </c>
      <c r="AJ93" s="270">
        <f t="shared" ref="AJ93:AO93" si="538">IF(F$8=0,0,ROUND(AJ92-(F93-BO93),2))</f>
        <v>0</v>
      </c>
      <c r="AK93" s="270">
        <f t="shared" si="538"/>
        <v>0</v>
      </c>
      <c r="AL93" s="270">
        <f t="shared" si="538"/>
        <v>0</v>
      </c>
      <c r="AM93" s="270">
        <f t="shared" si="538"/>
        <v>0</v>
      </c>
      <c r="AN93" s="270">
        <f t="shared" si="538"/>
        <v>0</v>
      </c>
      <c r="AO93" s="270">
        <f t="shared" si="538"/>
        <v>0</v>
      </c>
      <c r="AP93" s="270">
        <v>0.0</v>
      </c>
      <c r="AQ93" s="270">
        <f t="shared" ref="AQ93:AS93" si="539">IF(M$8=0,0,ROUND(AQ92-(M93-BV93),2))</f>
        <v>0</v>
      </c>
      <c r="AR93" s="270">
        <f t="shared" si="539"/>
        <v>0</v>
      </c>
      <c r="AS93" s="270">
        <f t="shared" si="539"/>
        <v>0</v>
      </c>
      <c r="AT93" s="270">
        <f t="shared" ref="AT93:BK93" si="540">IF(P$8=0,0,ROUND(AT92-(P93-BX93),2))</f>
        <v>-6.22</v>
      </c>
      <c r="AU93" s="270">
        <f t="shared" si="540"/>
        <v>82826.35</v>
      </c>
      <c r="AV93" s="270">
        <f t="shared" si="540"/>
        <v>0</v>
      </c>
      <c r="AW93" s="270">
        <f t="shared" si="540"/>
        <v>0</v>
      </c>
      <c r="AX93" s="270">
        <f t="shared" si="540"/>
        <v>0</v>
      </c>
      <c r="AY93" s="270">
        <f t="shared" si="540"/>
        <v>0</v>
      </c>
      <c r="AZ93" s="270">
        <f t="shared" si="540"/>
        <v>0</v>
      </c>
      <c r="BA93" s="270">
        <f t="shared" si="540"/>
        <v>0</v>
      </c>
      <c r="BB93" s="270">
        <f t="shared" si="540"/>
        <v>0</v>
      </c>
      <c r="BC93" s="270">
        <f t="shared" si="540"/>
        <v>0</v>
      </c>
      <c r="BD93" s="270">
        <f t="shared" si="540"/>
        <v>0</v>
      </c>
      <c r="BE93" s="270">
        <f t="shared" si="540"/>
        <v>0</v>
      </c>
      <c r="BF93" s="270">
        <f t="shared" si="540"/>
        <v>0</v>
      </c>
      <c r="BG93" s="270">
        <f t="shared" si="540"/>
        <v>0</v>
      </c>
      <c r="BH93" s="270">
        <f t="shared" si="540"/>
        <v>0</v>
      </c>
      <c r="BI93" s="270">
        <f t="shared" si="540"/>
        <v>0</v>
      </c>
      <c r="BJ93" s="270">
        <f t="shared" si="540"/>
        <v>0</v>
      </c>
      <c r="BK93" s="270">
        <f t="shared" si="540"/>
        <v>0</v>
      </c>
      <c r="BL93" s="265">
        <f t="shared" si="16"/>
        <v>82820.13</v>
      </c>
      <c r="BM93" s="215"/>
      <c r="BN93" s="270">
        <f t="shared" ref="BN93:CP93" si="541">ROUND(AI92*E$9/12,2)</f>
        <v>0</v>
      </c>
      <c r="BO93" s="270">
        <f t="shared" si="541"/>
        <v>0</v>
      </c>
      <c r="BP93" s="270">
        <f t="shared" si="541"/>
        <v>0</v>
      </c>
      <c r="BQ93" s="270">
        <f t="shared" si="541"/>
        <v>0</v>
      </c>
      <c r="BR93" s="270">
        <f t="shared" si="541"/>
        <v>0</v>
      </c>
      <c r="BS93" s="270">
        <f t="shared" si="541"/>
        <v>0</v>
      </c>
      <c r="BT93" s="270">
        <f t="shared" si="541"/>
        <v>0</v>
      </c>
      <c r="BU93" s="270">
        <f t="shared" si="541"/>
        <v>0</v>
      </c>
      <c r="BV93" s="270">
        <f t="shared" si="541"/>
        <v>0</v>
      </c>
      <c r="BW93" s="270">
        <f t="shared" si="541"/>
        <v>0</v>
      </c>
      <c r="BX93" s="270">
        <f t="shared" si="541"/>
        <v>0</v>
      </c>
      <c r="BY93" s="270">
        <f t="shared" si="541"/>
        <v>-0.05</v>
      </c>
      <c r="BZ93" s="270">
        <f t="shared" si="541"/>
        <v>270.9</v>
      </c>
      <c r="CA93" s="270">
        <f t="shared" si="541"/>
        <v>0</v>
      </c>
      <c r="CB93" s="270">
        <f t="shared" si="541"/>
        <v>0</v>
      </c>
      <c r="CC93" s="270">
        <f t="shared" si="541"/>
        <v>0</v>
      </c>
      <c r="CD93" s="270">
        <f t="shared" si="541"/>
        <v>0</v>
      </c>
      <c r="CE93" s="270">
        <f t="shared" si="541"/>
        <v>0</v>
      </c>
      <c r="CF93" s="270">
        <f t="shared" si="541"/>
        <v>0</v>
      </c>
      <c r="CG93" s="270">
        <f t="shared" si="541"/>
        <v>0</v>
      </c>
      <c r="CH93" s="270">
        <f t="shared" si="541"/>
        <v>0</v>
      </c>
      <c r="CI93" s="270">
        <f t="shared" si="541"/>
        <v>0</v>
      </c>
      <c r="CJ93" s="270">
        <f t="shared" si="541"/>
        <v>0</v>
      </c>
      <c r="CK93" s="270">
        <f t="shared" si="541"/>
        <v>0</v>
      </c>
      <c r="CL93" s="270">
        <f t="shared" si="541"/>
        <v>0</v>
      </c>
      <c r="CM93" s="270">
        <f t="shared" si="541"/>
        <v>0</v>
      </c>
      <c r="CN93" s="270">
        <f t="shared" si="541"/>
        <v>0</v>
      </c>
      <c r="CO93" s="270">
        <f t="shared" si="541"/>
        <v>0</v>
      </c>
      <c r="CP93" s="270">
        <f t="shared" si="541"/>
        <v>0</v>
      </c>
      <c r="CQ93" s="215"/>
      <c r="CR93" s="270">
        <f t="shared" si="27"/>
        <v>270.85</v>
      </c>
      <c r="CS93" s="215"/>
      <c r="CT93" s="270">
        <f t="shared" ref="CT93:DX93" si="542">IF(AI92&gt;0,IF((AI92+BN93)&lt;E$10,AI92+BN93,E$10),0)</f>
        <v>0</v>
      </c>
      <c r="CU93" s="270">
        <f t="shared" si="542"/>
        <v>0</v>
      </c>
      <c r="CV93" s="270">
        <f t="shared" si="542"/>
        <v>0</v>
      </c>
      <c r="CW93" s="270">
        <f t="shared" si="542"/>
        <v>0</v>
      </c>
      <c r="CX93" s="270">
        <f t="shared" si="542"/>
        <v>0</v>
      </c>
      <c r="CY93" s="270">
        <f t="shared" si="542"/>
        <v>0</v>
      </c>
      <c r="CZ93" s="270">
        <f t="shared" si="542"/>
        <v>0</v>
      </c>
      <c r="DA93" s="270">
        <f t="shared" si="542"/>
        <v>0</v>
      </c>
      <c r="DB93" s="270">
        <f t="shared" si="542"/>
        <v>0</v>
      </c>
      <c r="DC93" s="270">
        <f t="shared" si="542"/>
        <v>0</v>
      </c>
      <c r="DD93" s="270">
        <f t="shared" si="542"/>
        <v>0</v>
      </c>
      <c r="DE93" s="270">
        <f t="shared" si="542"/>
        <v>0</v>
      </c>
      <c r="DF93" s="270">
        <f t="shared" si="542"/>
        <v>1467.13</v>
      </c>
      <c r="DG93" s="270">
        <f t="shared" si="542"/>
        <v>0</v>
      </c>
      <c r="DH93" s="270">
        <f t="shared" si="542"/>
        <v>0</v>
      </c>
      <c r="DI93" s="270">
        <f t="shared" si="542"/>
        <v>0</v>
      </c>
      <c r="DJ93" s="270">
        <f t="shared" si="542"/>
        <v>0</v>
      </c>
      <c r="DK93" s="270">
        <f t="shared" si="542"/>
        <v>0</v>
      </c>
      <c r="DL93" s="270">
        <f t="shared" si="542"/>
        <v>0</v>
      </c>
      <c r="DM93" s="270">
        <f t="shared" si="542"/>
        <v>0</v>
      </c>
      <c r="DN93" s="270">
        <f t="shared" si="542"/>
        <v>0</v>
      </c>
      <c r="DO93" s="270">
        <f t="shared" si="542"/>
        <v>0</v>
      </c>
      <c r="DP93" s="270">
        <f t="shared" si="542"/>
        <v>0</v>
      </c>
      <c r="DQ93" s="270">
        <f t="shared" si="542"/>
        <v>0</v>
      </c>
      <c r="DR93" s="270">
        <f t="shared" si="542"/>
        <v>0</v>
      </c>
      <c r="DS93" s="270">
        <f t="shared" si="542"/>
        <v>0</v>
      </c>
      <c r="DT93" s="270">
        <f t="shared" si="542"/>
        <v>0</v>
      </c>
      <c r="DU93" s="270">
        <f t="shared" si="542"/>
        <v>0</v>
      </c>
      <c r="DV93" s="270">
        <f t="shared" si="542"/>
        <v>0</v>
      </c>
      <c r="DW93" s="271" t="str">
        <f t="shared" si="542"/>
        <v/>
      </c>
      <c r="DX93" s="270">
        <f t="shared" si="542"/>
        <v>0</v>
      </c>
      <c r="DY93" s="270">
        <f t="shared" si="29"/>
        <v>1467.13</v>
      </c>
      <c r="DZ93" s="274"/>
      <c r="EA93" s="275">
        <f t="shared" si="38"/>
        <v>0</v>
      </c>
      <c r="EB93" s="270">
        <f t="shared" ref="EB93:FC93" si="543">IF(AJ91&lt;=0,0,IF($C92&lt;=SUM($EA93:EA93),0,IF(CU92+$C92-SUM($EA93:EA93)&gt;AJ91+BO92,AJ91+BO92-CU92,$C92-SUM($EA93:EA93))))</f>
        <v>0</v>
      </c>
      <c r="EC93" s="270">
        <f t="shared" si="543"/>
        <v>0</v>
      </c>
      <c r="ED93" s="270">
        <f t="shared" si="543"/>
        <v>0</v>
      </c>
      <c r="EE93" s="270">
        <f t="shared" si="543"/>
        <v>0</v>
      </c>
      <c r="EF93" s="270">
        <f t="shared" si="543"/>
        <v>0</v>
      </c>
      <c r="EG93" s="270">
        <f t="shared" si="543"/>
        <v>0</v>
      </c>
      <c r="EH93" s="270">
        <f t="shared" si="543"/>
        <v>0</v>
      </c>
      <c r="EI93" s="270">
        <f t="shared" si="543"/>
        <v>0</v>
      </c>
      <c r="EJ93" s="270">
        <f t="shared" si="543"/>
        <v>0</v>
      </c>
      <c r="EK93" s="270">
        <f t="shared" si="543"/>
        <v>0</v>
      </c>
      <c r="EL93" s="270">
        <f t="shared" si="543"/>
        <v>0</v>
      </c>
      <c r="EM93" s="270">
        <f t="shared" si="543"/>
        <v>2394.87</v>
      </c>
      <c r="EN93" s="270">
        <f t="shared" si="543"/>
        <v>0</v>
      </c>
      <c r="EO93" s="270">
        <f t="shared" si="543"/>
        <v>0</v>
      </c>
      <c r="EP93" s="270">
        <f t="shared" si="543"/>
        <v>0</v>
      </c>
      <c r="EQ93" s="270">
        <f t="shared" si="543"/>
        <v>0</v>
      </c>
      <c r="ER93" s="270">
        <f t="shared" si="543"/>
        <v>0</v>
      </c>
      <c r="ES93" s="270">
        <f t="shared" si="543"/>
        <v>0</v>
      </c>
      <c r="ET93" s="270">
        <f t="shared" si="543"/>
        <v>0</v>
      </c>
      <c r="EU93" s="270">
        <f t="shared" si="543"/>
        <v>0</v>
      </c>
      <c r="EV93" s="270">
        <f t="shared" si="543"/>
        <v>0</v>
      </c>
      <c r="EW93" s="270">
        <f t="shared" si="543"/>
        <v>0</v>
      </c>
      <c r="EX93" s="270">
        <f t="shared" si="543"/>
        <v>0</v>
      </c>
      <c r="EY93" s="270">
        <f t="shared" si="543"/>
        <v>0</v>
      </c>
      <c r="EZ93" s="270">
        <f t="shared" si="543"/>
        <v>0</v>
      </c>
      <c r="FA93" s="270">
        <f t="shared" si="543"/>
        <v>0</v>
      </c>
      <c r="FB93" s="270">
        <f t="shared" si="543"/>
        <v>0</v>
      </c>
      <c r="FC93" s="270">
        <f t="shared" si="543"/>
        <v>0</v>
      </c>
      <c r="FD93" s="271"/>
      <c r="FE93" s="271"/>
      <c r="FF93" s="271"/>
      <c r="FG93" s="215"/>
      <c r="FH93" s="215"/>
    </row>
    <row r="94" ht="11.25" customHeight="1">
      <c r="A94" s="231">
        <f t="shared" si="19"/>
        <v>74</v>
      </c>
      <c r="B94" s="269">
        <v>47880.0</v>
      </c>
      <c r="C94" s="270">
        <f>IF(A94="","",IF(Calculator!snowball,IF(($E$5-DY94)&lt;0,0,$E$5-DY94),0)+D94)</f>
        <v>2394.87</v>
      </c>
      <c r="D94" s="277"/>
      <c r="E94" s="270">
        <f t="shared" si="40"/>
        <v>0</v>
      </c>
      <c r="F94" s="270">
        <f t="shared" ref="F94:AG94" si="544">CU94+EB95</f>
        <v>0</v>
      </c>
      <c r="G94" s="270">
        <f t="shared" si="544"/>
        <v>0</v>
      </c>
      <c r="H94" s="270">
        <f t="shared" si="544"/>
        <v>0</v>
      </c>
      <c r="I94" s="270">
        <f t="shared" si="544"/>
        <v>0</v>
      </c>
      <c r="J94" s="270">
        <f t="shared" si="544"/>
        <v>0</v>
      </c>
      <c r="K94" s="270">
        <f t="shared" si="544"/>
        <v>0</v>
      </c>
      <c r="L94" s="270">
        <f t="shared" si="544"/>
        <v>0</v>
      </c>
      <c r="M94" s="270">
        <f t="shared" si="544"/>
        <v>0</v>
      </c>
      <c r="N94" s="270">
        <f t="shared" si="544"/>
        <v>0</v>
      </c>
      <c r="O94" s="270">
        <f t="shared" si="544"/>
        <v>0</v>
      </c>
      <c r="P94" s="272">
        <f t="shared" si="544"/>
        <v>0</v>
      </c>
      <c r="Q94" s="272">
        <f t="shared" si="544"/>
        <v>3862</v>
      </c>
      <c r="R94" s="272">
        <f t="shared" si="544"/>
        <v>0</v>
      </c>
      <c r="S94" s="272">
        <f t="shared" si="544"/>
        <v>0</v>
      </c>
      <c r="T94" s="272">
        <f t="shared" si="544"/>
        <v>0</v>
      </c>
      <c r="U94" s="270">
        <f t="shared" si="544"/>
        <v>0</v>
      </c>
      <c r="V94" s="270">
        <f t="shared" si="544"/>
        <v>0</v>
      </c>
      <c r="W94" s="270">
        <f t="shared" si="544"/>
        <v>0</v>
      </c>
      <c r="X94" s="270">
        <f t="shared" si="544"/>
        <v>0</v>
      </c>
      <c r="Y94" s="270">
        <f t="shared" si="544"/>
        <v>0</v>
      </c>
      <c r="Z94" s="270">
        <f t="shared" si="544"/>
        <v>0</v>
      </c>
      <c r="AA94" s="270">
        <f t="shared" si="544"/>
        <v>0</v>
      </c>
      <c r="AB94" s="270">
        <f t="shared" si="544"/>
        <v>0</v>
      </c>
      <c r="AC94" s="270">
        <f t="shared" si="544"/>
        <v>0</v>
      </c>
      <c r="AD94" s="270">
        <f t="shared" si="544"/>
        <v>0</v>
      </c>
      <c r="AE94" s="270">
        <f t="shared" si="544"/>
        <v>0</v>
      </c>
      <c r="AF94" s="270">
        <f t="shared" si="544"/>
        <v>0</v>
      </c>
      <c r="AG94" s="270">
        <f t="shared" si="544"/>
        <v>0</v>
      </c>
      <c r="AH94" s="265">
        <f t="shared" si="13"/>
        <v>78958.08</v>
      </c>
      <c r="AI94" s="270">
        <f t="shared" si="43"/>
        <v>0</v>
      </c>
      <c r="AJ94" s="270">
        <f t="shared" ref="AJ94:AO94" si="545">IF(F$8=0,0,ROUND(AJ93-(F94-BO94),2))</f>
        <v>0</v>
      </c>
      <c r="AK94" s="270">
        <f t="shared" si="545"/>
        <v>0</v>
      </c>
      <c r="AL94" s="270">
        <f t="shared" si="545"/>
        <v>0</v>
      </c>
      <c r="AM94" s="270">
        <f t="shared" si="545"/>
        <v>0</v>
      </c>
      <c r="AN94" s="270">
        <f t="shared" si="545"/>
        <v>0</v>
      </c>
      <c r="AO94" s="270">
        <f t="shared" si="545"/>
        <v>0</v>
      </c>
      <c r="AP94" s="270">
        <v>0.0</v>
      </c>
      <c r="AQ94" s="270">
        <f t="shared" ref="AQ94:AS94" si="546">IF(M$8=0,0,ROUND(AQ93-(M94-BV94),2))</f>
        <v>0</v>
      </c>
      <c r="AR94" s="270">
        <f t="shared" si="546"/>
        <v>0</v>
      </c>
      <c r="AS94" s="270">
        <f t="shared" si="546"/>
        <v>0</v>
      </c>
      <c r="AT94" s="270">
        <f t="shared" ref="AT94:BK94" si="547">IF(P$8=0,0,ROUND(AT93-(P94-BX94),2))</f>
        <v>-6.22</v>
      </c>
      <c r="AU94" s="270">
        <f t="shared" si="547"/>
        <v>78964.3</v>
      </c>
      <c r="AV94" s="270">
        <f t="shared" si="547"/>
        <v>0</v>
      </c>
      <c r="AW94" s="270">
        <f t="shared" si="547"/>
        <v>0</v>
      </c>
      <c r="AX94" s="270">
        <f t="shared" si="547"/>
        <v>0</v>
      </c>
      <c r="AY94" s="270">
        <f t="shared" si="547"/>
        <v>0</v>
      </c>
      <c r="AZ94" s="270">
        <f t="shared" si="547"/>
        <v>0</v>
      </c>
      <c r="BA94" s="270">
        <f t="shared" si="547"/>
        <v>0</v>
      </c>
      <c r="BB94" s="270">
        <f t="shared" si="547"/>
        <v>0</v>
      </c>
      <c r="BC94" s="270">
        <f t="shared" si="547"/>
        <v>0</v>
      </c>
      <c r="BD94" s="270">
        <f t="shared" si="547"/>
        <v>0</v>
      </c>
      <c r="BE94" s="270">
        <f t="shared" si="547"/>
        <v>0</v>
      </c>
      <c r="BF94" s="270">
        <f t="shared" si="547"/>
        <v>0</v>
      </c>
      <c r="BG94" s="270">
        <f t="shared" si="547"/>
        <v>0</v>
      </c>
      <c r="BH94" s="270">
        <f t="shared" si="547"/>
        <v>0</v>
      </c>
      <c r="BI94" s="270">
        <f t="shared" si="547"/>
        <v>0</v>
      </c>
      <c r="BJ94" s="270">
        <f t="shared" si="547"/>
        <v>0</v>
      </c>
      <c r="BK94" s="270">
        <f t="shared" si="547"/>
        <v>0</v>
      </c>
      <c r="BL94" s="265">
        <f t="shared" si="16"/>
        <v>78958.08</v>
      </c>
      <c r="BM94" s="215"/>
      <c r="BN94" s="270">
        <f t="shared" ref="BN94:CP94" si="548">ROUND(AI93*E$9/12,2)</f>
        <v>0</v>
      </c>
      <c r="BO94" s="270">
        <f t="shared" si="548"/>
        <v>0</v>
      </c>
      <c r="BP94" s="270">
        <f t="shared" si="548"/>
        <v>0</v>
      </c>
      <c r="BQ94" s="270">
        <f t="shared" si="548"/>
        <v>0</v>
      </c>
      <c r="BR94" s="270">
        <f t="shared" si="548"/>
        <v>0</v>
      </c>
      <c r="BS94" s="270">
        <f t="shared" si="548"/>
        <v>0</v>
      </c>
      <c r="BT94" s="270">
        <f t="shared" si="548"/>
        <v>0</v>
      </c>
      <c r="BU94" s="270">
        <f t="shared" si="548"/>
        <v>0</v>
      </c>
      <c r="BV94" s="270">
        <f t="shared" si="548"/>
        <v>0</v>
      </c>
      <c r="BW94" s="270">
        <f t="shared" si="548"/>
        <v>0</v>
      </c>
      <c r="BX94" s="270">
        <f t="shared" si="548"/>
        <v>0</v>
      </c>
      <c r="BY94" s="270">
        <f t="shared" si="548"/>
        <v>-0.05</v>
      </c>
      <c r="BZ94" s="270">
        <f t="shared" si="548"/>
        <v>258.83</v>
      </c>
      <c r="CA94" s="270">
        <f t="shared" si="548"/>
        <v>0</v>
      </c>
      <c r="CB94" s="270">
        <f t="shared" si="548"/>
        <v>0</v>
      </c>
      <c r="CC94" s="270">
        <f t="shared" si="548"/>
        <v>0</v>
      </c>
      <c r="CD94" s="270">
        <f t="shared" si="548"/>
        <v>0</v>
      </c>
      <c r="CE94" s="270">
        <f t="shared" si="548"/>
        <v>0</v>
      </c>
      <c r="CF94" s="270">
        <f t="shared" si="548"/>
        <v>0</v>
      </c>
      <c r="CG94" s="270">
        <f t="shared" si="548"/>
        <v>0</v>
      </c>
      <c r="CH94" s="270">
        <f t="shared" si="548"/>
        <v>0</v>
      </c>
      <c r="CI94" s="270">
        <f t="shared" si="548"/>
        <v>0</v>
      </c>
      <c r="CJ94" s="270">
        <f t="shared" si="548"/>
        <v>0</v>
      </c>
      <c r="CK94" s="270">
        <f t="shared" si="548"/>
        <v>0</v>
      </c>
      <c r="CL94" s="270">
        <f t="shared" si="548"/>
        <v>0</v>
      </c>
      <c r="CM94" s="270">
        <f t="shared" si="548"/>
        <v>0</v>
      </c>
      <c r="CN94" s="270">
        <f t="shared" si="548"/>
        <v>0</v>
      </c>
      <c r="CO94" s="270">
        <f t="shared" si="548"/>
        <v>0</v>
      </c>
      <c r="CP94" s="270">
        <f t="shared" si="548"/>
        <v>0</v>
      </c>
      <c r="CQ94" s="215"/>
      <c r="CR94" s="270">
        <f t="shared" si="27"/>
        <v>258.78</v>
      </c>
      <c r="CS94" s="215"/>
      <c r="CT94" s="270">
        <f t="shared" ref="CT94:DX94" si="549">IF(AI93&gt;0,IF((AI93+BN94)&lt;E$10,AI93+BN94,E$10),0)</f>
        <v>0</v>
      </c>
      <c r="CU94" s="270">
        <f t="shared" si="549"/>
        <v>0</v>
      </c>
      <c r="CV94" s="270">
        <f t="shared" si="549"/>
        <v>0</v>
      </c>
      <c r="CW94" s="270">
        <f t="shared" si="549"/>
        <v>0</v>
      </c>
      <c r="CX94" s="270">
        <f t="shared" si="549"/>
        <v>0</v>
      </c>
      <c r="CY94" s="270">
        <f t="shared" si="549"/>
        <v>0</v>
      </c>
      <c r="CZ94" s="270">
        <f t="shared" si="549"/>
        <v>0</v>
      </c>
      <c r="DA94" s="270">
        <f t="shared" si="549"/>
        <v>0</v>
      </c>
      <c r="DB94" s="270">
        <f t="shared" si="549"/>
        <v>0</v>
      </c>
      <c r="DC94" s="270">
        <f t="shared" si="549"/>
        <v>0</v>
      </c>
      <c r="DD94" s="270">
        <f t="shared" si="549"/>
        <v>0</v>
      </c>
      <c r="DE94" s="270">
        <f t="shared" si="549"/>
        <v>0</v>
      </c>
      <c r="DF94" s="270">
        <f t="shared" si="549"/>
        <v>1467.13</v>
      </c>
      <c r="DG94" s="270">
        <f t="shared" si="549"/>
        <v>0</v>
      </c>
      <c r="DH94" s="270">
        <f t="shared" si="549"/>
        <v>0</v>
      </c>
      <c r="DI94" s="270">
        <f t="shared" si="549"/>
        <v>0</v>
      </c>
      <c r="DJ94" s="270">
        <f t="shared" si="549"/>
        <v>0</v>
      </c>
      <c r="DK94" s="270">
        <f t="shared" si="549"/>
        <v>0</v>
      </c>
      <c r="DL94" s="270">
        <f t="shared" si="549"/>
        <v>0</v>
      </c>
      <c r="DM94" s="270">
        <f t="shared" si="549"/>
        <v>0</v>
      </c>
      <c r="DN94" s="270">
        <f t="shared" si="549"/>
        <v>0</v>
      </c>
      <c r="DO94" s="270">
        <f t="shared" si="549"/>
        <v>0</v>
      </c>
      <c r="DP94" s="270">
        <f t="shared" si="549"/>
        <v>0</v>
      </c>
      <c r="DQ94" s="270">
        <f t="shared" si="549"/>
        <v>0</v>
      </c>
      <c r="DR94" s="270">
        <f t="shared" si="549"/>
        <v>0</v>
      </c>
      <c r="DS94" s="270">
        <f t="shared" si="549"/>
        <v>0</v>
      </c>
      <c r="DT94" s="270">
        <f t="shared" si="549"/>
        <v>0</v>
      </c>
      <c r="DU94" s="270">
        <f t="shared" si="549"/>
        <v>0</v>
      </c>
      <c r="DV94" s="270">
        <f t="shared" si="549"/>
        <v>0</v>
      </c>
      <c r="DW94" s="271" t="str">
        <f t="shared" si="549"/>
        <v/>
      </c>
      <c r="DX94" s="270">
        <f t="shared" si="549"/>
        <v>0</v>
      </c>
      <c r="DY94" s="270">
        <f t="shared" si="29"/>
        <v>1467.13</v>
      </c>
      <c r="DZ94" s="274"/>
      <c r="EA94" s="275">
        <f t="shared" si="38"/>
        <v>0</v>
      </c>
      <c r="EB94" s="270">
        <f t="shared" ref="EB94:FC94" si="550">IF(AJ92&lt;=0,0,IF($C93&lt;=SUM($EA94:EA94),0,IF(CU93+$C93-SUM($EA94:EA94)&gt;AJ92+BO93,AJ92+BO93-CU93,$C93-SUM($EA94:EA94))))</f>
        <v>0</v>
      </c>
      <c r="EC94" s="270">
        <f t="shared" si="550"/>
        <v>0</v>
      </c>
      <c r="ED94" s="270">
        <f t="shared" si="550"/>
        <v>0</v>
      </c>
      <c r="EE94" s="270">
        <f t="shared" si="550"/>
        <v>0</v>
      </c>
      <c r="EF94" s="270">
        <f t="shared" si="550"/>
        <v>0</v>
      </c>
      <c r="EG94" s="270">
        <f t="shared" si="550"/>
        <v>0</v>
      </c>
      <c r="EH94" s="270">
        <f t="shared" si="550"/>
        <v>0</v>
      </c>
      <c r="EI94" s="270">
        <f t="shared" si="550"/>
        <v>0</v>
      </c>
      <c r="EJ94" s="270">
        <f t="shared" si="550"/>
        <v>0</v>
      </c>
      <c r="EK94" s="270">
        <f t="shared" si="550"/>
        <v>0</v>
      </c>
      <c r="EL94" s="270">
        <f t="shared" si="550"/>
        <v>0</v>
      </c>
      <c r="EM94" s="270">
        <f t="shared" si="550"/>
        <v>2394.87</v>
      </c>
      <c r="EN94" s="270">
        <f t="shared" si="550"/>
        <v>0</v>
      </c>
      <c r="EO94" s="270">
        <f t="shared" si="550"/>
        <v>0</v>
      </c>
      <c r="EP94" s="270">
        <f t="shared" si="550"/>
        <v>0</v>
      </c>
      <c r="EQ94" s="270">
        <f t="shared" si="550"/>
        <v>0</v>
      </c>
      <c r="ER94" s="270">
        <f t="shared" si="550"/>
        <v>0</v>
      </c>
      <c r="ES94" s="270">
        <f t="shared" si="550"/>
        <v>0</v>
      </c>
      <c r="ET94" s="270">
        <f t="shared" si="550"/>
        <v>0</v>
      </c>
      <c r="EU94" s="270">
        <f t="shared" si="550"/>
        <v>0</v>
      </c>
      <c r="EV94" s="270">
        <f t="shared" si="550"/>
        <v>0</v>
      </c>
      <c r="EW94" s="270">
        <f t="shared" si="550"/>
        <v>0</v>
      </c>
      <c r="EX94" s="270">
        <f t="shared" si="550"/>
        <v>0</v>
      </c>
      <c r="EY94" s="270">
        <f t="shared" si="550"/>
        <v>0</v>
      </c>
      <c r="EZ94" s="270">
        <f t="shared" si="550"/>
        <v>0</v>
      </c>
      <c r="FA94" s="270">
        <f t="shared" si="550"/>
        <v>0</v>
      </c>
      <c r="FB94" s="270">
        <f t="shared" si="550"/>
        <v>0</v>
      </c>
      <c r="FC94" s="270">
        <f t="shared" si="550"/>
        <v>0</v>
      </c>
      <c r="FD94" s="271"/>
      <c r="FE94" s="271"/>
      <c r="FF94" s="271"/>
      <c r="FG94" s="215"/>
      <c r="FH94" s="215"/>
    </row>
    <row r="95" ht="11.25" customHeight="1">
      <c r="A95" s="231">
        <f t="shared" si="19"/>
        <v>75</v>
      </c>
      <c r="B95" s="269">
        <v>47908.0</v>
      </c>
      <c r="C95" s="270">
        <f>IF(A95="","",IF(Calculator!snowball,IF(($E$5-DY95)&lt;0,0,$E$5-DY95),0)+D95)</f>
        <v>2394.87</v>
      </c>
      <c r="D95" s="277"/>
      <c r="E95" s="270">
        <f t="shared" si="40"/>
        <v>0</v>
      </c>
      <c r="F95" s="270">
        <f t="shared" ref="F95:AG95" si="551">CU95+EB96</f>
        <v>0</v>
      </c>
      <c r="G95" s="270">
        <f t="shared" si="551"/>
        <v>0</v>
      </c>
      <c r="H95" s="270">
        <f t="shared" si="551"/>
        <v>0</v>
      </c>
      <c r="I95" s="270">
        <f t="shared" si="551"/>
        <v>0</v>
      </c>
      <c r="J95" s="270">
        <f t="shared" si="551"/>
        <v>0</v>
      </c>
      <c r="K95" s="270">
        <f t="shared" si="551"/>
        <v>0</v>
      </c>
      <c r="L95" s="270">
        <f t="shared" si="551"/>
        <v>0</v>
      </c>
      <c r="M95" s="270">
        <f t="shared" si="551"/>
        <v>0</v>
      </c>
      <c r="N95" s="270">
        <f t="shared" si="551"/>
        <v>0</v>
      </c>
      <c r="O95" s="270">
        <f t="shared" si="551"/>
        <v>0</v>
      </c>
      <c r="P95" s="272">
        <f t="shared" si="551"/>
        <v>0</v>
      </c>
      <c r="Q95" s="272">
        <f t="shared" si="551"/>
        <v>3862</v>
      </c>
      <c r="R95" s="272">
        <f t="shared" si="551"/>
        <v>0</v>
      </c>
      <c r="S95" s="272">
        <f t="shared" si="551"/>
        <v>0</v>
      </c>
      <c r="T95" s="272">
        <f t="shared" si="551"/>
        <v>0</v>
      </c>
      <c r="U95" s="270">
        <f t="shared" si="551"/>
        <v>0</v>
      </c>
      <c r="V95" s="270">
        <f t="shared" si="551"/>
        <v>0</v>
      </c>
      <c r="W95" s="270">
        <f t="shared" si="551"/>
        <v>0</v>
      </c>
      <c r="X95" s="270">
        <f t="shared" si="551"/>
        <v>0</v>
      </c>
      <c r="Y95" s="270">
        <f t="shared" si="551"/>
        <v>0</v>
      </c>
      <c r="Z95" s="270">
        <f t="shared" si="551"/>
        <v>0</v>
      </c>
      <c r="AA95" s="270">
        <f t="shared" si="551"/>
        <v>0</v>
      </c>
      <c r="AB95" s="270">
        <f t="shared" si="551"/>
        <v>0</v>
      </c>
      <c r="AC95" s="270">
        <f t="shared" si="551"/>
        <v>0</v>
      </c>
      <c r="AD95" s="270">
        <f t="shared" si="551"/>
        <v>0</v>
      </c>
      <c r="AE95" s="270">
        <f t="shared" si="551"/>
        <v>0</v>
      </c>
      <c r="AF95" s="270">
        <f t="shared" si="551"/>
        <v>0</v>
      </c>
      <c r="AG95" s="270">
        <f t="shared" si="551"/>
        <v>0</v>
      </c>
      <c r="AH95" s="265">
        <f t="shared" si="13"/>
        <v>75096.03</v>
      </c>
      <c r="AI95" s="270">
        <f t="shared" si="43"/>
        <v>0</v>
      </c>
      <c r="AJ95" s="270">
        <f t="shared" ref="AJ95:AO95" si="552">IF(F$8=0,0,ROUND(AJ94-(F95-BO95),2))</f>
        <v>0</v>
      </c>
      <c r="AK95" s="270">
        <f t="shared" si="552"/>
        <v>0</v>
      </c>
      <c r="AL95" s="270">
        <f t="shared" si="552"/>
        <v>0</v>
      </c>
      <c r="AM95" s="270">
        <f t="shared" si="552"/>
        <v>0</v>
      </c>
      <c r="AN95" s="270">
        <f t="shared" si="552"/>
        <v>0</v>
      </c>
      <c r="AO95" s="270">
        <f t="shared" si="552"/>
        <v>0</v>
      </c>
      <c r="AP95" s="270">
        <v>0.0</v>
      </c>
      <c r="AQ95" s="270">
        <f t="shared" ref="AQ95:AS95" si="553">IF(M$8=0,0,ROUND(AQ94-(M95-BV95),2))</f>
        <v>0</v>
      </c>
      <c r="AR95" s="270">
        <f t="shared" si="553"/>
        <v>0</v>
      </c>
      <c r="AS95" s="270">
        <f t="shared" si="553"/>
        <v>0</v>
      </c>
      <c r="AT95" s="270">
        <f t="shared" ref="AT95:BK95" si="554">IF(P$8=0,0,ROUND(AT94-(P95-BX95),2))</f>
        <v>-6.22</v>
      </c>
      <c r="AU95" s="270">
        <f t="shared" si="554"/>
        <v>75102.25</v>
      </c>
      <c r="AV95" s="270">
        <f t="shared" si="554"/>
        <v>0</v>
      </c>
      <c r="AW95" s="270">
        <f t="shared" si="554"/>
        <v>0</v>
      </c>
      <c r="AX95" s="270">
        <f t="shared" si="554"/>
        <v>0</v>
      </c>
      <c r="AY95" s="270">
        <f t="shared" si="554"/>
        <v>0</v>
      </c>
      <c r="AZ95" s="270">
        <f t="shared" si="554"/>
        <v>0</v>
      </c>
      <c r="BA95" s="270">
        <f t="shared" si="554"/>
        <v>0</v>
      </c>
      <c r="BB95" s="270">
        <f t="shared" si="554"/>
        <v>0</v>
      </c>
      <c r="BC95" s="270">
        <f t="shared" si="554"/>
        <v>0</v>
      </c>
      <c r="BD95" s="270">
        <f t="shared" si="554"/>
        <v>0</v>
      </c>
      <c r="BE95" s="270">
        <f t="shared" si="554"/>
        <v>0</v>
      </c>
      <c r="BF95" s="270">
        <f t="shared" si="554"/>
        <v>0</v>
      </c>
      <c r="BG95" s="270">
        <f t="shared" si="554"/>
        <v>0</v>
      </c>
      <c r="BH95" s="270">
        <f t="shared" si="554"/>
        <v>0</v>
      </c>
      <c r="BI95" s="270">
        <f t="shared" si="554"/>
        <v>0</v>
      </c>
      <c r="BJ95" s="270">
        <f t="shared" si="554"/>
        <v>0</v>
      </c>
      <c r="BK95" s="270">
        <f t="shared" si="554"/>
        <v>0</v>
      </c>
      <c r="BL95" s="265">
        <f t="shared" si="16"/>
        <v>75096.03</v>
      </c>
      <c r="BM95" s="215"/>
      <c r="BN95" s="270">
        <f t="shared" ref="BN95:CP95" si="555">ROUND(AI94*E$9/12,2)</f>
        <v>0</v>
      </c>
      <c r="BO95" s="270">
        <f t="shared" si="555"/>
        <v>0</v>
      </c>
      <c r="BP95" s="270">
        <f t="shared" si="555"/>
        <v>0</v>
      </c>
      <c r="BQ95" s="270">
        <f t="shared" si="555"/>
        <v>0</v>
      </c>
      <c r="BR95" s="270">
        <f t="shared" si="555"/>
        <v>0</v>
      </c>
      <c r="BS95" s="270">
        <f t="shared" si="555"/>
        <v>0</v>
      </c>
      <c r="BT95" s="270">
        <f t="shared" si="555"/>
        <v>0</v>
      </c>
      <c r="BU95" s="270">
        <f t="shared" si="555"/>
        <v>0</v>
      </c>
      <c r="BV95" s="270">
        <f t="shared" si="555"/>
        <v>0</v>
      </c>
      <c r="BW95" s="270">
        <f t="shared" si="555"/>
        <v>0</v>
      </c>
      <c r="BX95" s="270">
        <f t="shared" si="555"/>
        <v>0</v>
      </c>
      <c r="BY95" s="270">
        <f t="shared" si="555"/>
        <v>-0.05</v>
      </c>
      <c r="BZ95" s="270">
        <f t="shared" si="555"/>
        <v>246.76</v>
      </c>
      <c r="CA95" s="270">
        <f t="shared" si="555"/>
        <v>0</v>
      </c>
      <c r="CB95" s="270">
        <f t="shared" si="555"/>
        <v>0</v>
      </c>
      <c r="CC95" s="270">
        <f t="shared" si="555"/>
        <v>0</v>
      </c>
      <c r="CD95" s="270">
        <f t="shared" si="555"/>
        <v>0</v>
      </c>
      <c r="CE95" s="270">
        <f t="shared" si="555"/>
        <v>0</v>
      </c>
      <c r="CF95" s="270">
        <f t="shared" si="555"/>
        <v>0</v>
      </c>
      <c r="CG95" s="270">
        <f t="shared" si="555"/>
        <v>0</v>
      </c>
      <c r="CH95" s="270">
        <f t="shared" si="555"/>
        <v>0</v>
      </c>
      <c r="CI95" s="270">
        <f t="shared" si="555"/>
        <v>0</v>
      </c>
      <c r="CJ95" s="270">
        <f t="shared" si="555"/>
        <v>0</v>
      </c>
      <c r="CK95" s="270">
        <f t="shared" si="555"/>
        <v>0</v>
      </c>
      <c r="CL95" s="270">
        <f t="shared" si="555"/>
        <v>0</v>
      </c>
      <c r="CM95" s="270">
        <f t="shared" si="555"/>
        <v>0</v>
      </c>
      <c r="CN95" s="270">
        <f t="shared" si="555"/>
        <v>0</v>
      </c>
      <c r="CO95" s="270">
        <f t="shared" si="555"/>
        <v>0</v>
      </c>
      <c r="CP95" s="270">
        <f t="shared" si="555"/>
        <v>0</v>
      </c>
      <c r="CQ95" s="215"/>
      <c r="CR95" s="270">
        <f t="shared" si="27"/>
        <v>246.71</v>
      </c>
      <c r="CS95" s="215"/>
      <c r="CT95" s="270">
        <f t="shared" ref="CT95:DX95" si="556">IF(AI94&gt;0,IF((AI94+BN95)&lt;E$10,AI94+BN95,E$10),0)</f>
        <v>0</v>
      </c>
      <c r="CU95" s="270">
        <f t="shared" si="556"/>
        <v>0</v>
      </c>
      <c r="CV95" s="270">
        <f t="shared" si="556"/>
        <v>0</v>
      </c>
      <c r="CW95" s="270">
        <f t="shared" si="556"/>
        <v>0</v>
      </c>
      <c r="CX95" s="270">
        <f t="shared" si="556"/>
        <v>0</v>
      </c>
      <c r="CY95" s="270">
        <f t="shared" si="556"/>
        <v>0</v>
      </c>
      <c r="CZ95" s="270">
        <f t="shared" si="556"/>
        <v>0</v>
      </c>
      <c r="DA95" s="270">
        <f t="shared" si="556"/>
        <v>0</v>
      </c>
      <c r="DB95" s="270">
        <f t="shared" si="556"/>
        <v>0</v>
      </c>
      <c r="DC95" s="270">
        <f t="shared" si="556"/>
        <v>0</v>
      </c>
      <c r="DD95" s="270">
        <f t="shared" si="556"/>
        <v>0</v>
      </c>
      <c r="DE95" s="270">
        <f t="shared" si="556"/>
        <v>0</v>
      </c>
      <c r="DF95" s="270">
        <f t="shared" si="556"/>
        <v>1467.13</v>
      </c>
      <c r="DG95" s="270">
        <f t="shared" si="556"/>
        <v>0</v>
      </c>
      <c r="DH95" s="270">
        <f t="shared" si="556"/>
        <v>0</v>
      </c>
      <c r="DI95" s="270">
        <f t="shared" si="556"/>
        <v>0</v>
      </c>
      <c r="DJ95" s="270">
        <f t="shared" si="556"/>
        <v>0</v>
      </c>
      <c r="DK95" s="270">
        <f t="shared" si="556"/>
        <v>0</v>
      </c>
      <c r="DL95" s="270">
        <f t="shared" si="556"/>
        <v>0</v>
      </c>
      <c r="DM95" s="270">
        <f t="shared" si="556"/>
        <v>0</v>
      </c>
      <c r="DN95" s="270">
        <f t="shared" si="556"/>
        <v>0</v>
      </c>
      <c r="DO95" s="270">
        <f t="shared" si="556"/>
        <v>0</v>
      </c>
      <c r="DP95" s="270">
        <f t="shared" si="556"/>
        <v>0</v>
      </c>
      <c r="DQ95" s="270">
        <f t="shared" si="556"/>
        <v>0</v>
      </c>
      <c r="DR95" s="270">
        <f t="shared" si="556"/>
        <v>0</v>
      </c>
      <c r="DS95" s="270">
        <f t="shared" si="556"/>
        <v>0</v>
      </c>
      <c r="DT95" s="270">
        <f t="shared" si="556"/>
        <v>0</v>
      </c>
      <c r="DU95" s="270">
        <f t="shared" si="556"/>
        <v>0</v>
      </c>
      <c r="DV95" s="270">
        <f t="shared" si="556"/>
        <v>0</v>
      </c>
      <c r="DW95" s="271" t="str">
        <f t="shared" si="556"/>
        <v/>
      </c>
      <c r="DX95" s="270">
        <f t="shared" si="556"/>
        <v>0</v>
      </c>
      <c r="DY95" s="270">
        <f t="shared" si="29"/>
        <v>1467.13</v>
      </c>
      <c r="DZ95" s="274"/>
      <c r="EA95" s="275">
        <f t="shared" si="38"/>
        <v>0</v>
      </c>
      <c r="EB95" s="270">
        <f t="shared" ref="EB95:FC95" si="557">IF(AJ93&lt;=0,0,IF($C94&lt;=SUM($EA95:EA95),0,IF(CU94+$C94-SUM($EA95:EA95)&gt;AJ93+BO94,AJ93+BO94-CU94,$C94-SUM($EA95:EA95))))</f>
        <v>0</v>
      </c>
      <c r="EC95" s="270">
        <f t="shared" si="557"/>
        <v>0</v>
      </c>
      <c r="ED95" s="270">
        <f t="shared" si="557"/>
        <v>0</v>
      </c>
      <c r="EE95" s="270">
        <f t="shared" si="557"/>
        <v>0</v>
      </c>
      <c r="EF95" s="270">
        <f t="shared" si="557"/>
        <v>0</v>
      </c>
      <c r="EG95" s="270">
        <f t="shared" si="557"/>
        <v>0</v>
      </c>
      <c r="EH95" s="270">
        <f t="shared" si="557"/>
        <v>0</v>
      </c>
      <c r="EI95" s="270">
        <f t="shared" si="557"/>
        <v>0</v>
      </c>
      <c r="EJ95" s="270">
        <f t="shared" si="557"/>
        <v>0</v>
      </c>
      <c r="EK95" s="270">
        <f t="shared" si="557"/>
        <v>0</v>
      </c>
      <c r="EL95" s="270">
        <f t="shared" si="557"/>
        <v>0</v>
      </c>
      <c r="EM95" s="270">
        <f t="shared" si="557"/>
        <v>2394.87</v>
      </c>
      <c r="EN95" s="270">
        <f t="shared" si="557"/>
        <v>0</v>
      </c>
      <c r="EO95" s="270">
        <f t="shared" si="557"/>
        <v>0</v>
      </c>
      <c r="EP95" s="270">
        <f t="shared" si="557"/>
        <v>0</v>
      </c>
      <c r="EQ95" s="270">
        <f t="shared" si="557"/>
        <v>0</v>
      </c>
      <c r="ER95" s="270">
        <f t="shared" si="557"/>
        <v>0</v>
      </c>
      <c r="ES95" s="270">
        <f t="shared" si="557"/>
        <v>0</v>
      </c>
      <c r="ET95" s="270">
        <f t="shared" si="557"/>
        <v>0</v>
      </c>
      <c r="EU95" s="270">
        <f t="shared" si="557"/>
        <v>0</v>
      </c>
      <c r="EV95" s="270">
        <f t="shared" si="557"/>
        <v>0</v>
      </c>
      <c r="EW95" s="270">
        <f t="shared" si="557"/>
        <v>0</v>
      </c>
      <c r="EX95" s="270">
        <f t="shared" si="557"/>
        <v>0</v>
      </c>
      <c r="EY95" s="270">
        <f t="shared" si="557"/>
        <v>0</v>
      </c>
      <c r="EZ95" s="270">
        <f t="shared" si="557"/>
        <v>0</v>
      </c>
      <c r="FA95" s="270">
        <f t="shared" si="557"/>
        <v>0</v>
      </c>
      <c r="FB95" s="270">
        <f t="shared" si="557"/>
        <v>0</v>
      </c>
      <c r="FC95" s="270">
        <f t="shared" si="557"/>
        <v>0</v>
      </c>
      <c r="FD95" s="271"/>
      <c r="FE95" s="271"/>
      <c r="FF95" s="271"/>
      <c r="FG95" s="215"/>
      <c r="FH95" s="215"/>
    </row>
    <row r="96" ht="11.25" customHeight="1">
      <c r="A96" s="231">
        <f t="shared" si="19"/>
        <v>76</v>
      </c>
      <c r="B96" s="269">
        <v>47939.0</v>
      </c>
      <c r="C96" s="270">
        <f>IF(A96="","",IF(Calculator!snowball,IF(($E$5-DY96)&lt;0,0,$E$5-DY96),0)+D96)</f>
        <v>2394.87</v>
      </c>
      <c r="D96" s="277"/>
      <c r="E96" s="270">
        <f t="shared" si="40"/>
        <v>0</v>
      </c>
      <c r="F96" s="270">
        <f t="shared" ref="F96:AG96" si="558">CU96+EB97</f>
        <v>0</v>
      </c>
      <c r="G96" s="270">
        <f t="shared" si="558"/>
        <v>0</v>
      </c>
      <c r="H96" s="270">
        <f t="shared" si="558"/>
        <v>0</v>
      </c>
      <c r="I96" s="270">
        <f t="shared" si="558"/>
        <v>0</v>
      </c>
      <c r="J96" s="270">
        <f t="shared" si="558"/>
        <v>0</v>
      </c>
      <c r="K96" s="270">
        <f t="shared" si="558"/>
        <v>0</v>
      </c>
      <c r="L96" s="270">
        <f t="shared" si="558"/>
        <v>0</v>
      </c>
      <c r="M96" s="270">
        <f t="shared" si="558"/>
        <v>0</v>
      </c>
      <c r="N96" s="270">
        <f t="shared" si="558"/>
        <v>0</v>
      </c>
      <c r="O96" s="270">
        <f t="shared" si="558"/>
        <v>0</v>
      </c>
      <c r="P96" s="272">
        <f t="shared" si="558"/>
        <v>0</v>
      </c>
      <c r="Q96" s="272">
        <f t="shared" si="558"/>
        <v>3862</v>
      </c>
      <c r="R96" s="272">
        <f t="shared" si="558"/>
        <v>0</v>
      </c>
      <c r="S96" s="272">
        <f t="shared" si="558"/>
        <v>0</v>
      </c>
      <c r="T96" s="272">
        <f t="shared" si="558"/>
        <v>0</v>
      </c>
      <c r="U96" s="270">
        <f t="shared" si="558"/>
        <v>0</v>
      </c>
      <c r="V96" s="270">
        <f t="shared" si="558"/>
        <v>0</v>
      </c>
      <c r="W96" s="270">
        <f t="shared" si="558"/>
        <v>0</v>
      </c>
      <c r="X96" s="270">
        <f t="shared" si="558"/>
        <v>0</v>
      </c>
      <c r="Y96" s="270">
        <f t="shared" si="558"/>
        <v>0</v>
      </c>
      <c r="Z96" s="270">
        <f t="shared" si="558"/>
        <v>0</v>
      </c>
      <c r="AA96" s="270">
        <f t="shared" si="558"/>
        <v>0</v>
      </c>
      <c r="AB96" s="270">
        <f t="shared" si="558"/>
        <v>0</v>
      </c>
      <c r="AC96" s="270">
        <f t="shared" si="558"/>
        <v>0</v>
      </c>
      <c r="AD96" s="270">
        <f t="shared" si="558"/>
        <v>0</v>
      </c>
      <c r="AE96" s="270">
        <f t="shared" si="558"/>
        <v>0</v>
      </c>
      <c r="AF96" s="270">
        <f t="shared" si="558"/>
        <v>0</v>
      </c>
      <c r="AG96" s="270">
        <f t="shared" si="558"/>
        <v>0</v>
      </c>
      <c r="AH96" s="265">
        <f t="shared" si="13"/>
        <v>71233.98</v>
      </c>
      <c r="AI96" s="270">
        <f t="shared" si="43"/>
        <v>0</v>
      </c>
      <c r="AJ96" s="270">
        <f t="shared" ref="AJ96:AO96" si="559">IF(F$8=0,0,ROUND(AJ95-(F96-BO96),2))</f>
        <v>0</v>
      </c>
      <c r="AK96" s="270">
        <f t="shared" si="559"/>
        <v>0</v>
      </c>
      <c r="AL96" s="270">
        <f t="shared" si="559"/>
        <v>0</v>
      </c>
      <c r="AM96" s="270">
        <f t="shared" si="559"/>
        <v>0</v>
      </c>
      <c r="AN96" s="270">
        <f t="shared" si="559"/>
        <v>0</v>
      </c>
      <c r="AO96" s="270">
        <f t="shared" si="559"/>
        <v>0</v>
      </c>
      <c r="AP96" s="270">
        <v>0.0</v>
      </c>
      <c r="AQ96" s="270">
        <f t="shared" ref="AQ96:AS96" si="560">IF(M$8=0,0,ROUND(AQ95-(M96-BV96),2))</f>
        <v>0</v>
      </c>
      <c r="AR96" s="270">
        <f t="shared" si="560"/>
        <v>0</v>
      </c>
      <c r="AS96" s="270">
        <f t="shared" si="560"/>
        <v>0</v>
      </c>
      <c r="AT96" s="270">
        <f t="shared" ref="AT96:BK96" si="561">IF(P$8=0,0,ROUND(AT95-(P96-BX96),2))</f>
        <v>-6.22</v>
      </c>
      <c r="AU96" s="270">
        <f t="shared" si="561"/>
        <v>71240.2</v>
      </c>
      <c r="AV96" s="270">
        <f t="shared" si="561"/>
        <v>0</v>
      </c>
      <c r="AW96" s="270">
        <f t="shared" si="561"/>
        <v>0</v>
      </c>
      <c r="AX96" s="270">
        <f t="shared" si="561"/>
        <v>0</v>
      </c>
      <c r="AY96" s="270">
        <f t="shared" si="561"/>
        <v>0</v>
      </c>
      <c r="AZ96" s="270">
        <f t="shared" si="561"/>
        <v>0</v>
      </c>
      <c r="BA96" s="270">
        <f t="shared" si="561"/>
        <v>0</v>
      </c>
      <c r="BB96" s="270">
        <f t="shared" si="561"/>
        <v>0</v>
      </c>
      <c r="BC96" s="270">
        <f t="shared" si="561"/>
        <v>0</v>
      </c>
      <c r="BD96" s="270">
        <f t="shared" si="561"/>
        <v>0</v>
      </c>
      <c r="BE96" s="270">
        <f t="shared" si="561"/>
        <v>0</v>
      </c>
      <c r="BF96" s="270">
        <f t="shared" si="561"/>
        <v>0</v>
      </c>
      <c r="BG96" s="270">
        <f t="shared" si="561"/>
        <v>0</v>
      </c>
      <c r="BH96" s="270">
        <f t="shared" si="561"/>
        <v>0</v>
      </c>
      <c r="BI96" s="270">
        <f t="shared" si="561"/>
        <v>0</v>
      </c>
      <c r="BJ96" s="270">
        <f t="shared" si="561"/>
        <v>0</v>
      </c>
      <c r="BK96" s="270">
        <f t="shared" si="561"/>
        <v>0</v>
      </c>
      <c r="BL96" s="265">
        <f t="shared" si="16"/>
        <v>71233.98</v>
      </c>
      <c r="BM96" s="215"/>
      <c r="BN96" s="270">
        <f t="shared" ref="BN96:CP96" si="562">ROUND(AI95*E$9/12,2)</f>
        <v>0</v>
      </c>
      <c r="BO96" s="270">
        <f t="shared" si="562"/>
        <v>0</v>
      </c>
      <c r="BP96" s="270">
        <f t="shared" si="562"/>
        <v>0</v>
      </c>
      <c r="BQ96" s="270">
        <f t="shared" si="562"/>
        <v>0</v>
      </c>
      <c r="BR96" s="270">
        <f t="shared" si="562"/>
        <v>0</v>
      </c>
      <c r="BS96" s="270">
        <f t="shared" si="562"/>
        <v>0</v>
      </c>
      <c r="BT96" s="270">
        <f t="shared" si="562"/>
        <v>0</v>
      </c>
      <c r="BU96" s="270">
        <f t="shared" si="562"/>
        <v>0</v>
      </c>
      <c r="BV96" s="270">
        <f t="shared" si="562"/>
        <v>0</v>
      </c>
      <c r="BW96" s="270">
        <f t="shared" si="562"/>
        <v>0</v>
      </c>
      <c r="BX96" s="270">
        <f t="shared" si="562"/>
        <v>0</v>
      </c>
      <c r="BY96" s="270">
        <f t="shared" si="562"/>
        <v>-0.05</v>
      </c>
      <c r="BZ96" s="270">
        <f t="shared" si="562"/>
        <v>234.69</v>
      </c>
      <c r="CA96" s="270">
        <f t="shared" si="562"/>
        <v>0</v>
      </c>
      <c r="CB96" s="270">
        <f t="shared" si="562"/>
        <v>0</v>
      </c>
      <c r="CC96" s="270">
        <f t="shared" si="562"/>
        <v>0</v>
      </c>
      <c r="CD96" s="270">
        <f t="shared" si="562"/>
        <v>0</v>
      </c>
      <c r="CE96" s="270">
        <f t="shared" si="562"/>
        <v>0</v>
      </c>
      <c r="CF96" s="270">
        <f t="shared" si="562"/>
        <v>0</v>
      </c>
      <c r="CG96" s="270">
        <f t="shared" si="562"/>
        <v>0</v>
      </c>
      <c r="CH96" s="270">
        <f t="shared" si="562"/>
        <v>0</v>
      </c>
      <c r="CI96" s="270">
        <f t="shared" si="562"/>
        <v>0</v>
      </c>
      <c r="CJ96" s="270">
        <f t="shared" si="562"/>
        <v>0</v>
      </c>
      <c r="CK96" s="270">
        <f t="shared" si="562"/>
        <v>0</v>
      </c>
      <c r="CL96" s="270">
        <f t="shared" si="562"/>
        <v>0</v>
      </c>
      <c r="CM96" s="270">
        <f t="shared" si="562"/>
        <v>0</v>
      </c>
      <c r="CN96" s="270">
        <f t="shared" si="562"/>
        <v>0</v>
      </c>
      <c r="CO96" s="270">
        <f t="shared" si="562"/>
        <v>0</v>
      </c>
      <c r="CP96" s="270">
        <f t="shared" si="562"/>
        <v>0</v>
      </c>
      <c r="CQ96" s="215"/>
      <c r="CR96" s="270">
        <f t="shared" si="27"/>
        <v>234.64</v>
      </c>
      <c r="CS96" s="215"/>
      <c r="CT96" s="270">
        <f t="shared" ref="CT96:DX96" si="563">IF(AI95&gt;0,IF((AI95+BN96)&lt;E$10,AI95+BN96,E$10),0)</f>
        <v>0</v>
      </c>
      <c r="CU96" s="270">
        <f t="shared" si="563"/>
        <v>0</v>
      </c>
      <c r="CV96" s="270">
        <f t="shared" si="563"/>
        <v>0</v>
      </c>
      <c r="CW96" s="270">
        <f t="shared" si="563"/>
        <v>0</v>
      </c>
      <c r="CX96" s="270">
        <f t="shared" si="563"/>
        <v>0</v>
      </c>
      <c r="CY96" s="270">
        <f t="shared" si="563"/>
        <v>0</v>
      </c>
      <c r="CZ96" s="270">
        <f t="shared" si="563"/>
        <v>0</v>
      </c>
      <c r="DA96" s="270">
        <f t="shared" si="563"/>
        <v>0</v>
      </c>
      <c r="DB96" s="270">
        <f t="shared" si="563"/>
        <v>0</v>
      </c>
      <c r="DC96" s="270">
        <f t="shared" si="563"/>
        <v>0</v>
      </c>
      <c r="DD96" s="270">
        <f t="shared" si="563"/>
        <v>0</v>
      </c>
      <c r="DE96" s="270">
        <f t="shared" si="563"/>
        <v>0</v>
      </c>
      <c r="DF96" s="270">
        <f t="shared" si="563"/>
        <v>1467.13</v>
      </c>
      <c r="DG96" s="270">
        <f t="shared" si="563"/>
        <v>0</v>
      </c>
      <c r="DH96" s="270">
        <f t="shared" si="563"/>
        <v>0</v>
      </c>
      <c r="DI96" s="270">
        <f t="shared" si="563"/>
        <v>0</v>
      </c>
      <c r="DJ96" s="270">
        <f t="shared" si="563"/>
        <v>0</v>
      </c>
      <c r="DK96" s="270">
        <f t="shared" si="563"/>
        <v>0</v>
      </c>
      <c r="DL96" s="270">
        <f t="shared" si="563"/>
        <v>0</v>
      </c>
      <c r="DM96" s="270">
        <f t="shared" si="563"/>
        <v>0</v>
      </c>
      <c r="DN96" s="270">
        <f t="shared" si="563"/>
        <v>0</v>
      </c>
      <c r="DO96" s="270">
        <f t="shared" si="563"/>
        <v>0</v>
      </c>
      <c r="DP96" s="270">
        <f t="shared" si="563"/>
        <v>0</v>
      </c>
      <c r="DQ96" s="270">
        <f t="shared" si="563"/>
        <v>0</v>
      </c>
      <c r="DR96" s="270">
        <f t="shared" si="563"/>
        <v>0</v>
      </c>
      <c r="DS96" s="270">
        <f t="shared" si="563"/>
        <v>0</v>
      </c>
      <c r="DT96" s="270">
        <f t="shared" si="563"/>
        <v>0</v>
      </c>
      <c r="DU96" s="270">
        <f t="shared" si="563"/>
        <v>0</v>
      </c>
      <c r="DV96" s="270">
        <f t="shared" si="563"/>
        <v>0</v>
      </c>
      <c r="DW96" s="271" t="str">
        <f t="shared" si="563"/>
        <v/>
      </c>
      <c r="DX96" s="270">
        <f t="shared" si="563"/>
        <v>0</v>
      </c>
      <c r="DY96" s="270">
        <f t="shared" si="29"/>
        <v>1467.13</v>
      </c>
      <c r="DZ96" s="274"/>
      <c r="EA96" s="275">
        <f t="shared" si="38"/>
        <v>0</v>
      </c>
      <c r="EB96" s="270">
        <f t="shared" ref="EB96:FC96" si="564">IF(AJ94&lt;=0,0,IF($C95&lt;=SUM($EA96:EA96),0,IF(CU95+$C95-SUM($EA96:EA96)&gt;AJ94+BO95,AJ94+BO95-CU95,$C95-SUM($EA96:EA96))))</f>
        <v>0</v>
      </c>
      <c r="EC96" s="270">
        <f t="shared" si="564"/>
        <v>0</v>
      </c>
      <c r="ED96" s="270">
        <f t="shared" si="564"/>
        <v>0</v>
      </c>
      <c r="EE96" s="270">
        <f t="shared" si="564"/>
        <v>0</v>
      </c>
      <c r="EF96" s="270">
        <f t="shared" si="564"/>
        <v>0</v>
      </c>
      <c r="EG96" s="270">
        <f t="shared" si="564"/>
        <v>0</v>
      </c>
      <c r="EH96" s="270">
        <f t="shared" si="564"/>
        <v>0</v>
      </c>
      <c r="EI96" s="270">
        <f t="shared" si="564"/>
        <v>0</v>
      </c>
      <c r="EJ96" s="270">
        <f t="shared" si="564"/>
        <v>0</v>
      </c>
      <c r="EK96" s="270">
        <f t="shared" si="564"/>
        <v>0</v>
      </c>
      <c r="EL96" s="270">
        <f t="shared" si="564"/>
        <v>0</v>
      </c>
      <c r="EM96" s="270">
        <f t="shared" si="564"/>
        <v>2394.87</v>
      </c>
      <c r="EN96" s="270">
        <f t="shared" si="564"/>
        <v>0</v>
      </c>
      <c r="EO96" s="270">
        <f t="shared" si="564"/>
        <v>0</v>
      </c>
      <c r="EP96" s="270">
        <f t="shared" si="564"/>
        <v>0</v>
      </c>
      <c r="EQ96" s="270">
        <f t="shared" si="564"/>
        <v>0</v>
      </c>
      <c r="ER96" s="270">
        <f t="shared" si="564"/>
        <v>0</v>
      </c>
      <c r="ES96" s="270">
        <f t="shared" si="564"/>
        <v>0</v>
      </c>
      <c r="ET96" s="270">
        <f t="shared" si="564"/>
        <v>0</v>
      </c>
      <c r="EU96" s="270">
        <f t="shared" si="564"/>
        <v>0</v>
      </c>
      <c r="EV96" s="270">
        <f t="shared" si="564"/>
        <v>0</v>
      </c>
      <c r="EW96" s="270">
        <f t="shared" si="564"/>
        <v>0</v>
      </c>
      <c r="EX96" s="270">
        <f t="shared" si="564"/>
        <v>0</v>
      </c>
      <c r="EY96" s="270">
        <f t="shared" si="564"/>
        <v>0</v>
      </c>
      <c r="EZ96" s="270">
        <f t="shared" si="564"/>
        <v>0</v>
      </c>
      <c r="FA96" s="270">
        <f t="shared" si="564"/>
        <v>0</v>
      </c>
      <c r="FB96" s="270">
        <f t="shared" si="564"/>
        <v>0</v>
      </c>
      <c r="FC96" s="270">
        <f t="shared" si="564"/>
        <v>0</v>
      </c>
      <c r="FD96" s="271"/>
      <c r="FE96" s="271"/>
      <c r="FF96" s="271"/>
      <c r="FG96" s="215"/>
      <c r="FH96" s="215"/>
    </row>
    <row r="97" ht="11.25" customHeight="1">
      <c r="A97" s="231">
        <f t="shared" si="19"/>
        <v>77</v>
      </c>
      <c r="B97" s="269">
        <v>47969.0</v>
      </c>
      <c r="C97" s="270">
        <f>IF(A97="","",IF(Calculator!snowball,IF(($E$5-DY97)&lt;0,0,$E$5-DY97),0)+D97)</f>
        <v>2394.87</v>
      </c>
      <c r="D97" s="277"/>
      <c r="E97" s="270">
        <f t="shared" si="40"/>
        <v>0</v>
      </c>
      <c r="F97" s="270">
        <f t="shared" ref="F97:AG97" si="565">CU97+EB98</f>
        <v>0</v>
      </c>
      <c r="G97" s="270">
        <f t="shared" si="565"/>
        <v>0</v>
      </c>
      <c r="H97" s="270">
        <f t="shared" si="565"/>
        <v>0</v>
      </c>
      <c r="I97" s="270">
        <f t="shared" si="565"/>
        <v>0</v>
      </c>
      <c r="J97" s="270">
        <f t="shared" si="565"/>
        <v>0</v>
      </c>
      <c r="K97" s="270">
        <f t="shared" si="565"/>
        <v>0</v>
      </c>
      <c r="L97" s="270">
        <f t="shared" si="565"/>
        <v>0</v>
      </c>
      <c r="M97" s="270">
        <f t="shared" si="565"/>
        <v>0</v>
      </c>
      <c r="N97" s="270">
        <f t="shared" si="565"/>
        <v>0</v>
      </c>
      <c r="O97" s="270">
        <f t="shared" si="565"/>
        <v>0</v>
      </c>
      <c r="P97" s="272">
        <f t="shared" si="565"/>
        <v>0</v>
      </c>
      <c r="Q97" s="272">
        <f t="shared" si="565"/>
        <v>3862</v>
      </c>
      <c r="R97" s="272">
        <f t="shared" si="565"/>
        <v>0</v>
      </c>
      <c r="S97" s="272">
        <f t="shared" si="565"/>
        <v>0</v>
      </c>
      <c r="T97" s="272">
        <f t="shared" si="565"/>
        <v>0</v>
      </c>
      <c r="U97" s="270">
        <f t="shared" si="565"/>
        <v>0</v>
      </c>
      <c r="V97" s="270">
        <f t="shared" si="565"/>
        <v>0</v>
      </c>
      <c r="W97" s="270">
        <f t="shared" si="565"/>
        <v>0</v>
      </c>
      <c r="X97" s="270">
        <f t="shared" si="565"/>
        <v>0</v>
      </c>
      <c r="Y97" s="270">
        <f t="shared" si="565"/>
        <v>0</v>
      </c>
      <c r="Z97" s="270">
        <f t="shared" si="565"/>
        <v>0</v>
      </c>
      <c r="AA97" s="270">
        <f t="shared" si="565"/>
        <v>0</v>
      </c>
      <c r="AB97" s="270">
        <f t="shared" si="565"/>
        <v>0</v>
      </c>
      <c r="AC97" s="270">
        <f t="shared" si="565"/>
        <v>0</v>
      </c>
      <c r="AD97" s="270">
        <f t="shared" si="565"/>
        <v>0</v>
      </c>
      <c r="AE97" s="270">
        <f t="shared" si="565"/>
        <v>0</v>
      </c>
      <c r="AF97" s="270">
        <f t="shared" si="565"/>
        <v>0</v>
      </c>
      <c r="AG97" s="270">
        <f t="shared" si="565"/>
        <v>0</v>
      </c>
      <c r="AH97" s="265">
        <f t="shared" si="13"/>
        <v>67371.93</v>
      </c>
      <c r="AI97" s="270">
        <f t="shared" si="43"/>
        <v>0</v>
      </c>
      <c r="AJ97" s="270">
        <f t="shared" ref="AJ97:AO97" si="566">IF(F$8=0,0,ROUND(AJ96-(F97-BO97),2))</f>
        <v>0</v>
      </c>
      <c r="AK97" s="270">
        <f t="shared" si="566"/>
        <v>0</v>
      </c>
      <c r="AL97" s="270">
        <f t="shared" si="566"/>
        <v>0</v>
      </c>
      <c r="AM97" s="270">
        <f t="shared" si="566"/>
        <v>0</v>
      </c>
      <c r="AN97" s="270">
        <f t="shared" si="566"/>
        <v>0</v>
      </c>
      <c r="AO97" s="270">
        <f t="shared" si="566"/>
        <v>0</v>
      </c>
      <c r="AP97" s="270">
        <v>0.0</v>
      </c>
      <c r="AQ97" s="270">
        <f t="shared" ref="AQ97:AS97" si="567">IF(M$8=0,0,ROUND(AQ96-(M97-BV97),2))</f>
        <v>0</v>
      </c>
      <c r="AR97" s="270">
        <f t="shared" si="567"/>
        <v>0</v>
      </c>
      <c r="AS97" s="270">
        <f t="shared" si="567"/>
        <v>0</v>
      </c>
      <c r="AT97" s="270">
        <f t="shared" ref="AT97:BK97" si="568">IF(P$8=0,0,ROUND(AT96-(P97-BX97),2))</f>
        <v>-6.22</v>
      </c>
      <c r="AU97" s="270">
        <f t="shared" si="568"/>
        <v>67378.15</v>
      </c>
      <c r="AV97" s="270">
        <f t="shared" si="568"/>
        <v>0</v>
      </c>
      <c r="AW97" s="270">
        <f t="shared" si="568"/>
        <v>0</v>
      </c>
      <c r="AX97" s="270">
        <f t="shared" si="568"/>
        <v>0</v>
      </c>
      <c r="AY97" s="270">
        <f t="shared" si="568"/>
        <v>0</v>
      </c>
      <c r="AZ97" s="270">
        <f t="shared" si="568"/>
        <v>0</v>
      </c>
      <c r="BA97" s="270">
        <f t="shared" si="568"/>
        <v>0</v>
      </c>
      <c r="BB97" s="270">
        <f t="shared" si="568"/>
        <v>0</v>
      </c>
      <c r="BC97" s="270">
        <f t="shared" si="568"/>
        <v>0</v>
      </c>
      <c r="BD97" s="270">
        <f t="shared" si="568"/>
        <v>0</v>
      </c>
      <c r="BE97" s="270">
        <f t="shared" si="568"/>
        <v>0</v>
      </c>
      <c r="BF97" s="270">
        <f t="shared" si="568"/>
        <v>0</v>
      </c>
      <c r="BG97" s="270">
        <f t="shared" si="568"/>
        <v>0</v>
      </c>
      <c r="BH97" s="270">
        <f t="shared" si="568"/>
        <v>0</v>
      </c>
      <c r="BI97" s="270">
        <f t="shared" si="568"/>
        <v>0</v>
      </c>
      <c r="BJ97" s="270">
        <f t="shared" si="568"/>
        <v>0</v>
      </c>
      <c r="BK97" s="270">
        <f t="shared" si="568"/>
        <v>0</v>
      </c>
      <c r="BL97" s="265">
        <f t="shared" si="16"/>
        <v>67371.93</v>
      </c>
      <c r="BM97" s="215"/>
      <c r="BN97" s="270">
        <f t="shared" ref="BN97:CP97" si="569">ROUND(AI96*E$9/12,2)</f>
        <v>0</v>
      </c>
      <c r="BO97" s="270">
        <f t="shared" si="569"/>
        <v>0</v>
      </c>
      <c r="BP97" s="270">
        <f t="shared" si="569"/>
        <v>0</v>
      </c>
      <c r="BQ97" s="270">
        <f t="shared" si="569"/>
        <v>0</v>
      </c>
      <c r="BR97" s="270">
        <f t="shared" si="569"/>
        <v>0</v>
      </c>
      <c r="BS97" s="270">
        <f t="shared" si="569"/>
        <v>0</v>
      </c>
      <c r="BT97" s="270">
        <f t="shared" si="569"/>
        <v>0</v>
      </c>
      <c r="BU97" s="270">
        <f t="shared" si="569"/>
        <v>0</v>
      </c>
      <c r="BV97" s="270">
        <f t="shared" si="569"/>
        <v>0</v>
      </c>
      <c r="BW97" s="270">
        <f t="shared" si="569"/>
        <v>0</v>
      </c>
      <c r="BX97" s="270">
        <f t="shared" si="569"/>
        <v>0</v>
      </c>
      <c r="BY97" s="270">
        <f t="shared" si="569"/>
        <v>-0.05</v>
      </c>
      <c r="BZ97" s="270">
        <f t="shared" si="569"/>
        <v>222.63</v>
      </c>
      <c r="CA97" s="270">
        <f t="shared" si="569"/>
        <v>0</v>
      </c>
      <c r="CB97" s="270">
        <f t="shared" si="569"/>
        <v>0</v>
      </c>
      <c r="CC97" s="270">
        <f t="shared" si="569"/>
        <v>0</v>
      </c>
      <c r="CD97" s="270">
        <f t="shared" si="569"/>
        <v>0</v>
      </c>
      <c r="CE97" s="270">
        <f t="shared" si="569"/>
        <v>0</v>
      </c>
      <c r="CF97" s="270">
        <f t="shared" si="569"/>
        <v>0</v>
      </c>
      <c r="CG97" s="270">
        <f t="shared" si="569"/>
        <v>0</v>
      </c>
      <c r="CH97" s="270">
        <f t="shared" si="569"/>
        <v>0</v>
      </c>
      <c r="CI97" s="270">
        <f t="shared" si="569"/>
        <v>0</v>
      </c>
      <c r="CJ97" s="270">
        <f t="shared" si="569"/>
        <v>0</v>
      </c>
      <c r="CK97" s="270">
        <f t="shared" si="569"/>
        <v>0</v>
      </c>
      <c r="CL97" s="270">
        <f t="shared" si="569"/>
        <v>0</v>
      </c>
      <c r="CM97" s="270">
        <f t="shared" si="569"/>
        <v>0</v>
      </c>
      <c r="CN97" s="270">
        <f t="shared" si="569"/>
        <v>0</v>
      </c>
      <c r="CO97" s="270">
        <f t="shared" si="569"/>
        <v>0</v>
      </c>
      <c r="CP97" s="270">
        <f t="shared" si="569"/>
        <v>0</v>
      </c>
      <c r="CQ97" s="215"/>
      <c r="CR97" s="270">
        <f t="shared" si="27"/>
        <v>222.58</v>
      </c>
      <c r="CS97" s="215"/>
      <c r="CT97" s="270">
        <f t="shared" ref="CT97:DX97" si="570">IF(AI96&gt;0,IF((AI96+BN97)&lt;E$10,AI96+BN97,E$10),0)</f>
        <v>0</v>
      </c>
      <c r="CU97" s="270">
        <f t="shared" si="570"/>
        <v>0</v>
      </c>
      <c r="CV97" s="270">
        <f t="shared" si="570"/>
        <v>0</v>
      </c>
      <c r="CW97" s="270">
        <f t="shared" si="570"/>
        <v>0</v>
      </c>
      <c r="CX97" s="270">
        <f t="shared" si="570"/>
        <v>0</v>
      </c>
      <c r="CY97" s="270">
        <f t="shared" si="570"/>
        <v>0</v>
      </c>
      <c r="CZ97" s="270">
        <f t="shared" si="570"/>
        <v>0</v>
      </c>
      <c r="DA97" s="270">
        <f t="shared" si="570"/>
        <v>0</v>
      </c>
      <c r="DB97" s="270">
        <f t="shared" si="570"/>
        <v>0</v>
      </c>
      <c r="DC97" s="270">
        <f t="shared" si="570"/>
        <v>0</v>
      </c>
      <c r="DD97" s="270">
        <f t="shared" si="570"/>
        <v>0</v>
      </c>
      <c r="DE97" s="270">
        <f t="shared" si="570"/>
        <v>0</v>
      </c>
      <c r="DF97" s="270">
        <f t="shared" si="570"/>
        <v>1467.13</v>
      </c>
      <c r="DG97" s="270">
        <f t="shared" si="570"/>
        <v>0</v>
      </c>
      <c r="DH97" s="270">
        <f t="shared" si="570"/>
        <v>0</v>
      </c>
      <c r="DI97" s="270">
        <f t="shared" si="570"/>
        <v>0</v>
      </c>
      <c r="DJ97" s="270">
        <f t="shared" si="570"/>
        <v>0</v>
      </c>
      <c r="DK97" s="270">
        <f t="shared" si="570"/>
        <v>0</v>
      </c>
      <c r="DL97" s="270">
        <f t="shared" si="570"/>
        <v>0</v>
      </c>
      <c r="DM97" s="270">
        <f t="shared" si="570"/>
        <v>0</v>
      </c>
      <c r="DN97" s="270">
        <f t="shared" si="570"/>
        <v>0</v>
      </c>
      <c r="DO97" s="270">
        <f t="shared" si="570"/>
        <v>0</v>
      </c>
      <c r="DP97" s="270">
        <f t="shared" si="570"/>
        <v>0</v>
      </c>
      <c r="DQ97" s="270">
        <f t="shared" si="570"/>
        <v>0</v>
      </c>
      <c r="DR97" s="270">
        <f t="shared" si="570"/>
        <v>0</v>
      </c>
      <c r="DS97" s="270">
        <f t="shared" si="570"/>
        <v>0</v>
      </c>
      <c r="DT97" s="270">
        <f t="shared" si="570"/>
        <v>0</v>
      </c>
      <c r="DU97" s="270">
        <f t="shared" si="570"/>
        <v>0</v>
      </c>
      <c r="DV97" s="270">
        <f t="shared" si="570"/>
        <v>0</v>
      </c>
      <c r="DW97" s="271" t="str">
        <f t="shared" si="570"/>
        <v/>
      </c>
      <c r="DX97" s="270">
        <f t="shared" si="570"/>
        <v>0</v>
      </c>
      <c r="DY97" s="270">
        <f t="shared" si="29"/>
        <v>1467.13</v>
      </c>
      <c r="DZ97" s="274"/>
      <c r="EA97" s="275">
        <f t="shared" si="38"/>
        <v>0</v>
      </c>
      <c r="EB97" s="270">
        <f t="shared" ref="EB97:FC97" si="571">IF(AJ95&lt;=0,0,IF($C96&lt;=SUM($EA97:EA97),0,IF(CU96+$C96-SUM($EA97:EA97)&gt;AJ95+BO96,AJ95+BO96-CU96,$C96-SUM($EA97:EA97))))</f>
        <v>0</v>
      </c>
      <c r="EC97" s="270">
        <f t="shared" si="571"/>
        <v>0</v>
      </c>
      <c r="ED97" s="270">
        <f t="shared" si="571"/>
        <v>0</v>
      </c>
      <c r="EE97" s="270">
        <f t="shared" si="571"/>
        <v>0</v>
      </c>
      <c r="EF97" s="270">
        <f t="shared" si="571"/>
        <v>0</v>
      </c>
      <c r="EG97" s="270">
        <f t="shared" si="571"/>
        <v>0</v>
      </c>
      <c r="EH97" s="270">
        <f t="shared" si="571"/>
        <v>0</v>
      </c>
      <c r="EI97" s="270">
        <f t="shared" si="571"/>
        <v>0</v>
      </c>
      <c r="EJ97" s="270">
        <f t="shared" si="571"/>
        <v>0</v>
      </c>
      <c r="EK97" s="270">
        <f t="shared" si="571"/>
        <v>0</v>
      </c>
      <c r="EL97" s="270">
        <f t="shared" si="571"/>
        <v>0</v>
      </c>
      <c r="EM97" s="270">
        <f t="shared" si="571"/>
        <v>2394.87</v>
      </c>
      <c r="EN97" s="270">
        <f t="shared" si="571"/>
        <v>0</v>
      </c>
      <c r="EO97" s="270">
        <f t="shared" si="571"/>
        <v>0</v>
      </c>
      <c r="EP97" s="270">
        <f t="shared" si="571"/>
        <v>0</v>
      </c>
      <c r="EQ97" s="270">
        <f t="shared" si="571"/>
        <v>0</v>
      </c>
      <c r="ER97" s="270">
        <f t="shared" si="571"/>
        <v>0</v>
      </c>
      <c r="ES97" s="270">
        <f t="shared" si="571"/>
        <v>0</v>
      </c>
      <c r="ET97" s="270">
        <f t="shared" si="571"/>
        <v>0</v>
      </c>
      <c r="EU97" s="270">
        <f t="shared" si="571"/>
        <v>0</v>
      </c>
      <c r="EV97" s="270">
        <f t="shared" si="571"/>
        <v>0</v>
      </c>
      <c r="EW97" s="270">
        <f t="shared" si="571"/>
        <v>0</v>
      </c>
      <c r="EX97" s="270">
        <f t="shared" si="571"/>
        <v>0</v>
      </c>
      <c r="EY97" s="270">
        <f t="shared" si="571"/>
        <v>0</v>
      </c>
      <c r="EZ97" s="270">
        <f t="shared" si="571"/>
        <v>0</v>
      </c>
      <c r="FA97" s="270">
        <f t="shared" si="571"/>
        <v>0</v>
      </c>
      <c r="FB97" s="270">
        <f t="shared" si="571"/>
        <v>0</v>
      </c>
      <c r="FC97" s="270">
        <f t="shared" si="571"/>
        <v>0</v>
      </c>
      <c r="FD97" s="271"/>
      <c r="FE97" s="271"/>
      <c r="FF97" s="271"/>
      <c r="FG97" s="215"/>
      <c r="FH97" s="215"/>
    </row>
    <row r="98" ht="11.25" customHeight="1">
      <c r="A98" s="231">
        <f t="shared" si="19"/>
        <v>78</v>
      </c>
      <c r="B98" s="269">
        <v>48000.0</v>
      </c>
      <c r="C98" s="270">
        <f>IF(A98="","",IF(Calculator!snowball,IF(($E$5-DY98)&lt;0,0,$E$5-DY98),0)+D98)</f>
        <v>2394.87</v>
      </c>
      <c r="D98" s="277"/>
      <c r="E98" s="270">
        <f t="shared" si="40"/>
        <v>0</v>
      </c>
      <c r="F98" s="270">
        <f t="shared" ref="F98:AG98" si="572">CU98+EB99</f>
        <v>0</v>
      </c>
      <c r="G98" s="270">
        <f t="shared" si="572"/>
        <v>0</v>
      </c>
      <c r="H98" s="270">
        <f t="shared" si="572"/>
        <v>0</v>
      </c>
      <c r="I98" s="270">
        <f t="shared" si="572"/>
        <v>0</v>
      </c>
      <c r="J98" s="270">
        <f t="shared" si="572"/>
        <v>0</v>
      </c>
      <c r="K98" s="270">
        <f t="shared" si="572"/>
        <v>0</v>
      </c>
      <c r="L98" s="270">
        <f t="shared" si="572"/>
        <v>0</v>
      </c>
      <c r="M98" s="270">
        <f t="shared" si="572"/>
        <v>0</v>
      </c>
      <c r="N98" s="270">
        <f t="shared" si="572"/>
        <v>0</v>
      </c>
      <c r="O98" s="270">
        <f t="shared" si="572"/>
        <v>0</v>
      </c>
      <c r="P98" s="272">
        <f t="shared" si="572"/>
        <v>0</v>
      </c>
      <c r="Q98" s="272">
        <f t="shared" si="572"/>
        <v>3862</v>
      </c>
      <c r="R98" s="272">
        <f t="shared" si="572"/>
        <v>0</v>
      </c>
      <c r="S98" s="272">
        <f t="shared" si="572"/>
        <v>0</v>
      </c>
      <c r="T98" s="272">
        <f t="shared" si="572"/>
        <v>0</v>
      </c>
      <c r="U98" s="270">
        <f t="shared" si="572"/>
        <v>0</v>
      </c>
      <c r="V98" s="270">
        <f t="shared" si="572"/>
        <v>0</v>
      </c>
      <c r="W98" s="270">
        <f t="shared" si="572"/>
        <v>0</v>
      </c>
      <c r="X98" s="270">
        <f t="shared" si="572"/>
        <v>0</v>
      </c>
      <c r="Y98" s="270">
        <f t="shared" si="572"/>
        <v>0</v>
      </c>
      <c r="Z98" s="270">
        <f t="shared" si="572"/>
        <v>0</v>
      </c>
      <c r="AA98" s="270">
        <f t="shared" si="572"/>
        <v>0</v>
      </c>
      <c r="AB98" s="270">
        <f t="shared" si="572"/>
        <v>0</v>
      </c>
      <c r="AC98" s="270">
        <f t="shared" si="572"/>
        <v>0</v>
      </c>
      <c r="AD98" s="270">
        <f t="shared" si="572"/>
        <v>0</v>
      </c>
      <c r="AE98" s="270">
        <f t="shared" si="572"/>
        <v>0</v>
      </c>
      <c r="AF98" s="270">
        <f t="shared" si="572"/>
        <v>0</v>
      </c>
      <c r="AG98" s="270">
        <f t="shared" si="572"/>
        <v>0</v>
      </c>
      <c r="AH98" s="265">
        <f t="shared" si="13"/>
        <v>63509.88</v>
      </c>
      <c r="AI98" s="270">
        <f t="shared" si="43"/>
        <v>0</v>
      </c>
      <c r="AJ98" s="270">
        <f t="shared" ref="AJ98:AO98" si="573">IF(F$8=0,0,ROUND(AJ97-(F98-BO98),2))</f>
        <v>0</v>
      </c>
      <c r="AK98" s="270">
        <f t="shared" si="573"/>
        <v>0</v>
      </c>
      <c r="AL98" s="270">
        <f t="shared" si="573"/>
        <v>0</v>
      </c>
      <c r="AM98" s="270">
        <f t="shared" si="573"/>
        <v>0</v>
      </c>
      <c r="AN98" s="270">
        <f t="shared" si="573"/>
        <v>0</v>
      </c>
      <c r="AO98" s="270">
        <f t="shared" si="573"/>
        <v>0</v>
      </c>
      <c r="AP98" s="270">
        <v>0.0</v>
      </c>
      <c r="AQ98" s="270">
        <f t="shared" ref="AQ98:AS98" si="574">IF(M$8=0,0,ROUND(AQ97-(M98-BV98),2))</f>
        <v>0</v>
      </c>
      <c r="AR98" s="270">
        <f t="shared" si="574"/>
        <v>0</v>
      </c>
      <c r="AS98" s="270">
        <f t="shared" si="574"/>
        <v>0</v>
      </c>
      <c r="AT98" s="270">
        <f t="shared" ref="AT98:BK98" si="575">IF(P$8=0,0,ROUND(AT97-(P98-BX98),2))</f>
        <v>-6.22</v>
      </c>
      <c r="AU98" s="270">
        <f t="shared" si="575"/>
        <v>63516.1</v>
      </c>
      <c r="AV98" s="270">
        <f t="shared" si="575"/>
        <v>0</v>
      </c>
      <c r="AW98" s="270">
        <f t="shared" si="575"/>
        <v>0</v>
      </c>
      <c r="AX98" s="270">
        <f t="shared" si="575"/>
        <v>0</v>
      </c>
      <c r="AY98" s="270">
        <f t="shared" si="575"/>
        <v>0</v>
      </c>
      <c r="AZ98" s="270">
        <f t="shared" si="575"/>
        <v>0</v>
      </c>
      <c r="BA98" s="270">
        <f t="shared" si="575"/>
        <v>0</v>
      </c>
      <c r="BB98" s="270">
        <f t="shared" si="575"/>
        <v>0</v>
      </c>
      <c r="BC98" s="270">
        <f t="shared" si="575"/>
        <v>0</v>
      </c>
      <c r="BD98" s="270">
        <f t="shared" si="575"/>
        <v>0</v>
      </c>
      <c r="BE98" s="270">
        <f t="shared" si="575"/>
        <v>0</v>
      </c>
      <c r="BF98" s="270">
        <f t="shared" si="575"/>
        <v>0</v>
      </c>
      <c r="BG98" s="270">
        <f t="shared" si="575"/>
        <v>0</v>
      </c>
      <c r="BH98" s="270">
        <f t="shared" si="575"/>
        <v>0</v>
      </c>
      <c r="BI98" s="270">
        <f t="shared" si="575"/>
        <v>0</v>
      </c>
      <c r="BJ98" s="270">
        <f t="shared" si="575"/>
        <v>0</v>
      </c>
      <c r="BK98" s="270">
        <f t="shared" si="575"/>
        <v>0</v>
      </c>
      <c r="BL98" s="265">
        <f t="shared" si="16"/>
        <v>63509.88</v>
      </c>
      <c r="BM98" s="215"/>
      <c r="BN98" s="270">
        <f t="shared" ref="BN98:CP98" si="576">ROUND(AI97*E$9/12,2)</f>
        <v>0</v>
      </c>
      <c r="BO98" s="270">
        <f t="shared" si="576"/>
        <v>0</v>
      </c>
      <c r="BP98" s="270">
        <f t="shared" si="576"/>
        <v>0</v>
      </c>
      <c r="BQ98" s="270">
        <f t="shared" si="576"/>
        <v>0</v>
      </c>
      <c r="BR98" s="270">
        <f t="shared" si="576"/>
        <v>0</v>
      </c>
      <c r="BS98" s="270">
        <f t="shared" si="576"/>
        <v>0</v>
      </c>
      <c r="BT98" s="270">
        <f t="shared" si="576"/>
        <v>0</v>
      </c>
      <c r="BU98" s="270">
        <f t="shared" si="576"/>
        <v>0</v>
      </c>
      <c r="BV98" s="270">
        <f t="shared" si="576"/>
        <v>0</v>
      </c>
      <c r="BW98" s="270">
        <f t="shared" si="576"/>
        <v>0</v>
      </c>
      <c r="BX98" s="270">
        <f t="shared" si="576"/>
        <v>0</v>
      </c>
      <c r="BY98" s="270">
        <f t="shared" si="576"/>
        <v>-0.05</v>
      </c>
      <c r="BZ98" s="270">
        <f t="shared" si="576"/>
        <v>210.56</v>
      </c>
      <c r="CA98" s="270">
        <f t="shared" si="576"/>
        <v>0</v>
      </c>
      <c r="CB98" s="270">
        <f t="shared" si="576"/>
        <v>0</v>
      </c>
      <c r="CC98" s="270">
        <f t="shared" si="576"/>
        <v>0</v>
      </c>
      <c r="CD98" s="270">
        <f t="shared" si="576"/>
        <v>0</v>
      </c>
      <c r="CE98" s="270">
        <f t="shared" si="576"/>
        <v>0</v>
      </c>
      <c r="CF98" s="270">
        <f t="shared" si="576"/>
        <v>0</v>
      </c>
      <c r="CG98" s="270">
        <f t="shared" si="576"/>
        <v>0</v>
      </c>
      <c r="CH98" s="270">
        <f t="shared" si="576"/>
        <v>0</v>
      </c>
      <c r="CI98" s="270">
        <f t="shared" si="576"/>
        <v>0</v>
      </c>
      <c r="CJ98" s="270">
        <f t="shared" si="576"/>
        <v>0</v>
      </c>
      <c r="CK98" s="270">
        <f t="shared" si="576"/>
        <v>0</v>
      </c>
      <c r="CL98" s="270">
        <f t="shared" si="576"/>
        <v>0</v>
      </c>
      <c r="CM98" s="270">
        <f t="shared" si="576"/>
        <v>0</v>
      </c>
      <c r="CN98" s="270">
        <f t="shared" si="576"/>
        <v>0</v>
      </c>
      <c r="CO98" s="270">
        <f t="shared" si="576"/>
        <v>0</v>
      </c>
      <c r="CP98" s="270">
        <f t="shared" si="576"/>
        <v>0</v>
      </c>
      <c r="CQ98" s="215"/>
      <c r="CR98" s="270">
        <f t="shared" si="27"/>
        <v>210.51</v>
      </c>
      <c r="CS98" s="215"/>
      <c r="CT98" s="270">
        <f t="shared" ref="CT98:DX98" si="577">IF(AI97&gt;0,IF((AI97+BN98)&lt;E$10,AI97+BN98,E$10),0)</f>
        <v>0</v>
      </c>
      <c r="CU98" s="270">
        <f t="shared" si="577"/>
        <v>0</v>
      </c>
      <c r="CV98" s="270">
        <f t="shared" si="577"/>
        <v>0</v>
      </c>
      <c r="CW98" s="270">
        <f t="shared" si="577"/>
        <v>0</v>
      </c>
      <c r="CX98" s="270">
        <f t="shared" si="577"/>
        <v>0</v>
      </c>
      <c r="CY98" s="270">
        <f t="shared" si="577"/>
        <v>0</v>
      </c>
      <c r="CZ98" s="270">
        <f t="shared" si="577"/>
        <v>0</v>
      </c>
      <c r="DA98" s="270">
        <f t="shared" si="577"/>
        <v>0</v>
      </c>
      <c r="DB98" s="270">
        <f t="shared" si="577"/>
        <v>0</v>
      </c>
      <c r="DC98" s="270">
        <f t="shared" si="577"/>
        <v>0</v>
      </c>
      <c r="DD98" s="270">
        <f t="shared" si="577"/>
        <v>0</v>
      </c>
      <c r="DE98" s="270">
        <f t="shared" si="577"/>
        <v>0</v>
      </c>
      <c r="DF98" s="270">
        <f t="shared" si="577"/>
        <v>1467.13</v>
      </c>
      <c r="DG98" s="270">
        <f t="shared" si="577"/>
        <v>0</v>
      </c>
      <c r="DH98" s="270">
        <f t="shared" si="577"/>
        <v>0</v>
      </c>
      <c r="DI98" s="270">
        <f t="shared" si="577"/>
        <v>0</v>
      </c>
      <c r="DJ98" s="270">
        <f t="shared" si="577"/>
        <v>0</v>
      </c>
      <c r="DK98" s="270">
        <f t="shared" si="577"/>
        <v>0</v>
      </c>
      <c r="DL98" s="270">
        <f t="shared" si="577"/>
        <v>0</v>
      </c>
      <c r="DM98" s="270">
        <f t="shared" si="577"/>
        <v>0</v>
      </c>
      <c r="DN98" s="270">
        <f t="shared" si="577"/>
        <v>0</v>
      </c>
      <c r="DO98" s="270">
        <f t="shared" si="577"/>
        <v>0</v>
      </c>
      <c r="DP98" s="270">
        <f t="shared" si="577"/>
        <v>0</v>
      </c>
      <c r="DQ98" s="270">
        <f t="shared" si="577"/>
        <v>0</v>
      </c>
      <c r="DR98" s="270">
        <f t="shared" si="577"/>
        <v>0</v>
      </c>
      <c r="DS98" s="270">
        <f t="shared" si="577"/>
        <v>0</v>
      </c>
      <c r="DT98" s="270">
        <f t="shared" si="577"/>
        <v>0</v>
      </c>
      <c r="DU98" s="270">
        <f t="shared" si="577"/>
        <v>0</v>
      </c>
      <c r="DV98" s="270">
        <f t="shared" si="577"/>
        <v>0</v>
      </c>
      <c r="DW98" s="271" t="str">
        <f t="shared" si="577"/>
        <v/>
      </c>
      <c r="DX98" s="270">
        <f t="shared" si="577"/>
        <v>0</v>
      </c>
      <c r="DY98" s="270">
        <f t="shared" si="29"/>
        <v>1467.13</v>
      </c>
      <c r="DZ98" s="274"/>
      <c r="EA98" s="275">
        <f t="shared" si="38"/>
        <v>0</v>
      </c>
      <c r="EB98" s="270">
        <f t="shared" ref="EB98:FC98" si="578">IF(AJ96&lt;=0,0,IF($C97&lt;=SUM($EA98:EA98),0,IF(CU97+$C97-SUM($EA98:EA98)&gt;AJ96+BO97,AJ96+BO97-CU97,$C97-SUM($EA98:EA98))))</f>
        <v>0</v>
      </c>
      <c r="EC98" s="270">
        <f t="shared" si="578"/>
        <v>0</v>
      </c>
      <c r="ED98" s="270">
        <f t="shared" si="578"/>
        <v>0</v>
      </c>
      <c r="EE98" s="270">
        <f t="shared" si="578"/>
        <v>0</v>
      </c>
      <c r="EF98" s="270">
        <f t="shared" si="578"/>
        <v>0</v>
      </c>
      <c r="EG98" s="270">
        <f t="shared" si="578"/>
        <v>0</v>
      </c>
      <c r="EH98" s="270">
        <f t="shared" si="578"/>
        <v>0</v>
      </c>
      <c r="EI98" s="270">
        <f t="shared" si="578"/>
        <v>0</v>
      </c>
      <c r="EJ98" s="270">
        <f t="shared" si="578"/>
        <v>0</v>
      </c>
      <c r="EK98" s="270">
        <f t="shared" si="578"/>
        <v>0</v>
      </c>
      <c r="EL98" s="270">
        <f t="shared" si="578"/>
        <v>0</v>
      </c>
      <c r="EM98" s="270">
        <f t="shared" si="578"/>
        <v>2394.87</v>
      </c>
      <c r="EN98" s="270">
        <f t="shared" si="578"/>
        <v>0</v>
      </c>
      <c r="EO98" s="270">
        <f t="shared" si="578"/>
        <v>0</v>
      </c>
      <c r="EP98" s="270">
        <f t="shared" si="578"/>
        <v>0</v>
      </c>
      <c r="EQ98" s="270">
        <f t="shared" si="578"/>
        <v>0</v>
      </c>
      <c r="ER98" s="270">
        <f t="shared" si="578"/>
        <v>0</v>
      </c>
      <c r="ES98" s="270">
        <f t="shared" si="578"/>
        <v>0</v>
      </c>
      <c r="ET98" s="270">
        <f t="shared" si="578"/>
        <v>0</v>
      </c>
      <c r="EU98" s="270">
        <f t="shared" si="578"/>
        <v>0</v>
      </c>
      <c r="EV98" s="270">
        <f t="shared" si="578"/>
        <v>0</v>
      </c>
      <c r="EW98" s="270">
        <f t="shared" si="578"/>
        <v>0</v>
      </c>
      <c r="EX98" s="270">
        <f t="shared" si="578"/>
        <v>0</v>
      </c>
      <c r="EY98" s="270">
        <f t="shared" si="578"/>
        <v>0</v>
      </c>
      <c r="EZ98" s="270">
        <f t="shared" si="578"/>
        <v>0</v>
      </c>
      <c r="FA98" s="270">
        <f t="shared" si="578"/>
        <v>0</v>
      </c>
      <c r="FB98" s="270">
        <f t="shared" si="578"/>
        <v>0</v>
      </c>
      <c r="FC98" s="270">
        <f t="shared" si="578"/>
        <v>0</v>
      </c>
      <c r="FD98" s="271"/>
      <c r="FE98" s="271"/>
      <c r="FF98" s="271"/>
      <c r="FG98" s="215"/>
      <c r="FH98" s="215"/>
    </row>
    <row r="99" ht="11.25" customHeight="1">
      <c r="A99" s="231">
        <f t="shared" si="19"/>
        <v>79</v>
      </c>
      <c r="B99" s="269">
        <v>48030.0</v>
      </c>
      <c r="C99" s="270">
        <f>IF(A99="","",IF(Calculator!snowball,IF(($E$5-DY99)&lt;0,0,$E$5-DY99),0)+D99)</f>
        <v>2394.87</v>
      </c>
      <c r="D99" s="277"/>
      <c r="E99" s="270">
        <f t="shared" si="40"/>
        <v>0</v>
      </c>
      <c r="F99" s="270">
        <f t="shared" ref="F99:AG99" si="579">CU99+EB100</f>
        <v>0</v>
      </c>
      <c r="G99" s="270">
        <f t="shared" si="579"/>
        <v>0</v>
      </c>
      <c r="H99" s="270">
        <f t="shared" si="579"/>
        <v>0</v>
      </c>
      <c r="I99" s="270">
        <f t="shared" si="579"/>
        <v>0</v>
      </c>
      <c r="J99" s="270">
        <f t="shared" si="579"/>
        <v>0</v>
      </c>
      <c r="K99" s="270">
        <f t="shared" si="579"/>
        <v>0</v>
      </c>
      <c r="L99" s="270">
        <f t="shared" si="579"/>
        <v>0</v>
      </c>
      <c r="M99" s="270">
        <f t="shared" si="579"/>
        <v>0</v>
      </c>
      <c r="N99" s="270">
        <f t="shared" si="579"/>
        <v>0</v>
      </c>
      <c r="O99" s="270">
        <f t="shared" si="579"/>
        <v>0</v>
      </c>
      <c r="P99" s="272">
        <f t="shared" si="579"/>
        <v>0</v>
      </c>
      <c r="Q99" s="272">
        <f t="shared" si="579"/>
        <v>3862</v>
      </c>
      <c r="R99" s="272">
        <f t="shared" si="579"/>
        <v>0</v>
      </c>
      <c r="S99" s="272">
        <f t="shared" si="579"/>
        <v>0</v>
      </c>
      <c r="T99" s="272">
        <f t="shared" si="579"/>
        <v>0</v>
      </c>
      <c r="U99" s="270">
        <f t="shared" si="579"/>
        <v>0</v>
      </c>
      <c r="V99" s="270">
        <f t="shared" si="579"/>
        <v>0</v>
      </c>
      <c r="W99" s="270">
        <f t="shared" si="579"/>
        <v>0</v>
      </c>
      <c r="X99" s="270">
        <f t="shared" si="579"/>
        <v>0</v>
      </c>
      <c r="Y99" s="270">
        <f t="shared" si="579"/>
        <v>0</v>
      </c>
      <c r="Z99" s="270">
        <f t="shared" si="579"/>
        <v>0</v>
      </c>
      <c r="AA99" s="270">
        <f t="shared" si="579"/>
        <v>0</v>
      </c>
      <c r="AB99" s="270">
        <f t="shared" si="579"/>
        <v>0</v>
      </c>
      <c r="AC99" s="270">
        <f t="shared" si="579"/>
        <v>0</v>
      </c>
      <c r="AD99" s="270">
        <f t="shared" si="579"/>
        <v>0</v>
      </c>
      <c r="AE99" s="270">
        <f t="shared" si="579"/>
        <v>0</v>
      </c>
      <c r="AF99" s="270">
        <f t="shared" si="579"/>
        <v>0</v>
      </c>
      <c r="AG99" s="270">
        <f t="shared" si="579"/>
        <v>0</v>
      </c>
      <c r="AH99" s="265">
        <f t="shared" si="13"/>
        <v>59647.83</v>
      </c>
      <c r="AI99" s="270">
        <f t="shared" si="43"/>
        <v>0</v>
      </c>
      <c r="AJ99" s="270">
        <f t="shared" ref="AJ99:AO99" si="580">IF(F$8=0,0,ROUND(AJ98-(F99-BO99),2))</f>
        <v>0</v>
      </c>
      <c r="AK99" s="270">
        <f t="shared" si="580"/>
        <v>0</v>
      </c>
      <c r="AL99" s="270">
        <f t="shared" si="580"/>
        <v>0</v>
      </c>
      <c r="AM99" s="270">
        <f t="shared" si="580"/>
        <v>0</v>
      </c>
      <c r="AN99" s="270">
        <f t="shared" si="580"/>
        <v>0</v>
      </c>
      <c r="AO99" s="270">
        <f t="shared" si="580"/>
        <v>0</v>
      </c>
      <c r="AP99" s="270">
        <v>0.0</v>
      </c>
      <c r="AQ99" s="270">
        <f t="shared" ref="AQ99:AS99" si="581">IF(M$8=0,0,ROUND(AQ98-(M99-BV99),2))</f>
        <v>0</v>
      </c>
      <c r="AR99" s="270">
        <f t="shared" si="581"/>
        <v>0</v>
      </c>
      <c r="AS99" s="270">
        <f t="shared" si="581"/>
        <v>0</v>
      </c>
      <c r="AT99" s="270">
        <f t="shared" ref="AT99:BK99" si="582">IF(P$8=0,0,ROUND(AT98-(P99-BX99),2))</f>
        <v>-6.22</v>
      </c>
      <c r="AU99" s="270">
        <f t="shared" si="582"/>
        <v>59654.05</v>
      </c>
      <c r="AV99" s="270">
        <f t="shared" si="582"/>
        <v>0</v>
      </c>
      <c r="AW99" s="270">
        <f t="shared" si="582"/>
        <v>0</v>
      </c>
      <c r="AX99" s="270">
        <f t="shared" si="582"/>
        <v>0</v>
      </c>
      <c r="AY99" s="270">
        <f t="shared" si="582"/>
        <v>0</v>
      </c>
      <c r="AZ99" s="270">
        <f t="shared" si="582"/>
        <v>0</v>
      </c>
      <c r="BA99" s="270">
        <f t="shared" si="582"/>
        <v>0</v>
      </c>
      <c r="BB99" s="270">
        <f t="shared" si="582"/>
        <v>0</v>
      </c>
      <c r="BC99" s="270">
        <f t="shared" si="582"/>
        <v>0</v>
      </c>
      <c r="BD99" s="270">
        <f t="shared" si="582"/>
        <v>0</v>
      </c>
      <c r="BE99" s="270">
        <f t="shared" si="582"/>
        <v>0</v>
      </c>
      <c r="BF99" s="270">
        <f t="shared" si="582"/>
        <v>0</v>
      </c>
      <c r="BG99" s="270">
        <f t="shared" si="582"/>
        <v>0</v>
      </c>
      <c r="BH99" s="270">
        <f t="shared" si="582"/>
        <v>0</v>
      </c>
      <c r="BI99" s="270">
        <f t="shared" si="582"/>
        <v>0</v>
      </c>
      <c r="BJ99" s="270">
        <f t="shared" si="582"/>
        <v>0</v>
      </c>
      <c r="BK99" s="270">
        <f t="shared" si="582"/>
        <v>0</v>
      </c>
      <c r="BL99" s="265">
        <f t="shared" si="16"/>
        <v>59647.83</v>
      </c>
      <c r="BM99" s="215"/>
      <c r="BN99" s="270">
        <f t="shared" ref="BN99:CP99" si="583">ROUND(AI98*E$9/12,2)</f>
        <v>0</v>
      </c>
      <c r="BO99" s="270">
        <f t="shared" si="583"/>
        <v>0</v>
      </c>
      <c r="BP99" s="270">
        <f t="shared" si="583"/>
        <v>0</v>
      </c>
      <c r="BQ99" s="270">
        <f t="shared" si="583"/>
        <v>0</v>
      </c>
      <c r="BR99" s="270">
        <f t="shared" si="583"/>
        <v>0</v>
      </c>
      <c r="BS99" s="270">
        <f t="shared" si="583"/>
        <v>0</v>
      </c>
      <c r="BT99" s="270">
        <f t="shared" si="583"/>
        <v>0</v>
      </c>
      <c r="BU99" s="270">
        <f t="shared" si="583"/>
        <v>0</v>
      </c>
      <c r="BV99" s="270">
        <f t="shared" si="583"/>
        <v>0</v>
      </c>
      <c r="BW99" s="270">
        <f t="shared" si="583"/>
        <v>0</v>
      </c>
      <c r="BX99" s="270">
        <f t="shared" si="583"/>
        <v>0</v>
      </c>
      <c r="BY99" s="270">
        <f t="shared" si="583"/>
        <v>-0.05</v>
      </c>
      <c r="BZ99" s="270">
        <f t="shared" si="583"/>
        <v>198.49</v>
      </c>
      <c r="CA99" s="270">
        <f t="shared" si="583"/>
        <v>0</v>
      </c>
      <c r="CB99" s="270">
        <f t="shared" si="583"/>
        <v>0</v>
      </c>
      <c r="CC99" s="270">
        <f t="shared" si="583"/>
        <v>0</v>
      </c>
      <c r="CD99" s="270">
        <f t="shared" si="583"/>
        <v>0</v>
      </c>
      <c r="CE99" s="270">
        <f t="shared" si="583"/>
        <v>0</v>
      </c>
      <c r="CF99" s="270">
        <f t="shared" si="583"/>
        <v>0</v>
      </c>
      <c r="CG99" s="270">
        <f t="shared" si="583"/>
        <v>0</v>
      </c>
      <c r="CH99" s="270">
        <f t="shared" si="583"/>
        <v>0</v>
      </c>
      <c r="CI99" s="270">
        <f t="shared" si="583"/>
        <v>0</v>
      </c>
      <c r="CJ99" s="270">
        <f t="shared" si="583"/>
        <v>0</v>
      </c>
      <c r="CK99" s="270">
        <f t="shared" si="583"/>
        <v>0</v>
      </c>
      <c r="CL99" s="270">
        <f t="shared" si="583"/>
        <v>0</v>
      </c>
      <c r="CM99" s="270">
        <f t="shared" si="583"/>
        <v>0</v>
      </c>
      <c r="CN99" s="270">
        <f t="shared" si="583"/>
        <v>0</v>
      </c>
      <c r="CO99" s="270">
        <f t="shared" si="583"/>
        <v>0</v>
      </c>
      <c r="CP99" s="270">
        <f t="shared" si="583"/>
        <v>0</v>
      </c>
      <c r="CQ99" s="215"/>
      <c r="CR99" s="270">
        <f t="shared" si="27"/>
        <v>198.44</v>
      </c>
      <c r="CS99" s="215"/>
      <c r="CT99" s="270">
        <f t="shared" ref="CT99:DX99" si="584">IF(AI98&gt;0,IF((AI98+BN99)&lt;E$10,AI98+BN99,E$10),0)</f>
        <v>0</v>
      </c>
      <c r="CU99" s="270">
        <f t="shared" si="584"/>
        <v>0</v>
      </c>
      <c r="CV99" s="270">
        <f t="shared" si="584"/>
        <v>0</v>
      </c>
      <c r="CW99" s="270">
        <f t="shared" si="584"/>
        <v>0</v>
      </c>
      <c r="CX99" s="270">
        <f t="shared" si="584"/>
        <v>0</v>
      </c>
      <c r="CY99" s="270">
        <f t="shared" si="584"/>
        <v>0</v>
      </c>
      <c r="CZ99" s="270">
        <f t="shared" si="584"/>
        <v>0</v>
      </c>
      <c r="DA99" s="270">
        <f t="shared" si="584"/>
        <v>0</v>
      </c>
      <c r="DB99" s="270">
        <f t="shared" si="584"/>
        <v>0</v>
      </c>
      <c r="DC99" s="270">
        <f t="shared" si="584"/>
        <v>0</v>
      </c>
      <c r="DD99" s="270">
        <f t="shared" si="584"/>
        <v>0</v>
      </c>
      <c r="DE99" s="270">
        <f t="shared" si="584"/>
        <v>0</v>
      </c>
      <c r="DF99" s="270">
        <f t="shared" si="584"/>
        <v>1467.13</v>
      </c>
      <c r="DG99" s="270">
        <f t="shared" si="584"/>
        <v>0</v>
      </c>
      <c r="DH99" s="270">
        <f t="shared" si="584"/>
        <v>0</v>
      </c>
      <c r="DI99" s="270">
        <f t="shared" si="584"/>
        <v>0</v>
      </c>
      <c r="DJ99" s="270">
        <f t="shared" si="584"/>
        <v>0</v>
      </c>
      <c r="DK99" s="270">
        <f t="shared" si="584"/>
        <v>0</v>
      </c>
      <c r="DL99" s="270">
        <f t="shared" si="584"/>
        <v>0</v>
      </c>
      <c r="DM99" s="270">
        <f t="shared" si="584"/>
        <v>0</v>
      </c>
      <c r="DN99" s="270">
        <f t="shared" si="584"/>
        <v>0</v>
      </c>
      <c r="DO99" s="270">
        <f t="shared" si="584"/>
        <v>0</v>
      </c>
      <c r="DP99" s="270">
        <f t="shared" si="584"/>
        <v>0</v>
      </c>
      <c r="DQ99" s="270">
        <f t="shared" si="584"/>
        <v>0</v>
      </c>
      <c r="DR99" s="270">
        <f t="shared" si="584"/>
        <v>0</v>
      </c>
      <c r="DS99" s="270">
        <f t="shared" si="584"/>
        <v>0</v>
      </c>
      <c r="DT99" s="270">
        <f t="shared" si="584"/>
        <v>0</v>
      </c>
      <c r="DU99" s="270">
        <f t="shared" si="584"/>
        <v>0</v>
      </c>
      <c r="DV99" s="270">
        <f t="shared" si="584"/>
        <v>0</v>
      </c>
      <c r="DW99" s="271" t="str">
        <f t="shared" si="584"/>
        <v/>
      </c>
      <c r="DX99" s="270">
        <f t="shared" si="584"/>
        <v>0</v>
      </c>
      <c r="DY99" s="270">
        <f t="shared" si="29"/>
        <v>1467.13</v>
      </c>
      <c r="DZ99" s="274"/>
      <c r="EA99" s="275">
        <f t="shared" si="38"/>
        <v>0</v>
      </c>
      <c r="EB99" s="270">
        <f t="shared" ref="EB99:FC99" si="585">IF(AJ97&lt;=0,0,IF($C98&lt;=SUM($EA99:EA99),0,IF(CU98+$C98-SUM($EA99:EA99)&gt;AJ97+BO98,AJ97+BO98-CU98,$C98-SUM($EA99:EA99))))</f>
        <v>0</v>
      </c>
      <c r="EC99" s="270">
        <f t="shared" si="585"/>
        <v>0</v>
      </c>
      <c r="ED99" s="270">
        <f t="shared" si="585"/>
        <v>0</v>
      </c>
      <c r="EE99" s="270">
        <f t="shared" si="585"/>
        <v>0</v>
      </c>
      <c r="EF99" s="270">
        <f t="shared" si="585"/>
        <v>0</v>
      </c>
      <c r="EG99" s="270">
        <f t="shared" si="585"/>
        <v>0</v>
      </c>
      <c r="EH99" s="270">
        <f t="shared" si="585"/>
        <v>0</v>
      </c>
      <c r="EI99" s="270">
        <f t="shared" si="585"/>
        <v>0</v>
      </c>
      <c r="EJ99" s="270">
        <f t="shared" si="585"/>
        <v>0</v>
      </c>
      <c r="EK99" s="270">
        <f t="shared" si="585"/>
        <v>0</v>
      </c>
      <c r="EL99" s="270">
        <f t="shared" si="585"/>
        <v>0</v>
      </c>
      <c r="EM99" s="270">
        <f t="shared" si="585"/>
        <v>2394.87</v>
      </c>
      <c r="EN99" s="270">
        <f t="shared" si="585"/>
        <v>0</v>
      </c>
      <c r="EO99" s="270">
        <f t="shared" si="585"/>
        <v>0</v>
      </c>
      <c r="EP99" s="270">
        <f t="shared" si="585"/>
        <v>0</v>
      </c>
      <c r="EQ99" s="270">
        <f t="shared" si="585"/>
        <v>0</v>
      </c>
      <c r="ER99" s="270">
        <f t="shared" si="585"/>
        <v>0</v>
      </c>
      <c r="ES99" s="270">
        <f t="shared" si="585"/>
        <v>0</v>
      </c>
      <c r="ET99" s="270">
        <f t="shared" si="585"/>
        <v>0</v>
      </c>
      <c r="EU99" s="270">
        <f t="shared" si="585"/>
        <v>0</v>
      </c>
      <c r="EV99" s="270">
        <f t="shared" si="585"/>
        <v>0</v>
      </c>
      <c r="EW99" s="270">
        <f t="shared" si="585"/>
        <v>0</v>
      </c>
      <c r="EX99" s="270">
        <f t="shared" si="585"/>
        <v>0</v>
      </c>
      <c r="EY99" s="270">
        <f t="shared" si="585"/>
        <v>0</v>
      </c>
      <c r="EZ99" s="270">
        <f t="shared" si="585"/>
        <v>0</v>
      </c>
      <c r="FA99" s="270">
        <f t="shared" si="585"/>
        <v>0</v>
      </c>
      <c r="FB99" s="270">
        <f t="shared" si="585"/>
        <v>0</v>
      </c>
      <c r="FC99" s="270">
        <f t="shared" si="585"/>
        <v>0</v>
      </c>
      <c r="FD99" s="271"/>
      <c r="FE99" s="271"/>
      <c r="FF99" s="271"/>
      <c r="FG99" s="215"/>
      <c r="FH99" s="215"/>
    </row>
    <row r="100" ht="11.25" customHeight="1">
      <c r="A100" s="231">
        <f t="shared" si="19"/>
        <v>80</v>
      </c>
      <c r="B100" s="269">
        <v>48061.0</v>
      </c>
      <c r="C100" s="270">
        <f>IF(A100="","",IF(Calculator!snowball,IF(($E$5-DY100)&lt;0,0,$E$5-DY100),0)+D100)</f>
        <v>2394.87</v>
      </c>
      <c r="D100" s="277"/>
      <c r="E100" s="270">
        <f t="shared" si="40"/>
        <v>0</v>
      </c>
      <c r="F100" s="270">
        <f t="shared" ref="F100:AG100" si="586">CU100+EB101</f>
        <v>0</v>
      </c>
      <c r="G100" s="270">
        <f t="shared" si="586"/>
        <v>0</v>
      </c>
      <c r="H100" s="270">
        <f t="shared" si="586"/>
        <v>0</v>
      </c>
      <c r="I100" s="270">
        <f t="shared" si="586"/>
        <v>0</v>
      </c>
      <c r="J100" s="270">
        <f t="shared" si="586"/>
        <v>0</v>
      </c>
      <c r="K100" s="270">
        <f t="shared" si="586"/>
        <v>0</v>
      </c>
      <c r="L100" s="270">
        <f t="shared" si="586"/>
        <v>0</v>
      </c>
      <c r="M100" s="270">
        <f t="shared" si="586"/>
        <v>0</v>
      </c>
      <c r="N100" s="270">
        <f t="shared" si="586"/>
        <v>0</v>
      </c>
      <c r="O100" s="270">
        <f t="shared" si="586"/>
        <v>0</v>
      </c>
      <c r="P100" s="272">
        <f t="shared" si="586"/>
        <v>0</v>
      </c>
      <c r="Q100" s="272">
        <f t="shared" si="586"/>
        <v>3862</v>
      </c>
      <c r="R100" s="272">
        <f t="shared" si="586"/>
        <v>0</v>
      </c>
      <c r="S100" s="272">
        <f t="shared" si="586"/>
        <v>0</v>
      </c>
      <c r="T100" s="272">
        <f t="shared" si="586"/>
        <v>0</v>
      </c>
      <c r="U100" s="270">
        <f t="shared" si="586"/>
        <v>0</v>
      </c>
      <c r="V100" s="270">
        <f t="shared" si="586"/>
        <v>0</v>
      </c>
      <c r="W100" s="270">
        <f t="shared" si="586"/>
        <v>0</v>
      </c>
      <c r="X100" s="270">
        <f t="shared" si="586"/>
        <v>0</v>
      </c>
      <c r="Y100" s="270">
        <f t="shared" si="586"/>
        <v>0</v>
      </c>
      <c r="Z100" s="270">
        <f t="shared" si="586"/>
        <v>0</v>
      </c>
      <c r="AA100" s="270">
        <f t="shared" si="586"/>
        <v>0</v>
      </c>
      <c r="AB100" s="270">
        <f t="shared" si="586"/>
        <v>0</v>
      </c>
      <c r="AC100" s="270">
        <f t="shared" si="586"/>
        <v>0</v>
      </c>
      <c r="AD100" s="270">
        <f t="shared" si="586"/>
        <v>0</v>
      </c>
      <c r="AE100" s="270">
        <f t="shared" si="586"/>
        <v>0</v>
      </c>
      <c r="AF100" s="270">
        <f t="shared" si="586"/>
        <v>0</v>
      </c>
      <c r="AG100" s="270">
        <f t="shared" si="586"/>
        <v>0</v>
      </c>
      <c r="AH100" s="265">
        <f t="shared" si="13"/>
        <v>55785.78</v>
      </c>
      <c r="AI100" s="270">
        <f t="shared" si="43"/>
        <v>0</v>
      </c>
      <c r="AJ100" s="270">
        <f t="shared" ref="AJ100:AO100" si="587">IF(F$8=0,0,ROUND(AJ99-(F100-BO100),2))</f>
        <v>0</v>
      </c>
      <c r="AK100" s="270">
        <f t="shared" si="587"/>
        <v>0</v>
      </c>
      <c r="AL100" s="270">
        <f t="shared" si="587"/>
        <v>0</v>
      </c>
      <c r="AM100" s="270">
        <f t="shared" si="587"/>
        <v>0</v>
      </c>
      <c r="AN100" s="270">
        <f t="shared" si="587"/>
        <v>0</v>
      </c>
      <c r="AO100" s="270">
        <f t="shared" si="587"/>
        <v>0</v>
      </c>
      <c r="AP100" s="270">
        <v>0.0</v>
      </c>
      <c r="AQ100" s="270">
        <f t="shared" ref="AQ100:AS100" si="588">IF(M$8=0,0,ROUND(AQ99-(M100-BV100),2))</f>
        <v>0</v>
      </c>
      <c r="AR100" s="270">
        <f t="shared" si="588"/>
        <v>0</v>
      </c>
      <c r="AS100" s="270">
        <f t="shared" si="588"/>
        <v>0</v>
      </c>
      <c r="AT100" s="270">
        <f t="shared" ref="AT100:BK100" si="589">IF(P$8=0,0,ROUND(AT99-(P100-BX100),2))</f>
        <v>-6.22</v>
      </c>
      <c r="AU100" s="270">
        <f t="shared" si="589"/>
        <v>55792</v>
      </c>
      <c r="AV100" s="270">
        <f t="shared" si="589"/>
        <v>0</v>
      </c>
      <c r="AW100" s="270">
        <f t="shared" si="589"/>
        <v>0</v>
      </c>
      <c r="AX100" s="270">
        <f t="shared" si="589"/>
        <v>0</v>
      </c>
      <c r="AY100" s="270">
        <f t="shared" si="589"/>
        <v>0</v>
      </c>
      <c r="AZ100" s="270">
        <f t="shared" si="589"/>
        <v>0</v>
      </c>
      <c r="BA100" s="270">
        <f t="shared" si="589"/>
        <v>0</v>
      </c>
      <c r="BB100" s="270">
        <f t="shared" si="589"/>
        <v>0</v>
      </c>
      <c r="BC100" s="270">
        <f t="shared" si="589"/>
        <v>0</v>
      </c>
      <c r="BD100" s="270">
        <f t="shared" si="589"/>
        <v>0</v>
      </c>
      <c r="BE100" s="270">
        <f t="shared" si="589"/>
        <v>0</v>
      </c>
      <c r="BF100" s="270">
        <f t="shared" si="589"/>
        <v>0</v>
      </c>
      <c r="BG100" s="270">
        <f t="shared" si="589"/>
        <v>0</v>
      </c>
      <c r="BH100" s="270">
        <f t="shared" si="589"/>
        <v>0</v>
      </c>
      <c r="BI100" s="270">
        <f t="shared" si="589"/>
        <v>0</v>
      </c>
      <c r="BJ100" s="270">
        <f t="shared" si="589"/>
        <v>0</v>
      </c>
      <c r="BK100" s="270">
        <f t="shared" si="589"/>
        <v>0</v>
      </c>
      <c r="BL100" s="265">
        <f t="shared" si="16"/>
        <v>55785.78</v>
      </c>
      <c r="BM100" s="215"/>
      <c r="BN100" s="270">
        <f t="shared" ref="BN100:CP100" si="590">ROUND(AI99*E$9/12,2)</f>
        <v>0</v>
      </c>
      <c r="BO100" s="270">
        <f t="shared" si="590"/>
        <v>0</v>
      </c>
      <c r="BP100" s="270">
        <f t="shared" si="590"/>
        <v>0</v>
      </c>
      <c r="BQ100" s="270">
        <f t="shared" si="590"/>
        <v>0</v>
      </c>
      <c r="BR100" s="270">
        <f t="shared" si="590"/>
        <v>0</v>
      </c>
      <c r="BS100" s="270">
        <f t="shared" si="590"/>
        <v>0</v>
      </c>
      <c r="BT100" s="270">
        <f t="shared" si="590"/>
        <v>0</v>
      </c>
      <c r="BU100" s="270">
        <f t="shared" si="590"/>
        <v>0</v>
      </c>
      <c r="BV100" s="270">
        <f t="shared" si="590"/>
        <v>0</v>
      </c>
      <c r="BW100" s="270">
        <f t="shared" si="590"/>
        <v>0</v>
      </c>
      <c r="BX100" s="270">
        <f t="shared" si="590"/>
        <v>0</v>
      </c>
      <c r="BY100" s="270">
        <f t="shared" si="590"/>
        <v>-0.05</v>
      </c>
      <c r="BZ100" s="270">
        <f t="shared" si="590"/>
        <v>186.42</v>
      </c>
      <c r="CA100" s="270">
        <f t="shared" si="590"/>
        <v>0</v>
      </c>
      <c r="CB100" s="270">
        <f t="shared" si="590"/>
        <v>0</v>
      </c>
      <c r="CC100" s="270">
        <f t="shared" si="590"/>
        <v>0</v>
      </c>
      <c r="CD100" s="270">
        <f t="shared" si="590"/>
        <v>0</v>
      </c>
      <c r="CE100" s="270">
        <f t="shared" si="590"/>
        <v>0</v>
      </c>
      <c r="CF100" s="270">
        <f t="shared" si="590"/>
        <v>0</v>
      </c>
      <c r="CG100" s="270">
        <f t="shared" si="590"/>
        <v>0</v>
      </c>
      <c r="CH100" s="270">
        <f t="shared" si="590"/>
        <v>0</v>
      </c>
      <c r="CI100" s="270">
        <f t="shared" si="590"/>
        <v>0</v>
      </c>
      <c r="CJ100" s="270">
        <f t="shared" si="590"/>
        <v>0</v>
      </c>
      <c r="CK100" s="270">
        <f t="shared" si="590"/>
        <v>0</v>
      </c>
      <c r="CL100" s="270">
        <f t="shared" si="590"/>
        <v>0</v>
      </c>
      <c r="CM100" s="270">
        <f t="shared" si="590"/>
        <v>0</v>
      </c>
      <c r="CN100" s="270">
        <f t="shared" si="590"/>
        <v>0</v>
      </c>
      <c r="CO100" s="270">
        <f t="shared" si="590"/>
        <v>0</v>
      </c>
      <c r="CP100" s="270">
        <f t="shared" si="590"/>
        <v>0</v>
      </c>
      <c r="CQ100" s="215"/>
      <c r="CR100" s="270">
        <f t="shared" si="27"/>
        <v>186.37</v>
      </c>
      <c r="CS100" s="215"/>
      <c r="CT100" s="270">
        <f t="shared" ref="CT100:DX100" si="591">IF(AI99&gt;0,IF((AI99+BN100)&lt;E$10,AI99+BN100,E$10),0)</f>
        <v>0</v>
      </c>
      <c r="CU100" s="270">
        <f t="shared" si="591"/>
        <v>0</v>
      </c>
      <c r="CV100" s="270">
        <f t="shared" si="591"/>
        <v>0</v>
      </c>
      <c r="CW100" s="270">
        <f t="shared" si="591"/>
        <v>0</v>
      </c>
      <c r="CX100" s="270">
        <f t="shared" si="591"/>
        <v>0</v>
      </c>
      <c r="CY100" s="270">
        <f t="shared" si="591"/>
        <v>0</v>
      </c>
      <c r="CZ100" s="270">
        <f t="shared" si="591"/>
        <v>0</v>
      </c>
      <c r="DA100" s="270">
        <f t="shared" si="591"/>
        <v>0</v>
      </c>
      <c r="DB100" s="270">
        <f t="shared" si="591"/>
        <v>0</v>
      </c>
      <c r="DC100" s="270">
        <f t="shared" si="591"/>
        <v>0</v>
      </c>
      <c r="DD100" s="270">
        <f t="shared" si="591"/>
        <v>0</v>
      </c>
      <c r="DE100" s="270">
        <f t="shared" si="591"/>
        <v>0</v>
      </c>
      <c r="DF100" s="270">
        <f t="shared" si="591"/>
        <v>1467.13</v>
      </c>
      <c r="DG100" s="270">
        <f t="shared" si="591"/>
        <v>0</v>
      </c>
      <c r="DH100" s="270">
        <f t="shared" si="591"/>
        <v>0</v>
      </c>
      <c r="DI100" s="270">
        <f t="shared" si="591"/>
        <v>0</v>
      </c>
      <c r="DJ100" s="270">
        <f t="shared" si="591"/>
        <v>0</v>
      </c>
      <c r="DK100" s="270">
        <f t="shared" si="591"/>
        <v>0</v>
      </c>
      <c r="DL100" s="270">
        <f t="shared" si="591"/>
        <v>0</v>
      </c>
      <c r="DM100" s="270">
        <f t="shared" si="591"/>
        <v>0</v>
      </c>
      <c r="DN100" s="270">
        <f t="shared" si="591"/>
        <v>0</v>
      </c>
      <c r="DO100" s="270">
        <f t="shared" si="591"/>
        <v>0</v>
      </c>
      <c r="DP100" s="270">
        <f t="shared" si="591"/>
        <v>0</v>
      </c>
      <c r="DQ100" s="270">
        <f t="shared" si="591"/>
        <v>0</v>
      </c>
      <c r="DR100" s="270">
        <f t="shared" si="591"/>
        <v>0</v>
      </c>
      <c r="DS100" s="270">
        <f t="shared" si="591"/>
        <v>0</v>
      </c>
      <c r="DT100" s="270">
        <f t="shared" si="591"/>
        <v>0</v>
      </c>
      <c r="DU100" s="270">
        <f t="shared" si="591"/>
        <v>0</v>
      </c>
      <c r="DV100" s="270">
        <f t="shared" si="591"/>
        <v>0</v>
      </c>
      <c r="DW100" s="271" t="str">
        <f t="shared" si="591"/>
        <v/>
      </c>
      <c r="DX100" s="270">
        <f t="shared" si="591"/>
        <v>0</v>
      </c>
      <c r="DY100" s="270">
        <f t="shared" si="29"/>
        <v>1467.13</v>
      </c>
      <c r="DZ100" s="274"/>
      <c r="EA100" s="275">
        <f t="shared" si="38"/>
        <v>0</v>
      </c>
      <c r="EB100" s="270">
        <f t="shared" ref="EB100:FC100" si="592">IF(AJ98&lt;=0,0,IF($C99&lt;=SUM($EA100:EA100),0,IF(CU99+$C99-SUM($EA100:EA100)&gt;AJ98+BO99,AJ98+BO99-CU99,$C99-SUM($EA100:EA100))))</f>
        <v>0</v>
      </c>
      <c r="EC100" s="270">
        <f t="shared" si="592"/>
        <v>0</v>
      </c>
      <c r="ED100" s="270">
        <f t="shared" si="592"/>
        <v>0</v>
      </c>
      <c r="EE100" s="270">
        <f t="shared" si="592"/>
        <v>0</v>
      </c>
      <c r="EF100" s="270">
        <f t="shared" si="592"/>
        <v>0</v>
      </c>
      <c r="EG100" s="270">
        <f t="shared" si="592"/>
        <v>0</v>
      </c>
      <c r="EH100" s="270">
        <f t="shared" si="592"/>
        <v>0</v>
      </c>
      <c r="EI100" s="270">
        <f t="shared" si="592"/>
        <v>0</v>
      </c>
      <c r="EJ100" s="270">
        <f t="shared" si="592"/>
        <v>0</v>
      </c>
      <c r="EK100" s="270">
        <f t="shared" si="592"/>
        <v>0</v>
      </c>
      <c r="EL100" s="270">
        <f t="shared" si="592"/>
        <v>0</v>
      </c>
      <c r="EM100" s="270">
        <f t="shared" si="592"/>
        <v>2394.87</v>
      </c>
      <c r="EN100" s="270">
        <f t="shared" si="592"/>
        <v>0</v>
      </c>
      <c r="EO100" s="270">
        <f t="shared" si="592"/>
        <v>0</v>
      </c>
      <c r="EP100" s="270">
        <f t="shared" si="592"/>
        <v>0</v>
      </c>
      <c r="EQ100" s="270">
        <f t="shared" si="592"/>
        <v>0</v>
      </c>
      <c r="ER100" s="270">
        <f t="shared" si="592"/>
        <v>0</v>
      </c>
      <c r="ES100" s="270">
        <f t="shared" si="592"/>
        <v>0</v>
      </c>
      <c r="ET100" s="270">
        <f t="shared" si="592"/>
        <v>0</v>
      </c>
      <c r="EU100" s="270">
        <f t="shared" si="592"/>
        <v>0</v>
      </c>
      <c r="EV100" s="270">
        <f t="shared" si="592"/>
        <v>0</v>
      </c>
      <c r="EW100" s="270">
        <f t="shared" si="592"/>
        <v>0</v>
      </c>
      <c r="EX100" s="270">
        <f t="shared" si="592"/>
        <v>0</v>
      </c>
      <c r="EY100" s="270">
        <f t="shared" si="592"/>
        <v>0</v>
      </c>
      <c r="EZ100" s="270">
        <f t="shared" si="592"/>
        <v>0</v>
      </c>
      <c r="FA100" s="270">
        <f t="shared" si="592"/>
        <v>0</v>
      </c>
      <c r="FB100" s="270">
        <f t="shared" si="592"/>
        <v>0</v>
      </c>
      <c r="FC100" s="270">
        <f t="shared" si="592"/>
        <v>0</v>
      </c>
      <c r="FD100" s="271"/>
      <c r="FE100" s="271"/>
      <c r="FF100" s="271"/>
      <c r="FG100" s="215"/>
      <c r="FH100" s="215"/>
    </row>
    <row r="101" ht="11.25" customHeight="1">
      <c r="A101" s="231">
        <f t="shared" si="19"/>
        <v>81</v>
      </c>
      <c r="B101" s="241">
        <f t="shared" ref="B101:B356" si="600">IF(A101="",NA(),DATE(YEAR(B100),MONTH(B100)+1,1))</f>
        <v>48092</v>
      </c>
      <c r="C101" s="270">
        <f>IF(A101="","",IF(Calculator!snowball,IF(($E$5-DY101)&lt;0,0,$E$5-DY101),0)+D101)</f>
        <v>2394.87</v>
      </c>
      <c r="D101" s="277"/>
      <c r="E101" s="270">
        <f t="shared" si="40"/>
        <v>0</v>
      </c>
      <c r="F101" s="270">
        <f t="shared" ref="F101:AG101" si="593">CU101+EB102</f>
        <v>0</v>
      </c>
      <c r="G101" s="270">
        <f t="shared" si="593"/>
        <v>0</v>
      </c>
      <c r="H101" s="270">
        <f t="shared" si="593"/>
        <v>0</v>
      </c>
      <c r="I101" s="270">
        <f t="shared" si="593"/>
        <v>0</v>
      </c>
      <c r="J101" s="270">
        <f t="shared" si="593"/>
        <v>0</v>
      </c>
      <c r="K101" s="270">
        <f t="shared" si="593"/>
        <v>0</v>
      </c>
      <c r="L101" s="270">
        <f t="shared" si="593"/>
        <v>0</v>
      </c>
      <c r="M101" s="270">
        <f t="shared" si="593"/>
        <v>0</v>
      </c>
      <c r="N101" s="270">
        <f t="shared" si="593"/>
        <v>0</v>
      </c>
      <c r="O101" s="270">
        <f t="shared" si="593"/>
        <v>0</v>
      </c>
      <c r="P101" s="272">
        <f t="shared" si="593"/>
        <v>0</v>
      </c>
      <c r="Q101" s="272">
        <f t="shared" si="593"/>
        <v>3862</v>
      </c>
      <c r="R101" s="272">
        <f t="shared" si="593"/>
        <v>0</v>
      </c>
      <c r="S101" s="272">
        <f t="shared" si="593"/>
        <v>0</v>
      </c>
      <c r="T101" s="272">
        <f t="shared" si="593"/>
        <v>0</v>
      </c>
      <c r="U101" s="270">
        <f t="shared" si="593"/>
        <v>0</v>
      </c>
      <c r="V101" s="270">
        <f t="shared" si="593"/>
        <v>0</v>
      </c>
      <c r="W101" s="270">
        <f t="shared" si="593"/>
        <v>0</v>
      </c>
      <c r="X101" s="270">
        <f t="shared" si="593"/>
        <v>0</v>
      </c>
      <c r="Y101" s="270">
        <f t="shared" si="593"/>
        <v>0</v>
      </c>
      <c r="Z101" s="270">
        <f t="shared" si="593"/>
        <v>0</v>
      </c>
      <c r="AA101" s="270">
        <f t="shared" si="593"/>
        <v>0</v>
      </c>
      <c r="AB101" s="270">
        <f t="shared" si="593"/>
        <v>0</v>
      </c>
      <c r="AC101" s="270">
        <f t="shared" si="593"/>
        <v>0</v>
      </c>
      <c r="AD101" s="270">
        <f t="shared" si="593"/>
        <v>0</v>
      </c>
      <c r="AE101" s="270">
        <f t="shared" si="593"/>
        <v>0</v>
      </c>
      <c r="AF101" s="270">
        <f t="shared" si="593"/>
        <v>0</v>
      </c>
      <c r="AG101" s="270">
        <f t="shared" si="593"/>
        <v>0</v>
      </c>
      <c r="AH101" s="279">
        <f t="shared" ref="AH101:AH356" si="602">SUM(AI101:AR101)</f>
        <v>0</v>
      </c>
      <c r="AI101" s="270">
        <f t="shared" si="43"/>
        <v>0</v>
      </c>
      <c r="AJ101" s="270">
        <f t="shared" ref="AJ101:AO101" si="594">IF(F$8=0,0,ROUND(AJ100-(F101-BO101),2))</f>
        <v>0</v>
      </c>
      <c r="AK101" s="270">
        <f t="shared" si="594"/>
        <v>0</v>
      </c>
      <c r="AL101" s="270">
        <f t="shared" si="594"/>
        <v>0</v>
      </c>
      <c r="AM101" s="270">
        <f t="shared" si="594"/>
        <v>0</v>
      </c>
      <c r="AN101" s="270">
        <f t="shared" si="594"/>
        <v>0</v>
      </c>
      <c r="AO101" s="270">
        <f t="shared" si="594"/>
        <v>0</v>
      </c>
      <c r="AP101" s="270">
        <v>0.0</v>
      </c>
      <c r="AQ101" s="270">
        <f t="shared" ref="AQ101:AS101" si="595">IF(M$8=0,0,ROUND(AQ100-(M101-BV101),2))</f>
        <v>0</v>
      </c>
      <c r="AR101" s="270">
        <f t="shared" si="595"/>
        <v>0</v>
      </c>
      <c r="AS101" s="270">
        <f t="shared" si="595"/>
        <v>0</v>
      </c>
      <c r="AT101" s="270">
        <f t="shared" ref="AT101:AT356" si="605">IF(P$8=0,0,ROUND(AT100-(P101-BX101),2))</f>
        <v>-6.22</v>
      </c>
      <c r="AU101" s="270">
        <f t="shared" ref="AU101:AU108" si="606">IF(Q$8=0,0,ROUND(AU100-(Q101-BZ101),2))</f>
        <v>52104.35</v>
      </c>
      <c r="AV101" s="270">
        <f t="shared" ref="AV101:BK101" si="596">IF(R$8=0,0,ROUND(AV100-(R101-BZ101),2))</f>
        <v>0</v>
      </c>
      <c r="AW101" s="270">
        <f t="shared" si="596"/>
        <v>0</v>
      </c>
      <c r="AX101" s="270">
        <f t="shared" si="596"/>
        <v>0</v>
      </c>
      <c r="AY101" s="270">
        <f t="shared" si="596"/>
        <v>0</v>
      </c>
      <c r="AZ101" s="270">
        <f t="shared" si="596"/>
        <v>0</v>
      </c>
      <c r="BA101" s="270">
        <f t="shared" si="596"/>
        <v>0</v>
      </c>
      <c r="BB101" s="270">
        <f t="shared" si="596"/>
        <v>0</v>
      </c>
      <c r="BC101" s="270">
        <f t="shared" si="596"/>
        <v>0</v>
      </c>
      <c r="BD101" s="270">
        <f t="shared" si="596"/>
        <v>0</v>
      </c>
      <c r="BE101" s="270">
        <f t="shared" si="596"/>
        <v>0</v>
      </c>
      <c r="BF101" s="270">
        <f t="shared" si="596"/>
        <v>0</v>
      </c>
      <c r="BG101" s="270">
        <f t="shared" si="596"/>
        <v>0</v>
      </c>
      <c r="BH101" s="270">
        <f t="shared" si="596"/>
        <v>0</v>
      </c>
      <c r="BI101" s="270">
        <f t="shared" si="596"/>
        <v>0</v>
      </c>
      <c r="BJ101" s="270">
        <f t="shared" si="596"/>
        <v>0</v>
      </c>
      <c r="BK101" s="270">
        <f t="shared" si="596"/>
        <v>0</v>
      </c>
      <c r="BL101" s="265">
        <f t="shared" si="16"/>
        <v>52098.13</v>
      </c>
      <c r="BM101" s="215"/>
      <c r="BN101" s="270">
        <f t="shared" ref="BN101:CP101" si="597">ROUND(AI100*E$9/12,2)</f>
        <v>0</v>
      </c>
      <c r="BO101" s="270">
        <f t="shared" si="597"/>
        <v>0</v>
      </c>
      <c r="BP101" s="270">
        <f t="shared" si="597"/>
        <v>0</v>
      </c>
      <c r="BQ101" s="270">
        <f t="shared" si="597"/>
        <v>0</v>
      </c>
      <c r="BR101" s="270">
        <f t="shared" si="597"/>
        <v>0</v>
      </c>
      <c r="BS101" s="270">
        <f t="shared" si="597"/>
        <v>0</v>
      </c>
      <c r="BT101" s="270">
        <f t="shared" si="597"/>
        <v>0</v>
      </c>
      <c r="BU101" s="270">
        <f t="shared" si="597"/>
        <v>0</v>
      </c>
      <c r="BV101" s="270">
        <f t="shared" si="597"/>
        <v>0</v>
      </c>
      <c r="BW101" s="270">
        <f t="shared" si="597"/>
        <v>0</v>
      </c>
      <c r="BX101" s="270">
        <f t="shared" si="597"/>
        <v>0</v>
      </c>
      <c r="BY101" s="270">
        <f t="shared" si="597"/>
        <v>-0.05</v>
      </c>
      <c r="BZ101" s="270">
        <f t="shared" si="597"/>
        <v>174.35</v>
      </c>
      <c r="CA101" s="270">
        <f t="shared" si="597"/>
        <v>0</v>
      </c>
      <c r="CB101" s="270">
        <f t="shared" si="597"/>
        <v>0</v>
      </c>
      <c r="CC101" s="270">
        <f t="shared" si="597"/>
        <v>0</v>
      </c>
      <c r="CD101" s="270">
        <f t="shared" si="597"/>
        <v>0</v>
      </c>
      <c r="CE101" s="270">
        <f t="shared" si="597"/>
        <v>0</v>
      </c>
      <c r="CF101" s="270">
        <f t="shared" si="597"/>
        <v>0</v>
      </c>
      <c r="CG101" s="270">
        <f t="shared" si="597"/>
        <v>0</v>
      </c>
      <c r="CH101" s="270">
        <f t="shared" si="597"/>
        <v>0</v>
      </c>
      <c r="CI101" s="270">
        <f t="shared" si="597"/>
        <v>0</v>
      </c>
      <c r="CJ101" s="270">
        <f t="shared" si="597"/>
        <v>0</v>
      </c>
      <c r="CK101" s="270">
        <f t="shared" si="597"/>
        <v>0</v>
      </c>
      <c r="CL101" s="270">
        <f t="shared" si="597"/>
        <v>0</v>
      </c>
      <c r="CM101" s="270">
        <f t="shared" si="597"/>
        <v>0</v>
      </c>
      <c r="CN101" s="270">
        <f t="shared" si="597"/>
        <v>0</v>
      </c>
      <c r="CO101" s="270">
        <f t="shared" si="597"/>
        <v>0</v>
      </c>
      <c r="CP101" s="270">
        <f t="shared" si="597"/>
        <v>0</v>
      </c>
      <c r="CQ101" s="215"/>
      <c r="CR101" s="270">
        <f t="shared" si="27"/>
        <v>174.3</v>
      </c>
      <c r="CS101" s="215"/>
      <c r="CT101" s="270">
        <f t="shared" ref="CT101:DX101" si="598">IF(AI100&gt;0,IF((AI100+BN101)&lt;E$10,AI100+BN101,E$10),0)</f>
        <v>0</v>
      </c>
      <c r="CU101" s="270">
        <f t="shared" si="598"/>
        <v>0</v>
      </c>
      <c r="CV101" s="270">
        <f t="shared" si="598"/>
        <v>0</v>
      </c>
      <c r="CW101" s="270">
        <f t="shared" si="598"/>
        <v>0</v>
      </c>
      <c r="CX101" s="270">
        <f t="shared" si="598"/>
        <v>0</v>
      </c>
      <c r="CY101" s="270">
        <f t="shared" si="598"/>
        <v>0</v>
      </c>
      <c r="CZ101" s="270">
        <f t="shared" si="598"/>
        <v>0</v>
      </c>
      <c r="DA101" s="270">
        <f t="shared" si="598"/>
        <v>0</v>
      </c>
      <c r="DB101" s="270">
        <f t="shared" si="598"/>
        <v>0</v>
      </c>
      <c r="DC101" s="270">
        <f t="shared" si="598"/>
        <v>0</v>
      </c>
      <c r="DD101" s="270">
        <f t="shared" si="598"/>
        <v>0</v>
      </c>
      <c r="DE101" s="270">
        <f t="shared" si="598"/>
        <v>0</v>
      </c>
      <c r="DF101" s="270">
        <f t="shared" si="598"/>
        <v>1467.13</v>
      </c>
      <c r="DG101" s="270">
        <f t="shared" si="598"/>
        <v>0</v>
      </c>
      <c r="DH101" s="270">
        <f t="shared" si="598"/>
        <v>0</v>
      </c>
      <c r="DI101" s="270">
        <f t="shared" si="598"/>
        <v>0</v>
      </c>
      <c r="DJ101" s="270">
        <f t="shared" si="598"/>
        <v>0</v>
      </c>
      <c r="DK101" s="270">
        <f t="shared" si="598"/>
        <v>0</v>
      </c>
      <c r="DL101" s="270">
        <f t="shared" si="598"/>
        <v>0</v>
      </c>
      <c r="DM101" s="270">
        <f t="shared" si="598"/>
        <v>0</v>
      </c>
      <c r="DN101" s="270">
        <f t="shared" si="598"/>
        <v>0</v>
      </c>
      <c r="DO101" s="270">
        <f t="shared" si="598"/>
        <v>0</v>
      </c>
      <c r="DP101" s="270">
        <f t="shared" si="598"/>
        <v>0</v>
      </c>
      <c r="DQ101" s="270">
        <f t="shared" si="598"/>
        <v>0</v>
      </c>
      <c r="DR101" s="270">
        <f t="shared" si="598"/>
        <v>0</v>
      </c>
      <c r="DS101" s="270">
        <f t="shared" si="598"/>
        <v>0</v>
      </c>
      <c r="DT101" s="270">
        <f t="shared" si="598"/>
        <v>0</v>
      </c>
      <c r="DU101" s="270">
        <f t="shared" si="598"/>
        <v>0</v>
      </c>
      <c r="DV101" s="270">
        <f t="shared" si="598"/>
        <v>0</v>
      </c>
      <c r="DW101" s="271" t="str">
        <f t="shared" si="598"/>
        <v/>
      </c>
      <c r="DX101" s="270">
        <f t="shared" si="598"/>
        <v>0</v>
      </c>
      <c r="DY101" s="270">
        <f t="shared" si="29"/>
        <v>1467.13</v>
      </c>
      <c r="DZ101" s="274"/>
      <c r="EA101" s="275">
        <f t="shared" si="38"/>
        <v>0</v>
      </c>
      <c r="EB101" s="270">
        <f t="shared" ref="EB101:FC101" si="599">IF(AJ99&lt;=0,0,IF($C100&lt;=SUM($EA101:EA101),0,IF(CU100+$C100-SUM($EA101:EA101)&gt;AJ99+BO100,AJ99+BO100-CU100,$C100-SUM($EA101:EA101))))</f>
        <v>0</v>
      </c>
      <c r="EC101" s="270">
        <f t="shared" si="599"/>
        <v>0</v>
      </c>
      <c r="ED101" s="270">
        <f t="shared" si="599"/>
        <v>0</v>
      </c>
      <c r="EE101" s="270">
        <f t="shared" si="599"/>
        <v>0</v>
      </c>
      <c r="EF101" s="270">
        <f t="shared" si="599"/>
        <v>0</v>
      </c>
      <c r="EG101" s="270">
        <f t="shared" si="599"/>
        <v>0</v>
      </c>
      <c r="EH101" s="270">
        <f t="shared" si="599"/>
        <v>0</v>
      </c>
      <c r="EI101" s="270">
        <f t="shared" si="599"/>
        <v>0</v>
      </c>
      <c r="EJ101" s="270">
        <f t="shared" si="599"/>
        <v>0</v>
      </c>
      <c r="EK101" s="270">
        <f t="shared" si="599"/>
        <v>0</v>
      </c>
      <c r="EL101" s="270">
        <f t="shared" si="599"/>
        <v>0</v>
      </c>
      <c r="EM101" s="270">
        <f t="shared" si="599"/>
        <v>2394.87</v>
      </c>
      <c r="EN101" s="270">
        <f t="shared" si="599"/>
        <v>0</v>
      </c>
      <c r="EO101" s="270">
        <f t="shared" si="599"/>
        <v>0</v>
      </c>
      <c r="EP101" s="270">
        <f t="shared" si="599"/>
        <v>0</v>
      </c>
      <c r="EQ101" s="270">
        <f t="shared" si="599"/>
        <v>0</v>
      </c>
      <c r="ER101" s="270">
        <f t="shared" si="599"/>
        <v>0</v>
      </c>
      <c r="ES101" s="270">
        <f t="shared" si="599"/>
        <v>0</v>
      </c>
      <c r="ET101" s="270">
        <f t="shared" si="599"/>
        <v>0</v>
      </c>
      <c r="EU101" s="270">
        <f t="shared" si="599"/>
        <v>0</v>
      </c>
      <c r="EV101" s="270">
        <f t="shared" si="599"/>
        <v>0</v>
      </c>
      <c r="EW101" s="270">
        <f t="shared" si="599"/>
        <v>0</v>
      </c>
      <c r="EX101" s="270">
        <f t="shared" si="599"/>
        <v>0</v>
      </c>
      <c r="EY101" s="270">
        <f t="shared" si="599"/>
        <v>0</v>
      </c>
      <c r="EZ101" s="270">
        <f t="shared" si="599"/>
        <v>0</v>
      </c>
      <c r="FA101" s="270">
        <f t="shared" si="599"/>
        <v>0</v>
      </c>
      <c r="FB101" s="270">
        <f t="shared" si="599"/>
        <v>0</v>
      </c>
      <c r="FC101" s="270">
        <f t="shared" si="599"/>
        <v>0</v>
      </c>
      <c r="FD101" s="271"/>
      <c r="FE101" s="271"/>
      <c r="FF101" s="271"/>
      <c r="FG101" s="215"/>
      <c r="FH101" s="215"/>
    </row>
    <row r="102" ht="11.25" customHeight="1">
      <c r="A102" s="231">
        <f t="shared" si="19"/>
        <v>82</v>
      </c>
      <c r="B102" s="241">
        <f t="shared" si="600"/>
        <v>48122</v>
      </c>
      <c r="C102" s="270">
        <f>IF(A102="","",IF(Calculator!snowball,IF(($E$5-DY102)&lt;0,0,$E$5-DY102),0)+D102)</f>
        <v>2394.87</v>
      </c>
      <c r="D102" s="277"/>
      <c r="E102" s="270">
        <f t="shared" si="40"/>
        <v>0</v>
      </c>
      <c r="F102" s="270">
        <f t="shared" ref="F102:AG102" si="601">CU102+EB103</f>
        <v>0</v>
      </c>
      <c r="G102" s="270">
        <f t="shared" si="601"/>
        <v>0</v>
      </c>
      <c r="H102" s="270">
        <f t="shared" si="601"/>
        <v>0</v>
      </c>
      <c r="I102" s="270">
        <f t="shared" si="601"/>
        <v>0</v>
      </c>
      <c r="J102" s="270">
        <f t="shared" si="601"/>
        <v>0</v>
      </c>
      <c r="K102" s="270">
        <f t="shared" si="601"/>
        <v>0</v>
      </c>
      <c r="L102" s="270">
        <f t="shared" si="601"/>
        <v>0</v>
      </c>
      <c r="M102" s="270">
        <f t="shared" si="601"/>
        <v>0</v>
      </c>
      <c r="N102" s="270">
        <f t="shared" si="601"/>
        <v>0</v>
      </c>
      <c r="O102" s="270">
        <f t="shared" si="601"/>
        <v>0</v>
      </c>
      <c r="P102" s="272">
        <f t="shared" si="601"/>
        <v>0</v>
      </c>
      <c r="Q102" s="272">
        <f t="shared" si="601"/>
        <v>3862</v>
      </c>
      <c r="R102" s="272">
        <f t="shared" si="601"/>
        <v>0</v>
      </c>
      <c r="S102" s="272">
        <f t="shared" si="601"/>
        <v>0</v>
      </c>
      <c r="T102" s="272">
        <f t="shared" si="601"/>
        <v>0</v>
      </c>
      <c r="U102" s="270">
        <f t="shared" si="601"/>
        <v>0</v>
      </c>
      <c r="V102" s="270">
        <f t="shared" si="601"/>
        <v>0</v>
      </c>
      <c r="W102" s="270">
        <f t="shared" si="601"/>
        <v>0</v>
      </c>
      <c r="X102" s="270">
        <f t="shared" si="601"/>
        <v>0</v>
      </c>
      <c r="Y102" s="270">
        <f t="shared" si="601"/>
        <v>0</v>
      </c>
      <c r="Z102" s="270">
        <f t="shared" si="601"/>
        <v>0</v>
      </c>
      <c r="AA102" s="270">
        <f t="shared" si="601"/>
        <v>0</v>
      </c>
      <c r="AB102" s="270">
        <f t="shared" si="601"/>
        <v>0</v>
      </c>
      <c r="AC102" s="270">
        <f t="shared" si="601"/>
        <v>0</v>
      </c>
      <c r="AD102" s="270">
        <f t="shared" si="601"/>
        <v>0</v>
      </c>
      <c r="AE102" s="270">
        <f t="shared" si="601"/>
        <v>0</v>
      </c>
      <c r="AF102" s="270">
        <f t="shared" si="601"/>
        <v>0</v>
      </c>
      <c r="AG102" s="270">
        <f t="shared" si="601"/>
        <v>0</v>
      </c>
      <c r="AH102" s="279">
        <f t="shared" si="602"/>
        <v>0</v>
      </c>
      <c r="AI102" s="270">
        <f t="shared" si="43"/>
        <v>0</v>
      </c>
      <c r="AJ102" s="270">
        <f t="shared" ref="AJ102:AO102" si="603">IF(F$8=0,0,ROUND(AJ101-(F102-BO102),2))</f>
        <v>0</v>
      </c>
      <c r="AK102" s="270">
        <f t="shared" si="603"/>
        <v>0</v>
      </c>
      <c r="AL102" s="270">
        <f t="shared" si="603"/>
        <v>0</v>
      </c>
      <c r="AM102" s="270">
        <f t="shared" si="603"/>
        <v>0</v>
      </c>
      <c r="AN102" s="270">
        <f t="shared" si="603"/>
        <v>0</v>
      </c>
      <c r="AO102" s="270">
        <f t="shared" si="603"/>
        <v>0</v>
      </c>
      <c r="AP102" s="270">
        <v>0.0</v>
      </c>
      <c r="AQ102" s="270">
        <f t="shared" ref="AQ102:AS102" si="604">IF(M$8=0,0,ROUND(AQ101-(M102-BV102),2))</f>
        <v>0</v>
      </c>
      <c r="AR102" s="270">
        <f t="shared" si="604"/>
        <v>0</v>
      </c>
      <c r="AS102" s="270">
        <f t="shared" si="604"/>
        <v>0</v>
      </c>
      <c r="AT102" s="270">
        <f t="shared" si="605"/>
        <v>-6.22</v>
      </c>
      <c r="AU102" s="270">
        <f t="shared" si="606"/>
        <v>48405.18</v>
      </c>
      <c r="AV102" s="270">
        <f t="shared" ref="AV102:BK102" si="607">IF(R$8=0,0,ROUND(AV101-(R102-BZ102),2))</f>
        <v>0</v>
      </c>
      <c r="AW102" s="270">
        <f t="shared" si="607"/>
        <v>0</v>
      </c>
      <c r="AX102" s="270">
        <f t="shared" si="607"/>
        <v>0</v>
      </c>
      <c r="AY102" s="270">
        <f t="shared" si="607"/>
        <v>0</v>
      </c>
      <c r="AZ102" s="270">
        <f t="shared" si="607"/>
        <v>0</v>
      </c>
      <c r="BA102" s="270">
        <f t="shared" si="607"/>
        <v>0</v>
      </c>
      <c r="BB102" s="270">
        <f t="shared" si="607"/>
        <v>0</v>
      </c>
      <c r="BC102" s="270">
        <f t="shared" si="607"/>
        <v>0</v>
      </c>
      <c r="BD102" s="270">
        <f t="shared" si="607"/>
        <v>0</v>
      </c>
      <c r="BE102" s="270">
        <f t="shared" si="607"/>
        <v>0</v>
      </c>
      <c r="BF102" s="270">
        <f t="shared" si="607"/>
        <v>0</v>
      </c>
      <c r="BG102" s="270">
        <f t="shared" si="607"/>
        <v>0</v>
      </c>
      <c r="BH102" s="270">
        <f t="shared" si="607"/>
        <v>0</v>
      </c>
      <c r="BI102" s="270">
        <f t="shared" si="607"/>
        <v>0</v>
      </c>
      <c r="BJ102" s="270">
        <f t="shared" si="607"/>
        <v>0</v>
      </c>
      <c r="BK102" s="270">
        <f t="shared" si="607"/>
        <v>0</v>
      </c>
      <c r="BL102" s="265">
        <f t="shared" si="16"/>
        <v>48398.96</v>
      </c>
      <c r="BM102" s="215"/>
      <c r="BN102" s="270">
        <f t="shared" ref="BN102:CP102" si="608">ROUND(AI101*E$9/12,2)</f>
        <v>0</v>
      </c>
      <c r="BO102" s="270">
        <f t="shared" si="608"/>
        <v>0</v>
      </c>
      <c r="BP102" s="270">
        <f t="shared" si="608"/>
        <v>0</v>
      </c>
      <c r="BQ102" s="270">
        <f t="shared" si="608"/>
        <v>0</v>
      </c>
      <c r="BR102" s="270">
        <f t="shared" si="608"/>
        <v>0</v>
      </c>
      <c r="BS102" s="270">
        <f t="shared" si="608"/>
        <v>0</v>
      </c>
      <c r="BT102" s="270">
        <f t="shared" si="608"/>
        <v>0</v>
      </c>
      <c r="BU102" s="270">
        <f t="shared" si="608"/>
        <v>0</v>
      </c>
      <c r="BV102" s="270">
        <f t="shared" si="608"/>
        <v>0</v>
      </c>
      <c r="BW102" s="270">
        <f t="shared" si="608"/>
        <v>0</v>
      </c>
      <c r="BX102" s="270">
        <f t="shared" si="608"/>
        <v>0</v>
      </c>
      <c r="BY102" s="270">
        <f t="shared" si="608"/>
        <v>-0.05</v>
      </c>
      <c r="BZ102" s="270">
        <f t="shared" si="608"/>
        <v>162.83</v>
      </c>
      <c r="CA102" s="270">
        <f t="shared" si="608"/>
        <v>0</v>
      </c>
      <c r="CB102" s="270">
        <f t="shared" si="608"/>
        <v>0</v>
      </c>
      <c r="CC102" s="270">
        <f t="shared" si="608"/>
        <v>0</v>
      </c>
      <c r="CD102" s="270">
        <f t="shared" si="608"/>
        <v>0</v>
      </c>
      <c r="CE102" s="270">
        <f t="shared" si="608"/>
        <v>0</v>
      </c>
      <c r="CF102" s="270">
        <f t="shared" si="608"/>
        <v>0</v>
      </c>
      <c r="CG102" s="270">
        <f t="shared" si="608"/>
        <v>0</v>
      </c>
      <c r="CH102" s="270">
        <f t="shared" si="608"/>
        <v>0</v>
      </c>
      <c r="CI102" s="270">
        <f t="shared" si="608"/>
        <v>0</v>
      </c>
      <c r="CJ102" s="270">
        <f t="shared" si="608"/>
        <v>0</v>
      </c>
      <c r="CK102" s="270">
        <f t="shared" si="608"/>
        <v>0</v>
      </c>
      <c r="CL102" s="270">
        <f t="shared" si="608"/>
        <v>0</v>
      </c>
      <c r="CM102" s="270">
        <f t="shared" si="608"/>
        <v>0</v>
      </c>
      <c r="CN102" s="270">
        <f t="shared" si="608"/>
        <v>0</v>
      </c>
      <c r="CO102" s="270">
        <f t="shared" si="608"/>
        <v>0</v>
      </c>
      <c r="CP102" s="270">
        <f t="shared" si="608"/>
        <v>0</v>
      </c>
      <c r="CQ102" s="215"/>
      <c r="CR102" s="270">
        <f t="shared" si="27"/>
        <v>162.78</v>
      </c>
      <c r="CS102" s="215"/>
      <c r="CT102" s="270">
        <f t="shared" ref="CT102:DX102" si="609">IF(AI101&gt;0,IF((AI101+BN102)&lt;E$10,AI101+BN102,E$10),0)</f>
        <v>0</v>
      </c>
      <c r="CU102" s="270">
        <f t="shared" si="609"/>
        <v>0</v>
      </c>
      <c r="CV102" s="270">
        <f t="shared" si="609"/>
        <v>0</v>
      </c>
      <c r="CW102" s="270">
        <f t="shared" si="609"/>
        <v>0</v>
      </c>
      <c r="CX102" s="270">
        <f t="shared" si="609"/>
        <v>0</v>
      </c>
      <c r="CY102" s="270">
        <f t="shared" si="609"/>
        <v>0</v>
      </c>
      <c r="CZ102" s="270">
        <f t="shared" si="609"/>
        <v>0</v>
      </c>
      <c r="DA102" s="270">
        <f t="shared" si="609"/>
        <v>0</v>
      </c>
      <c r="DB102" s="270">
        <f t="shared" si="609"/>
        <v>0</v>
      </c>
      <c r="DC102" s="270">
        <f t="shared" si="609"/>
        <v>0</v>
      </c>
      <c r="DD102" s="270">
        <f t="shared" si="609"/>
        <v>0</v>
      </c>
      <c r="DE102" s="270">
        <f t="shared" si="609"/>
        <v>0</v>
      </c>
      <c r="DF102" s="270">
        <f t="shared" si="609"/>
        <v>1467.13</v>
      </c>
      <c r="DG102" s="270">
        <f t="shared" si="609"/>
        <v>0</v>
      </c>
      <c r="DH102" s="270">
        <f t="shared" si="609"/>
        <v>0</v>
      </c>
      <c r="DI102" s="270">
        <f t="shared" si="609"/>
        <v>0</v>
      </c>
      <c r="DJ102" s="270">
        <f t="shared" si="609"/>
        <v>0</v>
      </c>
      <c r="DK102" s="270">
        <f t="shared" si="609"/>
        <v>0</v>
      </c>
      <c r="DL102" s="270">
        <f t="shared" si="609"/>
        <v>0</v>
      </c>
      <c r="DM102" s="270">
        <f t="shared" si="609"/>
        <v>0</v>
      </c>
      <c r="DN102" s="270">
        <f t="shared" si="609"/>
        <v>0</v>
      </c>
      <c r="DO102" s="270">
        <f t="shared" si="609"/>
        <v>0</v>
      </c>
      <c r="DP102" s="270">
        <f t="shared" si="609"/>
        <v>0</v>
      </c>
      <c r="DQ102" s="270">
        <f t="shared" si="609"/>
        <v>0</v>
      </c>
      <c r="DR102" s="270">
        <f t="shared" si="609"/>
        <v>0</v>
      </c>
      <c r="DS102" s="270">
        <f t="shared" si="609"/>
        <v>0</v>
      </c>
      <c r="DT102" s="270">
        <f t="shared" si="609"/>
        <v>0</v>
      </c>
      <c r="DU102" s="270">
        <f t="shared" si="609"/>
        <v>0</v>
      </c>
      <c r="DV102" s="270">
        <f t="shared" si="609"/>
        <v>0</v>
      </c>
      <c r="DW102" s="271" t="str">
        <f t="shared" si="609"/>
        <v/>
      </c>
      <c r="DX102" s="270">
        <f t="shared" si="609"/>
        <v>0</v>
      </c>
      <c r="DY102" s="270">
        <f t="shared" si="29"/>
        <v>1467.13</v>
      </c>
      <c r="DZ102" s="274"/>
      <c r="EA102" s="275">
        <f t="shared" si="38"/>
        <v>0</v>
      </c>
      <c r="EB102" s="270">
        <f t="shared" ref="EB102:FC102" si="610">IF(AJ100&lt;=0,0,IF($C101&lt;=SUM($EA102:EA102),0,IF(CU101+$C101-SUM($EA102:EA102)&gt;AJ100+BO101,AJ100+BO101-CU101,$C101-SUM($EA102:EA102))))</f>
        <v>0</v>
      </c>
      <c r="EC102" s="270">
        <f t="shared" si="610"/>
        <v>0</v>
      </c>
      <c r="ED102" s="270">
        <f t="shared" si="610"/>
        <v>0</v>
      </c>
      <c r="EE102" s="270">
        <f t="shared" si="610"/>
        <v>0</v>
      </c>
      <c r="EF102" s="270">
        <f t="shared" si="610"/>
        <v>0</v>
      </c>
      <c r="EG102" s="270">
        <f t="shared" si="610"/>
        <v>0</v>
      </c>
      <c r="EH102" s="270">
        <f t="shared" si="610"/>
        <v>0</v>
      </c>
      <c r="EI102" s="270">
        <f t="shared" si="610"/>
        <v>0</v>
      </c>
      <c r="EJ102" s="270">
        <f t="shared" si="610"/>
        <v>0</v>
      </c>
      <c r="EK102" s="270">
        <f t="shared" si="610"/>
        <v>0</v>
      </c>
      <c r="EL102" s="270">
        <f t="shared" si="610"/>
        <v>0</v>
      </c>
      <c r="EM102" s="270">
        <f t="shared" si="610"/>
        <v>2394.87</v>
      </c>
      <c r="EN102" s="270">
        <f t="shared" si="610"/>
        <v>0</v>
      </c>
      <c r="EO102" s="270">
        <f t="shared" si="610"/>
        <v>0</v>
      </c>
      <c r="EP102" s="270">
        <f t="shared" si="610"/>
        <v>0</v>
      </c>
      <c r="EQ102" s="270">
        <f t="shared" si="610"/>
        <v>0</v>
      </c>
      <c r="ER102" s="270">
        <f t="shared" si="610"/>
        <v>0</v>
      </c>
      <c r="ES102" s="270">
        <f t="shared" si="610"/>
        <v>0</v>
      </c>
      <c r="ET102" s="270">
        <f t="shared" si="610"/>
        <v>0</v>
      </c>
      <c r="EU102" s="270">
        <f t="shared" si="610"/>
        <v>0</v>
      </c>
      <c r="EV102" s="270">
        <f t="shared" si="610"/>
        <v>0</v>
      </c>
      <c r="EW102" s="270">
        <f t="shared" si="610"/>
        <v>0</v>
      </c>
      <c r="EX102" s="270">
        <f t="shared" si="610"/>
        <v>0</v>
      </c>
      <c r="EY102" s="270">
        <f t="shared" si="610"/>
        <v>0</v>
      </c>
      <c r="EZ102" s="270">
        <f t="shared" si="610"/>
        <v>0</v>
      </c>
      <c r="FA102" s="270">
        <f t="shared" si="610"/>
        <v>0</v>
      </c>
      <c r="FB102" s="270">
        <f t="shared" si="610"/>
        <v>0</v>
      </c>
      <c r="FC102" s="270">
        <f t="shared" si="610"/>
        <v>0</v>
      </c>
      <c r="FD102" s="271"/>
      <c r="FE102" s="271"/>
      <c r="FF102" s="271"/>
      <c r="FG102" s="215"/>
      <c r="FH102" s="215"/>
    </row>
    <row r="103" ht="11.25" customHeight="1">
      <c r="A103" s="231">
        <f t="shared" si="19"/>
        <v>83</v>
      </c>
      <c r="B103" s="241">
        <f t="shared" si="600"/>
        <v>48153</v>
      </c>
      <c r="C103" s="270">
        <f>IF(A103="","",IF(Calculator!snowball,IF(($E$5-DY103)&lt;0,0,$E$5-DY103),0)+D103)</f>
        <v>2394.87</v>
      </c>
      <c r="D103" s="277"/>
      <c r="E103" s="270">
        <f t="shared" si="40"/>
        <v>0</v>
      </c>
      <c r="F103" s="270">
        <f t="shared" ref="F103:AG103" si="611">CU103+EB104</f>
        <v>0</v>
      </c>
      <c r="G103" s="270">
        <f t="shared" si="611"/>
        <v>0</v>
      </c>
      <c r="H103" s="270">
        <f t="shared" si="611"/>
        <v>0</v>
      </c>
      <c r="I103" s="270">
        <f t="shared" si="611"/>
        <v>0</v>
      </c>
      <c r="J103" s="270">
        <f t="shared" si="611"/>
        <v>0</v>
      </c>
      <c r="K103" s="270">
        <f t="shared" si="611"/>
        <v>0</v>
      </c>
      <c r="L103" s="270">
        <f t="shared" si="611"/>
        <v>0</v>
      </c>
      <c r="M103" s="270">
        <f t="shared" si="611"/>
        <v>0</v>
      </c>
      <c r="N103" s="270">
        <f t="shared" si="611"/>
        <v>0</v>
      </c>
      <c r="O103" s="270">
        <f t="shared" si="611"/>
        <v>0</v>
      </c>
      <c r="P103" s="272">
        <f t="shared" si="611"/>
        <v>0</v>
      </c>
      <c r="Q103" s="272">
        <f t="shared" si="611"/>
        <v>3862</v>
      </c>
      <c r="R103" s="272">
        <f t="shared" si="611"/>
        <v>0</v>
      </c>
      <c r="S103" s="272">
        <f t="shared" si="611"/>
        <v>0</v>
      </c>
      <c r="T103" s="272">
        <f t="shared" si="611"/>
        <v>0</v>
      </c>
      <c r="U103" s="270">
        <f t="shared" si="611"/>
        <v>0</v>
      </c>
      <c r="V103" s="270">
        <f t="shared" si="611"/>
        <v>0</v>
      </c>
      <c r="W103" s="270">
        <f t="shared" si="611"/>
        <v>0</v>
      </c>
      <c r="X103" s="270">
        <f t="shared" si="611"/>
        <v>0</v>
      </c>
      <c r="Y103" s="270">
        <f t="shared" si="611"/>
        <v>0</v>
      </c>
      <c r="Z103" s="270">
        <f t="shared" si="611"/>
        <v>0</v>
      </c>
      <c r="AA103" s="270">
        <f t="shared" si="611"/>
        <v>0</v>
      </c>
      <c r="AB103" s="270">
        <f t="shared" si="611"/>
        <v>0</v>
      </c>
      <c r="AC103" s="270">
        <f t="shared" si="611"/>
        <v>0</v>
      </c>
      <c r="AD103" s="270">
        <f t="shared" si="611"/>
        <v>0</v>
      </c>
      <c r="AE103" s="270">
        <f t="shared" si="611"/>
        <v>0</v>
      </c>
      <c r="AF103" s="270">
        <f t="shared" si="611"/>
        <v>0</v>
      </c>
      <c r="AG103" s="270">
        <f t="shared" si="611"/>
        <v>0</v>
      </c>
      <c r="AH103" s="279">
        <f t="shared" si="602"/>
        <v>0</v>
      </c>
      <c r="AI103" s="270">
        <f t="shared" si="43"/>
        <v>0</v>
      </c>
      <c r="AJ103" s="270">
        <f t="shared" ref="AJ103:AO103" si="612">IF(F$8=0,0,ROUND(AJ102-(F103-BO103),2))</f>
        <v>0</v>
      </c>
      <c r="AK103" s="270">
        <f t="shared" si="612"/>
        <v>0</v>
      </c>
      <c r="AL103" s="270">
        <f t="shared" si="612"/>
        <v>0</v>
      </c>
      <c r="AM103" s="270">
        <f t="shared" si="612"/>
        <v>0</v>
      </c>
      <c r="AN103" s="270">
        <f t="shared" si="612"/>
        <v>0</v>
      </c>
      <c r="AO103" s="270">
        <f t="shared" si="612"/>
        <v>0</v>
      </c>
      <c r="AP103" s="270">
        <v>0.0</v>
      </c>
      <c r="AQ103" s="270">
        <f t="shared" ref="AQ103:AS103" si="613">IF(M$8=0,0,ROUND(AQ102-(M103-BV103),2))</f>
        <v>0</v>
      </c>
      <c r="AR103" s="270">
        <f t="shared" si="613"/>
        <v>0</v>
      </c>
      <c r="AS103" s="270">
        <f t="shared" si="613"/>
        <v>0</v>
      </c>
      <c r="AT103" s="270">
        <f t="shared" si="605"/>
        <v>-6.22</v>
      </c>
      <c r="AU103" s="270">
        <f t="shared" si="606"/>
        <v>44694.45</v>
      </c>
      <c r="AV103" s="270">
        <f t="shared" ref="AV103:BK103" si="614">IF(R$8=0,0,ROUND(AV102-(R103-BZ103),2))</f>
        <v>0</v>
      </c>
      <c r="AW103" s="270">
        <f t="shared" si="614"/>
        <v>0</v>
      </c>
      <c r="AX103" s="270">
        <f t="shared" si="614"/>
        <v>0</v>
      </c>
      <c r="AY103" s="270">
        <f t="shared" si="614"/>
        <v>0</v>
      </c>
      <c r="AZ103" s="270">
        <f t="shared" si="614"/>
        <v>0</v>
      </c>
      <c r="BA103" s="270">
        <f t="shared" si="614"/>
        <v>0</v>
      </c>
      <c r="BB103" s="270">
        <f t="shared" si="614"/>
        <v>0</v>
      </c>
      <c r="BC103" s="270">
        <f t="shared" si="614"/>
        <v>0</v>
      </c>
      <c r="BD103" s="270">
        <f t="shared" si="614"/>
        <v>0</v>
      </c>
      <c r="BE103" s="270">
        <f t="shared" si="614"/>
        <v>0</v>
      </c>
      <c r="BF103" s="270">
        <f t="shared" si="614"/>
        <v>0</v>
      </c>
      <c r="BG103" s="270">
        <f t="shared" si="614"/>
        <v>0</v>
      </c>
      <c r="BH103" s="270">
        <f t="shared" si="614"/>
        <v>0</v>
      </c>
      <c r="BI103" s="270">
        <f t="shared" si="614"/>
        <v>0</v>
      </c>
      <c r="BJ103" s="270">
        <f t="shared" si="614"/>
        <v>0</v>
      </c>
      <c r="BK103" s="270">
        <f t="shared" si="614"/>
        <v>0</v>
      </c>
      <c r="BL103" s="265">
        <f t="shared" si="16"/>
        <v>44688.23</v>
      </c>
      <c r="BM103" s="215"/>
      <c r="BN103" s="270">
        <f t="shared" ref="BN103:CP103" si="615">ROUND(AI102*E$9/12,2)</f>
        <v>0</v>
      </c>
      <c r="BO103" s="270">
        <f t="shared" si="615"/>
        <v>0</v>
      </c>
      <c r="BP103" s="270">
        <f t="shared" si="615"/>
        <v>0</v>
      </c>
      <c r="BQ103" s="270">
        <f t="shared" si="615"/>
        <v>0</v>
      </c>
      <c r="BR103" s="270">
        <f t="shared" si="615"/>
        <v>0</v>
      </c>
      <c r="BS103" s="270">
        <f t="shared" si="615"/>
        <v>0</v>
      </c>
      <c r="BT103" s="270">
        <f t="shared" si="615"/>
        <v>0</v>
      </c>
      <c r="BU103" s="270">
        <f t="shared" si="615"/>
        <v>0</v>
      </c>
      <c r="BV103" s="270">
        <f t="shared" si="615"/>
        <v>0</v>
      </c>
      <c r="BW103" s="270">
        <f t="shared" si="615"/>
        <v>0</v>
      </c>
      <c r="BX103" s="270">
        <f t="shared" si="615"/>
        <v>0</v>
      </c>
      <c r="BY103" s="270">
        <f t="shared" si="615"/>
        <v>-0.05</v>
      </c>
      <c r="BZ103" s="270">
        <f t="shared" si="615"/>
        <v>151.27</v>
      </c>
      <c r="CA103" s="270">
        <f t="shared" si="615"/>
        <v>0</v>
      </c>
      <c r="CB103" s="270">
        <f t="shared" si="615"/>
        <v>0</v>
      </c>
      <c r="CC103" s="270">
        <f t="shared" si="615"/>
        <v>0</v>
      </c>
      <c r="CD103" s="270">
        <f t="shared" si="615"/>
        <v>0</v>
      </c>
      <c r="CE103" s="270">
        <f t="shared" si="615"/>
        <v>0</v>
      </c>
      <c r="CF103" s="270">
        <f t="shared" si="615"/>
        <v>0</v>
      </c>
      <c r="CG103" s="270">
        <f t="shared" si="615"/>
        <v>0</v>
      </c>
      <c r="CH103" s="270">
        <f t="shared" si="615"/>
        <v>0</v>
      </c>
      <c r="CI103" s="270">
        <f t="shared" si="615"/>
        <v>0</v>
      </c>
      <c r="CJ103" s="270">
        <f t="shared" si="615"/>
        <v>0</v>
      </c>
      <c r="CK103" s="270">
        <f t="shared" si="615"/>
        <v>0</v>
      </c>
      <c r="CL103" s="270">
        <f t="shared" si="615"/>
        <v>0</v>
      </c>
      <c r="CM103" s="270">
        <f t="shared" si="615"/>
        <v>0</v>
      </c>
      <c r="CN103" s="270">
        <f t="shared" si="615"/>
        <v>0</v>
      </c>
      <c r="CO103" s="270">
        <f t="shared" si="615"/>
        <v>0</v>
      </c>
      <c r="CP103" s="270">
        <f t="shared" si="615"/>
        <v>0</v>
      </c>
      <c r="CQ103" s="215"/>
      <c r="CR103" s="270">
        <f t="shared" si="27"/>
        <v>151.22</v>
      </c>
      <c r="CS103" s="215"/>
      <c r="CT103" s="270">
        <f t="shared" ref="CT103:DX103" si="616">IF(AI102&gt;0,IF((AI102+BN103)&lt;E$10,AI102+BN103,E$10),0)</f>
        <v>0</v>
      </c>
      <c r="CU103" s="270">
        <f t="shared" si="616"/>
        <v>0</v>
      </c>
      <c r="CV103" s="270">
        <f t="shared" si="616"/>
        <v>0</v>
      </c>
      <c r="CW103" s="270">
        <f t="shared" si="616"/>
        <v>0</v>
      </c>
      <c r="CX103" s="270">
        <f t="shared" si="616"/>
        <v>0</v>
      </c>
      <c r="CY103" s="270">
        <f t="shared" si="616"/>
        <v>0</v>
      </c>
      <c r="CZ103" s="270">
        <f t="shared" si="616"/>
        <v>0</v>
      </c>
      <c r="DA103" s="270">
        <f t="shared" si="616"/>
        <v>0</v>
      </c>
      <c r="DB103" s="270">
        <f t="shared" si="616"/>
        <v>0</v>
      </c>
      <c r="DC103" s="270">
        <f t="shared" si="616"/>
        <v>0</v>
      </c>
      <c r="DD103" s="270">
        <f t="shared" si="616"/>
        <v>0</v>
      </c>
      <c r="DE103" s="270">
        <f t="shared" si="616"/>
        <v>0</v>
      </c>
      <c r="DF103" s="270">
        <f t="shared" si="616"/>
        <v>1467.13</v>
      </c>
      <c r="DG103" s="270">
        <f t="shared" si="616"/>
        <v>0</v>
      </c>
      <c r="DH103" s="270">
        <f t="shared" si="616"/>
        <v>0</v>
      </c>
      <c r="DI103" s="270">
        <f t="shared" si="616"/>
        <v>0</v>
      </c>
      <c r="DJ103" s="270">
        <f t="shared" si="616"/>
        <v>0</v>
      </c>
      <c r="DK103" s="270">
        <f t="shared" si="616"/>
        <v>0</v>
      </c>
      <c r="DL103" s="270">
        <f t="shared" si="616"/>
        <v>0</v>
      </c>
      <c r="DM103" s="270">
        <f t="shared" si="616"/>
        <v>0</v>
      </c>
      <c r="DN103" s="270">
        <f t="shared" si="616"/>
        <v>0</v>
      </c>
      <c r="DO103" s="270">
        <f t="shared" si="616"/>
        <v>0</v>
      </c>
      <c r="DP103" s="270">
        <f t="shared" si="616"/>
        <v>0</v>
      </c>
      <c r="DQ103" s="270">
        <f t="shared" si="616"/>
        <v>0</v>
      </c>
      <c r="DR103" s="270">
        <f t="shared" si="616"/>
        <v>0</v>
      </c>
      <c r="DS103" s="270">
        <f t="shared" si="616"/>
        <v>0</v>
      </c>
      <c r="DT103" s="270">
        <f t="shared" si="616"/>
        <v>0</v>
      </c>
      <c r="DU103" s="270">
        <f t="shared" si="616"/>
        <v>0</v>
      </c>
      <c r="DV103" s="270">
        <f t="shared" si="616"/>
        <v>0</v>
      </c>
      <c r="DW103" s="271" t="str">
        <f t="shared" si="616"/>
        <v/>
      </c>
      <c r="DX103" s="270">
        <f t="shared" si="616"/>
        <v>0</v>
      </c>
      <c r="DY103" s="270">
        <f t="shared" si="29"/>
        <v>1467.13</v>
      </c>
      <c r="DZ103" s="274"/>
      <c r="EA103" s="275">
        <f t="shared" si="38"/>
        <v>0</v>
      </c>
      <c r="EB103" s="270">
        <f t="shared" ref="EB103:FC103" si="617">IF(AJ101&lt;=0,0,IF($C102&lt;=SUM($EA103:EA103),0,IF(CU102+$C102-SUM($EA103:EA103)&gt;AJ101+BO102,AJ101+BO102-CU102,$C102-SUM($EA103:EA103))))</f>
        <v>0</v>
      </c>
      <c r="EC103" s="270">
        <f t="shared" si="617"/>
        <v>0</v>
      </c>
      <c r="ED103" s="270">
        <f t="shared" si="617"/>
        <v>0</v>
      </c>
      <c r="EE103" s="270">
        <f t="shared" si="617"/>
        <v>0</v>
      </c>
      <c r="EF103" s="270">
        <f t="shared" si="617"/>
        <v>0</v>
      </c>
      <c r="EG103" s="270">
        <f t="shared" si="617"/>
        <v>0</v>
      </c>
      <c r="EH103" s="270">
        <f t="shared" si="617"/>
        <v>0</v>
      </c>
      <c r="EI103" s="270">
        <f t="shared" si="617"/>
        <v>0</v>
      </c>
      <c r="EJ103" s="270">
        <f t="shared" si="617"/>
        <v>0</v>
      </c>
      <c r="EK103" s="270">
        <f t="shared" si="617"/>
        <v>0</v>
      </c>
      <c r="EL103" s="270">
        <f t="shared" si="617"/>
        <v>0</v>
      </c>
      <c r="EM103" s="270">
        <f t="shared" si="617"/>
        <v>2394.87</v>
      </c>
      <c r="EN103" s="270">
        <f t="shared" si="617"/>
        <v>0</v>
      </c>
      <c r="EO103" s="270">
        <f t="shared" si="617"/>
        <v>0</v>
      </c>
      <c r="EP103" s="270">
        <f t="shared" si="617"/>
        <v>0</v>
      </c>
      <c r="EQ103" s="270">
        <f t="shared" si="617"/>
        <v>0</v>
      </c>
      <c r="ER103" s="270">
        <f t="shared" si="617"/>
        <v>0</v>
      </c>
      <c r="ES103" s="270">
        <f t="shared" si="617"/>
        <v>0</v>
      </c>
      <c r="ET103" s="270">
        <f t="shared" si="617"/>
        <v>0</v>
      </c>
      <c r="EU103" s="270">
        <f t="shared" si="617"/>
        <v>0</v>
      </c>
      <c r="EV103" s="270">
        <f t="shared" si="617"/>
        <v>0</v>
      </c>
      <c r="EW103" s="270">
        <f t="shared" si="617"/>
        <v>0</v>
      </c>
      <c r="EX103" s="270">
        <f t="shared" si="617"/>
        <v>0</v>
      </c>
      <c r="EY103" s="270">
        <f t="shared" si="617"/>
        <v>0</v>
      </c>
      <c r="EZ103" s="270">
        <f t="shared" si="617"/>
        <v>0</v>
      </c>
      <c r="FA103" s="270">
        <f t="shared" si="617"/>
        <v>0</v>
      </c>
      <c r="FB103" s="270">
        <f t="shared" si="617"/>
        <v>0</v>
      </c>
      <c r="FC103" s="270">
        <f t="shared" si="617"/>
        <v>0</v>
      </c>
      <c r="FD103" s="271"/>
      <c r="FE103" s="271"/>
      <c r="FF103" s="271"/>
      <c r="FG103" s="215"/>
      <c r="FH103" s="215"/>
    </row>
    <row r="104" ht="11.25" customHeight="1">
      <c r="A104" s="231">
        <f t="shared" si="19"/>
        <v>84</v>
      </c>
      <c r="B104" s="241">
        <f t="shared" si="600"/>
        <v>48183</v>
      </c>
      <c r="C104" s="270">
        <f>IF(A104="","",IF(Calculator!snowball,IF(($E$5-DY104)&lt;0,0,$E$5-DY104),0)+D104)</f>
        <v>2394.87</v>
      </c>
      <c r="D104" s="277"/>
      <c r="E104" s="270">
        <f t="shared" si="40"/>
        <v>0</v>
      </c>
      <c r="F104" s="270">
        <f t="shared" ref="F104:AG104" si="618">CU104+EB105</f>
        <v>0</v>
      </c>
      <c r="G104" s="270">
        <f t="shared" si="618"/>
        <v>0</v>
      </c>
      <c r="H104" s="270">
        <f t="shared" si="618"/>
        <v>0</v>
      </c>
      <c r="I104" s="270">
        <f t="shared" si="618"/>
        <v>0</v>
      </c>
      <c r="J104" s="270">
        <f t="shared" si="618"/>
        <v>0</v>
      </c>
      <c r="K104" s="270">
        <f t="shared" si="618"/>
        <v>0</v>
      </c>
      <c r="L104" s="270">
        <f t="shared" si="618"/>
        <v>0</v>
      </c>
      <c r="M104" s="270">
        <f t="shared" si="618"/>
        <v>0</v>
      </c>
      <c r="N104" s="270">
        <f t="shared" si="618"/>
        <v>0</v>
      </c>
      <c r="O104" s="270">
        <f t="shared" si="618"/>
        <v>0</v>
      </c>
      <c r="P104" s="272">
        <f t="shared" si="618"/>
        <v>0</v>
      </c>
      <c r="Q104" s="272">
        <f t="shared" si="618"/>
        <v>3862</v>
      </c>
      <c r="R104" s="272">
        <f t="shared" si="618"/>
        <v>0</v>
      </c>
      <c r="S104" s="272">
        <f t="shared" si="618"/>
        <v>0</v>
      </c>
      <c r="T104" s="272">
        <f t="shared" si="618"/>
        <v>0</v>
      </c>
      <c r="U104" s="270">
        <f t="shared" si="618"/>
        <v>0</v>
      </c>
      <c r="V104" s="270">
        <f t="shared" si="618"/>
        <v>0</v>
      </c>
      <c r="W104" s="270">
        <f t="shared" si="618"/>
        <v>0</v>
      </c>
      <c r="X104" s="270">
        <f t="shared" si="618"/>
        <v>0</v>
      </c>
      <c r="Y104" s="270">
        <f t="shared" si="618"/>
        <v>0</v>
      </c>
      <c r="Z104" s="270">
        <f t="shared" si="618"/>
        <v>0</v>
      </c>
      <c r="AA104" s="270">
        <f t="shared" si="618"/>
        <v>0</v>
      </c>
      <c r="AB104" s="270">
        <f t="shared" si="618"/>
        <v>0</v>
      </c>
      <c r="AC104" s="270">
        <f t="shared" si="618"/>
        <v>0</v>
      </c>
      <c r="AD104" s="270">
        <f t="shared" si="618"/>
        <v>0</v>
      </c>
      <c r="AE104" s="270">
        <f t="shared" si="618"/>
        <v>0</v>
      </c>
      <c r="AF104" s="270">
        <f t="shared" si="618"/>
        <v>0</v>
      </c>
      <c r="AG104" s="270">
        <f t="shared" si="618"/>
        <v>0</v>
      </c>
      <c r="AH104" s="279">
        <f t="shared" si="602"/>
        <v>0</v>
      </c>
      <c r="AI104" s="270">
        <f t="shared" si="43"/>
        <v>0</v>
      </c>
      <c r="AJ104" s="270">
        <f t="shared" ref="AJ104:AO104" si="619">IF(F$8=0,0,ROUND(AJ103-(F104-BO104),2))</f>
        <v>0</v>
      </c>
      <c r="AK104" s="270">
        <f t="shared" si="619"/>
        <v>0</v>
      </c>
      <c r="AL104" s="270">
        <f t="shared" si="619"/>
        <v>0</v>
      </c>
      <c r="AM104" s="270">
        <f t="shared" si="619"/>
        <v>0</v>
      </c>
      <c r="AN104" s="270">
        <f t="shared" si="619"/>
        <v>0</v>
      </c>
      <c r="AO104" s="270">
        <f t="shared" si="619"/>
        <v>0</v>
      </c>
      <c r="AP104" s="270">
        <v>0.0</v>
      </c>
      <c r="AQ104" s="270">
        <f t="shared" ref="AQ104:AS104" si="620">IF(M$8=0,0,ROUND(AQ103-(M104-BV104),2))</f>
        <v>0</v>
      </c>
      <c r="AR104" s="270">
        <f t="shared" si="620"/>
        <v>0</v>
      </c>
      <c r="AS104" s="270">
        <f t="shared" si="620"/>
        <v>0</v>
      </c>
      <c r="AT104" s="270">
        <f t="shared" si="605"/>
        <v>-6.22</v>
      </c>
      <c r="AU104" s="270">
        <f t="shared" si="606"/>
        <v>40972.12</v>
      </c>
      <c r="AV104" s="270">
        <f t="shared" ref="AV104:BK104" si="621">IF(R$8=0,0,ROUND(AV103-(R104-BZ104),2))</f>
        <v>0</v>
      </c>
      <c r="AW104" s="270">
        <f t="shared" si="621"/>
        <v>0</v>
      </c>
      <c r="AX104" s="270">
        <f t="shared" si="621"/>
        <v>0</v>
      </c>
      <c r="AY104" s="270">
        <f t="shared" si="621"/>
        <v>0</v>
      </c>
      <c r="AZ104" s="270">
        <f t="shared" si="621"/>
        <v>0</v>
      </c>
      <c r="BA104" s="270">
        <f t="shared" si="621"/>
        <v>0</v>
      </c>
      <c r="BB104" s="270">
        <f t="shared" si="621"/>
        <v>0</v>
      </c>
      <c r="BC104" s="270">
        <f t="shared" si="621"/>
        <v>0</v>
      </c>
      <c r="BD104" s="270">
        <f t="shared" si="621"/>
        <v>0</v>
      </c>
      <c r="BE104" s="270">
        <f t="shared" si="621"/>
        <v>0</v>
      </c>
      <c r="BF104" s="270">
        <f t="shared" si="621"/>
        <v>0</v>
      </c>
      <c r="BG104" s="270">
        <f t="shared" si="621"/>
        <v>0</v>
      </c>
      <c r="BH104" s="270">
        <f t="shared" si="621"/>
        <v>0</v>
      </c>
      <c r="BI104" s="270">
        <f t="shared" si="621"/>
        <v>0</v>
      </c>
      <c r="BJ104" s="270">
        <f t="shared" si="621"/>
        <v>0</v>
      </c>
      <c r="BK104" s="270">
        <f t="shared" si="621"/>
        <v>0</v>
      </c>
      <c r="BL104" s="265">
        <f t="shared" si="16"/>
        <v>40965.9</v>
      </c>
      <c r="BM104" s="215"/>
      <c r="BN104" s="270">
        <f t="shared" ref="BN104:CP104" si="622">ROUND(AI103*E$9/12,2)</f>
        <v>0</v>
      </c>
      <c r="BO104" s="270">
        <f t="shared" si="622"/>
        <v>0</v>
      </c>
      <c r="BP104" s="270">
        <f t="shared" si="622"/>
        <v>0</v>
      </c>
      <c r="BQ104" s="270">
        <f t="shared" si="622"/>
        <v>0</v>
      </c>
      <c r="BR104" s="270">
        <f t="shared" si="622"/>
        <v>0</v>
      </c>
      <c r="BS104" s="270">
        <f t="shared" si="622"/>
        <v>0</v>
      </c>
      <c r="BT104" s="270">
        <f t="shared" si="622"/>
        <v>0</v>
      </c>
      <c r="BU104" s="270">
        <f t="shared" si="622"/>
        <v>0</v>
      </c>
      <c r="BV104" s="270">
        <f t="shared" si="622"/>
        <v>0</v>
      </c>
      <c r="BW104" s="270">
        <f t="shared" si="622"/>
        <v>0</v>
      </c>
      <c r="BX104" s="270">
        <f t="shared" si="622"/>
        <v>0</v>
      </c>
      <c r="BY104" s="270">
        <f t="shared" si="622"/>
        <v>-0.05</v>
      </c>
      <c r="BZ104" s="270">
        <f t="shared" si="622"/>
        <v>139.67</v>
      </c>
      <c r="CA104" s="270">
        <f t="shared" si="622"/>
        <v>0</v>
      </c>
      <c r="CB104" s="270">
        <f t="shared" si="622"/>
        <v>0</v>
      </c>
      <c r="CC104" s="270">
        <f t="shared" si="622"/>
        <v>0</v>
      </c>
      <c r="CD104" s="270">
        <f t="shared" si="622"/>
        <v>0</v>
      </c>
      <c r="CE104" s="270">
        <f t="shared" si="622"/>
        <v>0</v>
      </c>
      <c r="CF104" s="270">
        <f t="shared" si="622"/>
        <v>0</v>
      </c>
      <c r="CG104" s="270">
        <f t="shared" si="622"/>
        <v>0</v>
      </c>
      <c r="CH104" s="270">
        <f t="shared" si="622"/>
        <v>0</v>
      </c>
      <c r="CI104" s="270">
        <f t="shared" si="622"/>
        <v>0</v>
      </c>
      <c r="CJ104" s="270">
        <f t="shared" si="622"/>
        <v>0</v>
      </c>
      <c r="CK104" s="270">
        <f t="shared" si="622"/>
        <v>0</v>
      </c>
      <c r="CL104" s="270">
        <f t="shared" si="622"/>
        <v>0</v>
      </c>
      <c r="CM104" s="270">
        <f t="shared" si="622"/>
        <v>0</v>
      </c>
      <c r="CN104" s="270">
        <f t="shared" si="622"/>
        <v>0</v>
      </c>
      <c r="CO104" s="270">
        <f t="shared" si="622"/>
        <v>0</v>
      </c>
      <c r="CP104" s="270">
        <f t="shared" si="622"/>
        <v>0</v>
      </c>
      <c r="CQ104" s="215"/>
      <c r="CR104" s="270">
        <f t="shared" si="27"/>
        <v>139.62</v>
      </c>
      <c r="CS104" s="215"/>
      <c r="CT104" s="270">
        <f t="shared" ref="CT104:DX104" si="623">IF(AI103&gt;0,IF((AI103+BN104)&lt;E$10,AI103+BN104,E$10),0)</f>
        <v>0</v>
      </c>
      <c r="CU104" s="270">
        <f t="shared" si="623"/>
        <v>0</v>
      </c>
      <c r="CV104" s="270">
        <f t="shared" si="623"/>
        <v>0</v>
      </c>
      <c r="CW104" s="270">
        <f t="shared" si="623"/>
        <v>0</v>
      </c>
      <c r="CX104" s="270">
        <f t="shared" si="623"/>
        <v>0</v>
      </c>
      <c r="CY104" s="270">
        <f t="shared" si="623"/>
        <v>0</v>
      </c>
      <c r="CZ104" s="270">
        <f t="shared" si="623"/>
        <v>0</v>
      </c>
      <c r="DA104" s="270">
        <f t="shared" si="623"/>
        <v>0</v>
      </c>
      <c r="DB104" s="270">
        <f t="shared" si="623"/>
        <v>0</v>
      </c>
      <c r="DC104" s="270">
        <f t="shared" si="623"/>
        <v>0</v>
      </c>
      <c r="DD104" s="270">
        <f t="shared" si="623"/>
        <v>0</v>
      </c>
      <c r="DE104" s="270">
        <f t="shared" si="623"/>
        <v>0</v>
      </c>
      <c r="DF104" s="270">
        <f t="shared" si="623"/>
        <v>1467.13</v>
      </c>
      <c r="DG104" s="270">
        <f t="shared" si="623"/>
        <v>0</v>
      </c>
      <c r="DH104" s="270">
        <f t="shared" si="623"/>
        <v>0</v>
      </c>
      <c r="DI104" s="270">
        <f t="shared" si="623"/>
        <v>0</v>
      </c>
      <c r="DJ104" s="270">
        <f t="shared" si="623"/>
        <v>0</v>
      </c>
      <c r="DK104" s="270">
        <f t="shared" si="623"/>
        <v>0</v>
      </c>
      <c r="DL104" s="270">
        <f t="shared" si="623"/>
        <v>0</v>
      </c>
      <c r="DM104" s="270">
        <f t="shared" si="623"/>
        <v>0</v>
      </c>
      <c r="DN104" s="270">
        <f t="shared" si="623"/>
        <v>0</v>
      </c>
      <c r="DO104" s="270">
        <f t="shared" si="623"/>
        <v>0</v>
      </c>
      <c r="DP104" s="270">
        <f t="shared" si="623"/>
        <v>0</v>
      </c>
      <c r="DQ104" s="270">
        <f t="shared" si="623"/>
        <v>0</v>
      </c>
      <c r="DR104" s="270">
        <f t="shared" si="623"/>
        <v>0</v>
      </c>
      <c r="DS104" s="270">
        <f t="shared" si="623"/>
        <v>0</v>
      </c>
      <c r="DT104" s="270">
        <f t="shared" si="623"/>
        <v>0</v>
      </c>
      <c r="DU104" s="270">
        <f t="shared" si="623"/>
        <v>0</v>
      </c>
      <c r="DV104" s="270">
        <f t="shared" si="623"/>
        <v>0</v>
      </c>
      <c r="DW104" s="271" t="str">
        <f t="shared" si="623"/>
        <v/>
      </c>
      <c r="DX104" s="270">
        <f t="shared" si="623"/>
        <v>0</v>
      </c>
      <c r="DY104" s="270">
        <f t="shared" si="29"/>
        <v>1467.13</v>
      </c>
      <c r="DZ104" s="274"/>
      <c r="EA104" s="275">
        <f t="shared" si="38"/>
        <v>0</v>
      </c>
      <c r="EB104" s="270">
        <f t="shared" ref="EB104:FC104" si="624">IF(AJ102&lt;=0,0,IF($C103&lt;=SUM($EA104:EA104),0,IF(CU103+$C103-SUM($EA104:EA104)&gt;AJ102+BO103,AJ102+BO103-CU103,$C103-SUM($EA104:EA104))))</f>
        <v>0</v>
      </c>
      <c r="EC104" s="270">
        <f t="shared" si="624"/>
        <v>0</v>
      </c>
      <c r="ED104" s="270">
        <f t="shared" si="624"/>
        <v>0</v>
      </c>
      <c r="EE104" s="270">
        <f t="shared" si="624"/>
        <v>0</v>
      </c>
      <c r="EF104" s="270">
        <f t="shared" si="624"/>
        <v>0</v>
      </c>
      <c r="EG104" s="270">
        <f t="shared" si="624"/>
        <v>0</v>
      </c>
      <c r="EH104" s="270">
        <f t="shared" si="624"/>
        <v>0</v>
      </c>
      <c r="EI104" s="270">
        <f t="shared" si="624"/>
        <v>0</v>
      </c>
      <c r="EJ104" s="270">
        <f t="shared" si="624"/>
        <v>0</v>
      </c>
      <c r="EK104" s="270">
        <f t="shared" si="624"/>
        <v>0</v>
      </c>
      <c r="EL104" s="270">
        <f t="shared" si="624"/>
        <v>0</v>
      </c>
      <c r="EM104" s="270">
        <f t="shared" si="624"/>
        <v>2394.87</v>
      </c>
      <c r="EN104" s="270">
        <f t="shared" si="624"/>
        <v>0</v>
      </c>
      <c r="EO104" s="270">
        <f t="shared" si="624"/>
        <v>0</v>
      </c>
      <c r="EP104" s="270">
        <f t="shared" si="624"/>
        <v>0</v>
      </c>
      <c r="EQ104" s="270">
        <f t="shared" si="624"/>
        <v>0</v>
      </c>
      <c r="ER104" s="270">
        <f t="shared" si="624"/>
        <v>0</v>
      </c>
      <c r="ES104" s="270">
        <f t="shared" si="624"/>
        <v>0</v>
      </c>
      <c r="ET104" s="270">
        <f t="shared" si="624"/>
        <v>0</v>
      </c>
      <c r="EU104" s="270">
        <f t="shared" si="624"/>
        <v>0</v>
      </c>
      <c r="EV104" s="270">
        <f t="shared" si="624"/>
        <v>0</v>
      </c>
      <c r="EW104" s="270">
        <f t="shared" si="624"/>
        <v>0</v>
      </c>
      <c r="EX104" s="270">
        <f t="shared" si="624"/>
        <v>0</v>
      </c>
      <c r="EY104" s="270">
        <f t="shared" si="624"/>
        <v>0</v>
      </c>
      <c r="EZ104" s="270">
        <f t="shared" si="624"/>
        <v>0</v>
      </c>
      <c r="FA104" s="270">
        <f t="shared" si="624"/>
        <v>0</v>
      </c>
      <c r="FB104" s="270">
        <f t="shared" si="624"/>
        <v>0</v>
      </c>
      <c r="FC104" s="270">
        <f t="shared" si="624"/>
        <v>0</v>
      </c>
      <c r="FD104" s="271"/>
      <c r="FE104" s="271"/>
      <c r="FF104" s="271"/>
      <c r="FG104" s="215"/>
      <c r="FH104" s="215"/>
    </row>
    <row r="105" ht="11.25" customHeight="1">
      <c r="A105" s="215">
        <f t="shared" si="19"/>
        <v>85</v>
      </c>
      <c r="B105" s="241">
        <f t="shared" si="600"/>
        <v>48214</v>
      </c>
      <c r="C105" s="271">
        <f>IF(A105="","",IF(Calculator!snowball,IF(($E$5-DY105)&lt;0,0,$E$5-DY105),0)+D105)</f>
        <v>2394.87</v>
      </c>
      <c r="D105" s="277"/>
      <c r="E105" s="270">
        <f t="shared" si="40"/>
        <v>0</v>
      </c>
      <c r="F105" s="270">
        <f t="shared" ref="F105:AG105" si="625">CU105+EB106</f>
        <v>0</v>
      </c>
      <c r="G105" s="270">
        <f t="shared" si="625"/>
        <v>0</v>
      </c>
      <c r="H105" s="270">
        <f t="shared" si="625"/>
        <v>0</v>
      </c>
      <c r="I105" s="270">
        <f t="shared" si="625"/>
        <v>0</v>
      </c>
      <c r="J105" s="270">
        <f t="shared" si="625"/>
        <v>0</v>
      </c>
      <c r="K105" s="270">
        <f t="shared" si="625"/>
        <v>0</v>
      </c>
      <c r="L105" s="270">
        <f t="shared" si="625"/>
        <v>0</v>
      </c>
      <c r="M105" s="270">
        <f t="shared" si="625"/>
        <v>0</v>
      </c>
      <c r="N105" s="270">
        <f t="shared" si="625"/>
        <v>0</v>
      </c>
      <c r="O105" s="270">
        <f t="shared" si="625"/>
        <v>0</v>
      </c>
      <c r="P105" s="272">
        <f t="shared" si="625"/>
        <v>0</v>
      </c>
      <c r="Q105" s="272">
        <f t="shared" si="625"/>
        <v>3862</v>
      </c>
      <c r="R105" s="272">
        <f t="shared" si="625"/>
        <v>0</v>
      </c>
      <c r="S105" s="272">
        <f t="shared" si="625"/>
        <v>0</v>
      </c>
      <c r="T105" s="272">
        <f t="shared" si="625"/>
        <v>0</v>
      </c>
      <c r="U105" s="270">
        <f t="shared" si="625"/>
        <v>0</v>
      </c>
      <c r="V105" s="270">
        <f t="shared" si="625"/>
        <v>0</v>
      </c>
      <c r="W105" s="270">
        <f t="shared" si="625"/>
        <v>0</v>
      </c>
      <c r="X105" s="270">
        <f t="shared" si="625"/>
        <v>0</v>
      </c>
      <c r="Y105" s="270">
        <f t="shared" si="625"/>
        <v>0</v>
      </c>
      <c r="Z105" s="270">
        <f t="shared" si="625"/>
        <v>0</v>
      </c>
      <c r="AA105" s="270">
        <f t="shared" si="625"/>
        <v>0</v>
      </c>
      <c r="AB105" s="270">
        <f t="shared" si="625"/>
        <v>0</v>
      </c>
      <c r="AC105" s="270">
        <f t="shared" si="625"/>
        <v>0</v>
      </c>
      <c r="AD105" s="270">
        <f t="shared" si="625"/>
        <v>0</v>
      </c>
      <c r="AE105" s="270">
        <f t="shared" si="625"/>
        <v>0</v>
      </c>
      <c r="AF105" s="270">
        <f t="shared" si="625"/>
        <v>0</v>
      </c>
      <c r="AG105" s="270">
        <f t="shared" si="625"/>
        <v>0</v>
      </c>
      <c r="AH105" s="279">
        <f t="shared" si="602"/>
        <v>0</v>
      </c>
      <c r="AI105" s="270">
        <f t="shared" si="43"/>
        <v>0</v>
      </c>
      <c r="AJ105" s="270">
        <f t="shared" ref="AJ105:AO105" si="626">IF(F$8=0,0,ROUND(AJ104-(F105-BO105),2))</f>
        <v>0</v>
      </c>
      <c r="AK105" s="270">
        <f t="shared" si="626"/>
        <v>0</v>
      </c>
      <c r="AL105" s="270">
        <f t="shared" si="626"/>
        <v>0</v>
      </c>
      <c r="AM105" s="270">
        <f t="shared" si="626"/>
        <v>0</v>
      </c>
      <c r="AN105" s="270">
        <f t="shared" si="626"/>
        <v>0</v>
      </c>
      <c r="AO105" s="270">
        <f t="shared" si="626"/>
        <v>0</v>
      </c>
      <c r="AP105" s="270">
        <v>0.0</v>
      </c>
      <c r="AQ105" s="270">
        <f t="shared" ref="AQ105:AS105" si="627">IF(M$8=0,0,ROUND(AQ104-(M105-BV105),2))</f>
        <v>0</v>
      </c>
      <c r="AR105" s="270">
        <f t="shared" si="627"/>
        <v>0</v>
      </c>
      <c r="AS105" s="270">
        <f t="shared" si="627"/>
        <v>0</v>
      </c>
      <c r="AT105" s="270">
        <f t="shared" si="605"/>
        <v>-6.22</v>
      </c>
      <c r="AU105" s="270">
        <f t="shared" si="606"/>
        <v>37238.16</v>
      </c>
      <c r="AV105" s="270">
        <f t="shared" ref="AV105:BK105" si="628">IF(R$8=0,0,ROUND(AV104-(R105-BZ105),2))</f>
        <v>0</v>
      </c>
      <c r="AW105" s="270">
        <f t="shared" si="628"/>
        <v>0</v>
      </c>
      <c r="AX105" s="270">
        <f t="shared" si="628"/>
        <v>0</v>
      </c>
      <c r="AY105" s="270">
        <f t="shared" si="628"/>
        <v>0</v>
      </c>
      <c r="AZ105" s="270">
        <f t="shared" si="628"/>
        <v>0</v>
      </c>
      <c r="BA105" s="270">
        <f t="shared" si="628"/>
        <v>0</v>
      </c>
      <c r="BB105" s="270">
        <f t="shared" si="628"/>
        <v>0</v>
      </c>
      <c r="BC105" s="270">
        <f t="shared" si="628"/>
        <v>0</v>
      </c>
      <c r="BD105" s="270">
        <f t="shared" si="628"/>
        <v>0</v>
      </c>
      <c r="BE105" s="270">
        <f t="shared" si="628"/>
        <v>0</v>
      </c>
      <c r="BF105" s="270">
        <f t="shared" si="628"/>
        <v>0</v>
      </c>
      <c r="BG105" s="270">
        <f t="shared" si="628"/>
        <v>0</v>
      </c>
      <c r="BH105" s="270">
        <f t="shared" si="628"/>
        <v>0</v>
      </c>
      <c r="BI105" s="270">
        <f t="shared" si="628"/>
        <v>0</v>
      </c>
      <c r="BJ105" s="270">
        <f t="shared" si="628"/>
        <v>0</v>
      </c>
      <c r="BK105" s="270">
        <f t="shared" si="628"/>
        <v>0</v>
      </c>
      <c r="BL105" s="265">
        <f t="shared" si="16"/>
        <v>37231.94</v>
      </c>
      <c r="BM105" s="215"/>
      <c r="BN105" s="270">
        <f t="shared" ref="BN105:CP105" si="629">ROUND(AI104*E$9/12,2)</f>
        <v>0</v>
      </c>
      <c r="BO105" s="270">
        <f t="shared" si="629"/>
        <v>0</v>
      </c>
      <c r="BP105" s="270">
        <f t="shared" si="629"/>
        <v>0</v>
      </c>
      <c r="BQ105" s="270">
        <f t="shared" si="629"/>
        <v>0</v>
      </c>
      <c r="BR105" s="270">
        <f t="shared" si="629"/>
        <v>0</v>
      </c>
      <c r="BS105" s="270">
        <f t="shared" si="629"/>
        <v>0</v>
      </c>
      <c r="BT105" s="270">
        <f t="shared" si="629"/>
        <v>0</v>
      </c>
      <c r="BU105" s="270">
        <f t="shared" si="629"/>
        <v>0</v>
      </c>
      <c r="BV105" s="270">
        <f t="shared" si="629"/>
        <v>0</v>
      </c>
      <c r="BW105" s="270">
        <f t="shared" si="629"/>
        <v>0</v>
      </c>
      <c r="BX105" s="270">
        <f t="shared" si="629"/>
        <v>0</v>
      </c>
      <c r="BY105" s="270">
        <f t="shared" si="629"/>
        <v>-0.05</v>
      </c>
      <c r="BZ105" s="270">
        <f t="shared" si="629"/>
        <v>128.04</v>
      </c>
      <c r="CA105" s="270">
        <f t="shared" si="629"/>
        <v>0</v>
      </c>
      <c r="CB105" s="270">
        <f t="shared" si="629"/>
        <v>0</v>
      </c>
      <c r="CC105" s="270">
        <f t="shared" si="629"/>
        <v>0</v>
      </c>
      <c r="CD105" s="270">
        <f t="shared" si="629"/>
        <v>0</v>
      </c>
      <c r="CE105" s="270">
        <f t="shared" si="629"/>
        <v>0</v>
      </c>
      <c r="CF105" s="270">
        <f t="shared" si="629"/>
        <v>0</v>
      </c>
      <c r="CG105" s="270">
        <f t="shared" si="629"/>
        <v>0</v>
      </c>
      <c r="CH105" s="270">
        <f t="shared" si="629"/>
        <v>0</v>
      </c>
      <c r="CI105" s="270">
        <f t="shared" si="629"/>
        <v>0</v>
      </c>
      <c r="CJ105" s="270">
        <f t="shared" si="629"/>
        <v>0</v>
      </c>
      <c r="CK105" s="270">
        <f t="shared" si="629"/>
        <v>0</v>
      </c>
      <c r="CL105" s="270">
        <f t="shared" si="629"/>
        <v>0</v>
      </c>
      <c r="CM105" s="270">
        <f t="shared" si="629"/>
        <v>0</v>
      </c>
      <c r="CN105" s="270">
        <f t="shared" si="629"/>
        <v>0</v>
      </c>
      <c r="CO105" s="270">
        <f t="shared" si="629"/>
        <v>0</v>
      </c>
      <c r="CP105" s="270">
        <f t="shared" si="629"/>
        <v>0</v>
      </c>
      <c r="CQ105" s="215"/>
      <c r="CR105" s="270">
        <f t="shared" si="27"/>
        <v>127.99</v>
      </c>
      <c r="CS105" s="215"/>
      <c r="CT105" s="270">
        <f t="shared" ref="CT105:DX105" si="630">IF(AI104&gt;0,IF((AI104+BN105)&lt;E$10,AI104+BN105,E$10),0)</f>
        <v>0</v>
      </c>
      <c r="CU105" s="270">
        <f t="shared" si="630"/>
        <v>0</v>
      </c>
      <c r="CV105" s="270">
        <f t="shared" si="630"/>
        <v>0</v>
      </c>
      <c r="CW105" s="270">
        <f t="shared" si="630"/>
        <v>0</v>
      </c>
      <c r="CX105" s="270">
        <f t="shared" si="630"/>
        <v>0</v>
      </c>
      <c r="CY105" s="270">
        <f t="shared" si="630"/>
        <v>0</v>
      </c>
      <c r="CZ105" s="270">
        <f t="shared" si="630"/>
        <v>0</v>
      </c>
      <c r="DA105" s="270">
        <f t="shared" si="630"/>
        <v>0</v>
      </c>
      <c r="DB105" s="270">
        <f t="shared" si="630"/>
        <v>0</v>
      </c>
      <c r="DC105" s="270">
        <f t="shared" si="630"/>
        <v>0</v>
      </c>
      <c r="DD105" s="270">
        <f t="shared" si="630"/>
        <v>0</v>
      </c>
      <c r="DE105" s="270">
        <f t="shared" si="630"/>
        <v>0</v>
      </c>
      <c r="DF105" s="270">
        <f t="shared" si="630"/>
        <v>1467.13</v>
      </c>
      <c r="DG105" s="270">
        <f t="shared" si="630"/>
        <v>0</v>
      </c>
      <c r="DH105" s="270">
        <f t="shared" si="630"/>
        <v>0</v>
      </c>
      <c r="DI105" s="270">
        <f t="shared" si="630"/>
        <v>0</v>
      </c>
      <c r="DJ105" s="270">
        <f t="shared" si="630"/>
        <v>0</v>
      </c>
      <c r="DK105" s="270">
        <f t="shared" si="630"/>
        <v>0</v>
      </c>
      <c r="DL105" s="270">
        <f t="shared" si="630"/>
        <v>0</v>
      </c>
      <c r="DM105" s="270">
        <f t="shared" si="630"/>
        <v>0</v>
      </c>
      <c r="DN105" s="270">
        <f t="shared" si="630"/>
        <v>0</v>
      </c>
      <c r="DO105" s="270">
        <f t="shared" si="630"/>
        <v>0</v>
      </c>
      <c r="DP105" s="270">
        <f t="shared" si="630"/>
        <v>0</v>
      </c>
      <c r="DQ105" s="270">
        <f t="shared" si="630"/>
        <v>0</v>
      </c>
      <c r="DR105" s="270">
        <f t="shared" si="630"/>
        <v>0</v>
      </c>
      <c r="DS105" s="270">
        <f t="shared" si="630"/>
        <v>0</v>
      </c>
      <c r="DT105" s="270">
        <f t="shared" si="630"/>
        <v>0</v>
      </c>
      <c r="DU105" s="270">
        <f t="shared" si="630"/>
        <v>0</v>
      </c>
      <c r="DV105" s="270">
        <f t="shared" si="630"/>
        <v>0</v>
      </c>
      <c r="DW105" s="270" t="str">
        <f t="shared" si="630"/>
        <v/>
      </c>
      <c r="DX105" s="270">
        <f t="shared" si="630"/>
        <v>0</v>
      </c>
      <c r="DY105" s="270">
        <f t="shared" si="29"/>
        <v>1467.13</v>
      </c>
      <c r="DZ105" s="274"/>
      <c r="EA105" s="275">
        <f t="shared" si="38"/>
        <v>0</v>
      </c>
      <c r="EB105" s="270">
        <f t="shared" ref="EB105:FC105" si="631">IF(AJ103&lt;=0,0,IF($C104&lt;=SUM($EA105:EA105),0,IF(CU104+$C104-SUM($EA105:EA105)&gt;AJ103+BO104,AJ103+BO104-CU104,$C104-SUM($EA105:EA105))))</f>
        <v>0</v>
      </c>
      <c r="EC105" s="270">
        <f t="shared" si="631"/>
        <v>0</v>
      </c>
      <c r="ED105" s="270">
        <f t="shared" si="631"/>
        <v>0</v>
      </c>
      <c r="EE105" s="270">
        <f t="shared" si="631"/>
        <v>0</v>
      </c>
      <c r="EF105" s="270">
        <f t="shared" si="631"/>
        <v>0</v>
      </c>
      <c r="EG105" s="270">
        <f t="shared" si="631"/>
        <v>0</v>
      </c>
      <c r="EH105" s="270">
        <f t="shared" si="631"/>
        <v>0</v>
      </c>
      <c r="EI105" s="270">
        <f t="shared" si="631"/>
        <v>0</v>
      </c>
      <c r="EJ105" s="270">
        <f t="shared" si="631"/>
        <v>0</v>
      </c>
      <c r="EK105" s="270">
        <f t="shared" si="631"/>
        <v>0</v>
      </c>
      <c r="EL105" s="270">
        <f t="shared" si="631"/>
        <v>0</v>
      </c>
      <c r="EM105" s="270">
        <f t="shared" si="631"/>
        <v>2394.87</v>
      </c>
      <c r="EN105" s="270">
        <f t="shared" si="631"/>
        <v>0</v>
      </c>
      <c r="EO105" s="270">
        <f t="shared" si="631"/>
        <v>0</v>
      </c>
      <c r="EP105" s="270">
        <f t="shared" si="631"/>
        <v>0</v>
      </c>
      <c r="EQ105" s="270">
        <f t="shared" si="631"/>
        <v>0</v>
      </c>
      <c r="ER105" s="270">
        <f t="shared" si="631"/>
        <v>0</v>
      </c>
      <c r="ES105" s="270">
        <f t="shared" si="631"/>
        <v>0</v>
      </c>
      <c r="ET105" s="270">
        <f t="shared" si="631"/>
        <v>0</v>
      </c>
      <c r="EU105" s="270">
        <f t="shared" si="631"/>
        <v>0</v>
      </c>
      <c r="EV105" s="270">
        <f t="shared" si="631"/>
        <v>0</v>
      </c>
      <c r="EW105" s="270">
        <f t="shared" si="631"/>
        <v>0</v>
      </c>
      <c r="EX105" s="270">
        <f t="shared" si="631"/>
        <v>0</v>
      </c>
      <c r="EY105" s="270">
        <f t="shared" si="631"/>
        <v>0</v>
      </c>
      <c r="EZ105" s="270">
        <f t="shared" si="631"/>
        <v>0</v>
      </c>
      <c r="FA105" s="270">
        <f t="shared" si="631"/>
        <v>0</v>
      </c>
      <c r="FB105" s="270">
        <f t="shared" si="631"/>
        <v>0</v>
      </c>
      <c r="FC105" s="270">
        <f t="shared" si="631"/>
        <v>0</v>
      </c>
      <c r="FD105" s="271"/>
      <c r="FE105" s="271"/>
      <c r="FF105" s="271"/>
      <c r="FG105" s="215"/>
      <c r="FH105" s="215"/>
    </row>
    <row r="106" ht="11.25" customHeight="1">
      <c r="A106" s="215">
        <f t="shared" si="19"/>
        <v>86</v>
      </c>
      <c r="B106" s="241">
        <f t="shared" si="600"/>
        <v>48245</v>
      </c>
      <c r="C106" s="271">
        <f>IF(A106="","",IF(Calculator!snowball,IF(($E$5-DY106)&lt;0,0,$E$5-DY106),0)+D106)</f>
        <v>2394.87</v>
      </c>
      <c r="D106" s="277"/>
      <c r="E106" s="270">
        <f t="shared" si="40"/>
        <v>0</v>
      </c>
      <c r="F106" s="270">
        <f t="shared" ref="F106:AG106" si="632">CU106+EB107</f>
        <v>0</v>
      </c>
      <c r="G106" s="270">
        <f t="shared" si="632"/>
        <v>0</v>
      </c>
      <c r="H106" s="270">
        <f t="shared" si="632"/>
        <v>0</v>
      </c>
      <c r="I106" s="270">
        <f t="shared" si="632"/>
        <v>0</v>
      </c>
      <c r="J106" s="270">
        <f t="shared" si="632"/>
        <v>0</v>
      </c>
      <c r="K106" s="270">
        <f t="shared" si="632"/>
        <v>0</v>
      </c>
      <c r="L106" s="270">
        <f t="shared" si="632"/>
        <v>0</v>
      </c>
      <c r="M106" s="270">
        <f t="shared" si="632"/>
        <v>0</v>
      </c>
      <c r="N106" s="270">
        <f t="shared" si="632"/>
        <v>0</v>
      </c>
      <c r="O106" s="270">
        <f t="shared" si="632"/>
        <v>0</v>
      </c>
      <c r="P106" s="272">
        <f t="shared" si="632"/>
        <v>0</v>
      </c>
      <c r="Q106" s="272">
        <f t="shared" si="632"/>
        <v>3862</v>
      </c>
      <c r="R106" s="272">
        <f t="shared" si="632"/>
        <v>0</v>
      </c>
      <c r="S106" s="272">
        <f t="shared" si="632"/>
        <v>0</v>
      </c>
      <c r="T106" s="272">
        <f t="shared" si="632"/>
        <v>0</v>
      </c>
      <c r="U106" s="270">
        <f t="shared" si="632"/>
        <v>0</v>
      </c>
      <c r="V106" s="270">
        <f t="shared" si="632"/>
        <v>0</v>
      </c>
      <c r="W106" s="270">
        <f t="shared" si="632"/>
        <v>0</v>
      </c>
      <c r="X106" s="270">
        <f t="shared" si="632"/>
        <v>0</v>
      </c>
      <c r="Y106" s="270">
        <f t="shared" si="632"/>
        <v>0</v>
      </c>
      <c r="Z106" s="270">
        <f t="shared" si="632"/>
        <v>0</v>
      </c>
      <c r="AA106" s="270">
        <f t="shared" si="632"/>
        <v>0</v>
      </c>
      <c r="AB106" s="270">
        <f t="shared" si="632"/>
        <v>0</v>
      </c>
      <c r="AC106" s="270">
        <f t="shared" si="632"/>
        <v>0</v>
      </c>
      <c r="AD106" s="270">
        <f t="shared" si="632"/>
        <v>0</v>
      </c>
      <c r="AE106" s="270">
        <f t="shared" si="632"/>
        <v>0</v>
      </c>
      <c r="AF106" s="270">
        <f t="shared" si="632"/>
        <v>0</v>
      </c>
      <c r="AG106" s="270">
        <f t="shared" si="632"/>
        <v>0</v>
      </c>
      <c r="AH106" s="279">
        <f t="shared" si="602"/>
        <v>0</v>
      </c>
      <c r="AI106" s="270">
        <f t="shared" si="43"/>
        <v>0</v>
      </c>
      <c r="AJ106" s="270">
        <f t="shared" ref="AJ106:AO106" si="633">IF(F$8=0,0,ROUND(AJ105-(F106-BO106),2))</f>
        <v>0</v>
      </c>
      <c r="AK106" s="270">
        <f t="shared" si="633"/>
        <v>0</v>
      </c>
      <c r="AL106" s="270">
        <f t="shared" si="633"/>
        <v>0</v>
      </c>
      <c r="AM106" s="270">
        <f t="shared" si="633"/>
        <v>0</v>
      </c>
      <c r="AN106" s="270">
        <f t="shared" si="633"/>
        <v>0</v>
      </c>
      <c r="AO106" s="270">
        <f t="shared" si="633"/>
        <v>0</v>
      </c>
      <c r="AP106" s="270">
        <v>0.0</v>
      </c>
      <c r="AQ106" s="270">
        <f t="shared" ref="AQ106:AS106" si="634">IF(M$8=0,0,ROUND(AQ105-(M106-BV106),2))</f>
        <v>0</v>
      </c>
      <c r="AR106" s="270">
        <f t="shared" si="634"/>
        <v>0</v>
      </c>
      <c r="AS106" s="270">
        <f t="shared" si="634"/>
        <v>0</v>
      </c>
      <c r="AT106" s="270">
        <f t="shared" si="605"/>
        <v>-6.22</v>
      </c>
      <c r="AU106" s="270">
        <f t="shared" si="606"/>
        <v>33492.53</v>
      </c>
      <c r="AV106" s="270">
        <f t="shared" ref="AV106:BK106" si="635">IF(R$8=0,0,ROUND(AV105-(R106-BZ106),2))</f>
        <v>0</v>
      </c>
      <c r="AW106" s="270">
        <f t="shared" si="635"/>
        <v>0</v>
      </c>
      <c r="AX106" s="270">
        <f t="shared" si="635"/>
        <v>0</v>
      </c>
      <c r="AY106" s="270">
        <f t="shared" si="635"/>
        <v>0</v>
      </c>
      <c r="AZ106" s="270">
        <f t="shared" si="635"/>
        <v>0</v>
      </c>
      <c r="BA106" s="270">
        <f t="shared" si="635"/>
        <v>0</v>
      </c>
      <c r="BB106" s="270">
        <f t="shared" si="635"/>
        <v>0</v>
      </c>
      <c r="BC106" s="270">
        <f t="shared" si="635"/>
        <v>0</v>
      </c>
      <c r="BD106" s="270">
        <f t="shared" si="635"/>
        <v>0</v>
      </c>
      <c r="BE106" s="270">
        <f t="shared" si="635"/>
        <v>0</v>
      </c>
      <c r="BF106" s="270">
        <f t="shared" si="635"/>
        <v>0</v>
      </c>
      <c r="BG106" s="270">
        <f t="shared" si="635"/>
        <v>0</v>
      </c>
      <c r="BH106" s="270">
        <f t="shared" si="635"/>
        <v>0</v>
      </c>
      <c r="BI106" s="270">
        <f t="shared" si="635"/>
        <v>0</v>
      </c>
      <c r="BJ106" s="270">
        <f t="shared" si="635"/>
        <v>0</v>
      </c>
      <c r="BK106" s="270">
        <f t="shared" si="635"/>
        <v>0</v>
      </c>
      <c r="BL106" s="265">
        <f t="shared" si="16"/>
        <v>33486.31</v>
      </c>
      <c r="BM106" s="215"/>
      <c r="BN106" s="270">
        <f t="shared" ref="BN106:CP106" si="636">ROUND(AI105*E$9/12,2)</f>
        <v>0</v>
      </c>
      <c r="BO106" s="270">
        <f t="shared" si="636"/>
        <v>0</v>
      </c>
      <c r="BP106" s="270">
        <f t="shared" si="636"/>
        <v>0</v>
      </c>
      <c r="BQ106" s="270">
        <f t="shared" si="636"/>
        <v>0</v>
      </c>
      <c r="BR106" s="270">
        <f t="shared" si="636"/>
        <v>0</v>
      </c>
      <c r="BS106" s="270">
        <f t="shared" si="636"/>
        <v>0</v>
      </c>
      <c r="BT106" s="270">
        <f t="shared" si="636"/>
        <v>0</v>
      </c>
      <c r="BU106" s="270">
        <f t="shared" si="636"/>
        <v>0</v>
      </c>
      <c r="BV106" s="270">
        <f t="shared" si="636"/>
        <v>0</v>
      </c>
      <c r="BW106" s="270">
        <f t="shared" si="636"/>
        <v>0</v>
      </c>
      <c r="BX106" s="270">
        <f t="shared" si="636"/>
        <v>0</v>
      </c>
      <c r="BY106" s="270">
        <f t="shared" si="636"/>
        <v>-0.05</v>
      </c>
      <c r="BZ106" s="270">
        <f t="shared" si="636"/>
        <v>116.37</v>
      </c>
      <c r="CA106" s="270">
        <f t="shared" si="636"/>
        <v>0</v>
      </c>
      <c r="CB106" s="270">
        <f t="shared" si="636"/>
        <v>0</v>
      </c>
      <c r="CC106" s="270">
        <f t="shared" si="636"/>
        <v>0</v>
      </c>
      <c r="CD106" s="270">
        <f t="shared" si="636"/>
        <v>0</v>
      </c>
      <c r="CE106" s="270">
        <f t="shared" si="636"/>
        <v>0</v>
      </c>
      <c r="CF106" s="270">
        <f t="shared" si="636"/>
        <v>0</v>
      </c>
      <c r="CG106" s="270">
        <f t="shared" si="636"/>
        <v>0</v>
      </c>
      <c r="CH106" s="270">
        <f t="shared" si="636"/>
        <v>0</v>
      </c>
      <c r="CI106" s="270">
        <f t="shared" si="636"/>
        <v>0</v>
      </c>
      <c r="CJ106" s="270">
        <f t="shared" si="636"/>
        <v>0</v>
      </c>
      <c r="CK106" s="270">
        <f t="shared" si="636"/>
        <v>0</v>
      </c>
      <c r="CL106" s="270">
        <f t="shared" si="636"/>
        <v>0</v>
      </c>
      <c r="CM106" s="270">
        <f t="shared" si="636"/>
        <v>0</v>
      </c>
      <c r="CN106" s="270">
        <f t="shared" si="636"/>
        <v>0</v>
      </c>
      <c r="CO106" s="270">
        <f t="shared" si="636"/>
        <v>0</v>
      </c>
      <c r="CP106" s="270">
        <f t="shared" si="636"/>
        <v>0</v>
      </c>
      <c r="CQ106" s="215"/>
      <c r="CR106" s="270">
        <f t="shared" si="27"/>
        <v>116.32</v>
      </c>
      <c r="CS106" s="215"/>
      <c r="CT106" s="270">
        <f t="shared" ref="CT106:DX106" si="637">IF(AI105&gt;0,IF((AI105+BN106)&lt;E$10,AI105+BN106,E$10),0)</f>
        <v>0</v>
      </c>
      <c r="CU106" s="270">
        <f t="shared" si="637"/>
        <v>0</v>
      </c>
      <c r="CV106" s="270">
        <f t="shared" si="637"/>
        <v>0</v>
      </c>
      <c r="CW106" s="270">
        <f t="shared" si="637"/>
        <v>0</v>
      </c>
      <c r="CX106" s="270">
        <f t="shared" si="637"/>
        <v>0</v>
      </c>
      <c r="CY106" s="270">
        <f t="shared" si="637"/>
        <v>0</v>
      </c>
      <c r="CZ106" s="270">
        <f t="shared" si="637"/>
        <v>0</v>
      </c>
      <c r="DA106" s="270">
        <f t="shared" si="637"/>
        <v>0</v>
      </c>
      <c r="DB106" s="270">
        <f t="shared" si="637"/>
        <v>0</v>
      </c>
      <c r="DC106" s="270">
        <f t="shared" si="637"/>
        <v>0</v>
      </c>
      <c r="DD106" s="270">
        <f t="shared" si="637"/>
        <v>0</v>
      </c>
      <c r="DE106" s="270">
        <f t="shared" si="637"/>
        <v>0</v>
      </c>
      <c r="DF106" s="270">
        <f t="shared" si="637"/>
        <v>1467.13</v>
      </c>
      <c r="DG106" s="270">
        <f t="shared" si="637"/>
        <v>0</v>
      </c>
      <c r="DH106" s="270">
        <f t="shared" si="637"/>
        <v>0</v>
      </c>
      <c r="DI106" s="270">
        <f t="shared" si="637"/>
        <v>0</v>
      </c>
      <c r="DJ106" s="270">
        <f t="shared" si="637"/>
        <v>0</v>
      </c>
      <c r="DK106" s="270">
        <f t="shared" si="637"/>
        <v>0</v>
      </c>
      <c r="DL106" s="270">
        <f t="shared" si="637"/>
        <v>0</v>
      </c>
      <c r="DM106" s="270">
        <f t="shared" si="637"/>
        <v>0</v>
      </c>
      <c r="DN106" s="270">
        <f t="shared" si="637"/>
        <v>0</v>
      </c>
      <c r="DO106" s="270">
        <f t="shared" si="637"/>
        <v>0</v>
      </c>
      <c r="DP106" s="270">
        <f t="shared" si="637"/>
        <v>0</v>
      </c>
      <c r="DQ106" s="270">
        <f t="shared" si="637"/>
        <v>0</v>
      </c>
      <c r="DR106" s="270">
        <f t="shared" si="637"/>
        <v>0</v>
      </c>
      <c r="DS106" s="270">
        <f t="shared" si="637"/>
        <v>0</v>
      </c>
      <c r="DT106" s="270">
        <f t="shared" si="637"/>
        <v>0</v>
      </c>
      <c r="DU106" s="270">
        <f t="shared" si="637"/>
        <v>0</v>
      </c>
      <c r="DV106" s="270">
        <f t="shared" si="637"/>
        <v>0</v>
      </c>
      <c r="DW106" s="270" t="str">
        <f t="shared" si="637"/>
        <v/>
      </c>
      <c r="DX106" s="270">
        <f t="shared" si="637"/>
        <v>0</v>
      </c>
      <c r="DY106" s="270">
        <f t="shared" si="29"/>
        <v>1467.13</v>
      </c>
      <c r="DZ106" s="274"/>
      <c r="EA106" s="275">
        <f t="shared" si="38"/>
        <v>0</v>
      </c>
      <c r="EB106" s="270">
        <f t="shared" ref="EB106:FC106" si="638">IF(AJ104&lt;=0,0,IF($C105&lt;=SUM($EA106:EA106),0,IF(CU105+$C105-SUM($EA106:EA106)&gt;AJ104+BO105,AJ104+BO105-CU105,$C105-SUM($EA106:EA106))))</f>
        <v>0</v>
      </c>
      <c r="EC106" s="270">
        <f t="shared" si="638"/>
        <v>0</v>
      </c>
      <c r="ED106" s="270">
        <f t="shared" si="638"/>
        <v>0</v>
      </c>
      <c r="EE106" s="270">
        <f t="shared" si="638"/>
        <v>0</v>
      </c>
      <c r="EF106" s="270">
        <f t="shared" si="638"/>
        <v>0</v>
      </c>
      <c r="EG106" s="270">
        <f t="shared" si="638"/>
        <v>0</v>
      </c>
      <c r="EH106" s="270">
        <f t="shared" si="638"/>
        <v>0</v>
      </c>
      <c r="EI106" s="270">
        <f t="shared" si="638"/>
        <v>0</v>
      </c>
      <c r="EJ106" s="270">
        <f t="shared" si="638"/>
        <v>0</v>
      </c>
      <c r="EK106" s="270">
        <f t="shared" si="638"/>
        <v>0</v>
      </c>
      <c r="EL106" s="270">
        <f t="shared" si="638"/>
        <v>0</v>
      </c>
      <c r="EM106" s="270">
        <f t="shared" si="638"/>
        <v>2394.87</v>
      </c>
      <c r="EN106" s="270">
        <f t="shared" si="638"/>
        <v>0</v>
      </c>
      <c r="EO106" s="270">
        <f t="shared" si="638"/>
        <v>0</v>
      </c>
      <c r="EP106" s="270">
        <f t="shared" si="638"/>
        <v>0</v>
      </c>
      <c r="EQ106" s="270">
        <f t="shared" si="638"/>
        <v>0</v>
      </c>
      <c r="ER106" s="270">
        <f t="shared" si="638"/>
        <v>0</v>
      </c>
      <c r="ES106" s="270">
        <f t="shared" si="638"/>
        <v>0</v>
      </c>
      <c r="ET106" s="270">
        <f t="shared" si="638"/>
        <v>0</v>
      </c>
      <c r="EU106" s="270">
        <f t="shared" si="638"/>
        <v>0</v>
      </c>
      <c r="EV106" s="270">
        <f t="shared" si="638"/>
        <v>0</v>
      </c>
      <c r="EW106" s="270">
        <f t="shared" si="638"/>
        <v>0</v>
      </c>
      <c r="EX106" s="270">
        <f t="shared" si="638"/>
        <v>0</v>
      </c>
      <c r="EY106" s="270">
        <f t="shared" si="638"/>
        <v>0</v>
      </c>
      <c r="EZ106" s="270">
        <f t="shared" si="638"/>
        <v>0</v>
      </c>
      <c r="FA106" s="270">
        <f t="shared" si="638"/>
        <v>0</v>
      </c>
      <c r="FB106" s="270">
        <f t="shared" si="638"/>
        <v>0</v>
      </c>
      <c r="FC106" s="270">
        <f t="shared" si="638"/>
        <v>0</v>
      </c>
      <c r="FD106" s="271"/>
      <c r="FE106" s="271"/>
      <c r="FF106" s="271"/>
      <c r="FG106" s="215"/>
      <c r="FH106" s="215"/>
    </row>
    <row r="107" ht="11.25" customHeight="1">
      <c r="A107" s="215">
        <f t="shared" si="19"/>
        <v>87</v>
      </c>
      <c r="B107" s="241">
        <f t="shared" si="600"/>
        <v>48274</v>
      </c>
      <c r="C107" s="271">
        <f>IF(A107="","",IF(Calculator!snowball,IF(($E$5-DY107)&lt;0,0,$E$5-DY107),0)+D107)</f>
        <v>2394.87</v>
      </c>
      <c r="D107" s="277"/>
      <c r="E107" s="270">
        <f t="shared" si="40"/>
        <v>0</v>
      </c>
      <c r="F107" s="270">
        <f t="shared" ref="F107:AG107" si="639">CU107+EB108</f>
        <v>0</v>
      </c>
      <c r="G107" s="270">
        <f t="shared" si="639"/>
        <v>0</v>
      </c>
      <c r="H107" s="270">
        <f t="shared" si="639"/>
        <v>0</v>
      </c>
      <c r="I107" s="270">
        <f t="shared" si="639"/>
        <v>0</v>
      </c>
      <c r="J107" s="270">
        <f t="shared" si="639"/>
        <v>0</v>
      </c>
      <c r="K107" s="270">
        <f t="shared" si="639"/>
        <v>0</v>
      </c>
      <c r="L107" s="270">
        <f t="shared" si="639"/>
        <v>0</v>
      </c>
      <c r="M107" s="270">
        <f t="shared" si="639"/>
        <v>0</v>
      </c>
      <c r="N107" s="270">
        <f t="shared" si="639"/>
        <v>0</v>
      </c>
      <c r="O107" s="270">
        <f t="shared" si="639"/>
        <v>0</v>
      </c>
      <c r="P107" s="272">
        <f t="shared" si="639"/>
        <v>0</v>
      </c>
      <c r="Q107" s="272">
        <f t="shared" si="639"/>
        <v>3862</v>
      </c>
      <c r="R107" s="272">
        <f t="shared" si="639"/>
        <v>0</v>
      </c>
      <c r="S107" s="272">
        <f t="shared" si="639"/>
        <v>0</v>
      </c>
      <c r="T107" s="272">
        <f t="shared" si="639"/>
        <v>0</v>
      </c>
      <c r="U107" s="270">
        <f t="shared" si="639"/>
        <v>0</v>
      </c>
      <c r="V107" s="270">
        <f t="shared" si="639"/>
        <v>0</v>
      </c>
      <c r="W107" s="270">
        <f t="shared" si="639"/>
        <v>0</v>
      </c>
      <c r="X107" s="270">
        <f t="shared" si="639"/>
        <v>0</v>
      </c>
      <c r="Y107" s="270">
        <f t="shared" si="639"/>
        <v>0</v>
      </c>
      <c r="Z107" s="270">
        <f t="shared" si="639"/>
        <v>0</v>
      </c>
      <c r="AA107" s="270">
        <f t="shared" si="639"/>
        <v>0</v>
      </c>
      <c r="AB107" s="270">
        <f t="shared" si="639"/>
        <v>0</v>
      </c>
      <c r="AC107" s="270">
        <f t="shared" si="639"/>
        <v>0</v>
      </c>
      <c r="AD107" s="270">
        <f t="shared" si="639"/>
        <v>0</v>
      </c>
      <c r="AE107" s="270">
        <f t="shared" si="639"/>
        <v>0</v>
      </c>
      <c r="AF107" s="270">
        <f t="shared" si="639"/>
        <v>0</v>
      </c>
      <c r="AG107" s="270">
        <f t="shared" si="639"/>
        <v>0</v>
      </c>
      <c r="AH107" s="279">
        <f t="shared" si="602"/>
        <v>0</v>
      </c>
      <c r="AI107" s="270">
        <f t="shared" si="43"/>
        <v>0</v>
      </c>
      <c r="AJ107" s="270">
        <f t="shared" ref="AJ107:AO107" si="640">IF(F$8=0,0,ROUND(AJ106-(F107-BO107),2))</f>
        <v>0</v>
      </c>
      <c r="AK107" s="270">
        <f t="shared" si="640"/>
        <v>0</v>
      </c>
      <c r="AL107" s="270">
        <f t="shared" si="640"/>
        <v>0</v>
      </c>
      <c r="AM107" s="270">
        <f t="shared" si="640"/>
        <v>0</v>
      </c>
      <c r="AN107" s="270">
        <f t="shared" si="640"/>
        <v>0</v>
      </c>
      <c r="AO107" s="270">
        <f t="shared" si="640"/>
        <v>0</v>
      </c>
      <c r="AP107" s="270">
        <v>0.0</v>
      </c>
      <c r="AQ107" s="270">
        <f t="shared" ref="AQ107:AS107" si="641">IF(M$8=0,0,ROUND(AQ106-(M107-BV107),2))</f>
        <v>0</v>
      </c>
      <c r="AR107" s="270">
        <f t="shared" si="641"/>
        <v>0</v>
      </c>
      <c r="AS107" s="270">
        <f t="shared" si="641"/>
        <v>0</v>
      </c>
      <c r="AT107" s="270">
        <f t="shared" si="605"/>
        <v>-6.22</v>
      </c>
      <c r="AU107" s="270">
        <f t="shared" si="606"/>
        <v>29735.19</v>
      </c>
      <c r="AV107" s="270">
        <f t="shared" ref="AV107:BK107" si="642">IF(R$8=0,0,ROUND(AV106-(R107-BZ107),2))</f>
        <v>0</v>
      </c>
      <c r="AW107" s="270">
        <f t="shared" si="642"/>
        <v>0</v>
      </c>
      <c r="AX107" s="270">
        <f t="shared" si="642"/>
        <v>0</v>
      </c>
      <c r="AY107" s="270">
        <f t="shared" si="642"/>
        <v>0</v>
      </c>
      <c r="AZ107" s="270">
        <f t="shared" si="642"/>
        <v>0</v>
      </c>
      <c r="BA107" s="270">
        <f t="shared" si="642"/>
        <v>0</v>
      </c>
      <c r="BB107" s="270">
        <f t="shared" si="642"/>
        <v>0</v>
      </c>
      <c r="BC107" s="270">
        <f t="shared" si="642"/>
        <v>0</v>
      </c>
      <c r="BD107" s="270">
        <f t="shared" si="642"/>
        <v>0</v>
      </c>
      <c r="BE107" s="270">
        <f t="shared" si="642"/>
        <v>0</v>
      </c>
      <c r="BF107" s="270">
        <f t="shared" si="642"/>
        <v>0</v>
      </c>
      <c r="BG107" s="270">
        <f t="shared" si="642"/>
        <v>0</v>
      </c>
      <c r="BH107" s="270">
        <f t="shared" si="642"/>
        <v>0</v>
      </c>
      <c r="BI107" s="270">
        <f t="shared" si="642"/>
        <v>0</v>
      </c>
      <c r="BJ107" s="270">
        <f t="shared" si="642"/>
        <v>0</v>
      </c>
      <c r="BK107" s="270">
        <f t="shared" si="642"/>
        <v>0</v>
      </c>
      <c r="BL107" s="265">
        <f t="shared" si="16"/>
        <v>29728.97</v>
      </c>
      <c r="BM107" s="215"/>
      <c r="BN107" s="270">
        <f t="shared" ref="BN107:CP107" si="643">ROUND(AI106*E$9/12,2)</f>
        <v>0</v>
      </c>
      <c r="BO107" s="270">
        <f t="shared" si="643"/>
        <v>0</v>
      </c>
      <c r="BP107" s="270">
        <f t="shared" si="643"/>
        <v>0</v>
      </c>
      <c r="BQ107" s="270">
        <f t="shared" si="643"/>
        <v>0</v>
      </c>
      <c r="BR107" s="270">
        <f t="shared" si="643"/>
        <v>0</v>
      </c>
      <c r="BS107" s="270">
        <f t="shared" si="643"/>
        <v>0</v>
      </c>
      <c r="BT107" s="270">
        <f t="shared" si="643"/>
        <v>0</v>
      </c>
      <c r="BU107" s="270">
        <f t="shared" si="643"/>
        <v>0</v>
      </c>
      <c r="BV107" s="270">
        <f t="shared" si="643"/>
        <v>0</v>
      </c>
      <c r="BW107" s="270">
        <f t="shared" si="643"/>
        <v>0</v>
      </c>
      <c r="BX107" s="270">
        <f t="shared" si="643"/>
        <v>0</v>
      </c>
      <c r="BY107" s="270">
        <f t="shared" si="643"/>
        <v>-0.05</v>
      </c>
      <c r="BZ107" s="270">
        <f t="shared" si="643"/>
        <v>104.66</v>
      </c>
      <c r="CA107" s="270">
        <f t="shared" si="643"/>
        <v>0</v>
      </c>
      <c r="CB107" s="270">
        <f t="shared" si="643"/>
        <v>0</v>
      </c>
      <c r="CC107" s="270">
        <f t="shared" si="643"/>
        <v>0</v>
      </c>
      <c r="CD107" s="270">
        <f t="shared" si="643"/>
        <v>0</v>
      </c>
      <c r="CE107" s="270">
        <f t="shared" si="643"/>
        <v>0</v>
      </c>
      <c r="CF107" s="270">
        <f t="shared" si="643"/>
        <v>0</v>
      </c>
      <c r="CG107" s="270">
        <f t="shared" si="643"/>
        <v>0</v>
      </c>
      <c r="CH107" s="270">
        <f t="shared" si="643"/>
        <v>0</v>
      </c>
      <c r="CI107" s="270">
        <f t="shared" si="643"/>
        <v>0</v>
      </c>
      <c r="CJ107" s="270">
        <f t="shared" si="643"/>
        <v>0</v>
      </c>
      <c r="CK107" s="270">
        <f t="shared" si="643"/>
        <v>0</v>
      </c>
      <c r="CL107" s="270">
        <f t="shared" si="643"/>
        <v>0</v>
      </c>
      <c r="CM107" s="270">
        <f t="shared" si="643"/>
        <v>0</v>
      </c>
      <c r="CN107" s="270">
        <f t="shared" si="643"/>
        <v>0</v>
      </c>
      <c r="CO107" s="270">
        <f t="shared" si="643"/>
        <v>0</v>
      </c>
      <c r="CP107" s="270">
        <f t="shared" si="643"/>
        <v>0</v>
      </c>
      <c r="CQ107" s="215"/>
      <c r="CR107" s="270">
        <f t="shared" si="27"/>
        <v>104.61</v>
      </c>
      <c r="CS107" s="215"/>
      <c r="CT107" s="270">
        <f t="shared" ref="CT107:DX107" si="644">IF(AI106&gt;0,IF((AI106+BN107)&lt;E$10,AI106+BN107,E$10),0)</f>
        <v>0</v>
      </c>
      <c r="CU107" s="270">
        <f t="shared" si="644"/>
        <v>0</v>
      </c>
      <c r="CV107" s="270">
        <f t="shared" si="644"/>
        <v>0</v>
      </c>
      <c r="CW107" s="270">
        <f t="shared" si="644"/>
        <v>0</v>
      </c>
      <c r="CX107" s="270">
        <f t="shared" si="644"/>
        <v>0</v>
      </c>
      <c r="CY107" s="270">
        <f t="shared" si="644"/>
        <v>0</v>
      </c>
      <c r="CZ107" s="270">
        <f t="shared" si="644"/>
        <v>0</v>
      </c>
      <c r="DA107" s="270">
        <f t="shared" si="644"/>
        <v>0</v>
      </c>
      <c r="DB107" s="270">
        <f t="shared" si="644"/>
        <v>0</v>
      </c>
      <c r="DC107" s="270">
        <f t="shared" si="644"/>
        <v>0</v>
      </c>
      <c r="DD107" s="270">
        <f t="shared" si="644"/>
        <v>0</v>
      </c>
      <c r="DE107" s="270">
        <f t="shared" si="644"/>
        <v>0</v>
      </c>
      <c r="DF107" s="270">
        <f t="shared" si="644"/>
        <v>1467.13</v>
      </c>
      <c r="DG107" s="270">
        <f t="shared" si="644"/>
        <v>0</v>
      </c>
      <c r="DH107" s="270">
        <f t="shared" si="644"/>
        <v>0</v>
      </c>
      <c r="DI107" s="270">
        <f t="shared" si="644"/>
        <v>0</v>
      </c>
      <c r="DJ107" s="270">
        <f t="shared" si="644"/>
        <v>0</v>
      </c>
      <c r="DK107" s="270">
        <f t="shared" si="644"/>
        <v>0</v>
      </c>
      <c r="DL107" s="270">
        <f t="shared" si="644"/>
        <v>0</v>
      </c>
      <c r="DM107" s="270">
        <f t="shared" si="644"/>
        <v>0</v>
      </c>
      <c r="DN107" s="270">
        <f t="shared" si="644"/>
        <v>0</v>
      </c>
      <c r="DO107" s="270">
        <f t="shared" si="644"/>
        <v>0</v>
      </c>
      <c r="DP107" s="270">
        <f t="shared" si="644"/>
        <v>0</v>
      </c>
      <c r="DQ107" s="270">
        <f t="shared" si="644"/>
        <v>0</v>
      </c>
      <c r="DR107" s="270">
        <f t="shared" si="644"/>
        <v>0</v>
      </c>
      <c r="DS107" s="270">
        <f t="shared" si="644"/>
        <v>0</v>
      </c>
      <c r="DT107" s="270">
        <f t="shared" si="644"/>
        <v>0</v>
      </c>
      <c r="DU107" s="270">
        <f t="shared" si="644"/>
        <v>0</v>
      </c>
      <c r="DV107" s="270">
        <f t="shared" si="644"/>
        <v>0</v>
      </c>
      <c r="DW107" s="270" t="str">
        <f t="shared" si="644"/>
        <v/>
      </c>
      <c r="DX107" s="270">
        <f t="shared" si="644"/>
        <v>0</v>
      </c>
      <c r="DY107" s="270">
        <f t="shared" si="29"/>
        <v>1467.13</v>
      </c>
      <c r="DZ107" s="274"/>
      <c r="EA107" s="275">
        <f t="shared" si="38"/>
        <v>0</v>
      </c>
      <c r="EB107" s="270">
        <f t="shared" ref="EB107:FC107" si="645">IF(AJ105&lt;=0,0,IF($C106&lt;=SUM($EA107:EA107),0,IF(CU106+$C106-SUM($EA107:EA107)&gt;AJ105+BO106,AJ105+BO106-CU106,$C106-SUM($EA107:EA107))))</f>
        <v>0</v>
      </c>
      <c r="EC107" s="270">
        <f t="shared" si="645"/>
        <v>0</v>
      </c>
      <c r="ED107" s="270">
        <f t="shared" si="645"/>
        <v>0</v>
      </c>
      <c r="EE107" s="270">
        <f t="shared" si="645"/>
        <v>0</v>
      </c>
      <c r="EF107" s="270">
        <f t="shared" si="645"/>
        <v>0</v>
      </c>
      <c r="EG107" s="270">
        <f t="shared" si="645"/>
        <v>0</v>
      </c>
      <c r="EH107" s="270">
        <f t="shared" si="645"/>
        <v>0</v>
      </c>
      <c r="EI107" s="270">
        <f t="shared" si="645"/>
        <v>0</v>
      </c>
      <c r="EJ107" s="270">
        <f t="shared" si="645"/>
        <v>0</v>
      </c>
      <c r="EK107" s="270">
        <f t="shared" si="645"/>
        <v>0</v>
      </c>
      <c r="EL107" s="270">
        <f t="shared" si="645"/>
        <v>0</v>
      </c>
      <c r="EM107" s="270">
        <f t="shared" si="645"/>
        <v>2394.87</v>
      </c>
      <c r="EN107" s="270">
        <f t="shared" si="645"/>
        <v>0</v>
      </c>
      <c r="EO107" s="270">
        <f t="shared" si="645"/>
        <v>0</v>
      </c>
      <c r="EP107" s="270">
        <f t="shared" si="645"/>
        <v>0</v>
      </c>
      <c r="EQ107" s="270">
        <f t="shared" si="645"/>
        <v>0</v>
      </c>
      <c r="ER107" s="270">
        <f t="shared" si="645"/>
        <v>0</v>
      </c>
      <c r="ES107" s="270">
        <f t="shared" si="645"/>
        <v>0</v>
      </c>
      <c r="ET107" s="270">
        <f t="shared" si="645"/>
        <v>0</v>
      </c>
      <c r="EU107" s="270">
        <f t="shared" si="645"/>
        <v>0</v>
      </c>
      <c r="EV107" s="270">
        <f t="shared" si="645"/>
        <v>0</v>
      </c>
      <c r="EW107" s="270">
        <f t="shared" si="645"/>
        <v>0</v>
      </c>
      <c r="EX107" s="270">
        <f t="shared" si="645"/>
        <v>0</v>
      </c>
      <c r="EY107" s="270">
        <f t="shared" si="645"/>
        <v>0</v>
      </c>
      <c r="EZ107" s="270">
        <f t="shared" si="645"/>
        <v>0</v>
      </c>
      <c r="FA107" s="270">
        <f t="shared" si="645"/>
        <v>0</v>
      </c>
      <c r="FB107" s="270">
        <f t="shared" si="645"/>
        <v>0</v>
      </c>
      <c r="FC107" s="270">
        <f t="shared" si="645"/>
        <v>0</v>
      </c>
      <c r="FD107" s="271"/>
      <c r="FE107" s="271"/>
      <c r="FF107" s="271"/>
      <c r="FG107" s="215"/>
      <c r="FH107" s="215"/>
    </row>
    <row r="108" ht="11.25" customHeight="1">
      <c r="A108" s="215">
        <f t="shared" si="19"/>
        <v>88</v>
      </c>
      <c r="B108" s="241">
        <f t="shared" si="600"/>
        <v>48305</v>
      </c>
      <c r="C108" s="271">
        <f>IF(A108="","",IF(Calculator!snowball,IF(($E$5-DY108)&lt;0,0,$E$5-DY108),0)+D108)</f>
        <v>2394.87</v>
      </c>
      <c r="D108" s="277"/>
      <c r="E108" s="270">
        <f t="shared" si="40"/>
        <v>0</v>
      </c>
      <c r="F108" s="270">
        <f t="shared" ref="F108:AG108" si="646">CU108+EB109</f>
        <v>0</v>
      </c>
      <c r="G108" s="270">
        <f t="shared" si="646"/>
        <v>0</v>
      </c>
      <c r="H108" s="270">
        <f t="shared" si="646"/>
        <v>0</v>
      </c>
      <c r="I108" s="270">
        <f t="shared" si="646"/>
        <v>0</v>
      </c>
      <c r="J108" s="270">
        <f t="shared" si="646"/>
        <v>0</v>
      </c>
      <c r="K108" s="270">
        <f t="shared" si="646"/>
        <v>0</v>
      </c>
      <c r="L108" s="270">
        <f t="shared" si="646"/>
        <v>0</v>
      </c>
      <c r="M108" s="270">
        <f t="shared" si="646"/>
        <v>0</v>
      </c>
      <c r="N108" s="270">
        <f t="shared" si="646"/>
        <v>0</v>
      </c>
      <c r="O108" s="270">
        <f t="shared" si="646"/>
        <v>0</v>
      </c>
      <c r="P108" s="272">
        <f t="shared" si="646"/>
        <v>0</v>
      </c>
      <c r="Q108" s="272">
        <f t="shared" si="646"/>
        <v>3862</v>
      </c>
      <c r="R108" s="272">
        <f t="shared" si="646"/>
        <v>0</v>
      </c>
      <c r="S108" s="272">
        <f t="shared" si="646"/>
        <v>0</v>
      </c>
      <c r="T108" s="272">
        <f t="shared" si="646"/>
        <v>0</v>
      </c>
      <c r="U108" s="270">
        <f t="shared" si="646"/>
        <v>0</v>
      </c>
      <c r="V108" s="270">
        <f t="shared" si="646"/>
        <v>0</v>
      </c>
      <c r="W108" s="270">
        <f t="shared" si="646"/>
        <v>0</v>
      </c>
      <c r="X108" s="270">
        <f t="shared" si="646"/>
        <v>0</v>
      </c>
      <c r="Y108" s="270">
        <f t="shared" si="646"/>
        <v>0</v>
      </c>
      <c r="Z108" s="270">
        <f t="shared" si="646"/>
        <v>0</v>
      </c>
      <c r="AA108" s="270">
        <f t="shared" si="646"/>
        <v>0</v>
      </c>
      <c r="AB108" s="270">
        <f t="shared" si="646"/>
        <v>0</v>
      </c>
      <c r="AC108" s="270">
        <f t="shared" si="646"/>
        <v>0</v>
      </c>
      <c r="AD108" s="270">
        <f t="shared" si="646"/>
        <v>0</v>
      </c>
      <c r="AE108" s="270">
        <f t="shared" si="646"/>
        <v>0</v>
      </c>
      <c r="AF108" s="270">
        <f t="shared" si="646"/>
        <v>0</v>
      </c>
      <c r="AG108" s="270">
        <f t="shared" si="646"/>
        <v>0</v>
      </c>
      <c r="AH108" s="279">
        <f t="shared" si="602"/>
        <v>0</v>
      </c>
      <c r="AI108" s="270">
        <f t="shared" si="43"/>
        <v>0</v>
      </c>
      <c r="AJ108" s="270">
        <f t="shared" ref="AJ108:AO108" si="647">IF(F$8=0,0,ROUND(AJ107-(F108-BO108),2))</f>
        <v>0</v>
      </c>
      <c r="AK108" s="270">
        <f t="shared" si="647"/>
        <v>0</v>
      </c>
      <c r="AL108" s="270">
        <f t="shared" si="647"/>
        <v>0</v>
      </c>
      <c r="AM108" s="270">
        <f t="shared" si="647"/>
        <v>0</v>
      </c>
      <c r="AN108" s="270">
        <f t="shared" si="647"/>
        <v>0</v>
      </c>
      <c r="AO108" s="270">
        <f t="shared" si="647"/>
        <v>0</v>
      </c>
      <c r="AP108" s="270">
        <v>0.0</v>
      </c>
      <c r="AQ108" s="270">
        <f t="shared" ref="AQ108:AS108" si="648">IF(M$8=0,0,ROUND(AQ107-(M108-BV108),2))</f>
        <v>0</v>
      </c>
      <c r="AR108" s="270">
        <f t="shared" si="648"/>
        <v>0</v>
      </c>
      <c r="AS108" s="270">
        <f t="shared" si="648"/>
        <v>0</v>
      </c>
      <c r="AT108" s="270">
        <f t="shared" si="605"/>
        <v>-6.22</v>
      </c>
      <c r="AU108" s="270">
        <f t="shared" si="606"/>
        <v>25966.11</v>
      </c>
      <c r="AV108" s="270">
        <f t="shared" ref="AV108:BK108" si="649">IF(R$8=0,0,ROUND(AV107-(R108-BZ108),2))</f>
        <v>0</v>
      </c>
      <c r="AW108" s="270">
        <f t="shared" si="649"/>
        <v>0</v>
      </c>
      <c r="AX108" s="270">
        <f t="shared" si="649"/>
        <v>0</v>
      </c>
      <c r="AY108" s="270">
        <f t="shared" si="649"/>
        <v>0</v>
      </c>
      <c r="AZ108" s="270">
        <f t="shared" si="649"/>
        <v>0</v>
      </c>
      <c r="BA108" s="270">
        <f t="shared" si="649"/>
        <v>0</v>
      </c>
      <c r="BB108" s="270">
        <f t="shared" si="649"/>
        <v>0</v>
      </c>
      <c r="BC108" s="270">
        <f t="shared" si="649"/>
        <v>0</v>
      </c>
      <c r="BD108" s="270">
        <f t="shared" si="649"/>
        <v>0</v>
      </c>
      <c r="BE108" s="270">
        <f t="shared" si="649"/>
        <v>0</v>
      </c>
      <c r="BF108" s="270">
        <f t="shared" si="649"/>
        <v>0</v>
      </c>
      <c r="BG108" s="270">
        <f t="shared" si="649"/>
        <v>0</v>
      </c>
      <c r="BH108" s="270">
        <f t="shared" si="649"/>
        <v>0</v>
      </c>
      <c r="BI108" s="270">
        <f t="shared" si="649"/>
        <v>0</v>
      </c>
      <c r="BJ108" s="270">
        <f t="shared" si="649"/>
        <v>0</v>
      </c>
      <c r="BK108" s="270">
        <f t="shared" si="649"/>
        <v>0</v>
      </c>
      <c r="BL108" s="265">
        <f t="shared" si="16"/>
        <v>25959.89</v>
      </c>
      <c r="BM108" s="215"/>
      <c r="BN108" s="270">
        <f t="shared" ref="BN108:CP108" si="650">ROUND(AI107*E$9/12,2)</f>
        <v>0</v>
      </c>
      <c r="BO108" s="270">
        <f t="shared" si="650"/>
        <v>0</v>
      </c>
      <c r="BP108" s="270">
        <f t="shared" si="650"/>
        <v>0</v>
      </c>
      <c r="BQ108" s="270">
        <f t="shared" si="650"/>
        <v>0</v>
      </c>
      <c r="BR108" s="270">
        <f t="shared" si="650"/>
        <v>0</v>
      </c>
      <c r="BS108" s="270">
        <f t="shared" si="650"/>
        <v>0</v>
      </c>
      <c r="BT108" s="270">
        <f t="shared" si="650"/>
        <v>0</v>
      </c>
      <c r="BU108" s="270">
        <f t="shared" si="650"/>
        <v>0</v>
      </c>
      <c r="BV108" s="270">
        <f t="shared" si="650"/>
        <v>0</v>
      </c>
      <c r="BW108" s="270">
        <f t="shared" si="650"/>
        <v>0</v>
      </c>
      <c r="BX108" s="270">
        <f t="shared" si="650"/>
        <v>0</v>
      </c>
      <c r="BY108" s="270">
        <f t="shared" si="650"/>
        <v>-0.05</v>
      </c>
      <c r="BZ108" s="270">
        <f t="shared" si="650"/>
        <v>92.92</v>
      </c>
      <c r="CA108" s="270">
        <f t="shared" si="650"/>
        <v>0</v>
      </c>
      <c r="CB108" s="270">
        <f t="shared" si="650"/>
        <v>0</v>
      </c>
      <c r="CC108" s="270">
        <f t="shared" si="650"/>
        <v>0</v>
      </c>
      <c r="CD108" s="270">
        <f t="shared" si="650"/>
        <v>0</v>
      </c>
      <c r="CE108" s="270">
        <f t="shared" si="650"/>
        <v>0</v>
      </c>
      <c r="CF108" s="270">
        <f t="shared" si="650"/>
        <v>0</v>
      </c>
      <c r="CG108" s="270">
        <f t="shared" si="650"/>
        <v>0</v>
      </c>
      <c r="CH108" s="270">
        <f t="shared" si="650"/>
        <v>0</v>
      </c>
      <c r="CI108" s="270">
        <f t="shared" si="650"/>
        <v>0</v>
      </c>
      <c r="CJ108" s="270">
        <f t="shared" si="650"/>
        <v>0</v>
      </c>
      <c r="CK108" s="270">
        <f t="shared" si="650"/>
        <v>0</v>
      </c>
      <c r="CL108" s="270">
        <f t="shared" si="650"/>
        <v>0</v>
      </c>
      <c r="CM108" s="270">
        <f t="shared" si="650"/>
        <v>0</v>
      </c>
      <c r="CN108" s="270">
        <f t="shared" si="650"/>
        <v>0</v>
      </c>
      <c r="CO108" s="270">
        <f t="shared" si="650"/>
        <v>0</v>
      </c>
      <c r="CP108" s="270">
        <f t="shared" si="650"/>
        <v>0</v>
      </c>
      <c r="CQ108" s="215"/>
      <c r="CR108" s="270">
        <f t="shared" si="27"/>
        <v>92.87</v>
      </c>
      <c r="CS108" s="215"/>
      <c r="CT108" s="270">
        <f t="shared" ref="CT108:DX108" si="651">IF(AI107&gt;0,IF((AI107+BN108)&lt;E$10,AI107+BN108,E$10),0)</f>
        <v>0</v>
      </c>
      <c r="CU108" s="270">
        <f t="shared" si="651"/>
        <v>0</v>
      </c>
      <c r="CV108" s="270">
        <f t="shared" si="651"/>
        <v>0</v>
      </c>
      <c r="CW108" s="270">
        <f t="shared" si="651"/>
        <v>0</v>
      </c>
      <c r="CX108" s="270">
        <f t="shared" si="651"/>
        <v>0</v>
      </c>
      <c r="CY108" s="270">
        <f t="shared" si="651"/>
        <v>0</v>
      </c>
      <c r="CZ108" s="270">
        <f t="shared" si="651"/>
        <v>0</v>
      </c>
      <c r="DA108" s="270">
        <f t="shared" si="651"/>
        <v>0</v>
      </c>
      <c r="DB108" s="270">
        <f t="shared" si="651"/>
        <v>0</v>
      </c>
      <c r="DC108" s="270">
        <f t="shared" si="651"/>
        <v>0</v>
      </c>
      <c r="DD108" s="270">
        <f t="shared" si="651"/>
        <v>0</v>
      </c>
      <c r="DE108" s="270">
        <f t="shared" si="651"/>
        <v>0</v>
      </c>
      <c r="DF108" s="270">
        <f t="shared" si="651"/>
        <v>1467.13</v>
      </c>
      <c r="DG108" s="270">
        <f t="shared" si="651"/>
        <v>0</v>
      </c>
      <c r="DH108" s="270">
        <f t="shared" si="651"/>
        <v>0</v>
      </c>
      <c r="DI108" s="270">
        <f t="shared" si="651"/>
        <v>0</v>
      </c>
      <c r="DJ108" s="270">
        <f t="shared" si="651"/>
        <v>0</v>
      </c>
      <c r="DK108" s="270">
        <f t="shared" si="651"/>
        <v>0</v>
      </c>
      <c r="DL108" s="270">
        <f t="shared" si="651"/>
        <v>0</v>
      </c>
      <c r="DM108" s="270">
        <f t="shared" si="651"/>
        <v>0</v>
      </c>
      <c r="DN108" s="270">
        <f t="shared" si="651"/>
        <v>0</v>
      </c>
      <c r="DO108" s="270">
        <f t="shared" si="651"/>
        <v>0</v>
      </c>
      <c r="DP108" s="270">
        <f t="shared" si="651"/>
        <v>0</v>
      </c>
      <c r="DQ108" s="270">
        <f t="shared" si="651"/>
        <v>0</v>
      </c>
      <c r="DR108" s="270">
        <f t="shared" si="651"/>
        <v>0</v>
      </c>
      <c r="DS108" s="270">
        <f t="shared" si="651"/>
        <v>0</v>
      </c>
      <c r="DT108" s="270">
        <f t="shared" si="651"/>
        <v>0</v>
      </c>
      <c r="DU108" s="270">
        <f t="shared" si="651"/>
        <v>0</v>
      </c>
      <c r="DV108" s="270">
        <f t="shared" si="651"/>
        <v>0</v>
      </c>
      <c r="DW108" s="270" t="str">
        <f t="shared" si="651"/>
        <v/>
      </c>
      <c r="DX108" s="270">
        <f t="shared" si="651"/>
        <v>0</v>
      </c>
      <c r="DY108" s="270">
        <f t="shared" si="29"/>
        <v>1467.13</v>
      </c>
      <c r="DZ108" s="274"/>
      <c r="EA108" s="275">
        <f t="shared" si="38"/>
        <v>0</v>
      </c>
      <c r="EB108" s="270">
        <f t="shared" ref="EB108:FC108" si="652">IF(AJ106&lt;=0,0,IF($C107&lt;=SUM($EA108:EA108),0,IF(CU107+$C107-SUM($EA108:EA108)&gt;AJ106+BO107,AJ106+BO107-CU107,$C107-SUM($EA108:EA108))))</f>
        <v>0</v>
      </c>
      <c r="EC108" s="270">
        <f t="shared" si="652"/>
        <v>0</v>
      </c>
      <c r="ED108" s="270">
        <f t="shared" si="652"/>
        <v>0</v>
      </c>
      <c r="EE108" s="270">
        <f t="shared" si="652"/>
        <v>0</v>
      </c>
      <c r="EF108" s="270">
        <f t="shared" si="652"/>
        <v>0</v>
      </c>
      <c r="EG108" s="270">
        <f t="shared" si="652"/>
        <v>0</v>
      </c>
      <c r="EH108" s="270">
        <f t="shared" si="652"/>
        <v>0</v>
      </c>
      <c r="EI108" s="270">
        <f t="shared" si="652"/>
        <v>0</v>
      </c>
      <c r="EJ108" s="270">
        <f t="shared" si="652"/>
        <v>0</v>
      </c>
      <c r="EK108" s="270">
        <f t="shared" si="652"/>
        <v>0</v>
      </c>
      <c r="EL108" s="270">
        <f t="shared" si="652"/>
        <v>0</v>
      </c>
      <c r="EM108" s="270">
        <f t="shared" si="652"/>
        <v>2394.87</v>
      </c>
      <c r="EN108" s="270">
        <f t="shared" si="652"/>
        <v>0</v>
      </c>
      <c r="EO108" s="270">
        <f t="shared" si="652"/>
        <v>0</v>
      </c>
      <c r="EP108" s="270">
        <f t="shared" si="652"/>
        <v>0</v>
      </c>
      <c r="EQ108" s="270">
        <f t="shared" si="652"/>
        <v>0</v>
      </c>
      <c r="ER108" s="270">
        <f t="shared" si="652"/>
        <v>0</v>
      </c>
      <c r="ES108" s="270">
        <f t="shared" si="652"/>
        <v>0</v>
      </c>
      <c r="ET108" s="270">
        <f t="shared" si="652"/>
        <v>0</v>
      </c>
      <c r="EU108" s="270">
        <f t="shared" si="652"/>
        <v>0</v>
      </c>
      <c r="EV108" s="270">
        <f t="shared" si="652"/>
        <v>0</v>
      </c>
      <c r="EW108" s="270">
        <f t="shared" si="652"/>
        <v>0</v>
      </c>
      <c r="EX108" s="270">
        <f t="shared" si="652"/>
        <v>0</v>
      </c>
      <c r="EY108" s="270">
        <f t="shared" si="652"/>
        <v>0</v>
      </c>
      <c r="EZ108" s="270">
        <f t="shared" si="652"/>
        <v>0</v>
      </c>
      <c r="FA108" s="270">
        <f t="shared" si="652"/>
        <v>0</v>
      </c>
      <c r="FB108" s="270">
        <f t="shared" si="652"/>
        <v>0</v>
      </c>
      <c r="FC108" s="270">
        <f t="shared" si="652"/>
        <v>0</v>
      </c>
      <c r="FD108" s="271"/>
      <c r="FE108" s="271"/>
      <c r="FF108" s="271"/>
      <c r="FG108" s="215"/>
      <c r="FH108" s="215"/>
    </row>
    <row r="109" ht="11.25" customHeight="1">
      <c r="A109" s="215">
        <f t="shared" si="19"/>
        <v>89</v>
      </c>
      <c r="B109" s="241">
        <f t="shared" si="600"/>
        <v>48335</v>
      </c>
      <c r="C109" s="271">
        <f>IF(A109="","",IF(Calculator!snowball,IF(($E$5-DY109)&lt;0,0,$E$5-DY109),0)+D109)</f>
        <v>2394.87</v>
      </c>
      <c r="D109" s="277"/>
      <c r="E109" s="270">
        <f t="shared" si="40"/>
        <v>0</v>
      </c>
      <c r="F109" s="270">
        <f t="shared" ref="F109:AG109" si="653">CU109+EB110</f>
        <v>0</v>
      </c>
      <c r="G109" s="270">
        <f t="shared" si="653"/>
        <v>0</v>
      </c>
      <c r="H109" s="270">
        <f t="shared" si="653"/>
        <v>0</v>
      </c>
      <c r="I109" s="270">
        <f t="shared" si="653"/>
        <v>0</v>
      </c>
      <c r="J109" s="270">
        <f t="shared" si="653"/>
        <v>0</v>
      </c>
      <c r="K109" s="270">
        <f t="shared" si="653"/>
        <v>0</v>
      </c>
      <c r="L109" s="270">
        <f t="shared" si="653"/>
        <v>0</v>
      </c>
      <c r="M109" s="270">
        <f t="shared" si="653"/>
        <v>0</v>
      </c>
      <c r="N109" s="270">
        <f t="shared" si="653"/>
        <v>0</v>
      </c>
      <c r="O109" s="270">
        <f t="shared" si="653"/>
        <v>0</v>
      </c>
      <c r="P109" s="272">
        <f t="shared" si="653"/>
        <v>0</v>
      </c>
      <c r="Q109" s="272">
        <f t="shared" si="653"/>
        <v>3862</v>
      </c>
      <c r="R109" s="272">
        <f t="shared" si="653"/>
        <v>0</v>
      </c>
      <c r="S109" s="272">
        <f t="shared" si="653"/>
        <v>0</v>
      </c>
      <c r="T109" s="272">
        <f t="shared" si="653"/>
        <v>0</v>
      </c>
      <c r="U109" s="270">
        <f t="shared" si="653"/>
        <v>0</v>
      </c>
      <c r="V109" s="270">
        <f t="shared" si="653"/>
        <v>0</v>
      </c>
      <c r="W109" s="270">
        <f t="shared" si="653"/>
        <v>0</v>
      </c>
      <c r="X109" s="270">
        <f t="shared" si="653"/>
        <v>0</v>
      </c>
      <c r="Y109" s="270">
        <f t="shared" si="653"/>
        <v>0</v>
      </c>
      <c r="Z109" s="270">
        <f t="shared" si="653"/>
        <v>0</v>
      </c>
      <c r="AA109" s="270">
        <f t="shared" si="653"/>
        <v>0</v>
      </c>
      <c r="AB109" s="270">
        <f t="shared" si="653"/>
        <v>0</v>
      </c>
      <c r="AC109" s="270">
        <f t="shared" si="653"/>
        <v>0</v>
      </c>
      <c r="AD109" s="270">
        <f t="shared" si="653"/>
        <v>0</v>
      </c>
      <c r="AE109" s="270">
        <f t="shared" si="653"/>
        <v>0</v>
      </c>
      <c r="AF109" s="270">
        <f t="shared" si="653"/>
        <v>0</v>
      </c>
      <c r="AG109" s="270">
        <f t="shared" si="653"/>
        <v>0</v>
      </c>
      <c r="AH109" s="279">
        <f t="shared" si="602"/>
        <v>0</v>
      </c>
      <c r="AI109" s="270">
        <f t="shared" si="43"/>
        <v>0</v>
      </c>
      <c r="AJ109" s="270">
        <f t="shared" ref="AJ109:AO109" si="654">IF(F$8=0,0,ROUND(AJ108-(F109-BO109),2))</f>
        <v>0</v>
      </c>
      <c r="AK109" s="270">
        <f t="shared" si="654"/>
        <v>0</v>
      </c>
      <c r="AL109" s="270">
        <f t="shared" si="654"/>
        <v>0</v>
      </c>
      <c r="AM109" s="270">
        <f t="shared" si="654"/>
        <v>0</v>
      </c>
      <c r="AN109" s="270">
        <f t="shared" si="654"/>
        <v>0</v>
      </c>
      <c r="AO109" s="270">
        <f t="shared" si="654"/>
        <v>0</v>
      </c>
      <c r="AP109" s="270">
        <v>0.0</v>
      </c>
      <c r="AQ109" s="270">
        <f t="shared" ref="AQ109:AS109" si="655">IF(M$8=0,0,ROUND(AQ108-(M109-BV109),2))</f>
        <v>0</v>
      </c>
      <c r="AR109" s="270">
        <f t="shared" si="655"/>
        <v>0</v>
      </c>
      <c r="AS109" s="270">
        <f t="shared" si="655"/>
        <v>0</v>
      </c>
      <c r="AT109" s="270">
        <f t="shared" si="605"/>
        <v>-6.22</v>
      </c>
      <c r="AU109" s="270">
        <f t="shared" ref="AU109:BK109" si="656">IF(Q$8=0,0,ROUND(AU108-(Q109-BY109),2))</f>
        <v>22104.06</v>
      </c>
      <c r="AV109" s="270">
        <f t="shared" si="656"/>
        <v>0</v>
      </c>
      <c r="AW109" s="270">
        <f t="shared" si="656"/>
        <v>0</v>
      </c>
      <c r="AX109" s="270">
        <f t="shared" si="656"/>
        <v>0</v>
      </c>
      <c r="AY109" s="270">
        <f t="shared" si="656"/>
        <v>0</v>
      </c>
      <c r="AZ109" s="270">
        <f t="shared" si="656"/>
        <v>0</v>
      </c>
      <c r="BA109" s="270">
        <f t="shared" si="656"/>
        <v>0</v>
      </c>
      <c r="BB109" s="270">
        <f t="shared" si="656"/>
        <v>0</v>
      </c>
      <c r="BC109" s="270">
        <f t="shared" si="656"/>
        <v>0</v>
      </c>
      <c r="BD109" s="270">
        <f t="shared" si="656"/>
        <v>0</v>
      </c>
      <c r="BE109" s="270">
        <f t="shared" si="656"/>
        <v>0</v>
      </c>
      <c r="BF109" s="270">
        <f t="shared" si="656"/>
        <v>0</v>
      </c>
      <c r="BG109" s="270">
        <f t="shared" si="656"/>
        <v>0</v>
      </c>
      <c r="BH109" s="270">
        <f t="shared" si="656"/>
        <v>0</v>
      </c>
      <c r="BI109" s="270">
        <f t="shared" si="656"/>
        <v>0</v>
      </c>
      <c r="BJ109" s="270">
        <f t="shared" si="656"/>
        <v>0</v>
      </c>
      <c r="BK109" s="270">
        <f t="shared" si="656"/>
        <v>0</v>
      </c>
      <c r="BL109" s="265">
        <f t="shared" si="16"/>
        <v>22097.84</v>
      </c>
      <c r="BM109" s="215"/>
      <c r="BN109" s="270">
        <f t="shared" ref="BN109:CP109" si="657">ROUND(AI108*E$9/12,2)</f>
        <v>0</v>
      </c>
      <c r="BO109" s="270">
        <f t="shared" si="657"/>
        <v>0</v>
      </c>
      <c r="BP109" s="270">
        <f t="shared" si="657"/>
        <v>0</v>
      </c>
      <c r="BQ109" s="270">
        <f t="shared" si="657"/>
        <v>0</v>
      </c>
      <c r="BR109" s="270">
        <f t="shared" si="657"/>
        <v>0</v>
      </c>
      <c r="BS109" s="270">
        <f t="shared" si="657"/>
        <v>0</v>
      </c>
      <c r="BT109" s="270">
        <f t="shared" si="657"/>
        <v>0</v>
      </c>
      <c r="BU109" s="270">
        <f t="shared" si="657"/>
        <v>0</v>
      </c>
      <c r="BV109" s="270">
        <f t="shared" si="657"/>
        <v>0</v>
      </c>
      <c r="BW109" s="270">
        <f t="shared" si="657"/>
        <v>0</v>
      </c>
      <c r="BX109" s="270">
        <f t="shared" si="657"/>
        <v>0</v>
      </c>
      <c r="BY109" s="270">
        <f t="shared" si="657"/>
        <v>-0.05</v>
      </c>
      <c r="BZ109" s="270">
        <f t="shared" si="657"/>
        <v>81.14</v>
      </c>
      <c r="CA109" s="270">
        <f t="shared" si="657"/>
        <v>0</v>
      </c>
      <c r="CB109" s="270">
        <f t="shared" si="657"/>
        <v>0</v>
      </c>
      <c r="CC109" s="270">
        <f t="shared" si="657"/>
        <v>0</v>
      </c>
      <c r="CD109" s="270">
        <f t="shared" si="657"/>
        <v>0</v>
      </c>
      <c r="CE109" s="270">
        <f t="shared" si="657"/>
        <v>0</v>
      </c>
      <c r="CF109" s="270">
        <f t="shared" si="657"/>
        <v>0</v>
      </c>
      <c r="CG109" s="270">
        <f t="shared" si="657"/>
        <v>0</v>
      </c>
      <c r="CH109" s="270">
        <f t="shared" si="657"/>
        <v>0</v>
      </c>
      <c r="CI109" s="270">
        <f t="shared" si="657"/>
        <v>0</v>
      </c>
      <c r="CJ109" s="270">
        <f t="shared" si="657"/>
        <v>0</v>
      </c>
      <c r="CK109" s="270">
        <f t="shared" si="657"/>
        <v>0</v>
      </c>
      <c r="CL109" s="270">
        <f t="shared" si="657"/>
        <v>0</v>
      </c>
      <c r="CM109" s="270">
        <f t="shared" si="657"/>
        <v>0</v>
      </c>
      <c r="CN109" s="270">
        <f t="shared" si="657"/>
        <v>0</v>
      </c>
      <c r="CO109" s="270">
        <f t="shared" si="657"/>
        <v>0</v>
      </c>
      <c r="CP109" s="270">
        <f t="shared" si="657"/>
        <v>0</v>
      </c>
      <c r="CQ109" s="215"/>
      <c r="CR109" s="270">
        <f t="shared" si="27"/>
        <v>81.09</v>
      </c>
      <c r="CS109" s="215"/>
      <c r="CT109" s="270">
        <f t="shared" ref="CT109:DX109" si="658">IF(AI108&gt;0,IF((AI108+BN109)&lt;E$10,AI108+BN109,E$10),0)</f>
        <v>0</v>
      </c>
      <c r="CU109" s="270">
        <f t="shared" si="658"/>
        <v>0</v>
      </c>
      <c r="CV109" s="270">
        <f t="shared" si="658"/>
        <v>0</v>
      </c>
      <c r="CW109" s="270">
        <f t="shared" si="658"/>
        <v>0</v>
      </c>
      <c r="CX109" s="270">
        <f t="shared" si="658"/>
        <v>0</v>
      </c>
      <c r="CY109" s="270">
        <f t="shared" si="658"/>
        <v>0</v>
      </c>
      <c r="CZ109" s="270">
        <f t="shared" si="658"/>
        <v>0</v>
      </c>
      <c r="DA109" s="270">
        <f t="shared" si="658"/>
        <v>0</v>
      </c>
      <c r="DB109" s="270">
        <f t="shared" si="658"/>
        <v>0</v>
      </c>
      <c r="DC109" s="270">
        <f t="shared" si="658"/>
        <v>0</v>
      </c>
      <c r="DD109" s="270">
        <f t="shared" si="658"/>
        <v>0</v>
      </c>
      <c r="DE109" s="270">
        <f t="shared" si="658"/>
        <v>0</v>
      </c>
      <c r="DF109" s="270">
        <f t="shared" si="658"/>
        <v>1467.13</v>
      </c>
      <c r="DG109" s="270">
        <f t="shared" si="658"/>
        <v>0</v>
      </c>
      <c r="DH109" s="270">
        <f t="shared" si="658"/>
        <v>0</v>
      </c>
      <c r="DI109" s="270">
        <f t="shared" si="658"/>
        <v>0</v>
      </c>
      <c r="DJ109" s="270">
        <f t="shared" si="658"/>
        <v>0</v>
      </c>
      <c r="DK109" s="270">
        <f t="shared" si="658"/>
        <v>0</v>
      </c>
      <c r="DL109" s="270">
        <f t="shared" si="658"/>
        <v>0</v>
      </c>
      <c r="DM109" s="270">
        <f t="shared" si="658"/>
        <v>0</v>
      </c>
      <c r="DN109" s="270">
        <f t="shared" si="658"/>
        <v>0</v>
      </c>
      <c r="DO109" s="270">
        <f t="shared" si="658"/>
        <v>0</v>
      </c>
      <c r="DP109" s="270">
        <f t="shared" si="658"/>
        <v>0</v>
      </c>
      <c r="DQ109" s="270">
        <f t="shared" si="658"/>
        <v>0</v>
      </c>
      <c r="DR109" s="270">
        <f t="shared" si="658"/>
        <v>0</v>
      </c>
      <c r="DS109" s="270">
        <f t="shared" si="658"/>
        <v>0</v>
      </c>
      <c r="DT109" s="270">
        <f t="shared" si="658"/>
        <v>0</v>
      </c>
      <c r="DU109" s="270">
        <f t="shared" si="658"/>
        <v>0</v>
      </c>
      <c r="DV109" s="270">
        <f t="shared" si="658"/>
        <v>0</v>
      </c>
      <c r="DW109" s="270" t="str">
        <f t="shared" si="658"/>
        <v/>
      </c>
      <c r="DX109" s="270">
        <f t="shared" si="658"/>
        <v>0</v>
      </c>
      <c r="DY109" s="270">
        <f t="shared" si="29"/>
        <v>1467.13</v>
      </c>
      <c r="DZ109" s="274"/>
      <c r="EA109" s="275">
        <f t="shared" si="38"/>
        <v>0</v>
      </c>
      <c r="EB109" s="270">
        <f t="shared" ref="EB109:FC109" si="659">IF(AJ107&lt;=0,0,IF($C108&lt;=SUM($EA109:EA109),0,IF(CU108+$C108-SUM($EA109:EA109)&gt;AJ107+BO108,AJ107+BO108-CU108,$C108-SUM($EA109:EA109))))</f>
        <v>0</v>
      </c>
      <c r="EC109" s="270">
        <f t="shared" si="659"/>
        <v>0</v>
      </c>
      <c r="ED109" s="270">
        <f t="shared" si="659"/>
        <v>0</v>
      </c>
      <c r="EE109" s="270">
        <f t="shared" si="659"/>
        <v>0</v>
      </c>
      <c r="EF109" s="270">
        <f t="shared" si="659"/>
        <v>0</v>
      </c>
      <c r="EG109" s="270">
        <f t="shared" si="659"/>
        <v>0</v>
      </c>
      <c r="EH109" s="270">
        <f t="shared" si="659"/>
        <v>0</v>
      </c>
      <c r="EI109" s="270">
        <f t="shared" si="659"/>
        <v>0</v>
      </c>
      <c r="EJ109" s="270">
        <f t="shared" si="659"/>
        <v>0</v>
      </c>
      <c r="EK109" s="270">
        <f t="shared" si="659"/>
        <v>0</v>
      </c>
      <c r="EL109" s="270">
        <f t="shared" si="659"/>
        <v>0</v>
      </c>
      <c r="EM109" s="270">
        <f t="shared" si="659"/>
        <v>2394.87</v>
      </c>
      <c r="EN109" s="270">
        <f t="shared" si="659"/>
        <v>0</v>
      </c>
      <c r="EO109" s="270">
        <f t="shared" si="659"/>
        <v>0</v>
      </c>
      <c r="EP109" s="270">
        <f t="shared" si="659"/>
        <v>0</v>
      </c>
      <c r="EQ109" s="270">
        <f t="shared" si="659"/>
        <v>0</v>
      </c>
      <c r="ER109" s="270">
        <f t="shared" si="659"/>
        <v>0</v>
      </c>
      <c r="ES109" s="270">
        <f t="shared" si="659"/>
        <v>0</v>
      </c>
      <c r="ET109" s="270">
        <f t="shared" si="659"/>
        <v>0</v>
      </c>
      <c r="EU109" s="270">
        <f t="shared" si="659"/>
        <v>0</v>
      </c>
      <c r="EV109" s="270">
        <f t="shared" si="659"/>
        <v>0</v>
      </c>
      <c r="EW109" s="270">
        <f t="shared" si="659"/>
        <v>0</v>
      </c>
      <c r="EX109" s="270">
        <f t="shared" si="659"/>
        <v>0</v>
      </c>
      <c r="EY109" s="270">
        <f t="shared" si="659"/>
        <v>0</v>
      </c>
      <c r="EZ109" s="270">
        <f t="shared" si="659"/>
        <v>0</v>
      </c>
      <c r="FA109" s="270">
        <f t="shared" si="659"/>
        <v>0</v>
      </c>
      <c r="FB109" s="270">
        <f t="shared" si="659"/>
        <v>0</v>
      </c>
      <c r="FC109" s="270">
        <f t="shared" si="659"/>
        <v>0</v>
      </c>
      <c r="FD109" s="271"/>
      <c r="FE109" s="271"/>
      <c r="FF109" s="271"/>
      <c r="FG109" s="215"/>
      <c r="FH109" s="215"/>
    </row>
    <row r="110" ht="11.25" customHeight="1">
      <c r="A110" s="215">
        <f t="shared" si="19"/>
        <v>90</v>
      </c>
      <c r="B110" s="241">
        <f t="shared" si="600"/>
        <v>48366</v>
      </c>
      <c r="C110" s="271">
        <f>IF(A110="","",IF(Calculator!snowball,IF(($E$5-DY110)&lt;0,0,$E$5-DY110),0)+D110)</f>
        <v>2394.87</v>
      </c>
      <c r="D110" s="277"/>
      <c r="E110" s="270">
        <f t="shared" si="40"/>
        <v>0</v>
      </c>
      <c r="F110" s="270">
        <f t="shared" ref="F110:AG110" si="660">CU110+EB111</f>
        <v>0</v>
      </c>
      <c r="G110" s="270">
        <f t="shared" si="660"/>
        <v>0</v>
      </c>
      <c r="H110" s="270">
        <f t="shared" si="660"/>
        <v>0</v>
      </c>
      <c r="I110" s="270">
        <f t="shared" si="660"/>
        <v>0</v>
      </c>
      <c r="J110" s="270">
        <f t="shared" si="660"/>
        <v>0</v>
      </c>
      <c r="K110" s="270">
        <f t="shared" si="660"/>
        <v>0</v>
      </c>
      <c r="L110" s="270">
        <f t="shared" si="660"/>
        <v>0</v>
      </c>
      <c r="M110" s="270">
        <f t="shared" si="660"/>
        <v>0</v>
      </c>
      <c r="N110" s="270">
        <f t="shared" si="660"/>
        <v>0</v>
      </c>
      <c r="O110" s="270">
        <f t="shared" si="660"/>
        <v>0</v>
      </c>
      <c r="P110" s="272">
        <f t="shared" si="660"/>
        <v>0</v>
      </c>
      <c r="Q110" s="272">
        <f t="shared" si="660"/>
        <v>3862</v>
      </c>
      <c r="R110" s="272">
        <f t="shared" si="660"/>
        <v>0</v>
      </c>
      <c r="S110" s="272">
        <f t="shared" si="660"/>
        <v>0</v>
      </c>
      <c r="T110" s="272">
        <f t="shared" si="660"/>
        <v>0</v>
      </c>
      <c r="U110" s="270">
        <f t="shared" si="660"/>
        <v>0</v>
      </c>
      <c r="V110" s="270">
        <f t="shared" si="660"/>
        <v>0</v>
      </c>
      <c r="W110" s="270">
        <f t="shared" si="660"/>
        <v>0</v>
      </c>
      <c r="X110" s="270">
        <f t="shared" si="660"/>
        <v>0</v>
      </c>
      <c r="Y110" s="270">
        <f t="shared" si="660"/>
        <v>0</v>
      </c>
      <c r="Z110" s="270">
        <f t="shared" si="660"/>
        <v>0</v>
      </c>
      <c r="AA110" s="270">
        <f t="shared" si="660"/>
        <v>0</v>
      </c>
      <c r="AB110" s="270">
        <f t="shared" si="660"/>
        <v>0</v>
      </c>
      <c r="AC110" s="270">
        <f t="shared" si="660"/>
        <v>0</v>
      </c>
      <c r="AD110" s="270">
        <f t="shared" si="660"/>
        <v>0</v>
      </c>
      <c r="AE110" s="270">
        <f t="shared" si="660"/>
        <v>0</v>
      </c>
      <c r="AF110" s="270">
        <f t="shared" si="660"/>
        <v>0</v>
      </c>
      <c r="AG110" s="270">
        <f t="shared" si="660"/>
        <v>0</v>
      </c>
      <c r="AH110" s="279">
        <f t="shared" si="602"/>
        <v>0</v>
      </c>
      <c r="AI110" s="270">
        <f t="shared" si="43"/>
        <v>0</v>
      </c>
      <c r="AJ110" s="270">
        <f t="shared" ref="AJ110:AO110" si="661">IF(F$8=0,0,ROUND(AJ109-(F110-BO110),2))</f>
        <v>0</v>
      </c>
      <c r="AK110" s="270">
        <f t="shared" si="661"/>
        <v>0</v>
      </c>
      <c r="AL110" s="270">
        <f t="shared" si="661"/>
        <v>0</v>
      </c>
      <c r="AM110" s="270">
        <f t="shared" si="661"/>
        <v>0</v>
      </c>
      <c r="AN110" s="270">
        <f t="shared" si="661"/>
        <v>0</v>
      </c>
      <c r="AO110" s="270">
        <f t="shared" si="661"/>
        <v>0</v>
      </c>
      <c r="AP110" s="270">
        <v>0.0</v>
      </c>
      <c r="AQ110" s="270">
        <f t="shared" ref="AQ110:AS110" si="662">IF(M$8=0,0,ROUND(AQ109-(M110-BV110),2))</f>
        <v>0</v>
      </c>
      <c r="AR110" s="270">
        <f t="shared" si="662"/>
        <v>0</v>
      </c>
      <c r="AS110" s="270">
        <f t="shared" si="662"/>
        <v>0</v>
      </c>
      <c r="AT110" s="270">
        <f t="shared" si="605"/>
        <v>-6.22</v>
      </c>
      <c r="AU110" s="270">
        <f t="shared" ref="AU110:BK110" si="663">IF(Q$8=0,0,ROUND(AU109-(Q110-BY110),2))</f>
        <v>18242.01</v>
      </c>
      <c r="AV110" s="270">
        <f t="shared" si="663"/>
        <v>0</v>
      </c>
      <c r="AW110" s="270">
        <f t="shared" si="663"/>
        <v>0</v>
      </c>
      <c r="AX110" s="270">
        <f t="shared" si="663"/>
        <v>0</v>
      </c>
      <c r="AY110" s="270">
        <f t="shared" si="663"/>
        <v>0</v>
      </c>
      <c r="AZ110" s="270">
        <f t="shared" si="663"/>
        <v>0</v>
      </c>
      <c r="BA110" s="270">
        <f t="shared" si="663"/>
        <v>0</v>
      </c>
      <c r="BB110" s="270">
        <f t="shared" si="663"/>
        <v>0</v>
      </c>
      <c r="BC110" s="270">
        <f t="shared" si="663"/>
        <v>0</v>
      </c>
      <c r="BD110" s="270">
        <f t="shared" si="663"/>
        <v>0</v>
      </c>
      <c r="BE110" s="270">
        <f t="shared" si="663"/>
        <v>0</v>
      </c>
      <c r="BF110" s="270">
        <f t="shared" si="663"/>
        <v>0</v>
      </c>
      <c r="BG110" s="270">
        <f t="shared" si="663"/>
        <v>0</v>
      </c>
      <c r="BH110" s="270">
        <f t="shared" si="663"/>
        <v>0</v>
      </c>
      <c r="BI110" s="270">
        <f t="shared" si="663"/>
        <v>0</v>
      </c>
      <c r="BJ110" s="270">
        <f t="shared" si="663"/>
        <v>0</v>
      </c>
      <c r="BK110" s="270">
        <f t="shared" si="663"/>
        <v>0</v>
      </c>
      <c r="BL110" s="265">
        <f t="shared" si="16"/>
        <v>18235.79</v>
      </c>
      <c r="BM110" s="215"/>
      <c r="BN110" s="270">
        <f t="shared" ref="BN110:CP110" si="664">ROUND(AI109*E$9/12,2)</f>
        <v>0</v>
      </c>
      <c r="BO110" s="270">
        <f t="shared" si="664"/>
        <v>0</v>
      </c>
      <c r="BP110" s="270">
        <f t="shared" si="664"/>
        <v>0</v>
      </c>
      <c r="BQ110" s="270">
        <f t="shared" si="664"/>
        <v>0</v>
      </c>
      <c r="BR110" s="270">
        <f t="shared" si="664"/>
        <v>0</v>
      </c>
      <c r="BS110" s="270">
        <f t="shared" si="664"/>
        <v>0</v>
      </c>
      <c r="BT110" s="270">
        <f t="shared" si="664"/>
        <v>0</v>
      </c>
      <c r="BU110" s="270">
        <f t="shared" si="664"/>
        <v>0</v>
      </c>
      <c r="BV110" s="270">
        <f t="shared" si="664"/>
        <v>0</v>
      </c>
      <c r="BW110" s="270">
        <f t="shared" si="664"/>
        <v>0</v>
      </c>
      <c r="BX110" s="270">
        <f t="shared" si="664"/>
        <v>0</v>
      </c>
      <c r="BY110" s="270">
        <f t="shared" si="664"/>
        <v>-0.05</v>
      </c>
      <c r="BZ110" s="270">
        <f t="shared" si="664"/>
        <v>69.08</v>
      </c>
      <c r="CA110" s="270">
        <f t="shared" si="664"/>
        <v>0</v>
      </c>
      <c r="CB110" s="270">
        <f t="shared" si="664"/>
        <v>0</v>
      </c>
      <c r="CC110" s="270">
        <f t="shared" si="664"/>
        <v>0</v>
      </c>
      <c r="CD110" s="270">
        <f t="shared" si="664"/>
        <v>0</v>
      </c>
      <c r="CE110" s="270">
        <f t="shared" si="664"/>
        <v>0</v>
      </c>
      <c r="CF110" s="270">
        <f t="shared" si="664"/>
        <v>0</v>
      </c>
      <c r="CG110" s="270">
        <f t="shared" si="664"/>
        <v>0</v>
      </c>
      <c r="CH110" s="270">
        <f t="shared" si="664"/>
        <v>0</v>
      </c>
      <c r="CI110" s="270">
        <f t="shared" si="664"/>
        <v>0</v>
      </c>
      <c r="CJ110" s="270">
        <f t="shared" si="664"/>
        <v>0</v>
      </c>
      <c r="CK110" s="270">
        <f t="shared" si="664"/>
        <v>0</v>
      </c>
      <c r="CL110" s="270">
        <f t="shared" si="664"/>
        <v>0</v>
      </c>
      <c r="CM110" s="270">
        <f t="shared" si="664"/>
        <v>0</v>
      </c>
      <c r="CN110" s="270">
        <f t="shared" si="664"/>
        <v>0</v>
      </c>
      <c r="CO110" s="270">
        <f t="shared" si="664"/>
        <v>0</v>
      </c>
      <c r="CP110" s="270">
        <f t="shared" si="664"/>
        <v>0</v>
      </c>
      <c r="CQ110" s="215"/>
      <c r="CR110" s="270">
        <f t="shared" si="27"/>
        <v>69.03</v>
      </c>
      <c r="CS110" s="215"/>
      <c r="CT110" s="270">
        <f t="shared" ref="CT110:DX110" si="665">IF(AI109&gt;0,IF((AI109+BN110)&lt;E$10,AI109+BN110,E$10),0)</f>
        <v>0</v>
      </c>
      <c r="CU110" s="270">
        <f t="shared" si="665"/>
        <v>0</v>
      </c>
      <c r="CV110" s="270">
        <f t="shared" si="665"/>
        <v>0</v>
      </c>
      <c r="CW110" s="270">
        <f t="shared" si="665"/>
        <v>0</v>
      </c>
      <c r="CX110" s="270">
        <f t="shared" si="665"/>
        <v>0</v>
      </c>
      <c r="CY110" s="270">
        <f t="shared" si="665"/>
        <v>0</v>
      </c>
      <c r="CZ110" s="270">
        <f t="shared" si="665"/>
        <v>0</v>
      </c>
      <c r="DA110" s="270">
        <f t="shared" si="665"/>
        <v>0</v>
      </c>
      <c r="DB110" s="270">
        <f t="shared" si="665"/>
        <v>0</v>
      </c>
      <c r="DC110" s="270">
        <f t="shared" si="665"/>
        <v>0</v>
      </c>
      <c r="DD110" s="270">
        <f t="shared" si="665"/>
        <v>0</v>
      </c>
      <c r="DE110" s="270">
        <f t="shared" si="665"/>
        <v>0</v>
      </c>
      <c r="DF110" s="270">
        <f t="shared" si="665"/>
        <v>1467.13</v>
      </c>
      <c r="DG110" s="270">
        <f t="shared" si="665"/>
        <v>0</v>
      </c>
      <c r="DH110" s="270">
        <f t="shared" si="665"/>
        <v>0</v>
      </c>
      <c r="DI110" s="270">
        <f t="shared" si="665"/>
        <v>0</v>
      </c>
      <c r="DJ110" s="270">
        <f t="shared" si="665"/>
        <v>0</v>
      </c>
      <c r="DK110" s="270">
        <f t="shared" si="665"/>
        <v>0</v>
      </c>
      <c r="DL110" s="270">
        <f t="shared" si="665"/>
        <v>0</v>
      </c>
      <c r="DM110" s="270">
        <f t="shared" si="665"/>
        <v>0</v>
      </c>
      <c r="DN110" s="270">
        <f t="shared" si="665"/>
        <v>0</v>
      </c>
      <c r="DO110" s="270">
        <f t="shared" si="665"/>
        <v>0</v>
      </c>
      <c r="DP110" s="270">
        <f t="shared" si="665"/>
        <v>0</v>
      </c>
      <c r="DQ110" s="270">
        <f t="shared" si="665"/>
        <v>0</v>
      </c>
      <c r="DR110" s="270">
        <f t="shared" si="665"/>
        <v>0</v>
      </c>
      <c r="DS110" s="270">
        <f t="shared" si="665"/>
        <v>0</v>
      </c>
      <c r="DT110" s="270">
        <f t="shared" si="665"/>
        <v>0</v>
      </c>
      <c r="DU110" s="270">
        <f t="shared" si="665"/>
        <v>0</v>
      </c>
      <c r="DV110" s="270">
        <f t="shared" si="665"/>
        <v>0</v>
      </c>
      <c r="DW110" s="270" t="str">
        <f t="shared" si="665"/>
        <v/>
      </c>
      <c r="DX110" s="270">
        <f t="shared" si="665"/>
        <v>0</v>
      </c>
      <c r="DY110" s="270">
        <f t="shared" si="29"/>
        <v>1467.13</v>
      </c>
      <c r="DZ110" s="274"/>
      <c r="EA110" s="275">
        <f t="shared" si="38"/>
        <v>0</v>
      </c>
      <c r="EB110" s="270">
        <f t="shared" ref="EB110:FC110" si="666">IF(AJ108&lt;=0,0,IF($C109&lt;=SUM($EA110:EA110),0,IF(CU109+$C109-SUM($EA110:EA110)&gt;AJ108+BO109,AJ108+BO109-CU109,$C109-SUM($EA110:EA110))))</f>
        <v>0</v>
      </c>
      <c r="EC110" s="270">
        <f t="shared" si="666"/>
        <v>0</v>
      </c>
      <c r="ED110" s="270">
        <f t="shared" si="666"/>
        <v>0</v>
      </c>
      <c r="EE110" s="270">
        <f t="shared" si="666"/>
        <v>0</v>
      </c>
      <c r="EF110" s="270">
        <f t="shared" si="666"/>
        <v>0</v>
      </c>
      <c r="EG110" s="270">
        <f t="shared" si="666"/>
        <v>0</v>
      </c>
      <c r="EH110" s="270">
        <f t="shared" si="666"/>
        <v>0</v>
      </c>
      <c r="EI110" s="270">
        <f t="shared" si="666"/>
        <v>0</v>
      </c>
      <c r="EJ110" s="270">
        <f t="shared" si="666"/>
        <v>0</v>
      </c>
      <c r="EK110" s="270">
        <f t="shared" si="666"/>
        <v>0</v>
      </c>
      <c r="EL110" s="270">
        <f t="shared" si="666"/>
        <v>0</v>
      </c>
      <c r="EM110" s="270">
        <f t="shared" si="666"/>
        <v>2394.87</v>
      </c>
      <c r="EN110" s="270">
        <f t="shared" si="666"/>
        <v>0</v>
      </c>
      <c r="EO110" s="270">
        <f t="shared" si="666"/>
        <v>0</v>
      </c>
      <c r="EP110" s="270">
        <f t="shared" si="666"/>
        <v>0</v>
      </c>
      <c r="EQ110" s="270">
        <f t="shared" si="666"/>
        <v>0</v>
      </c>
      <c r="ER110" s="270">
        <f t="shared" si="666"/>
        <v>0</v>
      </c>
      <c r="ES110" s="270">
        <f t="shared" si="666"/>
        <v>0</v>
      </c>
      <c r="ET110" s="270">
        <f t="shared" si="666"/>
        <v>0</v>
      </c>
      <c r="EU110" s="270">
        <f t="shared" si="666"/>
        <v>0</v>
      </c>
      <c r="EV110" s="270">
        <f t="shared" si="666"/>
        <v>0</v>
      </c>
      <c r="EW110" s="270">
        <f t="shared" si="666"/>
        <v>0</v>
      </c>
      <c r="EX110" s="270">
        <f t="shared" si="666"/>
        <v>0</v>
      </c>
      <c r="EY110" s="270">
        <f t="shared" si="666"/>
        <v>0</v>
      </c>
      <c r="EZ110" s="270">
        <f t="shared" si="666"/>
        <v>0</v>
      </c>
      <c r="FA110" s="270">
        <f t="shared" si="666"/>
        <v>0</v>
      </c>
      <c r="FB110" s="270">
        <f t="shared" si="666"/>
        <v>0</v>
      </c>
      <c r="FC110" s="270">
        <f t="shared" si="666"/>
        <v>0</v>
      </c>
      <c r="FD110" s="271"/>
      <c r="FE110" s="271"/>
      <c r="FF110" s="271"/>
      <c r="FG110" s="215"/>
      <c r="FH110" s="215"/>
    </row>
    <row r="111" ht="11.25" customHeight="1">
      <c r="A111" s="215">
        <f t="shared" si="19"/>
        <v>91</v>
      </c>
      <c r="B111" s="241">
        <f t="shared" si="600"/>
        <v>48396</v>
      </c>
      <c r="C111" s="271">
        <f>IF(A111="","",IF(Calculator!snowball,IF(($E$5-DY111)&lt;0,0,$E$5-DY111),0)+D111)</f>
        <v>2394.87</v>
      </c>
      <c r="D111" s="277"/>
      <c r="E111" s="270">
        <f t="shared" si="40"/>
        <v>0</v>
      </c>
      <c r="F111" s="270">
        <f t="shared" ref="F111:AG111" si="667">CU111+EB112</f>
        <v>0</v>
      </c>
      <c r="G111" s="270">
        <f t="shared" si="667"/>
        <v>0</v>
      </c>
      <c r="H111" s="270">
        <f t="shared" si="667"/>
        <v>0</v>
      </c>
      <c r="I111" s="270">
        <f t="shared" si="667"/>
        <v>0</v>
      </c>
      <c r="J111" s="270">
        <f t="shared" si="667"/>
        <v>0</v>
      </c>
      <c r="K111" s="270">
        <f t="shared" si="667"/>
        <v>0</v>
      </c>
      <c r="L111" s="270">
        <f t="shared" si="667"/>
        <v>0</v>
      </c>
      <c r="M111" s="270">
        <f t="shared" si="667"/>
        <v>0</v>
      </c>
      <c r="N111" s="270">
        <f t="shared" si="667"/>
        <v>0</v>
      </c>
      <c r="O111" s="270">
        <f t="shared" si="667"/>
        <v>0</v>
      </c>
      <c r="P111" s="272">
        <f t="shared" si="667"/>
        <v>0</v>
      </c>
      <c r="Q111" s="272">
        <f t="shared" si="667"/>
        <v>3862</v>
      </c>
      <c r="R111" s="272">
        <f t="shared" si="667"/>
        <v>0</v>
      </c>
      <c r="S111" s="272">
        <f t="shared" si="667"/>
        <v>0</v>
      </c>
      <c r="T111" s="272">
        <f t="shared" si="667"/>
        <v>0</v>
      </c>
      <c r="U111" s="270">
        <f t="shared" si="667"/>
        <v>0</v>
      </c>
      <c r="V111" s="270">
        <f t="shared" si="667"/>
        <v>0</v>
      </c>
      <c r="W111" s="270">
        <f t="shared" si="667"/>
        <v>0</v>
      </c>
      <c r="X111" s="270">
        <f t="shared" si="667"/>
        <v>0</v>
      </c>
      <c r="Y111" s="270">
        <f t="shared" si="667"/>
        <v>0</v>
      </c>
      <c r="Z111" s="270">
        <f t="shared" si="667"/>
        <v>0</v>
      </c>
      <c r="AA111" s="270">
        <f t="shared" si="667"/>
        <v>0</v>
      </c>
      <c r="AB111" s="270">
        <f t="shared" si="667"/>
        <v>0</v>
      </c>
      <c r="AC111" s="270">
        <f t="shared" si="667"/>
        <v>0</v>
      </c>
      <c r="AD111" s="270">
        <f t="shared" si="667"/>
        <v>0</v>
      </c>
      <c r="AE111" s="270">
        <f t="shared" si="667"/>
        <v>0</v>
      </c>
      <c r="AF111" s="270">
        <f t="shared" si="667"/>
        <v>0</v>
      </c>
      <c r="AG111" s="270">
        <f t="shared" si="667"/>
        <v>0</v>
      </c>
      <c r="AH111" s="279">
        <f t="shared" si="602"/>
        <v>0</v>
      </c>
      <c r="AI111" s="270">
        <f t="shared" si="43"/>
        <v>0</v>
      </c>
      <c r="AJ111" s="270">
        <f t="shared" ref="AJ111:AO111" si="668">IF(F$8=0,0,ROUND(AJ110-(F111-BO111),2))</f>
        <v>0</v>
      </c>
      <c r="AK111" s="270">
        <f t="shared" si="668"/>
        <v>0</v>
      </c>
      <c r="AL111" s="270">
        <f t="shared" si="668"/>
        <v>0</v>
      </c>
      <c r="AM111" s="270">
        <f t="shared" si="668"/>
        <v>0</v>
      </c>
      <c r="AN111" s="270">
        <f t="shared" si="668"/>
        <v>0</v>
      </c>
      <c r="AO111" s="270">
        <f t="shared" si="668"/>
        <v>0</v>
      </c>
      <c r="AP111" s="270">
        <v>0.0</v>
      </c>
      <c r="AQ111" s="270">
        <f t="shared" ref="AQ111:AS111" si="669">IF(M$8=0,0,ROUND(AQ110-(M111-BV111),2))</f>
        <v>0</v>
      </c>
      <c r="AR111" s="270">
        <f t="shared" si="669"/>
        <v>0</v>
      </c>
      <c r="AS111" s="270">
        <f t="shared" si="669"/>
        <v>0</v>
      </c>
      <c r="AT111" s="270">
        <f t="shared" si="605"/>
        <v>-6.22</v>
      </c>
      <c r="AU111" s="270">
        <f t="shared" ref="AU111:BK111" si="670">IF(Q$8=0,0,ROUND(AU110-(Q111-BY111),2))</f>
        <v>14379.96</v>
      </c>
      <c r="AV111" s="270">
        <f t="shared" si="670"/>
        <v>0</v>
      </c>
      <c r="AW111" s="270">
        <f t="shared" si="670"/>
        <v>0</v>
      </c>
      <c r="AX111" s="270">
        <f t="shared" si="670"/>
        <v>0</v>
      </c>
      <c r="AY111" s="270">
        <f t="shared" si="670"/>
        <v>0</v>
      </c>
      <c r="AZ111" s="270">
        <f t="shared" si="670"/>
        <v>0</v>
      </c>
      <c r="BA111" s="270">
        <f t="shared" si="670"/>
        <v>0</v>
      </c>
      <c r="BB111" s="270">
        <f t="shared" si="670"/>
        <v>0</v>
      </c>
      <c r="BC111" s="270">
        <f t="shared" si="670"/>
        <v>0</v>
      </c>
      <c r="BD111" s="270">
        <f t="shared" si="670"/>
        <v>0</v>
      </c>
      <c r="BE111" s="270">
        <f t="shared" si="670"/>
        <v>0</v>
      </c>
      <c r="BF111" s="270">
        <f t="shared" si="670"/>
        <v>0</v>
      </c>
      <c r="BG111" s="270">
        <f t="shared" si="670"/>
        <v>0</v>
      </c>
      <c r="BH111" s="270">
        <f t="shared" si="670"/>
        <v>0</v>
      </c>
      <c r="BI111" s="270">
        <f t="shared" si="670"/>
        <v>0</v>
      </c>
      <c r="BJ111" s="270">
        <f t="shared" si="670"/>
        <v>0</v>
      </c>
      <c r="BK111" s="270">
        <f t="shared" si="670"/>
        <v>0</v>
      </c>
      <c r="BL111" s="265">
        <f t="shared" si="16"/>
        <v>14373.74</v>
      </c>
      <c r="BM111" s="215"/>
      <c r="BN111" s="270">
        <f t="shared" ref="BN111:CP111" si="671">ROUND(AI110*E$9/12,2)</f>
        <v>0</v>
      </c>
      <c r="BO111" s="270">
        <f t="shared" si="671"/>
        <v>0</v>
      </c>
      <c r="BP111" s="270">
        <f t="shared" si="671"/>
        <v>0</v>
      </c>
      <c r="BQ111" s="270">
        <f t="shared" si="671"/>
        <v>0</v>
      </c>
      <c r="BR111" s="270">
        <f t="shared" si="671"/>
        <v>0</v>
      </c>
      <c r="BS111" s="270">
        <f t="shared" si="671"/>
        <v>0</v>
      </c>
      <c r="BT111" s="270">
        <f t="shared" si="671"/>
        <v>0</v>
      </c>
      <c r="BU111" s="270">
        <f t="shared" si="671"/>
        <v>0</v>
      </c>
      <c r="BV111" s="270">
        <f t="shared" si="671"/>
        <v>0</v>
      </c>
      <c r="BW111" s="270">
        <f t="shared" si="671"/>
        <v>0</v>
      </c>
      <c r="BX111" s="270">
        <f t="shared" si="671"/>
        <v>0</v>
      </c>
      <c r="BY111" s="270">
        <f t="shared" si="671"/>
        <v>-0.05</v>
      </c>
      <c r="BZ111" s="270">
        <f t="shared" si="671"/>
        <v>57.01</v>
      </c>
      <c r="CA111" s="270">
        <f t="shared" si="671"/>
        <v>0</v>
      </c>
      <c r="CB111" s="270">
        <f t="shared" si="671"/>
        <v>0</v>
      </c>
      <c r="CC111" s="270">
        <f t="shared" si="671"/>
        <v>0</v>
      </c>
      <c r="CD111" s="270">
        <f t="shared" si="671"/>
        <v>0</v>
      </c>
      <c r="CE111" s="270">
        <f t="shared" si="671"/>
        <v>0</v>
      </c>
      <c r="CF111" s="270">
        <f t="shared" si="671"/>
        <v>0</v>
      </c>
      <c r="CG111" s="270">
        <f t="shared" si="671"/>
        <v>0</v>
      </c>
      <c r="CH111" s="270">
        <f t="shared" si="671"/>
        <v>0</v>
      </c>
      <c r="CI111" s="270">
        <f t="shared" si="671"/>
        <v>0</v>
      </c>
      <c r="CJ111" s="270">
        <f t="shared" si="671"/>
        <v>0</v>
      </c>
      <c r="CK111" s="270">
        <f t="shared" si="671"/>
        <v>0</v>
      </c>
      <c r="CL111" s="270">
        <f t="shared" si="671"/>
        <v>0</v>
      </c>
      <c r="CM111" s="270">
        <f t="shared" si="671"/>
        <v>0</v>
      </c>
      <c r="CN111" s="270">
        <f t="shared" si="671"/>
        <v>0</v>
      </c>
      <c r="CO111" s="270">
        <f t="shared" si="671"/>
        <v>0</v>
      </c>
      <c r="CP111" s="270">
        <f t="shared" si="671"/>
        <v>0</v>
      </c>
      <c r="CQ111" s="215"/>
      <c r="CR111" s="270">
        <f t="shared" si="27"/>
        <v>56.96</v>
      </c>
      <c r="CS111" s="215"/>
      <c r="CT111" s="270">
        <f t="shared" ref="CT111:DX111" si="672">IF(AI110&gt;0,IF((AI110+BN111)&lt;E$10,AI110+BN111,E$10),0)</f>
        <v>0</v>
      </c>
      <c r="CU111" s="270">
        <f t="shared" si="672"/>
        <v>0</v>
      </c>
      <c r="CV111" s="270">
        <f t="shared" si="672"/>
        <v>0</v>
      </c>
      <c r="CW111" s="270">
        <f t="shared" si="672"/>
        <v>0</v>
      </c>
      <c r="CX111" s="270">
        <f t="shared" si="672"/>
        <v>0</v>
      </c>
      <c r="CY111" s="270">
        <f t="shared" si="672"/>
        <v>0</v>
      </c>
      <c r="CZ111" s="270">
        <f t="shared" si="672"/>
        <v>0</v>
      </c>
      <c r="DA111" s="270">
        <f t="shared" si="672"/>
        <v>0</v>
      </c>
      <c r="DB111" s="270">
        <f t="shared" si="672"/>
        <v>0</v>
      </c>
      <c r="DC111" s="270">
        <f t="shared" si="672"/>
        <v>0</v>
      </c>
      <c r="DD111" s="270">
        <f t="shared" si="672"/>
        <v>0</v>
      </c>
      <c r="DE111" s="270">
        <f t="shared" si="672"/>
        <v>0</v>
      </c>
      <c r="DF111" s="270">
        <f t="shared" si="672"/>
        <v>1467.13</v>
      </c>
      <c r="DG111" s="270">
        <f t="shared" si="672"/>
        <v>0</v>
      </c>
      <c r="DH111" s="270">
        <f t="shared" si="672"/>
        <v>0</v>
      </c>
      <c r="DI111" s="270">
        <f t="shared" si="672"/>
        <v>0</v>
      </c>
      <c r="DJ111" s="270">
        <f t="shared" si="672"/>
        <v>0</v>
      </c>
      <c r="DK111" s="270">
        <f t="shared" si="672"/>
        <v>0</v>
      </c>
      <c r="DL111" s="270">
        <f t="shared" si="672"/>
        <v>0</v>
      </c>
      <c r="DM111" s="270">
        <f t="shared" si="672"/>
        <v>0</v>
      </c>
      <c r="DN111" s="270">
        <f t="shared" si="672"/>
        <v>0</v>
      </c>
      <c r="DO111" s="270">
        <f t="shared" si="672"/>
        <v>0</v>
      </c>
      <c r="DP111" s="270">
        <f t="shared" si="672"/>
        <v>0</v>
      </c>
      <c r="DQ111" s="270">
        <f t="shared" si="672"/>
        <v>0</v>
      </c>
      <c r="DR111" s="270">
        <f t="shared" si="672"/>
        <v>0</v>
      </c>
      <c r="DS111" s="270">
        <f t="shared" si="672"/>
        <v>0</v>
      </c>
      <c r="DT111" s="270">
        <f t="shared" si="672"/>
        <v>0</v>
      </c>
      <c r="DU111" s="270">
        <f t="shared" si="672"/>
        <v>0</v>
      </c>
      <c r="DV111" s="270">
        <f t="shared" si="672"/>
        <v>0</v>
      </c>
      <c r="DW111" s="270" t="str">
        <f t="shared" si="672"/>
        <v/>
      </c>
      <c r="DX111" s="270">
        <f t="shared" si="672"/>
        <v>0</v>
      </c>
      <c r="DY111" s="270">
        <f t="shared" si="29"/>
        <v>1467.13</v>
      </c>
      <c r="DZ111" s="274"/>
      <c r="EA111" s="275">
        <f t="shared" si="38"/>
        <v>0</v>
      </c>
      <c r="EB111" s="270">
        <f t="shared" ref="EB111:FC111" si="673">IF(AJ109&lt;=0,0,IF($C110&lt;=SUM($EA111:EA111),0,IF(CU110+$C110-SUM($EA111:EA111)&gt;AJ109+BO110,AJ109+BO110-CU110,$C110-SUM($EA111:EA111))))</f>
        <v>0</v>
      </c>
      <c r="EC111" s="270">
        <f t="shared" si="673"/>
        <v>0</v>
      </c>
      <c r="ED111" s="270">
        <f t="shared" si="673"/>
        <v>0</v>
      </c>
      <c r="EE111" s="270">
        <f t="shared" si="673"/>
        <v>0</v>
      </c>
      <c r="EF111" s="270">
        <f t="shared" si="673"/>
        <v>0</v>
      </c>
      <c r="EG111" s="270">
        <f t="shared" si="673"/>
        <v>0</v>
      </c>
      <c r="EH111" s="270">
        <f t="shared" si="673"/>
        <v>0</v>
      </c>
      <c r="EI111" s="270">
        <f t="shared" si="673"/>
        <v>0</v>
      </c>
      <c r="EJ111" s="270">
        <f t="shared" si="673"/>
        <v>0</v>
      </c>
      <c r="EK111" s="270">
        <f t="shared" si="673"/>
        <v>0</v>
      </c>
      <c r="EL111" s="270">
        <f t="shared" si="673"/>
        <v>0</v>
      </c>
      <c r="EM111" s="270">
        <f t="shared" si="673"/>
        <v>2394.87</v>
      </c>
      <c r="EN111" s="270">
        <f t="shared" si="673"/>
        <v>0</v>
      </c>
      <c r="EO111" s="270">
        <f t="shared" si="673"/>
        <v>0</v>
      </c>
      <c r="EP111" s="270">
        <f t="shared" si="673"/>
        <v>0</v>
      </c>
      <c r="EQ111" s="270">
        <f t="shared" si="673"/>
        <v>0</v>
      </c>
      <c r="ER111" s="270">
        <f t="shared" si="673"/>
        <v>0</v>
      </c>
      <c r="ES111" s="270">
        <f t="shared" si="673"/>
        <v>0</v>
      </c>
      <c r="ET111" s="270">
        <f t="shared" si="673"/>
        <v>0</v>
      </c>
      <c r="EU111" s="270">
        <f t="shared" si="673"/>
        <v>0</v>
      </c>
      <c r="EV111" s="270">
        <f t="shared" si="673"/>
        <v>0</v>
      </c>
      <c r="EW111" s="270">
        <f t="shared" si="673"/>
        <v>0</v>
      </c>
      <c r="EX111" s="270">
        <f t="shared" si="673"/>
        <v>0</v>
      </c>
      <c r="EY111" s="270">
        <f t="shared" si="673"/>
        <v>0</v>
      </c>
      <c r="EZ111" s="270">
        <f t="shared" si="673"/>
        <v>0</v>
      </c>
      <c r="FA111" s="270">
        <f t="shared" si="673"/>
        <v>0</v>
      </c>
      <c r="FB111" s="270">
        <f t="shared" si="673"/>
        <v>0</v>
      </c>
      <c r="FC111" s="270">
        <f t="shared" si="673"/>
        <v>0</v>
      </c>
      <c r="FD111" s="271"/>
      <c r="FE111" s="271"/>
      <c r="FF111" s="271"/>
      <c r="FG111" s="215"/>
      <c r="FH111" s="215"/>
    </row>
    <row r="112" ht="11.25" customHeight="1">
      <c r="A112" s="215">
        <f t="shared" si="19"/>
        <v>92</v>
      </c>
      <c r="B112" s="241">
        <f t="shared" si="600"/>
        <v>48427</v>
      </c>
      <c r="C112" s="271">
        <f>IF(A112="","",IF(Calculator!snowball,IF(($E$5-DY112)&lt;0,0,$E$5-DY112),0)+D112)</f>
        <v>2394.87</v>
      </c>
      <c r="D112" s="277"/>
      <c r="E112" s="270">
        <f t="shared" si="40"/>
        <v>0</v>
      </c>
      <c r="F112" s="270">
        <f t="shared" ref="F112:AG112" si="674">CU112+EB113</f>
        <v>0</v>
      </c>
      <c r="G112" s="270">
        <f t="shared" si="674"/>
        <v>0</v>
      </c>
      <c r="H112" s="270">
        <f t="shared" si="674"/>
        <v>0</v>
      </c>
      <c r="I112" s="270">
        <f t="shared" si="674"/>
        <v>0</v>
      </c>
      <c r="J112" s="270">
        <f t="shared" si="674"/>
        <v>0</v>
      </c>
      <c r="K112" s="270">
        <f t="shared" si="674"/>
        <v>0</v>
      </c>
      <c r="L112" s="270">
        <f t="shared" si="674"/>
        <v>0</v>
      </c>
      <c r="M112" s="270">
        <f t="shared" si="674"/>
        <v>0</v>
      </c>
      <c r="N112" s="270">
        <f t="shared" si="674"/>
        <v>0</v>
      </c>
      <c r="O112" s="270">
        <f t="shared" si="674"/>
        <v>0</v>
      </c>
      <c r="P112" s="272">
        <f t="shared" si="674"/>
        <v>0</v>
      </c>
      <c r="Q112" s="272">
        <f t="shared" si="674"/>
        <v>3862</v>
      </c>
      <c r="R112" s="272">
        <f t="shared" si="674"/>
        <v>0</v>
      </c>
      <c r="S112" s="272">
        <f t="shared" si="674"/>
        <v>0</v>
      </c>
      <c r="T112" s="272">
        <f t="shared" si="674"/>
        <v>0</v>
      </c>
      <c r="U112" s="270">
        <f t="shared" si="674"/>
        <v>0</v>
      </c>
      <c r="V112" s="270">
        <f t="shared" si="674"/>
        <v>0</v>
      </c>
      <c r="W112" s="270">
        <f t="shared" si="674"/>
        <v>0</v>
      </c>
      <c r="X112" s="270">
        <f t="shared" si="674"/>
        <v>0</v>
      </c>
      <c r="Y112" s="270">
        <f t="shared" si="674"/>
        <v>0</v>
      </c>
      <c r="Z112" s="270">
        <f t="shared" si="674"/>
        <v>0</v>
      </c>
      <c r="AA112" s="270">
        <f t="shared" si="674"/>
        <v>0</v>
      </c>
      <c r="AB112" s="270">
        <f t="shared" si="674"/>
        <v>0</v>
      </c>
      <c r="AC112" s="270">
        <f t="shared" si="674"/>
        <v>0</v>
      </c>
      <c r="AD112" s="270">
        <f t="shared" si="674"/>
        <v>0</v>
      </c>
      <c r="AE112" s="270">
        <f t="shared" si="674"/>
        <v>0</v>
      </c>
      <c r="AF112" s="270">
        <f t="shared" si="674"/>
        <v>0</v>
      </c>
      <c r="AG112" s="270">
        <f t="shared" si="674"/>
        <v>0</v>
      </c>
      <c r="AH112" s="279">
        <f t="shared" si="602"/>
        <v>0</v>
      </c>
      <c r="AI112" s="270">
        <f t="shared" si="43"/>
        <v>0</v>
      </c>
      <c r="AJ112" s="270">
        <f t="shared" ref="AJ112:AO112" si="675">IF(F$8=0,0,ROUND(AJ111-(F112-BO112),2))</f>
        <v>0</v>
      </c>
      <c r="AK112" s="270">
        <f t="shared" si="675"/>
        <v>0</v>
      </c>
      <c r="AL112" s="270">
        <f t="shared" si="675"/>
        <v>0</v>
      </c>
      <c r="AM112" s="270">
        <f t="shared" si="675"/>
        <v>0</v>
      </c>
      <c r="AN112" s="270">
        <f t="shared" si="675"/>
        <v>0</v>
      </c>
      <c r="AO112" s="270">
        <f t="shared" si="675"/>
        <v>0</v>
      </c>
      <c r="AP112" s="270">
        <v>0.0</v>
      </c>
      <c r="AQ112" s="270">
        <f t="shared" ref="AQ112:AS112" si="676">IF(M$8=0,0,ROUND(AQ111-(M112-BV112),2))</f>
        <v>0</v>
      </c>
      <c r="AR112" s="270">
        <f t="shared" si="676"/>
        <v>0</v>
      </c>
      <c r="AS112" s="270">
        <f t="shared" si="676"/>
        <v>0</v>
      </c>
      <c r="AT112" s="270">
        <f t="shared" si="605"/>
        <v>-6.22</v>
      </c>
      <c r="AU112" s="270">
        <f t="shared" ref="AU112:BK112" si="677">IF(Q$8=0,0,ROUND(AU111-(Q112-BY112),2))</f>
        <v>10517.91</v>
      </c>
      <c r="AV112" s="270">
        <f t="shared" si="677"/>
        <v>0</v>
      </c>
      <c r="AW112" s="270">
        <f t="shared" si="677"/>
        <v>0</v>
      </c>
      <c r="AX112" s="270">
        <f t="shared" si="677"/>
        <v>0</v>
      </c>
      <c r="AY112" s="270">
        <f t="shared" si="677"/>
        <v>0</v>
      </c>
      <c r="AZ112" s="270">
        <f t="shared" si="677"/>
        <v>0</v>
      </c>
      <c r="BA112" s="270">
        <f t="shared" si="677"/>
        <v>0</v>
      </c>
      <c r="BB112" s="270">
        <f t="shared" si="677"/>
        <v>0</v>
      </c>
      <c r="BC112" s="270">
        <f t="shared" si="677"/>
        <v>0</v>
      </c>
      <c r="BD112" s="270">
        <f t="shared" si="677"/>
        <v>0</v>
      </c>
      <c r="BE112" s="270">
        <f t="shared" si="677"/>
        <v>0</v>
      </c>
      <c r="BF112" s="270">
        <f t="shared" si="677"/>
        <v>0</v>
      </c>
      <c r="BG112" s="270">
        <f t="shared" si="677"/>
        <v>0</v>
      </c>
      <c r="BH112" s="270">
        <f t="shared" si="677"/>
        <v>0</v>
      </c>
      <c r="BI112" s="270">
        <f t="shared" si="677"/>
        <v>0</v>
      </c>
      <c r="BJ112" s="270">
        <f t="shared" si="677"/>
        <v>0</v>
      </c>
      <c r="BK112" s="270">
        <f t="shared" si="677"/>
        <v>0</v>
      </c>
      <c r="BL112" s="265">
        <f t="shared" si="16"/>
        <v>10511.69</v>
      </c>
      <c r="BM112" s="215"/>
      <c r="BN112" s="270">
        <f t="shared" ref="BN112:CP112" si="678">ROUND(AI111*E$9/12,2)</f>
        <v>0</v>
      </c>
      <c r="BO112" s="270">
        <f t="shared" si="678"/>
        <v>0</v>
      </c>
      <c r="BP112" s="270">
        <f t="shared" si="678"/>
        <v>0</v>
      </c>
      <c r="BQ112" s="270">
        <f t="shared" si="678"/>
        <v>0</v>
      </c>
      <c r="BR112" s="270">
        <f t="shared" si="678"/>
        <v>0</v>
      </c>
      <c r="BS112" s="270">
        <f t="shared" si="678"/>
        <v>0</v>
      </c>
      <c r="BT112" s="270">
        <f t="shared" si="678"/>
        <v>0</v>
      </c>
      <c r="BU112" s="270">
        <f t="shared" si="678"/>
        <v>0</v>
      </c>
      <c r="BV112" s="270">
        <f t="shared" si="678"/>
        <v>0</v>
      </c>
      <c r="BW112" s="270">
        <f t="shared" si="678"/>
        <v>0</v>
      </c>
      <c r="BX112" s="270">
        <f t="shared" si="678"/>
        <v>0</v>
      </c>
      <c r="BY112" s="270">
        <f t="shared" si="678"/>
        <v>-0.05</v>
      </c>
      <c r="BZ112" s="270">
        <f t="shared" si="678"/>
        <v>44.94</v>
      </c>
      <c r="CA112" s="270">
        <f t="shared" si="678"/>
        <v>0</v>
      </c>
      <c r="CB112" s="270">
        <f t="shared" si="678"/>
        <v>0</v>
      </c>
      <c r="CC112" s="270">
        <f t="shared" si="678"/>
        <v>0</v>
      </c>
      <c r="CD112" s="270">
        <f t="shared" si="678"/>
        <v>0</v>
      </c>
      <c r="CE112" s="270">
        <f t="shared" si="678"/>
        <v>0</v>
      </c>
      <c r="CF112" s="270">
        <f t="shared" si="678"/>
        <v>0</v>
      </c>
      <c r="CG112" s="270">
        <f t="shared" si="678"/>
        <v>0</v>
      </c>
      <c r="CH112" s="270">
        <f t="shared" si="678"/>
        <v>0</v>
      </c>
      <c r="CI112" s="270">
        <f t="shared" si="678"/>
        <v>0</v>
      </c>
      <c r="CJ112" s="270">
        <f t="shared" si="678"/>
        <v>0</v>
      </c>
      <c r="CK112" s="270">
        <f t="shared" si="678"/>
        <v>0</v>
      </c>
      <c r="CL112" s="270">
        <f t="shared" si="678"/>
        <v>0</v>
      </c>
      <c r="CM112" s="270">
        <f t="shared" si="678"/>
        <v>0</v>
      </c>
      <c r="CN112" s="270">
        <f t="shared" si="678"/>
        <v>0</v>
      </c>
      <c r="CO112" s="270">
        <f t="shared" si="678"/>
        <v>0</v>
      </c>
      <c r="CP112" s="270">
        <f t="shared" si="678"/>
        <v>0</v>
      </c>
      <c r="CQ112" s="215"/>
      <c r="CR112" s="270">
        <f t="shared" si="27"/>
        <v>44.89</v>
      </c>
      <c r="CS112" s="215"/>
      <c r="CT112" s="270">
        <f t="shared" ref="CT112:DX112" si="679">IF(AI111&gt;0,IF((AI111+BN112)&lt;E$10,AI111+BN112,E$10),0)</f>
        <v>0</v>
      </c>
      <c r="CU112" s="270">
        <f t="shared" si="679"/>
        <v>0</v>
      </c>
      <c r="CV112" s="270">
        <f t="shared" si="679"/>
        <v>0</v>
      </c>
      <c r="CW112" s="270">
        <f t="shared" si="679"/>
        <v>0</v>
      </c>
      <c r="CX112" s="270">
        <f t="shared" si="679"/>
        <v>0</v>
      </c>
      <c r="CY112" s="270">
        <f t="shared" si="679"/>
        <v>0</v>
      </c>
      <c r="CZ112" s="270">
        <f t="shared" si="679"/>
        <v>0</v>
      </c>
      <c r="DA112" s="270">
        <f t="shared" si="679"/>
        <v>0</v>
      </c>
      <c r="DB112" s="270">
        <f t="shared" si="679"/>
        <v>0</v>
      </c>
      <c r="DC112" s="270">
        <f t="shared" si="679"/>
        <v>0</v>
      </c>
      <c r="DD112" s="270">
        <f t="shared" si="679"/>
        <v>0</v>
      </c>
      <c r="DE112" s="270">
        <f t="shared" si="679"/>
        <v>0</v>
      </c>
      <c r="DF112" s="270">
        <f t="shared" si="679"/>
        <v>1467.13</v>
      </c>
      <c r="DG112" s="270">
        <f t="shared" si="679"/>
        <v>0</v>
      </c>
      <c r="DH112" s="270">
        <f t="shared" si="679"/>
        <v>0</v>
      </c>
      <c r="DI112" s="270">
        <f t="shared" si="679"/>
        <v>0</v>
      </c>
      <c r="DJ112" s="270">
        <f t="shared" si="679"/>
        <v>0</v>
      </c>
      <c r="DK112" s="270">
        <f t="shared" si="679"/>
        <v>0</v>
      </c>
      <c r="DL112" s="270">
        <f t="shared" si="679"/>
        <v>0</v>
      </c>
      <c r="DM112" s="270">
        <f t="shared" si="679"/>
        <v>0</v>
      </c>
      <c r="DN112" s="270">
        <f t="shared" si="679"/>
        <v>0</v>
      </c>
      <c r="DO112" s="270">
        <f t="shared" si="679"/>
        <v>0</v>
      </c>
      <c r="DP112" s="270">
        <f t="shared" si="679"/>
        <v>0</v>
      </c>
      <c r="DQ112" s="270">
        <f t="shared" si="679"/>
        <v>0</v>
      </c>
      <c r="DR112" s="270">
        <f t="shared" si="679"/>
        <v>0</v>
      </c>
      <c r="DS112" s="270">
        <f t="shared" si="679"/>
        <v>0</v>
      </c>
      <c r="DT112" s="270">
        <f t="shared" si="679"/>
        <v>0</v>
      </c>
      <c r="DU112" s="270">
        <f t="shared" si="679"/>
        <v>0</v>
      </c>
      <c r="DV112" s="270">
        <f t="shared" si="679"/>
        <v>0</v>
      </c>
      <c r="DW112" s="270" t="str">
        <f t="shared" si="679"/>
        <v/>
      </c>
      <c r="DX112" s="270">
        <f t="shared" si="679"/>
        <v>0</v>
      </c>
      <c r="DY112" s="270">
        <f t="shared" si="29"/>
        <v>1467.13</v>
      </c>
      <c r="DZ112" s="274"/>
      <c r="EA112" s="275">
        <f t="shared" si="38"/>
        <v>0</v>
      </c>
      <c r="EB112" s="270">
        <f t="shared" ref="EB112:FC112" si="680">IF(AJ110&lt;=0,0,IF($C111&lt;=SUM($EA112:EA112),0,IF(CU111+$C111-SUM($EA112:EA112)&gt;AJ110+BO111,AJ110+BO111-CU111,$C111-SUM($EA112:EA112))))</f>
        <v>0</v>
      </c>
      <c r="EC112" s="270">
        <f t="shared" si="680"/>
        <v>0</v>
      </c>
      <c r="ED112" s="270">
        <f t="shared" si="680"/>
        <v>0</v>
      </c>
      <c r="EE112" s="270">
        <f t="shared" si="680"/>
        <v>0</v>
      </c>
      <c r="EF112" s="270">
        <f t="shared" si="680"/>
        <v>0</v>
      </c>
      <c r="EG112" s="270">
        <f t="shared" si="680"/>
        <v>0</v>
      </c>
      <c r="EH112" s="270">
        <f t="shared" si="680"/>
        <v>0</v>
      </c>
      <c r="EI112" s="270">
        <f t="shared" si="680"/>
        <v>0</v>
      </c>
      <c r="EJ112" s="270">
        <f t="shared" si="680"/>
        <v>0</v>
      </c>
      <c r="EK112" s="270">
        <f t="shared" si="680"/>
        <v>0</v>
      </c>
      <c r="EL112" s="270">
        <f t="shared" si="680"/>
        <v>0</v>
      </c>
      <c r="EM112" s="270">
        <f t="shared" si="680"/>
        <v>2394.87</v>
      </c>
      <c r="EN112" s="270">
        <f t="shared" si="680"/>
        <v>0</v>
      </c>
      <c r="EO112" s="270">
        <f t="shared" si="680"/>
        <v>0</v>
      </c>
      <c r="EP112" s="270">
        <f t="shared" si="680"/>
        <v>0</v>
      </c>
      <c r="EQ112" s="270">
        <f t="shared" si="680"/>
        <v>0</v>
      </c>
      <c r="ER112" s="270">
        <f t="shared" si="680"/>
        <v>0</v>
      </c>
      <c r="ES112" s="270">
        <f t="shared" si="680"/>
        <v>0</v>
      </c>
      <c r="ET112" s="270">
        <f t="shared" si="680"/>
        <v>0</v>
      </c>
      <c r="EU112" s="270">
        <f t="shared" si="680"/>
        <v>0</v>
      </c>
      <c r="EV112" s="270">
        <f t="shared" si="680"/>
        <v>0</v>
      </c>
      <c r="EW112" s="270">
        <f t="shared" si="680"/>
        <v>0</v>
      </c>
      <c r="EX112" s="270">
        <f t="shared" si="680"/>
        <v>0</v>
      </c>
      <c r="EY112" s="270">
        <f t="shared" si="680"/>
        <v>0</v>
      </c>
      <c r="EZ112" s="270">
        <f t="shared" si="680"/>
        <v>0</v>
      </c>
      <c r="FA112" s="270">
        <f t="shared" si="680"/>
        <v>0</v>
      </c>
      <c r="FB112" s="270">
        <f t="shared" si="680"/>
        <v>0</v>
      </c>
      <c r="FC112" s="270">
        <f t="shared" si="680"/>
        <v>0</v>
      </c>
      <c r="FD112" s="271"/>
      <c r="FE112" s="271"/>
      <c r="FF112" s="271"/>
      <c r="FG112" s="215"/>
      <c r="FH112" s="215"/>
    </row>
    <row r="113" ht="11.25" customHeight="1">
      <c r="A113" s="215">
        <f t="shared" si="19"/>
        <v>93</v>
      </c>
      <c r="B113" s="241">
        <f t="shared" si="600"/>
        <v>48458</v>
      </c>
      <c r="C113" s="271">
        <f>IF(A113="","",IF(Calculator!snowball,IF(($E$5-DY113)&lt;0,0,$E$5-DY113),0)+D113)</f>
        <v>2394.87</v>
      </c>
      <c r="D113" s="277"/>
      <c r="E113" s="270">
        <f t="shared" si="40"/>
        <v>0</v>
      </c>
      <c r="F113" s="270">
        <f t="shared" ref="F113:AG113" si="681">CU113+EB114</f>
        <v>0</v>
      </c>
      <c r="G113" s="270">
        <f t="shared" si="681"/>
        <v>0</v>
      </c>
      <c r="H113" s="270">
        <f t="shared" si="681"/>
        <v>0</v>
      </c>
      <c r="I113" s="270">
        <f t="shared" si="681"/>
        <v>0</v>
      </c>
      <c r="J113" s="270">
        <f t="shared" si="681"/>
        <v>0</v>
      </c>
      <c r="K113" s="270">
        <f t="shared" si="681"/>
        <v>0</v>
      </c>
      <c r="L113" s="270">
        <f t="shared" si="681"/>
        <v>0</v>
      </c>
      <c r="M113" s="270">
        <f t="shared" si="681"/>
        <v>0</v>
      </c>
      <c r="N113" s="270">
        <f t="shared" si="681"/>
        <v>0</v>
      </c>
      <c r="O113" s="270">
        <f t="shared" si="681"/>
        <v>0</v>
      </c>
      <c r="P113" s="272">
        <f t="shared" si="681"/>
        <v>0</v>
      </c>
      <c r="Q113" s="272">
        <f t="shared" si="681"/>
        <v>3862</v>
      </c>
      <c r="R113" s="272">
        <f t="shared" si="681"/>
        <v>0</v>
      </c>
      <c r="S113" s="272">
        <f t="shared" si="681"/>
        <v>0</v>
      </c>
      <c r="T113" s="272">
        <f t="shared" si="681"/>
        <v>0</v>
      </c>
      <c r="U113" s="270">
        <f t="shared" si="681"/>
        <v>0</v>
      </c>
      <c r="V113" s="270">
        <f t="shared" si="681"/>
        <v>0</v>
      </c>
      <c r="W113" s="270">
        <f t="shared" si="681"/>
        <v>0</v>
      </c>
      <c r="X113" s="270">
        <f t="shared" si="681"/>
        <v>0</v>
      </c>
      <c r="Y113" s="270">
        <f t="shared" si="681"/>
        <v>0</v>
      </c>
      <c r="Z113" s="270">
        <f t="shared" si="681"/>
        <v>0</v>
      </c>
      <c r="AA113" s="270">
        <f t="shared" si="681"/>
        <v>0</v>
      </c>
      <c r="AB113" s="270">
        <f t="shared" si="681"/>
        <v>0</v>
      </c>
      <c r="AC113" s="270">
        <f t="shared" si="681"/>
        <v>0</v>
      </c>
      <c r="AD113" s="270">
        <f t="shared" si="681"/>
        <v>0</v>
      </c>
      <c r="AE113" s="270">
        <f t="shared" si="681"/>
        <v>0</v>
      </c>
      <c r="AF113" s="270">
        <f t="shared" si="681"/>
        <v>0</v>
      </c>
      <c r="AG113" s="270">
        <f t="shared" si="681"/>
        <v>0</v>
      </c>
      <c r="AH113" s="279">
        <f t="shared" si="602"/>
        <v>0</v>
      </c>
      <c r="AI113" s="270">
        <f t="shared" si="43"/>
        <v>0</v>
      </c>
      <c r="AJ113" s="270">
        <f t="shared" ref="AJ113:AO113" si="682">IF(F$8=0,0,ROUND(AJ112-(F113-BO113),2))</f>
        <v>0</v>
      </c>
      <c r="AK113" s="270">
        <f t="shared" si="682"/>
        <v>0</v>
      </c>
      <c r="AL113" s="270">
        <f t="shared" si="682"/>
        <v>0</v>
      </c>
      <c r="AM113" s="270">
        <f t="shared" si="682"/>
        <v>0</v>
      </c>
      <c r="AN113" s="270">
        <f t="shared" si="682"/>
        <v>0</v>
      </c>
      <c r="AO113" s="270">
        <f t="shared" si="682"/>
        <v>0</v>
      </c>
      <c r="AP113" s="270">
        <v>0.0</v>
      </c>
      <c r="AQ113" s="270">
        <f t="shared" ref="AQ113:AS113" si="683">IF(M$8=0,0,ROUND(AQ112-(M113-BV113),2))</f>
        <v>0</v>
      </c>
      <c r="AR113" s="270">
        <f t="shared" si="683"/>
        <v>0</v>
      </c>
      <c r="AS113" s="270">
        <f t="shared" si="683"/>
        <v>0</v>
      </c>
      <c r="AT113" s="270">
        <f t="shared" si="605"/>
        <v>-6.22</v>
      </c>
      <c r="AU113" s="270">
        <f t="shared" ref="AU113:BK113" si="684">IF(Q$8=0,0,ROUND(AU112-(Q113-BY113),2))</f>
        <v>6655.86</v>
      </c>
      <c r="AV113" s="270">
        <f t="shared" si="684"/>
        <v>0</v>
      </c>
      <c r="AW113" s="270">
        <f t="shared" si="684"/>
        <v>0</v>
      </c>
      <c r="AX113" s="270">
        <f t="shared" si="684"/>
        <v>0</v>
      </c>
      <c r="AY113" s="270">
        <f t="shared" si="684"/>
        <v>0</v>
      </c>
      <c r="AZ113" s="270">
        <f t="shared" si="684"/>
        <v>0</v>
      </c>
      <c r="BA113" s="270">
        <f t="shared" si="684"/>
        <v>0</v>
      </c>
      <c r="BB113" s="270">
        <f t="shared" si="684"/>
        <v>0</v>
      </c>
      <c r="BC113" s="270">
        <f t="shared" si="684"/>
        <v>0</v>
      </c>
      <c r="BD113" s="270">
        <f t="shared" si="684"/>
        <v>0</v>
      </c>
      <c r="BE113" s="270">
        <f t="shared" si="684"/>
        <v>0</v>
      </c>
      <c r="BF113" s="270">
        <f t="shared" si="684"/>
        <v>0</v>
      </c>
      <c r="BG113" s="270">
        <f t="shared" si="684"/>
        <v>0</v>
      </c>
      <c r="BH113" s="270">
        <f t="shared" si="684"/>
        <v>0</v>
      </c>
      <c r="BI113" s="270">
        <f t="shared" si="684"/>
        <v>0</v>
      </c>
      <c r="BJ113" s="270">
        <f t="shared" si="684"/>
        <v>0</v>
      </c>
      <c r="BK113" s="270">
        <f t="shared" si="684"/>
        <v>0</v>
      </c>
      <c r="BL113" s="265">
        <f t="shared" si="16"/>
        <v>6649.64</v>
      </c>
      <c r="BM113" s="215"/>
      <c r="BN113" s="270">
        <f t="shared" ref="BN113:CP113" si="685">ROUND(AI112*E$9/12,2)</f>
        <v>0</v>
      </c>
      <c r="BO113" s="270">
        <f t="shared" si="685"/>
        <v>0</v>
      </c>
      <c r="BP113" s="270">
        <f t="shared" si="685"/>
        <v>0</v>
      </c>
      <c r="BQ113" s="270">
        <f t="shared" si="685"/>
        <v>0</v>
      </c>
      <c r="BR113" s="270">
        <f t="shared" si="685"/>
        <v>0</v>
      </c>
      <c r="BS113" s="270">
        <f t="shared" si="685"/>
        <v>0</v>
      </c>
      <c r="BT113" s="270">
        <f t="shared" si="685"/>
        <v>0</v>
      </c>
      <c r="BU113" s="270">
        <f t="shared" si="685"/>
        <v>0</v>
      </c>
      <c r="BV113" s="270">
        <f t="shared" si="685"/>
        <v>0</v>
      </c>
      <c r="BW113" s="270">
        <f t="shared" si="685"/>
        <v>0</v>
      </c>
      <c r="BX113" s="270">
        <f t="shared" si="685"/>
        <v>0</v>
      </c>
      <c r="BY113" s="270">
        <f t="shared" si="685"/>
        <v>-0.05</v>
      </c>
      <c r="BZ113" s="270">
        <f t="shared" si="685"/>
        <v>32.87</v>
      </c>
      <c r="CA113" s="270">
        <f t="shared" si="685"/>
        <v>0</v>
      </c>
      <c r="CB113" s="270">
        <f t="shared" si="685"/>
        <v>0</v>
      </c>
      <c r="CC113" s="270">
        <f t="shared" si="685"/>
        <v>0</v>
      </c>
      <c r="CD113" s="270">
        <f t="shared" si="685"/>
        <v>0</v>
      </c>
      <c r="CE113" s="270">
        <f t="shared" si="685"/>
        <v>0</v>
      </c>
      <c r="CF113" s="270">
        <f t="shared" si="685"/>
        <v>0</v>
      </c>
      <c r="CG113" s="270">
        <f t="shared" si="685"/>
        <v>0</v>
      </c>
      <c r="CH113" s="270">
        <f t="shared" si="685"/>
        <v>0</v>
      </c>
      <c r="CI113" s="270">
        <f t="shared" si="685"/>
        <v>0</v>
      </c>
      <c r="CJ113" s="270">
        <f t="shared" si="685"/>
        <v>0</v>
      </c>
      <c r="CK113" s="270">
        <f t="shared" si="685"/>
        <v>0</v>
      </c>
      <c r="CL113" s="270">
        <f t="shared" si="685"/>
        <v>0</v>
      </c>
      <c r="CM113" s="270">
        <f t="shared" si="685"/>
        <v>0</v>
      </c>
      <c r="CN113" s="270">
        <f t="shared" si="685"/>
        <v>0</v>
      </c>
      <c r="CO113" s="270">
        <f t="shared" si="685"/>
        <v>0</v>
      </c>
      <c r="CP113" s="270">
        <f t="shared" si="685"/>
        <v>0</v>
      </c>
      <c r="CQ113" s="215"/>
      <c r="CR113" s="270">
        <f t="shared" si="27"/>
        <v>32.82</v>
      </c>
      <c r="CS113" s="215"/>
      <c r="CT113" s="270">
        <f t="shared" ref="CT113:DX113" si="686">IF(AI112&gt;0,IF((AI112+BN113)&lt;E$10,AI112+BN113,E$10),0)</f>
        <v>0</v>
      </c>
      <c r="CU113" s="270">
        <f t="shared" si="686"/>
        <v>0</v>
      </c>
      <c r="CV113" s="270">
        <f t="shared" si="686"/>
        <v>0</v>
      </c>
      <c r="CW113" s="270">
        <f t="shared" si="686"/>
        <v>0</v>
      </c>
      <c r="CX113" s="270">
        <f t="shared" si="686"/>
        <v>0</v>
      </c>
      <c r="CY113" s="270">
        <f t="shared" si="686"/>
        <v>0</v>
      </c>
      <c r="CZ113" s="270">
        <f t="shared" si="686"/>
        <v>0</v>
      </c>
      <c r="DA113" s="270">
        <f t="shared" si="686"/>
        <v>0</v>
      </c>
      <c r="DB113" s="270">
        <f t="shared" si="686"/>
        <v>0</v>
      </c>
      <c r="DC113" s="270">
        <f t="shared" si="686"/>
        <v>0</v>
      </c>
      <c r="DD113" s="270">
        <f t="shared" si="686"/>
        <v>0</v>
      </c>
      <c r="DE113" s="270">
        <f t="shared" si="686"/>
        <v>0</v>
      </c>
      <c r="DF113" s="270">
        <f t="shared" si="686"/>
        <v>1467.13</v>
      </c>
      <c r="DG113" s="270">
        <f t="shared" si="686"/>
        <v>0</v>
      </c>
      <c r="DH113" s="270">
        <f t="shared" si="686"/>
        <v>0</v>
      </c>
      <c r="DI113" s="270">
        <f t="shared" si="686"/>
        <v>0</v>
      </c>
      <c r="DJ113" s="270">
        <f t="shared" si="686"/>
        <v>0</v>
      </c>
      <c r="DK113" s="270">
        <f t="shared" si="686"/>
        <v>0</v>
      </c>
      <c r="DL113" s="270">
        <f t="shared" si="686"/>
        <v>0</v>
      </c>
      <c r="DM113" s="270">
        <f t="shared" si="686"/>
        <v>0</v>
      </c>
      <c r="DN113" s="270">
        <f t="shared" si="686"/>
        <v>0</v>
      </c>
      <c r="DO113" s="270">
        <f t="shared" si="686"/>
        <v>0</v>
      </c>
      <c r="DP113" s="270">
        <f t="shared" si="686"/>
        <v>0</v>
      </c>
      <c r="DQ113" s="270">
        <f t="shared" si="686"/>
        <v>0</v>
      </c>
      <c r="DR113" s="270">
        <f t="shared" si="686"/>
        <v>0</v>
      </c>
      <c r="DS113" s="270">
        <f t="shared" si="686"/>
        <v>0</v>
      </c>
      <c r="DT113" s="270">
        <f t="shared" si="686"/>
        <v>0</v>
      </c>
      <c r="DU113" s="270">
        <f t="shared" si="686"/>
        <v>0</v>
      </c>
      <c r="DV113" s="270">
        <f t="shared" si="686"/>
        <v>0</v>
      </c>
      <c r="DW113" s="270" t="str">
        <f t="shared" si="686"/>
        <v/>
      </c>
      <c r="DX113" s="270">
        <f t="shared" si="686"/>
        <v>0</v>
      </c>
      <c r="DY113" s="270">
        <f t="shared" si="29"/>
        <v>1467.13</v>
      </c>
      <c r="DZ113" s="274"/>
      <c r="EA113" s="275">
        <f t="shared" si="38"/>
        <v>0</v>
      </c>
      <c r="EB113" s="270">
        <f t="shared" ref="EB113:FC113" si="687">IF(AJ111&lt;=0,0,IF($C112&lt;=SUM($EA113:EA113),0,IF(CU112+$C112-SUM($EA113:EA113)&gt;AJ111+BO112,AJ111+BO112-CU112,$C112-SUM($EA113:EA113))))</f>
        <v>0</v>
      </c>
      <c r="EC113" s="270">
        <f t="shared" si="687"/>
        <v>0</v>
      </c>
      <c r="ED113" s="270">
        <f t="shared" si="687"/>
        <v>0</v>
      </c>
      <c r="EE113" s="270">
        <f t="shared" si="687"/>
        <v>0</v>
      </c>
      <c r="EF113" s="270">
        <f t="shared" si="687"/>
        <v>0</v>
      </c>
      <c r="EG113" s="270">
        <f t="shared" si="687"/>
        <v>0</v>
      </c>
      <c r="EH113" s="270">
        <f t="shared" si="687"/>
        <v>0</v>
      </c>
      <c r="EI113" s="270">
        <f t="shared" si="687"/>
        <v>0</v>
      </c>
      <c r="EJ113" s="270">
        <f t="shared" si="687"/>
        <v>0</v>
      </c>
      <c r="EK113" s="270">
        <f t="shared" si="687"/>
        <v>0</v>
      </c>
      <c r="EL113" s="270">
        <f t="shared" si="687"/>
        <v>0</v>
      </c>
      <c r="EM113" s="270">
        <f t="shared" si="687"/>
        <v>2394.87</v>
      </c>
      <c r="EN113" s="270">
        <f t="shared" si="687"/>
        <v>0</v>
      </c>
      <c r="EO113" s="270">
        <f t="shared" si="687"/>
        <v>0</v>
      </c>
      <c r="EP113" s="270">
        <f t="shared" si="687"/>
        <v>0</v>
      </c>
      <c r="EQ113" s="270">
        <f t="shared" si="687"/>
        <v>0</v>
      </c>
      <c r="ER113" s="270">
        <f t="shared" si="687"/>
        <v>0</v>
      </c>
      <c r="ES113" s="270">
        <f t="shared" si="687"/>
        <v>0</v>
      </c>
      <c r="ET113" s="270">
        <f t="shared" si="687"/>
        <v>0</v>
      </c>
      <c r="EU113" s="270">
        <f t="shared" si="687"/>
        <v>0</v>
      </c>
      <c r="EV113" s="270">
        <f t="shared" si="687"/>
        <v>0</v>
      </c>
      <c r="EW113" s="270">
        <f t="shared" si="687"/>
        <v>0</v>
      </c>
      <c r="EX113" s="270">
        <f t="shared" si="687"/>
        <v>0</v>
      </c>
      <c r="EY113" s="270">
        <f t="shared" si="687"/>
        <v>0</v>
      </c>
      <c r="EZ113" s="270">
        <f t="shared" si="687"/>
        <v>0</v>
      </c>
      <c r="FA113" s="270">
        <f t="shared" si="687"/>
        <v>0</v>
      </c>
      <c r="FB113" s="270">
        <f t="shared" si="687"/>
        <v>0</v>
      </c>
      <c r="FC113" s="270">
        <f t="shared" si="687"/>
        <v>0</v>
      </c>
      <c r="FD113" s="271"/>
      <c r="FE113" s="271"/>
      <c r="FF113" s="271"/>
      <c r="FG113" s="215"/>
      <c r="FH113" s="215"/>
    </row>
    <row r="114" ht="11.25" customHeight="1">
      <c r="A114" s="215">
        <f t="shared" si="19"/>
        <v>94</v>
      </c>
      <c r="B114" s="241">
        <f t="shared" si="600"/>
        <v>48488</v>
      </c>
      <c r="C114" s="271">
        <f>IF(A114="","",IF(Calculator!snowball,IF(($E$5-DY114)&lt;0,0,$E$5-DY114),0)+D114)</f>
        <v>2394.87</v>
      </c>
      <c r="D114" s="277"/>
      <c r="E114" s="270">
        <f t="shared" si="40"/>
        <v>0</v>
      </c>
      <c r="F114" s="270">
        <f t="shared" ref="F114:AG114" si="688">CU114+EB115</f>
        <v>0</v>
      </c>
      <c r="G114" s="270">
        <f t="shared" si="688"/>
        <v>0</v>
      </c>
      <c r="H114" s="270">
        <f t="shared" si="688"/>
        <v>0</v>
      </c>
      <c r="I114" s="270">
        <f t="shared" si="688"/>
        <v>0</v>
      </c>
      <c r="J114" s="270">
        <f t="shared" si="688"/>
        <v>0</v>
      </c>
      <c r="K114" s="270">
        <f t="shared" si="688"/>
        <v>0</v>
      </c>
      <c r="L114" s="270">
        <f t="shared" si="688"/>
        <v>0</v>
      </c>
      <c r="M114" s="270">
        <f t="shared" si="688"/>
        <v>0</v>
      </c>
      <c r="N114" s="270">
        <f t="shared" si="688"/>
        <v>0</v>
      </c>
      <c r="O114" s="270">
        <f t="shared" si="688"/>
        <v>0</v>
      </c>
      <c r="P114" s="272">
        <f t="shared" si="688"/>
        <v>0</v>
      </c>
      <c r="Q114" s="272">
        <f t="shared" si="688"/>
        <v>3862</v>
      </c>
      <c r="R114" s="272">
        <f t="shared" si="688"/>
        <v>0</v>
      </c>
      <c r="S114" s="272">
        <f t="shared" si="688"/>
        <v>0</v>
      </c>
      <c r="T114" s="272">
        <f t="shared" si="688"/>
        <v>0</v>
      </c>
      <c r="U114" s="270">
        <f t="shared" si="688"/>
        <v>0</v>
      </c>
      <c r="V114" s="270">
        <f t="shared" si="688"/>
        <v>0</v>
      </c>
      <c r="W114" s="270">
        <f t="shared" si="688"/>
        <v>0</v>
      </c>
      <c r="X114" s="270">
        <f t="shared" si="688"/>
        <v>0</v>
      </c>
      <c r="Y114" s="270">
        <f t="shared" si="688"/>
        <v>0</v>
      </c>
      <c r="Z114" s="270">
        <f t="shared" si="688"/>
        <v>0</v>
      </c>
      <c r="AA114" s="270">
        <f t="shared" si="688"/>
        <v>0</v>
      </c>
      <c r="AB114" s="270">
        <f t="shared" si="688"/>
        <v>0</v>
      </c>
      <c r="AC114" s="270">
        <f t="shared" si="688"/>
        <v>0</v>
      </c>
      <c r="AD114" s="270">
        <f t="shared" si="688"/>
        <v>0</v>
      </c>
      <c r="AE114" s="270">
        <f t="shared" si="688"/>
        <v>0</v>
      </c>
      <c r="AF114" s="270">
        <f t="shared" si="688"/>
        <v>0</v>
      </c>
      <c r="AG114" s="270">
        <f t="shared" si="688"/>
        <v>0</v>
      </c>
      <c r="AH114" s="279">
        <f t="shared" si="602"/>
        <v>0</v>
      </c>
      <c r="AI114" s="270">
        <f t="shared" si="43"/>
        <v>0</v>
      </c>
      <c r="AJ114" s="270">
        <f t="shared" ref="AJ114:AO114" si="689">IF(F$8=0,0,ROUND(AJ113-(F114-BO114),2))</f>
        <v>0</v>
      </c>
      <c r="AK114" s="270">
        <f t="shared" si="689"/>
        <v>0</v>
      </c>
      <c r="AL114" s="270">
        <f t="shared" si="689"/>
        <v>0</v>
      </c>
      <c r="AM114" s="270">
        <f t="shared" si="689"/>
        <v>0</v>
      </c>
      <c r="AN114" s="270">
        <f t="shared" si="689"/>
        <v>0</v>
      </c>
      <c r="AO114" s="270">
        <f t="shared" si="689"/>
        <v>0</v>
      </c>
      <c r="AP114" s="270">
        <v>0.0</v>
      </c>
      <c r="AQ114" s="270">
        <f t="shared" ref="AQ114:AS114" si="690">IF(M$8=0,0,ROUND(AQ113-(M114-BV114),2))</f>
        <v>0</v>
      </c>
      <c r="AR114" s="270">
        <f t="shared" si="690"/>
        <v>0</v>
      </c>
      <c r="AS114" s="270">
        <f t="shared" si="690"/>
        <v>0</v>
      </c>
      <c r="AT114" s="270">
        <f t="shared" si="605"/>
        <v>-6.22</v>
      </c>
      <c r="AU114" s="270">
        <f t="shared" ref="AU114:BK114" si="691">IF(Q$8=0,0,ROUND(AU113-(Q114-BY114),2))</f>
        <v>2793.81</v>
      </c>
      <c r="AV114" s="270">
        <f t="shared" si="691"/>
        <v>0</v>
      </c>
      <c r="AW114" s="270">
        <f t="shared" si="691"/>
        <v>0</v>
      </c>
      <c r="AX114" s="270">
        <f t="shared" si="691"/>
        <v>0</v>
      </c>
      <c r="AY114" s="270">
        <f t="shared" si="691"/>
        <v>0</v>
      </c>
      <c r="AZ114" s="270">
        <f t="shared" si="691"/>
        <v>0</v>
      </c>
      <c r="BA114" s="270">
        <f t="shared" si="691"/>
        <v>0</v>
      </c>
      <c r="BB114" s="270">
        <f t="shared" si="691"/>
        <v>0</v>
      </c>
      <c r="BC114" s="270">
        <f t="shared" si="691"/>
        <v>0</v>
      </c>
      <c r="BD114" s="270">
        <f t="shared" si="691"/>
        <v>0</v>
      </c>
      <c r="BE114" s="270">
        <f t="shared" si="691"/>
        <v>0</v>
      </c>
      <c r="BF114" s="270">
        <f t="shared" si="691"/>
        <v>0</v>
      </c>
      <c r="BG114" s="270">
        <f t="shared" si="691"/>
        <v>0</v>
      </c>
      <c r="BH114" s="270">
        <f t="shared" si="691"/>
        <v>0</v>
      </c>
      <c r="BI114" s="270">
        <f t="shared" si="691"/>
        <v>0</v>
      </c>
      <c r="BJ114" s="270">
        <f t="shared" si="691"/>
        <v>0</v>
      </c>
      <c r="BK114" s="270">
        <f t="shared" si="691"/>
        <v>0</v>
      </c>
      <c r="BL114" s="265">
        <f t="shared" si="16"/>
        <v>2787.59</v>
      </c>
      <c r="BM114" s="215"/>
      <c r="BN114" s="270">
        <f t="shared" ref="BN114:CP114" si="692">ROUND(AI113*E$9/12,2)</f>
        <v>0</v>
      </c>
      <c r="BO114" s="270">
        <f t="shared" si="692"/>
        <v>0</v>
      </c>
      <c r="BP114" s="270">
        <f t="shared" si="692"/>
        <v>0</v>
      </c>
      <c r="BQ114" s="270">
        <f t="shared" si="692"/>
        <v>0</v>
      </c>
      <c r="BR114" s="270">
        <f t="shared" si="692"/>
        <v>0</v>
      </c>
      <c r="BS114" s="270">
        <f t="shared" si="692"/>
        <v>0</v>
      </c>
      <c r="BT114" s="270">
        <f t="shared" si="692"/>
        <v>0</v>
      </c>
      <c r="BU114" s="270">
        <f t="shared" si="692"/>
        <v>0</v>
      </c>
      <c r="BV114" s="270">
        <f t="shared" si="692"/>
        <v>0</v>
      </c>
      <c r="BW114" s="270">
        <f t="shared" si="692"/>
        <v>0</v>
      </c>
      <c r="BX114" s="270">
        <f t="shared" si="692"/>
        <v>0</v>
      </c>
      <c r="BY114" s="270">
        <f t="shared" si="692"/>
        <v>-0.05</v>
      </c>
      <c r="BZ114" s="270">
        <f t="shared" si="692"/>
        <v>20.8</v>
      </c>
      <c r="CA114" s="270">
        <f t="shared" si="692"/>
        <v>0</v>
      </c>
      <c r="CB114" s="270">
        <f t="shared" si="692"/>
        <v>0</v>
      </c>
      <c r="CC114" s="270">
        <f t="shared" si="692"/>
        <v>0</v>
      </c>
      <c r="CD114" s="270">
        <f t="shared" si="692"/>
        <v>0</v>
      </c>
      <c r="CE114" s="270">
        <f t="shared" si="692"/>
        <v>0</v>
      </c>
      <c r="CF114" s="270">
        <f t="shared" si="692"/>
        <v>0</v>
      </c>
      <c r="CG114" s="270">
        <f t="shared" si="692"/>
        <v>0</v>
      </c>
      <c r="CH114" s="270">
        <f t="shared" si="692"/>
        <v>0</v>
      </c>
      <c r="CI114" s="270">
        <f t="shared" si="692"/>
        <v>0</v>
      </c>
      <c r="CJ114" s="270">
        <f t="shared" si="692"/>
        <v>0</v>
      </c>
      <c r="CK114" s="270">
        <f t="shared" si="692"/>
        <v>0</v>
      </c>
      <c r="CL114" s="270">
        <f t="shared" si="692"/>
        <v>0</v>
      </c>
      <c r="CM114" s="270">
        <f t="shared" si="692"/>
        <v>0</v>
      </c>
      <c r="CN114" s="270">
        <f t="shared" si="692"/>
        <v>0</v>
      </c>
      <c r="CO114" s="270">
        <f t="shared" si="692"/>
        <v>0</v>
      </c>
      <c r="CP114" s="270">
        <f t="shared" si="692"/>
        <v>0</v>
      </c>
      <c r="CQ114" s="215"/>
      <c r="CR114" s="270">
        <f t="shared" si="27"/>
        <v>20.75</v>
      </c>
      <c r="CS114" s="215"/>
      <c r="CT114" s="270">
        <f t="shared" ref="CT114:DX114" si="693">IF(AI113&gt;0,IF((AI113+BN114)&lt;E$10,AI113+BN114,E$10),0)</f>
        <v>0</v>
      </c>
      <c r="CU114" s="270">
        <f t="shared" si="693"/>
        <v>0</v>
      </c>
      <c r="CV114" s="270">
        <f t="shared" si="693"/>
        <v>0</v>
      </c>
      <c r="CW114" s="270">
        <f t="shared" si="693"/>
        <v>0</v>
      </c>
      <c r="CX114" s="270">
        <f t="shared" si="693"/>
        <v>0</v>
      </c>
      <c r="CY114" s="270">
        <f t="shared" si="693"/>
        <v>0</v>
      </c>
      <c r="CZ114" s="270">
        <f t="shared" si="693"/>
        <v>0</v>
      </c>
      <c r="DA114" s="270">
        <f t="shared" si="693"/>
        <v>0</v>
      </c>
      <c r="DB114" s="270">
        <f t="shared" si="693"/>
        <v>0</v>
      </c>
      <c r="DC114" s="270">
        <f t="shared" si="693"/>
        <v>0</v>
      </c>
      <c r="DD114" s="270">
        <f t="shared" si="693"/>
        <v>0</v>
      </c>
      <c r="DE114" s="270">
        <f t="shared" si="693"/>
        <v>0</v>
      </c>
      <c r="DF114" s="270">
        <f t="shared" si="693"/>
        <v>1467.13</v>
      </c>
      <c r="DG114" s="270">
        <f t="shared" si="693"/>
        <v>0</v>
      </c>
      <c r="DH114" s="270">
        <f t="shared" si="693"/>
        <v>0</v>
      </c>
      <c r="DI114" s="270">
        <f t="shared" si="693"/>
        <v>0</v>
      </c>
      <c r="DJ114" s="270">
        <f t="shared" si="693"/>
        <v>0</v>
      </c>
      <c r="DK114" s="270">
        <f t="shared" si="693"/>
        <v>0</v>
      </c>
      <c r="DL114" s="270">
        <f t="shared" si="693"/>
        <v>0</v>
      </c>
      <c r="DM114" s="270">
        <f t="shared" si="693"/>
        <v>0</v>
      </c>
      <c r="DN114" s="270">
        <f t="shared" si="693"/>
        <v>0</v>
      </c>
      <c r="DO114" s="270">
        <f t="shared" si="693"/>
        <v>0</v>
      </c>
      <c r="DP114" s="270">
        <f t="shared" si="693"/>
        <v>0</v>
      </c>
      <c r="DQ114" s="270">
        <f t="shared" si="693"/>
        <v>0</v>
      </c>
      <c r="DR114" s="270">
        <f t="shared" si="693"/>
        <v>0</v>
      </c>
      <c r="DS114" s="270">
        <f t="shared" si="693"/>
        <v>0</v>
      </c>
      <c r="DT114" s="270">
        <f t="shared" si="693"/>
        <v>0</v>
      </c>
      <c r="DU114" s="270">
        <f t="shared" si="693"/>
        <v>0</v>
      </c>
      <c r="DV114" s="270">
        <f t="shared" si="693"/>
        <v>0</v>
      </c>
      <c r="DW114" s="270" t="str">
        <f t="shared" si="693"/>
        <v/>
      </c>
      <c r="DX114" s="270">
        <f t="shared" si="693"/>
        <v>0</v>
      </c>
      <c r="DY114" s="270">
        <f t="shared" si="29"/>
        <v>1467.13</v>
      </c>
      <c r="DZ114" s="274"/>
      <c r="EA114" s="275">
        <f t="shared" si="38"/>
        <v>0</v>
      </c>
      <c r="EB114" s="270">
        <f t="shared" ref="EB114:FC114" si="694">IF(AJ112&lt;=0,0,IF($C113&lt;=SUM($EA114:EA114),0,IF(CU113+$C113-SUM($EA114:EA114)&gt;AJ112+BO113,AJ112+BO113-CU113,$C113-SUM($EA114:EA114))))</f>
        <v>0</v>
      </c>
      <c r="EC114" s="270">
        <f t="shared" si="694"/>
        <v>0</v>
      </c>
      <c r="ED114" s="270">
        <f t="shared" si="694"/>
        <v>0</v>
      </c>
      <c r="EE114" s="270">
        <f t="shared" si="694"/>
        <v>0</v>
      </c>
      <c r="EF114" s="270">
        <f t="shared" si="694"/>
        <v>0</v>
      </c>
      <c r="EG114" s="270">
        <f t="shared" si="694"/>
        <v>0</v>
      </c>
      <c r="EH114" s="270">
        <f t="shared" si="694"/>
        <v>0</v>
      </c>
      <c r="EI114" s="270">
        <f t="shared" si="694"/>
        <v>0</v>
      </c>
      <c r="EJ114" s="270">
        <f t="shared" si="694"/>
        <v>0</v>
      </c>
      <c r="EK114" s="270">
        <f t="shared" si="694"/>
        <v>0</v>
      </c>
      <c r="EL114" s="270">
        <f t="shared" si="694"/>
        <v>0</v>
      </c>
      <c r="EM114" s="270">
        <f t="shared" si="694"/>
        <v>2394.87</v>
      </c>
      <c r="EN114" s="270">
        <f t="shared" si="694"/>
        <v>0</v>
      </c>
      <c r="EO114" s="270">
        <f t="shared" si="694"/>
        <v>0</v>
      </c>
      <c r="EP114" s="270">
        <f t="shared" si="694"/>
        <v>0</v>
      </c>
      <c r="EQ114" s="270">
        <f t="shared" si="694"/>
        <v>0</v>
      </c>
      <c r="ER114" s="270">
        <f t="shared" si="694"/>
        <v>0</v>
      </c>
      <c r="ES114" s="270">
        <f t="shared" si="694"/>
        <v>0</v>
      </c>
      <c r="ET114" s="270">
        <f t="shared" si="694"/>
        <v>0</v>
      </c>
      <c r="EU114" s="270">
        <f t="shared" si="694"/>
        <v>0</v>
      </c>
      <c r="EV114" s="270">
        <f t="shared" si="694"/>
        <v>0</v>
      </c>
      <c r="EW114" s="270">
        <f t="shared" si="694"/>
        <v>0</v>
      </c>
      <c r="EX114" s="270">
        <f t="shared" si="694"/>
        <v>0</v>
      </c>
      <c r="EY114" s="270">
        <f t="shared" si="694"/>
        <v>0</v>
      </c>
      <c r="EZ114" s="270">
        <f t="shared" si="694"/>
        <v>0</v>
      </c>
      <c r="FA114" s="270">
        <f t="shared" si="694"/>
        <v>0</v>
      </c>
      <c r="FB114" s="270">
        <f t="shared" si="694"/>
        <v>0</v>
      </c>
      <c r="FC114" s="270">
        <f t="shared" si="694"/>
        <v>0</v>
      </c>
      <c r="FD114" s="271"/>
      <c r="FE114" s="271"/>
      <c r="FF114" s="271"/>
      <c r="FG114" s="215"/>
      <c r="FH114" s="215"/>
    </row>
    <row r="115" ht="11.25" customHeight="1">
      <c r="A115" s="215">
        <f t="shared" si="19"/>
        <v>95</v>
      </c>
      <c r="B115" s="241">
        <f t="shared" si="600"/>
        <v>48519</v>
      </c>
      <c r="C115" s="271">
        <f>IF(A115="","",IF(Calculator!snowball,IF(($E$5-DY115)&lt;0,0,$E$5-DY115),0)+D115)</f>
        <v>2394.87</v>
      </c>
      <c r="D115" s="277"/>
      <c r="E115" s="270">
        <f t="shared" si="40"/>
        <v>0</v>
      </c>
      <c r="F115" s="270">
        <f t="shared" ref="F115:AG115" si="695">CU115+EB116</f>
        <v>0</v>
      </c>
      <c r="G115" s="270">
        <f t="shared" si="695"/>
        <v>0</v>
      </c>
      <c r="H115" s="270">
        <f t="shared" si="695"/>
        <v>0</v>
      </c>
      <c r="I115" s="270">
        <f t="shared" si="695"/>
        <v>0</v>
      </c>
      <c r="J115" s="270">
        <f t="shared" si="695"/>
        <v>0</v>
      </c>
      <c r="K115" s="270">
        <f t="shared" si="695"/>
        <v>0</v>
      </c>
      <c r="L115" s="270">
        <f t="shared" si="695"/>
        <v>0</v>
      </c>
      <c r="M115" s="270">
        <f t="shared" si="695"/>
        <v>0</v>
      </c>
      <c r="N115" s="270">
        <f t="shared" si="695"/>
        <v>0</v>
      </c>
      <c r="O115" s="270">
        <f t="shared" si="695"/>
        <v>0</v>
      </c>
      <c r="P115" s="272">
        <f t="shared" si="695"/>
        <v>0</v>
      </c>
      <c r="Q115" s="272">
        <f t="shared" si="695"/>
        <v>2802.54</v>
      </c>
      <c r="R115" s="272">
        <f t="shared" si="695"/>
        <v>0</v>
      </c>
      <c r="S115" s="272">
        <f t="shared" si="695"/>
        <v>0</v>
      </c>
      <c r="T115" s="272">
        <f t="shared" si="695"/>
        <v>0</v>
      </c>
      <c r="U115" s="270">
        <f t="shared" si="695"/>
        <v>0</v>
      </c>
      <c r="V115" s="270">
        <f t="shared" si="695"/>
        <v>0</v>
      </c>
      <c r="W115" s="270">
        <f t="shared" si="695"/>
        <v>0</v>
      </c>
      <c r="X115" s="270">
        <f t="shared" si="695"/>
        <v>0</v>
      </c>
      <c r="Y115" s="270">
        <f t="shared" si="695"/>
        <v>0</v>
      </c>
      <c r="Z115" s="270">
        <f t="shared" si="695"/>
        <v>0</v>
      </c>
      <c r="AA115" s="270">
        <f t="shared" si="695"/>
        <v>0</v>
      </c>
      <c r="AB115" s="270">
        <f t="shared" si="695"/>
        <v>0</v>
      </c>
      <c r="AC115" s="270">
        <f t="shared" si="695"/>
        <v>0</v>
      </c>
      <c r="AD115" s="270">
        <f t="shared" si="695"/>
        <v>0</v>
      </c>
      <c r="AE115" s="270">
        <f t="shared" si="695"/>
        <v>0</v>
      </c>
      <c r="AF115" s="270">
        <f t="shared" si="695"/>
        <v>0</v>
      </c>
      <c r="AG115" s="270">
        <f t="shared" si="695"/>
        <v>0</v>
      </c>
      <c r="AH115" s="279">
        <f t="shared" si="602"/>
        <v>0</v>
      </c>
      <c r="AI115" s="270">
        <f t="shared" si="43"/>
        <v>0</v>
      </c>
      <c r="AJ115" s="270">
        <f t="shared" ref="AJ115:AO115" si="696">IF(F$8=0,0,ROUND(AJ114-(F115-BO115),2))</f>
        <v>0</v>
      </c>
      <c r="AK115" s="270">
        <f t="shared" si="696"/>
        <v>0</v>
      </c>
      <c r="AL115" s="270">
        <f t="shared" si="696"/>
        <v>0</v>
      </c>
      <c r="AM115" s="270">
        <f t="shared" si="696"/>
        <v>0</v>
      </c>
      <c r="AN115" s="270">
        <f t="shared" si="696"/>
        <v>0</v>
      </c>
      <c r="AO115" s="270">
        <f t="shared" si="696"/>
        <v>0</v>
      </c>
      <c r="AP115" s="270">
        <v>0.0</v>
      </c>
      <c r="AQ115" s="270">
        <f t="shared" ref="AQ115:AS115" si="697">IF(M$8=0,0,ROUND(AQ114-(M115-BV115),2))</f>
        <v>0</v>
      </c>
      <c r="AR115" s="270">
        <f t="shared" si="697"/>
        <v>0</v>
      </c>
      <c r="AS115" s="270">
        <f t="shared" si="697"/>
        <v>0</v>
      </c>
      <c r="AT115" s="270">
        <f t="shared" si="605"/>
        <v>-6.22</v>
      </c>
      <c r="AU115" s="270">
        <f t="shared" ref="AU115:BK115" si="698">IF(Q$8=0,0,ROUND(AU114-(Q115-BY115),2))</f>
        <v>-8.78</v>
      </c>
      <c r="AV115" s="270">
        <f t="shared" si="698"/>
        <v>0</v>
      </c>
      <c r="AW115" s="270">
        <f t="shared" si="698"/>
        <v>0</v>
      </c>
      <c r="AX115" s="270">
        <f t="shared" si="698"/>
        <v>0</v>
      </c>
      <c r="AY115" s="270">
        <f t="shared" si="698"/>
        <v>0</v>
      </c>
      <c r="AZ115" s="270">
        <f t="shared" si="698"/>
        <v>0</v>
      </c>
      <c r="BA115" s="270">
        <f t="shared" si="698"/>
        <v>0</v>
      </c>
      <c r="BB115" s="270">
        <f t="shared" si="698"/>
        <v>0</v>
      </c>
      <c r="BC115" s="270">
        <f t="shared" si="698"/>
        <v>0</v>
      </c>
      <c r="BD115" s="270">
        <f t="shared" si="698"/>
        <v>0</v>
      </c>
      <c r="BE115" s="270">
        <f t="shared" si="698"/>
        <v>0</v>
      </c>
      <c r="BF115" s="270">
        <f t="shared" si="698"/>
        <v>0</v>
      </c>
      <c r="BG115" s="270">
        <f t="shared" si="698"/>
        <v>0</v>
      </c>
      <c r="BH115" s="270">
        <f t="shared" si="698"/>
        <v>0</v>
      </c>
      <c r="BI115" s="270">
        <f t="shared" si="698"/>
        <v>0</v>
      </c>
      <c r="BJ115" s="270">
        <f t="shared" si="698"/>
        <v>0</v>
      </c>
      <c r="BK115" s="270">
        <f t="shared" si="698"/>
        <v>0</v>
      </c>
      <c r="BL115" s="265">
        <f t="shared" si="16"/>
        <v>-15</v>
      </c>
      <c r="BM115" s="215"/>
      <c r="BN115" s="270">
        <f t="shared" ref="BN115:CP115" si="699">ROUND(AI114*E$9/12,2)</f>
        <v>0</v>
      </c>
      <c r="BO115" s="270">
        <f t="shared" si="699"/>
        <v>0</v>
      </c>
      <c r="BP115" s="270">
        <f t="shared" si="699"/>
        <v>0</v>
      </c>
      <c r="BQ115" s="270">
        <f t="shared" si="699"/>
        <v>0</v>
      </c>
      <c r="BR115" s="270">
        <f t="shared" si="699"/>
        <v>0</v>
      </c>
      <c r="BS115" s="270">
        <f t="shared" si="699"/>
        <v>0</v>
      </c>
      <c r="BT115" s="270">
        <f t="shared" si="699"/>
        <v>0</v>
      </c>
      <c r="BU115" s="270">
        <f t="shared" si="699"/>
        <v>0</v>
      </c>
      <c r="BV115" s="270">
        <f t="shared" si="699"/>
        <v>0</v>
      </c>
      <c r="BW115" s="270">
        <f t="shared" si="699"/>
        <v>0</v>
      </c>
      <c r="BX115" s="270">
        <f t="shared" si="699"/>
        <v>0</v>
      </c>
      <c r="BY115" s="270">
        <f t="shared" si="699"/>
        <v>-0.05</v>
      </c>
      <c r="BZ115" s="270">
        <f t="shared" si="699"/>
        <v>8.73</v>
      </c>
      <c r="CA115" s="270">
        <f t="shared" si="699"/>
        <v>0</v>
      </c>
      <c r="CB115" s="270">
        <f t="shared" si="699"/>
        <v>0</v>
      </c>
      <c r="CC115" s="270">
        <f t="shared" si="699"/>
        <v>0</v>
      </c>
      <c r="CD115" s="270">
        <f t="shared" si="699"/>
        <v>0</v>
      </c>
      <c r="CE115" s="270">
        <f t="shared" si="699"/>
        <v>0</v>
      </c>
      <c r="CF115" s="270">
        <f t="shared" si="699"/>
        <v>0</v>
      </c>
      <c r="CG115" s="270">
        <f t="shared" si="699"/>
        <v>0</v>
      </c>
      <c r="CH115" s="270">
        <f t="shared" si="699"/>
        <v>0</v>
      </c>
      <c r="CI115" s="270">
        <f t="shared" si="699"/>
        <v>0</v>
      </c>
      <c r="CJ115" s="270">
        <f t="shared" si="699"/>
        <v>0</v>
      </c>
      <c r="CK115" s="270">
        <f t="shared" si="699"/>
        <v>0</v>
      </c>
      <c r="CL115" s="270">
        <f t="shared" si="699"/>
        <v>0</v>
      </c>
      <c r="CM115" s="270">
        <f t="shared" si="699"/>
        <v>0</v>
      </c>
      <c r="CN115" s="270">
        <f t="shared" si="699"/>
        <v>0</v>
      </c>
      <c r="CO115" s="270">
        <f t="shared" si="699"/>
        <v>0</v>
      </c>
      <c r="CP115" s="270">
        <f t="shared" si="699"/>
        <v>0</v>
      </c>
      <c r="CQ115" s="215"/>
      <c r="CR115" s="270">
        <f t="shared" si="27"/>
        <v>8.68</v>
      </c>
      <c r="CS115" s="215"/>
      <c r="CT115" s="270">
        <f t="shared" ref="CT115:DX115" si="700">IF(AI114&gt;0,IF((AI114+BN115)&lt;E$10,AI114+BN115,E$10),0)</f>
        <v>0</v>
      </c>
      <c r="CU115" s="270">
        <f t="shared" si="700"/>
        <v>0</v>
      </c>
      <c r="CV115" s="270">
        <f t="shared" si="700"/>
        <v>0</v>
      </c>
      <c r="CW115" s="270">
        <f t="shared" si="700"/>
        <v>0</v>
      </c>
      <c r="CX115" s="270">
        <f t="shared" si="700"/>
        <v>0</v>
      </c>
      <c r="CY115" s="270">
        <f t="shared" si="700"/>
        <v>0</v>
      </c>
      <c r="CZ115" s="270">
        <f t="shared" si="700"/>
        <v>0</v>
      </c>
      <c r="DA115" s="270">
        <f t="shared" si="700"/>
        <v>0</v>
      </c>
      <c r="DB115" s="270">
        <f t="shared" si="700"/>
        <v>0</v>
      </c>
      <c r="DC115" s="270">
        <f t="shared" si="700"/>
        <v>0</v>
      </c>
      <c r="DD115" s="270">
        <f t="shared" si="700"/>
        <v>0</v>
      </c>
      <c r="DE115" s="270">
        <f t="shared" si="700"/>
        <v>0</v>
      </c>
      <c r="DF115" s="270">
        <f t="shared" si="700"/>
        <v>1467.13</v>
      </c>
      <c r="DG115" s="270">
        <f t="shared" si="700"/>
        <v>0</v>
      </c>
      <c r="DH115" s="270">
        <f t="shared" si="700"/>
        <v>0</v>
      </c>
      <c r="DI115" s="270">
        <f t="shared" si="700"/>
        <v>0</v>
      </c>
      <c r="DJ115" s="270">
        <f t="shared" si="700"/>
        <v>0</v>
      </c>
      <c r="DK115" s="270">
        <f t="shared" si="700"/>
        <v>0</v>
      </c>
      <c r="DL115" s="270">
        <f t="shared" si="700"/>
        <v>0</v>
      </c>
      <c r="DM115" s="270">
        <f t="shared" si="700"/>
        <v>0</v>
      </c>
      <c r="DN115" s="270">
        <f t="shared" si="700"/>
        <v>0</v>
      </c>
      <c r="DO115" s="270">
        <f t="shared" si="700"/>
        <v>0</v>
      </c>
      <c r="DP115" s="270">
        <f t="shared" si="700"/>
        <v>0</v>
      </c>
      <c r="DQ115" s="270">
        <f t="shared" si="700"/>
        <v>0</v>
      </c>
      <c r="DR115" s="270">
        <f t="shared" si="700"/>
        <v>0</v>
      </c>
      <c r="DS115" s="270">
        <f t="shared" si="700"/>
        <v>0</v>
      </c>
      <c r="DT115" s="270">
        <f t="shared" si="700"/>
        <v>0</v>
      </c>
      <c r="DU115" s="270">
        <f t="shared" si="700"/>
        <v>0</v>
      </c>
      <c r="DV115" s="270">
        <f t="shared" si="700"/>
        <v>0</v>
      </c>
      <c r="DW115" s="270" t="str">
        <f t="shared" si="700"/>
        <v/>
      </c>
      <c r="DX115" s="270">
        <f t="shared" si="700"/>
        <v>0</v>
      </c>
      <c r="DY115" s="270">
        <f t="shared" si="29"/>
        <v>1467.13</v>
      </c>
      <c r="DZ115" s="274"/>
      <c r="EA115" s="275">
        <f t="shared" si="38"/>
        <v>0</v>
      </c>
      <c r="EB115" s="270">
        <f t="shared" ref="EB115:FC115" si="701">IF(AJ113&lt;=0,0,IF($C114&lt;=SUM($EA115:EA115),0,IF(CU114+$C114-SUM($EA115:EA115)&gt;AJ113+BO114,AJ113+BO114-CU114,$C114-SUM($EA115:EA115))))</f>
        <v>0</v>
      </c>
      <c r="EC115" s="270">
        <f t="shared" si="701"/>
        <v>0</v>
      </c>
      <c r="ED115" s="270">
        <f t="shared" si="701"/>
        <v>0</v>
      </c>
      <c r="EE115" s="270">
        <f t="shared" si="701"/>
        <v>0</v>
      </c>
      <c r="EF115" s="270">
        <f t="shared" si="701"/>
        <v>0</v>
      </c>
      <c r="EG115" s="270">
        <f t="shared" si="701"/>
        <v>0</v>
      </c>
      <c r="EH115" s="270">
        <f t="shared" si="701"/>
        <v>0</v>
      </c>
      <c r="EI115" s="270">
        <f t="shared" si="701"/>
        <v>0</v>
      </c>
      <c r="EJ115" s="270">
        <f t="shared" si="701"/>
        <v>0</v>
      </c>
      <c r="EK115" s="270">
        <f t="shared" si="701"/>
        <v>0</v>
      </c>
      <c r="EL115" s="270">
        <f t="shared" si="701"/>
        <v>0</v>
      </c>
      <c r="EM115" s="270">
        <f t="shared" si="701"/>
        <v>2394.87</v>
      </c>
      <c r="EN115" s="270">
        <f t="shared" si="701"/>
        <v>0</v>
      </c>
      <c r="EO115" s="270">
        <f t="shared" si="701"/>
        <v>0</v>
      </c>
      <c r="EP115" s="270">
        <f t="shared" si="701"/>
        <v>0</v>
      </c>
      <c r="EQ115" s="270">
        <f t="shared" si="701"/>
        <v>0</v>
      </c>
      <c r="ER115" s="270">
        <f t="shared" si="701"/>
        <v>0</v>
      </c>
      <c r="ES115" s="270">
        <f t="shared" si="701"/>
        <v>0</v>
      </c>
      <c r="ET115" s="270">
        <f t="shared" si="701"/>
        <v>0</v>
      </c>
      <c r="EU115" s="270">
        <f t="shared" si="701"/>
        <v>0</v>
      </c>
      <c r="EV115" s="270">
        <f t="shared" si="701"/>
        <v>0</v>
      </c>
      <c r="EW115" s="270">
        <f t="shared" si="701"/>
        <v>0</v>
      </c>
      <c r="EX115" s="270">
        <f t="shared" si="701"/>
        <v>0</v>
      </c>
      <c r="EY115" s="270">
        <f t="shared" si="701"/>
        <v>0</v>
      </c>
      <c r="EZ115" s="270">
        <f t="shared" si="701"/>
        <v>0</v>
      </c>
      <c r="FA115" s="270">
        <f t="shared" si="701"/>
        <v>0</v>
      </c>
      <c r="FB115" s="270">
        <f t="shared" si="701"/>
        <v>0</v>
      </c>
      <c r="FC115" s="270">
        <f t="shared" si="701"/>
        <v>0</v>
      </c>
      <c r="FD115" s="271"/>
      <c r="FE115" s="271"/>
      <c r="FF115" s="271"/>
      <c r="FG115" s="215"/>
      <c r="FH115" s="215"/>
    </row>
    <row r="116" ht="11.25" customHeight="1">
      <c r="A116" s="215" t="str">
        <f t="shared" si="19"/>
        <v/>
      </c>
      <c r="B116" s="241" t="str">
        <f t="shared" si="600"/>
        <v>#N/A</v>
      </c>
      <c r="C116" s="271" t="str">
        <f>IF(A116="","",IF(Calculator!snowball,IF(($E$5-DY116)&lt;0,0,$E$5-DY116),0)+D116)</f>
        <v/>
      </c>
      <c r="D116" s="270"/>
      <c r="E116" s="270">
        <f t="shared" si="40"/>
        <v>0</v>
      </c>
      <c r="F116" s="270">
        <f t="shared" ref="F116:AG116" si="702">CU116+EB117</f>
        <v>0</v>
      </c>
      <c r="G116" s="270">
        <f t="shared" si="702"/>
        <v>0</v>
      </c>
      <c r="H116" s="270">
        <f t="shared" si="702"/>
        <v>0</v>
      </c>
      <c r="I116" s="270">
        <f t="shared" si="702"/>
        <v>0</v>
      </c>
      <c r="J116" s="270">
        <f t="shared" si="702"/>
        <v>0</v>
      </c>
      <c r="K116" s="270">
        <f t="shared" si="702"/>
        <v>0</v>
      </c>
      <c r="L116" s="270">
        <f t="shared" si="702"/>
        <v>0</v>
      </c>
      <c r="M116" s="270">
        <f t="shared" si="702"/>
        <v>0</v>
      </c>
      <c r="N116" s="270">
        <f t="shared" si="702"/>
        <v>0</v>
      </c>
      <c r="O116" s="270">
        <f t="shared" si="702"/>
        <v>0</v>
      </c>
      <c r="P116" s="272">
        <f t="shared" si="702"/>
        <v>0</v>
      </c>
      <c r="Q116" s="272">
        <f t="shared" si="702"/>
        <v>0</v>
      </c>
      <c r="R116" s="272">
        <f t="shared" si="702"/>
        <v>0</v>
      </c>
      <c r="S116" s="272">
        <f t="shared" si="702"/>
        <v>0</v>
      </c>
      <c r="T116" s="272">
        <f t="shared" si="702"/>
        <v>0</v>
      </c>
      <c r="U116" s="270">
        <f t="shared" si="702"/>
        <v>0</v>
      </c>
      <c r="V116" s="270">
        <f t="shared" si="702"/>
        <v>0</v>
      </c>
      <c r="W116" s="270">
        <f t="shared" si="702"/>
        <v>0</v>
      </c>
      <c r="X116" s="270">
        <f t="shared" si="702"/>
        <v>0</v>
      </c>
      <c r="Y116" s="270">
        <f t="shared" si="702"/>
        <v>0</v>
      </c>
      <c r="Z116" s="270">
        <f t="shared" si="702"/>
        <v>0</v>
      </c>
      <c r="AA116" s="270">
        <f t="shared" si="702"/>
        <v>0</v>
      </c>
      <c r="AB116" s="270">
        <f t="shared" si="702"/>
        <v>0</v>
      </c>
      <c r="AC116" s="270">
        <f t="shared" si="702"/>
        <v>0</v>
      </c>
      <c r="AD116" s="270">
        <f t="shared" si="702"/>
        <v>0</v>
      </c>
      <c r="AE116" s="270">
        <f t="shared" si="702"/>
        <v>0</v>
      </c>
      <c r="AF116" s="270">
        <f t="shared" si="702"/>
        <v>0</v>
      </c>
      <c r="AG116" s="270">
        <f t="shared" si="702"/>
        <v>0</v>
      </c>
      <c r="AH116" s="279">
        <f t="shared" si="602"/>
        <v>0</v>
      </c>
      <c r="AI116" s="270">
        <f t="shared" si="43"/>
        <v>0</v>
      </c>
      <c r="AJ116" s="270">
        <f t="shared" ref="AJ116:AO116" si="703">IF(F$8=0,0,ROUND(AJ115-(F116-BO116),2))</f>
        <v>0</v>
      </c>
      <c r="AK116" s="270">
        <f t="shared" si="703"/>
        <v>0</v>
      </c>
      <c r="AL116" s="270">
        <f t="shared" si="703"/>
        <v>0</v>
      </c>
      <c r="AM116" s="270">
        <f t="shared" si="703"/>
        <v>0</v>
      </c>
      <c r="AN116" s="270">
        <f t="shared" si="703"/>
        <v>0</v>
      </c>
      <c r="AO116" s="270">
        <f t="shared" si="703"/>
        <v>0</v>
      </c>
      <c r="AP116" s="270">
        <v>0.0</v>
      </c>
      <c r="AQ116" s="270">
        <f t="shared" ref="AQ116:AS116" si="704">IF(M$8=0,0,ROUND(AQ115-(M116-BV116),2))</f>
        <v>0</v>
      </c>
      <c r="AR116" s="270">
        <f t="shared" si="704"/>
        <v>0</v>
      </c>
      <c r="AS116" s="270">
        <f t="shared" si="704"/>
        <v>0</v>
      </c>
      <c r="AT116" s="270">
        <f t="shared" si="605"/>
        <v>-6.22</v>
      </c>
      <c r="AU116" s="270">
        <f t="shared" ref="AU116:BK116" si="705">IF(Q$8=0,0,ROUND(AU115-(Q116-BY116),2))</f>
        <v>-8.83</v>
      </c>
      <c r="AV116" s="270">
        <f t="shared" si="705"/>
        <v>0</v>
      </c>
      <c r="AW116" s="270">
        <f t="shared" si="705"/>
        <v>0</v>
      </c>
      <c r="AX116" s="270">
        <f t="shared" si="705"/>
        <v>0</v>
      </c>
      <c r="AY116" s="270">
        <f t="shared" si="705"/>
        <v>0</v>
      </c>
      <c r="AZ116" s="270">
        <f t="shared" si="705"/>
        <v>0</v>
      </c>
      <c r="BA116" s="270">
        <f t="shared" si="705"/>
        <v>0</v>
      </c>
      <c r="BB116" s="270">
        <f t="shared" si="705"/>
        <v>0</v>
      </c>
      <c r="BC116" s="270">
        <f t="shared" si="705"/>
        <v>0</v>
      </c>
      <c r="BD116" s="270">
        <f t="shared" si="705"/>
        <v>0</v>
      </c>
      <c r="BE116" s="270">
        <f t="shared" si="705"/>
        <v>0</v>
      </c>
      <c r="BF116" s="270">
        <f t="shared" si="705"/>
        <v>0</v>
      </c>
      <c r="BG116" s="270">
        <f t="shared" si="705"/>
        <v>0</v>
      </c>
      <c r="BH116" s="270">
        <f t="shared" si="705"/>
        <v>0</v>
      </c>
      <c r="BI116" s="270">
        <f t="shared" si="705"/>
        <v>0</v>
      </c>
      <c r="BJ116" s="270">
        <f t="shared" si="705"/>
        <v>0</v>
      </c>
      <c r="BK116" s="270">
        <f t="shared" si="705"/>
        <v>0</v>
      </c>
      <c r="BL116" s="265">
        <f t="shared" si="16"/>
        <v>-15.05</v>
      </c>
      <c r="BM116" s="215"/>
      <c r="BN116" s="270">
        <f t="shared" ref="BN116:CP116" si="706">ROUND(AI115*E$9/12,2)</f>
        <v>0</v>
      </c>
      <c r="BO116" s="270">
        <f t="shared" si="706"/>
        <v>0</v>
      </c>
      <c r="BP116" s="270">
        <f t="shared" si="706"/>
        <v>0</v>
      </c>
      <c r="BQ116" s="270">
        <f t="shared" si="706"/>
        <v>0</v>
      </c>
      <c r="BR116" s="270">
        <f t="shared" si="706"/>
        <v>0</v>
      </c>
      <c r="BS116" s="270">
        <f t="shared" si="706"/>
        <v>0</v>
      </c>
      <c r="BT116" s="270">
        <f t="shared" si="706"/>
        <v>0</v>
      </c>
      <c r="BU116" s="270">
        <f t="shared" si="706"/>
        <v>0</v>
      </c>
      <c r="BV116" s="270">
        <f t="shared" si="706"/>
        <v>0</v>
      </c>
      <c r="BW116" s="270">
        <f t="shared" si="706"/>
        <v>0</v>
      </c>
      <c r="BX116" s="270">
        <f t="shared" si="706"/>
        <v>0</v>
      </c>
      <c r="BY116" s="270">
        <f t="shared" si="706"/>
        <v>-0.05</v>
      </c>
      <c r="BZ116" s="270">
        <f t="shared" si="706"/>
        <v>-0.03</v>
      </c>
      <c r="CA116" s="270">
        <f t="shared" si="706"/>
        <v>0</v>
      </c>
      <c r="CB116" s="270">
        <f t="shared" si="706"/>
        <v>0</v>
      </c>
      <c r="CC116" s="270">
        <f t="shared" si="706"/>
        <v>0</v>
      </c>
      <c r="CD116" s="270">
        <f t="shared" si="706"/>
        <v>0</v>
      </c>
      <c r="CE116" s="270">
        <f t="shared" si="706"/>
        <v>0</v>
      </c>
      <c r="CF116" s="270">
        <f t="shared" si="706"/>
        <v>0</v>
      </c>
      <c r="CG116" s="270">
        <f t="shared" si="706"/>
        <v>0</v>
      </c>
      <c r="CH116" s="270">
        <f t="shared" si="706"/>
        <v>0</v>
      </c>
      <c r="CI116" s="270">
        <f t="shared" si="706"/>
        <v>0</v>
      </c>
      <c r="CJ116" s="270">
        <f t="shared" si="706"/>
        <v>0</v>
      </c>
      <c r="CK116" s="270">
        <f t="shared" si="706"/>
        <v>0</v>
      </c>
      <c r="CL116" s="270">
        <f t="shared" si="706"/>
        <v>0</v>
      </c>
      <c r="CM116" s="270">
        <f t="shared" si="706"/>
        <v>0</v>
      </c>
      <c r="CN116" s="270">
        <f t="shared" si="706"/>
        <v>0</v>
      </c>
      <c r="CO116" s="270">
        <f t="shared" si="706"/>
        <v>0</v>
      </c>
      <c r="CP116" s="270">
        <f t="shared" si="706"/>
        <v>0</v>
      </c>
      <c r="CQ116" s="215"/>
      <c r="CR116" s="270">
        <f t="shared" si="27"/>
        <v>-0.08</v>
      </c>
      <c r="CS116" s="215"/>
      <c r="CT116" s="270">
        <f t="shared" ref="CT116:DX116" si="707">IF(AI115&gt;0,IF((AI115+BN116)&lt;E$10,AI115+BN116,E$10),0)</f>
        <v>0</v>
      </c>
      <c r="CU116" s="270">
        <f t="shared" si="707"/>
        <v>0</v>
      </c>
      <c r="CV116" s="270">
        <f t="shared" si="707"/>
        <v>0</v>
      </c>
      <c r="CW116" s="270">
        <f t="shared" si="707"/>
        <v>0</v>
      </c>
      <c r="CX116" s="270">
        <f t="shared" si="707"/>
        <v>0</v>
      </c>
      <c r="CY116" s="270">
        <f t="shared" si="707"/>
        <v>0</v>
      </c>
      <c r="CZ116" s="270">
        <f t="shared" si="707"/>
        <v>0</v>
      </c>
      <c r="DA116" s="270">
        <f t="shared" si="707"/>
        <v>0</v>
      </c>
      <c r="DB116" s="270">
        <f t="shared" si="707"/>
        <v>0</v>
      </c>
      <c r="DC116" s="270">
        <f t="shared" si="707"/>
        <v>0</v>
      </c>
      <c r="DD116" s="270">
        <f t="shared" si="707"/>
        <v>0</v>
      </c>
      <c r="DE116" s="270">
        <f t="shared" si="707"/>
        <v>0</v>
      </c>
      <c r="DF116" s="270">
        <f t="shared" si="707"/>
        <v>0</v>
      </c>
      <c r="DG116" s="270">
        <f t="shared" si="707"/>
        <v>0</v>
      </c>
      <c r="DH116" s="270">
        <f t="shared" si="707"/>
        <v>0</v>
      </c>
      <c r="DI116" s="270">
        <f t="shared" si="707"/>
        <v>0</v>
      </c>
      <c r="DJ116" s="270">
        <f t="shared" si="707"/>
        <v>0</v>
      </c>
      <c r="DK116" s="270">
        <f t="shared" si="707"/>
        <v>0</v>
      </c>
      <c r="DL116" s="270">
        <f t="shared" si="707"/>
        <v>0</v>
      </c>
      <c r="DM116" s="270">
        <f t="shared" si="707"/>
        <v>0</v>
      </c>
      <c r="DN116" s="270">
        <f t="shared" si="707"/>
        <v>0</v>
      </c>
      <c r="DO116" s="270">
        <f t="shared" si="707"/>
        <v>0</v>
      </c>
      <c r="DP116" s="270">
        <f t="shared" si="707"/>
        <v>0</v>
      </c>
      <c r="DQ116" s="270">
        <f t="shared" si="707"/>
        <v>0</v>
      </c>
      <c r="DR116" s="270">
        <f t="shared" si="707"/>
        <v>0</v>
      </c>
      <c r="DS116" s="270">
        <f t="shared" si="707"/>
        <v>0</v>
      </c>
      <c r="DT116" s="270">
        <f t="shared" si="707"/>
        <v>0</v>
      </c>
      <c r="DU116" s="270">
        <f t="shared" si="707"/>
        <v>0</v>
      </c>
      <c r="DV116" s="270">
        <f t="shared" si="707"/>
        <v>0</v>
      </c>
      <c r="DW116" s="270">
        <f t="shared" si="707"/>
        <v>0</v>
      </c>
      <c r="DX116" s="270">
        <f t="shared" si="707"/>
        <v>0</v>
      </c>
      <c r="DY116" s="270">
        <f t="shared" si="29"/>
        <v>0</v>
      </c>
      <c r="DZ116" s="274"/>
      <c r="EA116" s="275">
        <f t="shared" si="38"/>
        <v>0</v>
      </c>
      <c r="EB116" s="270">
        <f t="shared" ref="EB116:FC116" si="708">IF(AJ114&lt;=0,0,IF($C115&lt;=SUM($EA116:EA116),0,IF(CU115+$C115-SUM($EA116:EA116)&gt;AJ114+BO115,AJ114+BO115-CU115,$C115-SUM($EA116:EA116))))</f>
        <v>0</v>
      </c>
      <c r="EC116" s="270">
        <f t="shared" si="708"/>
        <v>0</v>
      </c>
      <c r="ED116" s="270">
        <f t="shared" si="708"/>
        <v>0</v>
      </c>
      <c r="EE116" s="270">
        <f t="shared" si="708"/>
        <v>0</v>
      </c>
      <c r="EF116" s="270">
        <f t="shared" si="708"/>
        <v>0</v>
      </c>
      <c r="EG116" s="270">
        <f t="shared" si="708"/>
        <v>0</v>
      </c>
      <c r="EH116" s="270">
        <f t="shared" si="708"/>
        <v>0</v>
      </c>
      <c r="EI116" s="270">
        <f t="shared" si="708"/>
        <v>0</v>
      </c>
      <c r="EJ116" s="270">
        <f t="shared" si="708"/>
        <v>0</v>
      </c>
      <c r="EK116" s="270">
        <f t="shared" si="708"/>
        <v>0</v>
      </c>
      <c r="EL116" s="270">
        <f t="shared" si="708"/>
        <v>0</v>
      </c>
      <c r="EM116" s="270">
        <f t="shared" si="708"/>
        <v>1335.41</v>
      </c>
      <c r="EN116" s="270">
        <f t="shared" si="708"/>
        <v>0</v>
      </c>
      <c r="EO116" s="270">
        <f t="shared" si="708"/>
        <v>0</v>
      </c>
      <c r="EP116" s="270">
        <f t="shared" si="708"/>
        <v>0</v>
      </c>
      <c r="EQ116" s="270">
        <f t="shared" si="708"/>
        <v>0</v>
      </c>
      <c r="ER116" s="270">
        <f t="shared" si="708"/>
        <v>0</v>
      </c>
      <c r="ES116" s="270">
        <f t="shared" si="708"/>
        <v>0</v>
      </c>
      <c r="ET116" s="270">
        <f t="shared" si="708"/>
        <v>0</v>
      </c>
      <c r="EU116" s="270">
        <f t="shared" si="708"/>
        <v>0</v>
      </c>
      <c r="EV116" s="270">
        <f t="shared" si="708"/>
        <v>0</v>
      </c>
      <c r="EW116" s="270">
        <f t="shared" si="708"/>
        <v>0</v>
      </c>
      <c r="EX116" s="270">
        <f t="shared" si="708"/>
        <v>0</v>
      </c>
      <c r="EY116" s="270">
        <f t="shared" si="708"/>
        <v>0</v>
      </c>
      <c r="EZ116" s="270">
        <f t="shared" si="708"/>
        <v>0</v>
      </c>
      <c r="FA116" s="270">
        <f t="shared" si="708"/>
        <v>0</v>
      </c>
      <c r="FB116" s="270">
        <f t="shared" si="708"/>
        <v>0</v>
      </c>
      <c r="FC116" s="270">
        <f t="shared" si="708"/>
        <v>0</v>
      </c>
      <c r="FD116" s="271"/>
      <c r="FE116" s="271"/>
      <c r="FF116" s="271"/>
      <c r="FG116" s="215"/>
      <c r="FH116" s="215"/>
    </row>
    <row r="117" ht="11.25" customHeight="1">
      <c r="A117" s="215" t="str">
        <f t="shared" si="19"/>
        <v/>
      </c>
      <c r="B117" s="241" t="str">
        <f t="shared" si="600"/>
        <v>#N/A</v>
      </c>
      <c r="C117" s="271" t="str">
        <f>IF(A117="","",IF(Calculator!snowball,IF(($E$5-DY117)&lt;0,0,$E$5-DY117),0)+D117)</f>
        <v/>
      </c>
      <c r="D117" s="270"/>
      <c r="E117" s="270">
        <f t="shared" si="40"/>
        <v>0</v>
      </c>
      <c r="F117" s="270">
        <f t="shared" ref="F117:AG117" si="709">CU117+EB118</f>
        <v>0</v>
      </c>
      <c r="G117" s="270">
        <f t="shared" si="709"/>
        <v>0</v>
      </c>
      <c r="H117" s="270">
        <f t="shared" si="709"/>
        <v>0</v>
      </c>
      <c r="I117" s="270">
        <f t="shared" si="709"/>
        <v>0</v>
      </c>
      <c r="J117" s="270">
        <f t="shared" si="709"/>
        <v>0</v>
      </c>
      <c r="K117" s="270">
        <f t="shared" si="709"/>
        <v>0</v>
      </c>
      <c r="L117" s="270">
        <f t="shared" si="709"/>
        <v>0</v>
      </c>
      <c r="M117" s="270">
        <f t="shared" si="709"/>
        <v>0</v>
      </c>
      <c r="N117" s="270">
        <f t="shared" si="709"/>
        <v>0</v>
      </c>
      <c r="O117" s="270">
        <f t="shared" si="709"/>
        <v>0</v>
      </c>
      <c r="P117" s="272">
        <f t="shared" si="709"/>
        <v>0</v>
      </c>
      <c r="Q117" s="272">
        <f t="shared" si="709"/>
        <v>0</v>
      </c>
      <c r="R117" s="272">
        <f t="shared" si="709"/>
        <v>0</v>
      </c>
      <c r="S117" s="272">
        <f t="shared" si="709"/>
        <v>0</v>
      </c>
      <c r="T117" s="272">
        <f t="shared" si="709"/>
        <v>0</v>
      </c>
      <c r="U117" s="270">
        <f t="shared" si="709"/>
        <v>0</v>
      </c>
      <c r="V117" s="270">
        <f t="shared" si="709"/>
        <v>0</v>
      </c>
      <c r="W117" s="270">
        <f t="shared" si="709"/>
        <v>0</v>
      </c>
      <c r="X117" s="270">
        <f t="shared" si="709"/>
        <v>0</v>
      </c>
      <c r="Y117" s="270">
        <f t="shared" si="709"/>
        <v>0</v>
      </c>
      <c r="Z117" s="270">
        <f t="shared" si="709"/>
        <v>0</v>
      </c>
      <c r="AA117" s="270">
        <f t="shared" si="709"/>
        <v>0</v>
      </c>
      <c r="AB117" s="270">
        <f t="shared" si="709"/>
        <v>0</v>
      </c>
      <c r="AC117" s="270">
        <f t="shared" si="709"/>
        <v>0</v>
      </c>
      <c r="AD117" s="270">
        <f t="shared" si="709"/>
        <v>0</v>
      </c>
      <c r="AE117" s="270">
        <f t="shared" si="709"/>
        <v>0</v>
      </c>
      <c r="AF117" s="270">
        <f t="shared" si="709"/>
        <v>0</v>
      </c>
      <c r="AG117" s="270">
        <f t="shared" si="709"/>
        <v>0</v>
      </c>
      <c r="AH117" s="279">
        <f t="shared" si="602"/>
        <v>0</v>
      </c>
      <c r="AI117" s="270">
        <f t="shared" si="43"/>
        <v>0</v>
      </c>
      <c r="AJ117" s="270">
        <f t="shared" ref="AJ117:AO117" si="710">IF(F$8=0,0,ROUND(AJ116-(F117-BO117),2))</f>
        <v>0</v>
      </c>
      <c r="AK117" s="270">
        <f t="shared" si="710"/>
        <v>0</v>
      </c>
      <c r="AL117" s="270">
        <f t="shared" si="710"/>
        <v>0</v>
      </c>
      <c r="AM117" s="270">
        <f t="shared" si="710"/>
        <v>0</v>
      </c>
      <c r="AN117" s="270">
        <f t="shared" si="710"/>
        <v>0</v>
      </c>
      <c r="AO117" s="270">
        <f t="shared" si="710"/>
        <v>0</v>
      </c>
      <c r="AP117" s="270">
        <v>0.0</v>
      </c>
      <c r="AQ117" s="270">
        <f t="shared" ref="AQ117:AS117" si="711">IF(M$8=0,0,ROUND(AQ116-(M117-BV117),2))</f>
        <v>0</v>
      </c>
      <c r="AR117" s="270">
        <f t="shared" si="711"/>
        <v>0</v>
      </c>
      <c r="AS117" s="270">
        <f t="shared" si="711"/>
        <v>0</v>
      </c>
      <c r="AT117" s="270">
        <f t="shared" si="605"/>
        <v>-6.22</v>
      </c>
      <c r="AU117" s="270">
        <f t="shared" ref="AU117:BK117" si="712">IF(Q$8=0,0,ROUND(AU116-(Q117-BY117),2))</f>
        <v>-8.88</v>
      </c>
      <c r="AV117" s="270">
        <f t="shared" si="712"/>
        <v>0</v>
      </c>
      <c r="AW117" s="270">
        <f t="shared" si="712"/>
        <v>0</v>
      </c>
      <c r="AX117" s="270">
        <f t="shared" si="712"/>
        <v>0</v>
      </c>
      <c r="AY117" s="270">
        <f t="shared" si="712"/>
        <v>0</v>
      </c>
      <c r="AZ117" s="270">
        <f t="shared" si="712"/>
        <v>0</v>
      </c>
      <c r="BA117" s="270">
        <f t="shared" si="712"/>
        <v>0</v>
      </c>
      <c r="BB117" s="270">
        <f t="shared" si="712"/>
        <v>0</v>
      </c>
      <c r="BC117" s="270">
        <f t="shared" si="712"/>
        <v>0</v>
      </c>
      <c r="BD117" s="270">
        <f t="shared" si="712"/>
        <v>0</v>
      </c>
      <c r="BE117" s="270">
        <f t="shared" si="712"/>
        <v>0</v>
      </c>
      <c r="BF117" s="270">
        <f t="shared" si="712"/>
        <v>0</v>
      </c>
      <c r="BG117" s="270">
        <f t="shared" si="712"/>
        <v>0</v>
      </c>
      <c r="BH117" s="270">
        <f t="shared" si="712"/>
        <v>0</v>
      </c>
      <c r="BI117" s="270">
        <f t="shared" si="712"/>
        <v>0</v>
      </c>
      <c r="BJ117" s="270">
        <f t="shared" si="712"/>
        <v>0</v>
      </c>
      <c r="BK117" s="270">
        <f t="shared" si="712"/>
        <v>0</v>
      </c>
      <c r="BL117" s="265">
        <f t="shared" si="16"/>
        <v>-15.1</v>
      </c>
      <c r="BM117" s="215"/>
      <c r="BN117" s="270">
        <f t="shared" ref="BN117:CP117" si="713">ROUND(AI116*E$9/12,2)</f>
        <v>0</v>
      </c>
      <c r="BO117" s="270">
        <f t="shared" si="713"/>
        <v>0</v>
      </c>
      <c r="BP117" s="270">
        <f t="shared" si="713"/>
        <v>0</v>
      </c>
      <c r="BQ117" s="270">
        <f t="shared" si="713"/>
        <v>0</v>
      </c>
      <c r="BR117" s="270">
        <f t="shared" si="713"/>
        <v>0</v>
      </c>
      <c r="BS117" s="270">
        <f t="shared" si="713"/>
        <v>0</v>
      </c>
      <c r="BT117" s="270">
        <f t="shared" si="713"/>
        <v>0</v>
      </c>
      <c r="BU117" s="270">
        <f t="shared" si="713"/>
        <v>0</v>
      </c>
      <c r="BV117" s="270">
        <f t="shared" si="713"/>
        <v>0</v>
      </c>
      <c r="BW117" s="270">
        <f t="shared" si="713"/>
        <v>0</v>
      </c>
      <c r="BX117" s="270">
        <f t="shared" si="713"/>
        <v>0</v>
      </c>
      <c r="BY117" s="270">
        <f t="shared" si="713"/>
        <v>-0.05</v>
      </c>
      <c r="BZ117" s="270">
        <f t="shared" si="713"/>
        <v>-0.03</v>
      </c>
      <c r="CA117" s="270">
        <f t="shared" si="713"/>
        <v>0</v>
      </c>
      <c r="CB117" s="270">
        <f t="shared" si="713"/>
        <v>0</v>
      </c>
      <c r="CC117" s="270">
        <f t="shared" si="713"/>
        <v>0</v>
      </c>
      <c r="CD117" s="270">
        <f t="shared" si="713"/>
        <v>0</v>
      </c>
      <c r="CE117" s="270">
        <f t="shared" si="713"/>
        <v>0</v>
      </c>
      <c r="CF117" s="270">
        <f t="shared" si="713"/>
        <v>0</v>
      </c>
      <c r="CG117" s="270">
        <f t="shared" si="713"/>
        <v>0</v>
      </c>
      <c r="CH117" s="270">
        <f t="shared" si="713"/>
        <v>0</v>
      </c>
      <c r="CI117" s="270">
        <f t="shared" si="713"/>
        <v>0</v>
      </c>
      <c r="CJ117" s="270">
        <f t="shared" si="713"/>
        <v>0</v>
      </c>
      <c r="CK117" s="270">
        <f t="shared" si="713"/>
        <v>0</v>
      </c>
      <c r="CL117" s="270">
        <f t="shared" si="713"/>
        <v>0</v>
      </c>
      <c r="CM117" s="270">
        <f t="shared" si="713"/>
        <v>0</v>
      </c>
      <c r="CN117" s="270">
        <f t="shared" si="713"/>
        <v>0</v>
      </c>
      <c r="CO117" s="270">
        <f t="shared" si="713"/>
        <v>0</v>
      </c>
      <c r="CP117" s="270">
        <f t="shared" si="713"/>
        <v>0</v>
      </c>
      <c r="CQ117" s="215"/>
      <c r="CR117" s="270">
        <f t="shared" si="27"/>
        <v>-0.08</v>
      </c>
      <c r="CS117" s="215"/>
      <c r="CT117" s="270">
        <f t="shared" ref="CT117:DX117" si="714">IF(AI116&gt;0,IF((AI116+BN117)&lt;E$10,AI116+BN117,E$10),0)</f>
        <v>0</v>
      </c>
      <c r="CU117" s="270">
        <f t="shared" si="714"/>
        <v>0</v>
      </c>
      <c r="CV117" s="270">
        <f t="shared" si="714"/>
        <v>0</v>
      </c>
      <c r="CW117" s="270">
        <f t="shared" si="714"/>
        <v>0</v>
      </c>
      <c r="CX117" s="270">
        <f t="shared" si="714"/>
        <v>0</v>
      </c>
      <c r="CY117" s="270">
        <f t="shared" si="714"/>
        <v>0</v>
      </c>
      <c r="CZ117" s="270">
        <f t="shared" si="714"/>
        <v>0</v>
      </c>
      <c r="DA117" s="270">
        <f t="shared" si="714"/>
        <v>0</v>
      </c>
      <c r="DB117" s="270">
        <f t="shared" si="714"/>
        <v>0</v>
      </c>
      <c r="DC117" s="270">
        <f t="shared" si="714"/>
        <v>0</v>
      </c>
      <c r="DD117" s="270">
        <f t="shared" si="714"/>
        <v>0</v>
      </c>
      <c r="DE117" s="270">
        <f t="shared" si="714"/>
        <v>0</v>
      </c>
      <c r="DF117" s="270">
        <f t="shared" si="714"/>
        <v>0</v>
      </c>
      <c r="DG117" s="270">
        <f t="shared" si="714"/>
        <v>0</v>
      </c>
      <c r="DH117" s="270">
        <f t="shared" si="714"/>
        <v>0</v>
      </c>
      <c r="DI117" s="270">
        <f t="shared" si="714"/>
        <v>0</v>
      </c>
      <c r="DJ117" s="270">
        <f t="shared" si="714"/>
        <v>0</v>
      </c>
      <c r="DK117" s="270">
        <f t="shared" si="714"/>
        <v>0</v>
      </c>
      <c r="DL117" s="270">
        <f t="shared" si="714"/>
        <v>0</v>
      </c>
      <c r="DM117" s="270">
        <f t="shared" si="714"/>
        <v>0</v>
      </c>
      <c r="DN117" s="270">
        <f t="shared" si="714"/>
        <v>0</v>
      </c>
      <c r="DO117" s="270">
        <f t="shared" si="714"/>
        <v>0</v>
      </c>
      <c r="DP117" s="270">
        <f t="shared" si="714"/>
        <v>0</v>
      </c>
      <c r="DQ117" s="270">
        <f t="shared" si="714"/>
        <v>0</v>
      </c>
      <c r="DR117" s="270">
        <f t="shared" si="714"/>
        <v>0</v>
      </c>
      <c r="DS117" s="270">
        <f t="shared" si="714"/>
        <v>0</v>
      </c>
      <c r="DT117" s="270">
        <f t="shared" si="714"/>
        <v>0</v>
      </c>
      <c r="DU117" s="270">
        <f t="shared" si="714"/>
        <v>0</v>
      </c>
      <c r="DV117" s="270">
        <f t="shared" si="714"/>
        <v>0</v>
      </c>
      <c r="DW117" s="270">
        <f t="shared" si="714"/>
        <v>0</v>
      </c>
      <c r="DX117" s="270">
        <f t="shared" si="714"/>
        <v>0</v>
      </c>
      <c r="DY117" s="270">
        <f t="shared" si="29"/>
        <v>0</v>
      </c>
      <c r="DZ117" s="274"/>
      <c r="EA117" s="275">
        <f t="shared" si="38"/>
        <v>0</v>
      </c>
      <c r="EB117" s="270">
        <f t="shared" ref="EB117:FC117" si="715">IF(AJ115&lt;=0,0,IF($C116&lt;=SUM($EA117:EA117),0,IF(CU116+$C116-SUM($EA117:EA117)&gt;AJ115+BO116,AJ115+BO116-CU116,$C116-SUM($EA117:EA117))))</f>
        <v>0</v>
      </c>
      <c r="EC117" s="270">
        <f t="shared" si="715"/>
        <v>0</v>
      </c>
      <c r="ED117" s="270">
        <f t="shared" si="715"/>
        <v>0</v>
      </c>
      <c r="EE117" s="270">
        <f t="shared" si="715"/>
        <v>0</v>
      </c>
      <c r="EF117" s="270">
        <f t="shared" si="715"/>
        <v>0</v>
      </c>
      <c r="EG117" s="270">
        <f t="shared" si="715"/>
        <v>0</v>
      </c>
      <c r="EH117" s="270">
        <f t="shared" si="715"/>
        <v>0</v>
      </c>
      <c r="EI117" s="270">
        <f t="shared" si="715"/>
        <v>0</v>
      </c>
      <c r="EJ117" s="270">
        <f t="shared" si="715"/>
        <v>0</v>
      </c>
      <c r="EK117" s="270">
        <f t="shared" si="715"/>
        <v>0</v>
      </c>
      <c r="EL117" s="270">
        <f t="shared" si="715"/>
        <v>0</v>
      </c>
      <c r="EM117" s="270">
        <f t="shared" si="715"/>
        <v>0</v>
      </c>
      <c r="EN117" s="270">
        <f t="shared" si="715"/>
        <v>0</v>
      </c>
      <c r="EO117" s="270">
        <f t="shared" si="715"/>
        <v>0</v>
      </c>
      <c r="EP117" s="270">
        <f t="shared" si="715"/>
        <v>0</v>
      </c>
      <c r="EQ117" s="270">
        <f t="shared" si="715"/>
        <v>0</v>
      </c>
      <c r="ER117" s="270">
        <f t="shared" si="715"/>
        <v>0</v>
      </c>
      <c r="ES117" s="270">
        <f t="shared" si="715"/>
        <v>0</v>
      </c>
      <c r="ET117" s="270">
        <f t="shared" si="715"/>
        <v>0</v>
      </c>
      <c r="EU117" s="270">
        <f t="shared" si="715"/>
        <v>0</v>
      </c>
      <c r="EV117" s="270">
        <f t="shared" si="715"/>
        <v>0</v>
      </c>
      <c r="EW117" s="270">
        <f t="shared" si="715"/>
        <v>0</v>
      </c>
      <c r="EX117" s="270">
        <f t="shared" si="715"/>
        <v>0</v>
      </c>
      <c r="EY117" s="270">
        <f t="shared" si="715"/>
        <v>0</v>
      </c>
      <c r="EZ117" s="270">
        <f t="shared" si="715"/>
        <v>0</v>
      </c>
      <c r="FA117" s="270">
        <f t="shared" si="715"/>
        <v>0</v>
      </c>
      <c r="FB117" s="270">
        <f t="shared" si="715"/>
        <v>0</v>
      </c>
      <c r="FC117" s="270">
        <f t="shared" si="715"/>
        <v>0</v>
      </c>
      <c r="FD117" s="271"/>
      <c r="FE117" s="271"/>
      <c r="FF117" s="271"/>
      <c r="FG117" s="215"/>
      <c r="FH117" s="215"/>
    </row>
    <row r="118" ht="11.25" customHeight="1">
      <c r="A118" s="215" t="str">
        <f t="shared" si="19"/>
        <v/>
      </c>
      <c r="B118" s="241" t="str">
        <f t="shared" si="600"/>
        <v>#N/A</v>
      </c>
      <c r="C118" s="271" t="str">
        <f>IF(A118="","",IF(Calculator!snowball,IF(($E$5-DY118)&lt;0,0,$E$5-DY118),0)+D118)</f>
        <v/>
      </c>
      <c r="D118" s="270"/>
      <c r="E118" s="270">
        <f t="shared" si="40"/>
        <v>0</v>
      </c>
      <c r="F118" s="270">
        <f t="shared" ref="F118:AG118" si="716">CU118+EB119</f>
        <v>0</v>
      </c>
      <c r="G118" s="270">
        <f t="shared" si="716"/>
        <v>0</v>
      </c>
      <c r="H118" s="270">
        <f t="shared" si="716"/>
        <v>0</v>
      </c>
      <c r="I118" s="270">
        <f t="shared" si="716"/>
        <v>0</v>
      </c>
      <c r="J118" s="270">
        <f t="shared" si="716"/>
        <v>0</v>
      </c>
      <c r="K118" s="270">
        <f t="shared" si="716"/>
        <v>0</v>
      </c>
      <c r="L118" s="270">
        <f t="shared" si="716"/>
        <v>0</v>
      </c>
      <c r="M118" s="270">
        <f t="shared" si="716"/>
        <v>0</v>
      </c>
      <c r="N118" s="270">
        <f t="shared" si="716"/>
        <v>0</v>
      </c>
      <c r="O118" s="270">
        <f t="shared" si="716"/>
        <v>0</v>
      </c>
      <c r="P118" s="272">
        <f t="shared" si="716"/>
        <v>0</v>
      </c>
      <c r="Q118" s="272">
        <f t="shared" si="716"/>
        <v>0</v>
      </c>
      <c r="R118" s="272">
        <f t="shared" si="716"/>
        <v>0</v>
      </c>
      <c r="S118" s="272">
        <f t="shared" si="716"/>
        <v>0</v>
      </c>
      <c r="T118" s="272">
        <f t="shared" si="716"/>
        <v>0</v>
      </c>
      <c r="U118" s="270">
        <f t="shared" si="716"/>
        <v>0</v>
      </c>
      <c r="V118" s="270">
        <f t="shared" si="716"/>
        <v>0</v>
      </c>
      <c r="W118" s="270">
        <f t="shared" si="716"/>
        <v>0</v>
      </c>
      <c r="X118" s="270">
        <f t="shared" si="716"/>
        <v>0</v>
      </c>
      <c r="Y118" s="270">
        <f t="shared" si="716"/>
        <v>0</v>
      </c>
      <c r="Z118" s="270">
        <f t="shared" si="716"/>
        <v>0</v>
      </c>
      <c r="AA118" s="270">
        <f t="shared" si="716"/>
        <v>0</v>
      </c>
      <c r="AB118" s="270">
        <f t="shared" si="716"/>
        <v>0</v>
      </c>
      <c r="AC118" s="270">
        <f t="shared" si="716"/>
        <v>0</v>
      </c>
      <c r="AD118" s="270">
        <f t="shared" si="716"/>
        <v>0</v>
      </c>
      <c r="AE118" s="270">
        <f t="shared" si="716"/>
        <v>0</v>
      </c>
      <c r="AF118" s="270">
        <f t="shared" si="716"/>
        <v>0</v>
      </c>
      <c r="AG118" s="270">
        <f t="shared" si="716"/>
        <v>0</v>
      </c>
      <c r="AH118" s="279">
        <f t="shared" si="602"/>
        <v>0</v>
      </c>
      <c r="AI118" s="270">
        <f t="shared" si="43"/>
        <v>0</v>
      </c>
      <c r="AJ118" s="270">
        <f t="shared" ref="AJ118:AO118" si="717">IF(F$8=0,0,ROUND(AJ117-(F118-BO118),2))</f>
        <v>0</v>
      </c>
      <c r="AK118" s="270">
        <f t="shared" si="717"/>
        <v>0</v>
      </c>
      <c r="AL118" s="270">
        <f t="shared" si="717"/>
        <v>0</v>
      </c>
      <c r="AM118" s="270">
        <f t="shared" si="717"/>
        <v>0</v>
      </c>
      <c r="AN118" s="270">
        <f t="shared" si="717"/>
        <v>0</v>
      </c>
      <c r="AO118" s="270">
        <f t="shared" si="717"/>
        <v>0</v>
      </c>
      <c r="AP118" s="270">
        <v>0.0</v>
      </c>
      <c r="AQ118" s="270">
        <f t="shared" ref="AQ118:AS118" si="718">IF(M$8=0,0,ROUND(AQ117-(M118-BV118),2))</f>
        <v>0</v>
      </c>
      <c r="AR118" s="270">
        <f t="shared" si="718"/>
        <v>0</v>
      </c>
      <c r="AS118" s="270">
        <f t="shared" si="718"/>
        <v>0</v>
      </c>
      <c r="AT118" s="270">
        <f t="shared" si="605"/>
        <v>-6.22</v>
      </c>
      <c r="AU118" s="270">
        <f t="shared" ref="AU118:BK118" si="719">IF(Q$8=0,0,ROUND(AU117-(Q118-BY118),2))</f>
        <v>-8.93</v>
      </c>
      <c r="AV118" s="270">
        <f t="shared" si="719"/>
        <v>0</v>
      </c>
      <c r="AW118" s="270">
        <f t="shared" si="719"/>
        <v>0</v>
      </c>
      <c r="AX118" s="270">
        <f t="shared" si="719"/>
        <v>0</v>
      </c>
      <c r="AY118" s="270">
        <f t="shared" si="719"/>
        <v>0</v>
      </c>
      <c r="AZ118" s="270">
        <f t="shared" si="719"/>
        <v>0</v>
      </c>
      <c r="BA118" s="270">
        <f t="shared" si="719"/>
        <v>0</v>
      </c>
      <c r="BB118" s="270">
        <f t="shared" si="719"/>
        <v>0</v>
      </c>
      <c r="BC118" s="270">
        <f t="shared" si="719"/>
        <v>0</v>
      </c>
      <c r="BD118" s="270">
        <f t="shared" si="719"/>
        <v>0</v>
      </c>
      <c r="BE118" s="270">
        <f t="shared" si="719"/>
        <v>0</v>
      </c>
      <c r="BF118" s="270">
        <f t="shared" si="719"/>
        <v>0</v>
      </c>
      <c r="BG118" s="270">
        <f t="shared" si="719"/>
        <v>0</v>
      </c>
      <c r="BH118" s="270">
        <f t="shared" si="719"/>
        <v>0</v>
      </c>
      <c r="BI118" s="270">
        <f t="shared" si="719"/>
        <v>0</v>
      </c>
      <c r="BJ118" s="270">
        <f t="shared" si="719"/>
        <v>0</v>
      </c>
      <c r="BK118" s="270">
        <f t="shared" si="719"/>
        <v>0</v>
      </c>
      <c r="BL118" s="265">
        <f t="shared" si="16"/>
        <v>-15.15</v>
      </c>
      <c r="BM118" s="215"/>
      <c r="BN118" s="270">
        <f t="shared" ref="BN118:CP118" si="720">ROUND(AI117*E$9/12,2)</f>
        <v>0</v>
      </c>
      <c r="BO118" s="270">
        <f t="shared" si="720"/>
        <v>0</v>
      </c>
      <c r="BP118" s="270">
        <f t="shared" si="720"/>
        <v>0</v>
      </c>
      <c r="BQ118" s="270">
        <f t="shared" si="720"/>
        <v>0</v>
      </c>
      <c r="BR118" s="270">
        <f t="shared" si="720"/>
        <v>0</v>
      </c>
      <c r="BS118" s="270">
        <f t="shared" si="720"/>
        <v>0</v>
      </c>
      <c r="BT118" s="270">
        <f t="shared" si="720"/>
        <v>0</v>
      </c>
      <c r="BU118" s="270">
        <f t="shared" si="720"/>
        <v>0</v>
      </c>
      <c r="BV118" s="270">
        <f t="shared" si="720"/>
        <v>0</v>
      </c>
      <c r="BW118" s="270">
        <f t="shared" si="720"/>
        <v>0</v>
      </c>
      <c r="BX118" s="270">
        <f t="shared" si="720"/>
        <v>0</v>
      </c>
      <c r="BY118" s="270">
        <f t="shared" si="720"/>
        <v>-0.05</v>
      </c>
      <c r="BZ118" s="270">
        <f t="shared" si="720"/>
        <v>-0.03</v>
      </c>
      <c r="CA118" s="270">
        <f t="shared" si="720"/>
        <v>0</v>
      </c>
      <c r="CB118" s="270">
        <f t="shared" si="720"/>
        <v>0</v>
      </c>
      <c r="CC118" s="270">
        <f t="shared" si="720"/>
        <v>0</v>
      </c>
      <c r="CD118" s="270">
        <f t="shared" si="720"/>
        <v>0</v>
      </c>
      <c r="CE118" s="270">
        <f t="shared" si="720"/>
        <v>0</v>
      </c>
      <c r="CF118" s="270">
        <f t="shared" si="720"/>
        <v>0</v>
      </c>
      <c r="CG118" s="270">
        <f t="shared" si="720"/>
        <v>0</v>
      </c>
      <c r="CH118" s="270">
        <f t="shared" si="720"/>
        <v>0</v>
      </c>
      <c r="CI118" s="270">
        <f t="shared" si="720"/>
        <v>0</v>
      </c>
      <c r="CJ118" s="270">
        <f t="shared" si="720"/>
        <v>0</v>
      </c>
      <c r="CK118" s="270">
        <f t="shared" si="720"/>
        <v>0</v>
      </c>
      <c r="CL118" s="270">
        <f t="shared" si="720"/>
        <v>0</v>
      </c>
      <c r="CM118" s="270">
        <f t="shared" si="720"/>
        <v>0</v>
      </c>
      <c r="CN118" s="270">
        <f t="shared" si="720"/>
        <v>0</v>
      </c>
      <c r="CO118" s="270">
        <f t="shared" si="720"/>
        <v>0</v>
      </c>
      <c r="CP118" s="270">
        <f t="shared" si="720"/>
        <v>0</v>
      </c>
      <c r="CQ118" s="215"/>
      <c r="CR118" s="270">
        <f t="shared" si="27"/>
        <v>-0.08</v>
      </c>
      <c r="CS118" s="215"/>
      <c r="CT118" s="270">
        <f t="shared" ref="CT118:DX118" si="721">IF(AI117&gt;0,IF((AI117+BN118)&lt;E$10,AI117+BN118,E$10),0)</f>
        <v>0</v>
      </c>
      <c r="CU118" s="270">
        <f t="shared" si="721"/>
        <v>0</v>
      </c>
      <c r="CV118" s="270">
        <f t="shared" si="721"/>
        <v>0</v>
      </c>
      <c r="CW118" s="270">
        <f t="shared" si="721"/>
        <v>0</v>
      </c>
      <c r="CX118" s="270">
        <f t="shared" si="721"/>
        <v>0</v>
      </c>
      <c r="CY118" s="270">
        <f t="shared" si="721"/>
        <v>0</v>
      </c>
      <c r="CZ118" s="270">
        <f t="shared" si="721"/>
        <v>0</v>
      </c>
      <c r="DA118" s="270">
        <f t="shared" si="721"/>
        <v>0</v>
      </c>
      <c r="DB118" s="270">
        <f t="shared" si="721"/>
        <v>0</v>
      </c>
      <c r="DC118" s="270">
        <f t="shared" si="721"/>
        <v>0</v>
      </c>
      <c r="DD118" s="270">
        <f t="shared" si="721"/>
        <v>0</v>
      </c>
      <c r="DE118" s="270">
        <f t="shared" si="721"/>
        <v>0</v>
      </c>
      <c r="DF118" s="270">
        <f t="shared" si="721"/>
        <v>0</v>
      </c>
      <c r="DG118" s="270">
        <f t="shared" si="721"/>
        <v>0</v>
      </c>
      <c r="DH118" s="270">
        <f t="shared" si="721"/>
        <v>0</v>
      </c>
      <c r="DI118" s="270">
        <f t="shared" si="721"/>
        <v>0</v>
      </c>
      <c r="DJ118" s="270">
        <f t="shared" si="721"/>
        <v>0</v>
      </c>
      <c r="DK118" s="270">
        <f t="shared" si="721"/>
        <v>0</v>
      </c>
      <c r="DL118" s="270">
        <f t="shared" si="721"/>
        <v>0</v>
      </c>
      <c r="DM118" s="270">
        <f t="shared" si="721"/>
        <v>0</v>
      </c>
      <c r="DN118" s="270">
        <f t="shared" si="721"/>
        <v>0</v>
      </c>
      <c r="DO118" s="270">
        <f t="shared" si="721"/>
        <v>0</v>
      </c>
      <c r="DP118" s="270">
        <f t="shared" si="721"/>
        <v>0</v>
      </c>
      <c r="DQ118" s="270">
        <f t="shared" si="721"/>
        <v>0</v>
      </c>
      <c r="DR118" s="270">
        <f t="shared" si="721"/>
        <v>0</v>
      </c>
      <c r="DS118" s="270">
        <f t="shared" si="721"/>
        <v>0</v>
      </c>
      <c r="DT118" s="270">
        <f t="shared" si="721"/>
        <v>0</v>
      </c>
      <c r="DU118" s="270">
        <f t="shared" si="721"/>
        <v>0</v>
      </c>
      <c r="DV118" s="270">
        <f t="shared" si="721"/>
        <v>0</v>
      </c>
      <c r="DW118" s="270">
        <f t="shared" si="721"/>
        <v>0</v>
      </c>
      <c r="DX118" s="270">
        <f t="shared" si="721"/>
        <v>0</v>
      </c>
      <c r="DY118" s="270">
        <f t="shared" si="29"/>
        <v>0</v>
      </c>
      <c r="DZ118" s="274"/>
      <c r="EA118" s="275">
        <f t="shared" si="38"/>
        <v>0</v>
      </c>
      <c r="EB118" s="270">
        <f t="shared" ref="EB118:FC118" si="722">IF(AJ116&lt;=0,0,IF($C117&lt;=SUM($EA118:EA118),0,IF(CU117+$C117-SUM($EA118:EA118)&gt;AJ116+BO117,AJ116+BO117-CU117,$C117-SUM($EA118:EA118))))</f>
        <v>0</v>
      </c>
      <c r="EC118" s="270">
        <f t="shared" si="722"/>
        <v>0</v>
      </c>
      <c r="ED118" s="270">
        <f t="shared" si="722"/>
        <v>0</v>
      </c>
      <c r="EE118" s="270">
        <f t="shared" si="722"/>
        <v>0</v>
      </c>
      <c r="EF118" s="270">
        <f t="shared" si="722"/>
        <v>0</v>
      </c>
      <c r="EG118" s="270">
        <f t="shared" si="722"/>
        <v>0</v>
      </c>
      <c r="EH118" s="270">
        <f t="shared" si="722"/>
        <v>0</v>
      </c>
      <c r="EI118" s="270">
        <f t="shared" si="722"/>
        <v>0</v>
      </c>
      <c r="EJ118" s="270">
        <f t="shared" si="722"/>
        <v>0</v>
      </c>
      <c r="EK118" s="270">
        <f t="shared" si="722"/>
        <v>0</v>
      </c>
      <c r="EL118" s="270">
        <f t="shared" si="722"/>
        <v>0</v>
      </c>
      <c r="EM118" s="270">
        <f t="shared" si="722"/>
        <v>0</v>
      </c>
      <c r="EN118" s="270">
        <f t="shared" si="722"/>
        <v>0</v>
      </c>
      <c r="EO118" s="270">
        <f t="shared" si="722"/>
        <v>0</v>
      </c>
      <c r="EP118" s="270">
        <f t="shared" si="722"/>
        <v>0</v>
      </c>
      <c r="EQ118" s="270">
        <f t="shared" si="722"/>
        <v>0</v>
      </c>
      <c r="ER118" s="270">
        <f t="shared" si="722"/>
        <v>0</v>
      </c>
      <c r="ES118" s="270">
        <f t="shared" si="722"/>
        <v>0</v>
      </c>
      <c r="ET118" s="270">
        <f t="shared" si="722"/>
        <v>0</v>
      </c>
      <c r="EU118" s="270">
        <f t="shared" si="722"/>
        <v>0</v>
      </c>
      <c r="EV118" s="270">
        <f t="shared" si="722"/>
        <v>0</v>
      </c>
      <c r="EW118" s="270">
        <f t="shared" si="722"/>
        <v>0</v>
      </c>
      <c r="EX118" s="270">
        <f t="shared" si="722"/>
        <v>0</v>
      </c>
      <c r="EY118" s="270">
        <f t="shared" si="722"/>
        <v>0</v>
      </c>
      <c r="EZ118" s="270">
        <f t="shared" si="722"/>
        <v>0</v>
      </c>
      <c r="FA118" s="270">
        <f t="shared" si="722"/>
        <v>0</v>
      </c>
      <c r="FB118" s="270">
        <f t="shared" si="722"/>
        <v>0</v>
      </c>
      <c r="FC118" s="270">
        <f t="shared" si="722"/>
        <v>0</v>
      </c>
      <c r="FD118" s="271"/>
      <c r="FE118" s="271"/>
      <c r="FF118" s="271"/>
      <c r="FG118" s="215"/>
      <c r="FH118" s="215"/>
    </row>
    <row r="119" ht="11.25" customHeight="1">
      <c r="A119" s="215" t="str">
        <f t="shared" si="19"/>
        <v/>
      </c>
      <c r="B119" s="241" t="str">
        <f t="shared" si="600"/>
        <v>#N/A</v>
      </c>
      <c r="C119" s="271" t="str">
        <f>IF(A119="","",IF(Calculator!snowball,IF(($E$5-DY119)&lt;0,0,$E$5-DY119),0)+D119)</f>
        <v/>
      </c>
      <c r="D119" s="270"/>
      <c r="E119" s="270">
        <f t="shared" si="40"/>
        <v>0</v>
      </c>
      <c r="F119" s="270">
        <f t="shared" ref="F119:AG119" si="723">CU119+EB120</f>
        <v>0</v>
      </c>
      <c r="G119" s="270">
        <f t="shared" si="723"/>
        <v>0</v>
      </c>
      <c r="H119" s="270">
        <f t="shared" si="723"/>
        <v>0</v>
      </c>
      <c r="I119" s="270">
        <f t="shared" si="723"/>
        <v>0</v>
      </c>
      <c r="J119" s="270">
        <f t="shared" si="723"/>
        <v>0</v>
      </c>
      <c r="K119" s="270">
        <f t="shared" si="723"/>
        <v>0</v>
      </c>
      <c r="L119" s="270">
        <f t="shared" si="723"/>
        <v>0</v>
      </c>
      <c r="M119" s="270">
        <f t="shared" si="723"/>
        <v>0</v>
      </c>
      <c r="N119" s="270">
        <f t="shared" si="723"/>
        <v>0</v>
      </c>
      <c r="O119" s="270">
        <f t="shared" si="723"/>
        <v>0</v>
      </c>
      <c r="P119" s="272">
        <f t="shared" si="723"/>
        <v>0</v>
      </c>
      <c r="Q119" s="272">
        <f t="shared" si="723"/>
        <v>0</v>
      </c>
      <c r="R119" s="272">
        <f t="shared" si="723"/>
        <v>0</v>
      </c>
      <c r="S119" s="272">
        <f t="shared" si="723"/>
        <v>0</v>
      </c>
      <c r="T119" s="272">
        <f t="shared" si="723"/>
        <v>0</v>
      </c>
      <c r="U119" s="270">
        <f t="shared" si="723"/>
        <v>0</v>
      </c>
      <c r="V119" s="270">
        <f t="shared" si="723"/>
        <v>0</v>
      </c>
      <c r="W119" s="270">
        <f t="shared" si="723"/>
        <v>0</v>
      </c>
      <c r="X119" s="270">
        <f t="shared" si="723"/>
        <v>0</v>
      </c>
      <c r="Y119" s="270">
        <f t="shared" si="723"/>
        <v>0</v>
      </c>
      <c r="Z119" s="270">
        <f t="shared" si="723"/>
        <v>0</v>
      </c>
      <c r="AA119" s="270">
        <f t="shared" si="723"/>
        <v>0</v>
      </c>
      <c r="AB119" s="270">
        <f t="shared" si="723"/>
        <v>0</v>
      </c>
      <c r="AC119" s="270">
        <f t="shared" si="723"/>
        <v>0</v>
      </c>
      <c r="AD119" s="270">
        <f t="shared" si="723"/>
        <v>0</v>
      </c>
      <c r="AE119" s="270">
        <f t="shared" si="723"/>
        <v>0</v>
      </c>
      <c r="AF119" s="270">
        <f t="shared" si="723"/>
        <v>0</v>
      </c>
      <c r="AG119" s="270">
        <f t="shared" si="723"/>
        <v>0</v>
      </c>
      <c r="AH119" s="279">
        <f t="shared" si="602"/>
        <v>0</v>
      </c>
      <c r="AI119" s="270">
        <f t="shared" si="43"/>
        <v>0</v>
      </c>
      <c r="AJ119" s="270">
        <f t="shared" ref="AJ119:AO119" si="724">IF(F$8=0,0,ROUND(AJ118-(F119-BO119),2))</f>
        <v>0</v>
      </c>
      <c r="AK119" s="270">
        <f t="shared" si="724"/>
        <v>0</v>
      </c>
      <c r="AL119" s="270">
        <f t="shared" si="724"/>
        <v>0</v>
      </c>
      <c r="AM119" s="270">
        <f t="shared" si="724"/>
        <v>0</v>
      </c>
      <c r="AN119" s="270">
        <f t="shared" si="724"/>
        <v>0</v>
      </c>
      <c r="AO119" s="270">
        <f t="shared" si="724"/>
        <v>0</v>
      </c>
      <c r="AP119" s="270">
        <v>0.0</v>
      </c>
      <c r="AQ119" s="270">
        <f t="shared" ref="AQ119:AS119" si="725">IF(M$8=0,0,ROUND(AQ118-(M119-BV119),2))</f>
        <v>0</v>
      </c>
      <c r="AR119" s="270">
        <f t="shared" si="725"/>
        <v>0</v>
      </c>
      <c r="AS119" s="270">
        <f t="shared" si="725"/>
        <v>0</v>
      </c>
      <c r="AT119" s="270">
        <f t="shared" si="605"/>
        <v>-6.22</v>
      </c>
      <c r="AU119" s="270">
        <f t="shared" ref="AU119:BK119" si="726">IF(Q$8=0,0,ROUND(AU118-(Q119-BY119),2))</f>
        <v>-8.98</v>
      </c>
      <c r="AV119" s="270">
        <f t="shared" si="726"/>
        <v>0</v>
      </c>
      <c r="AW119" s="270">
        <f t="shared" si="726"/>
        <v>0</v>
      </c>
      <c r="AX119" s="270">
        <f t="shared" si="726"/>
        <v>0</v>
      </c>
      <c r="AY119" s="270">
        <f t="shared" si="726"/>
        <v>0</v>
      </c>
      <c r="AZ119" s="270">
        <f t="shared" si="726"/>
        <v>0</v>
      </c>
      <c r="BA119" s="270">
        <f t="shared" si="726"/>
        <v>0</v>
      </c>
      <c r="BB119" s="270">
        <f t="shared" si="726"/>
        <v>0</v>
      </c>
      <c r="BC119" s="270">
        <f t="shared" si="726"/>
        <v>0</v>
      </c>
      <c r="BD119" s="270">
        <f t="shared" si="726"/>
        <v>0</v>
      </c>
      <c r="BE119" s="270">
        <f t="shared" si="726"/>
        <v>0</v>
      </c>
      <c r="BF119" s="270">
        <f t="shared" si="726"/>
        <v>0</v>
      </c>
      <c r="BG119" s="270">
        <f t="shared" si="726"/>
        <v>0</v>
      </c>
      <c r="BH119" s="270">
        <f t="shared" si="726"/>
        <v>0</v>
      </c>
      <c r="BI119" s="270">
        <f t="shared" si="726"/>
        <v>0</v>
      </c>
      <c r="BJ119" s="270">
        <f t="shared" si="726"/>
        <v>0</v>
      </c>
      <c r="BK119" s="270">
        <f t="shared" si="726"/>
        <v>0</v>
      </c>
      <c r="BL119" s="265">
        <f t="shared" si="16"/>
        <v>-15.2</v>
      </c>
      <c r="BM119" s="215"/>
      <c r="BN119" s="270">
        <f t="shared" ref="BN119:CP119" si="727">ROUND(AI118*E$9/12,2)</f>
        <v>0</v>
      </c>
      <c r="BO119" s="270">
        <f t="shared" si="727"/>
        <v>0</v>
      </c>
      <c r="BP119" s="270">
        <f t="shared" si="727"/>
        <v>0</v>
      </c>
      <c r="BQ119" s="270">
        <f t="shared" si="727"/>
        <v>0</v>
      </c>
      <c r="BR119" s="270">
        <f t="shared" si="727"/>
        <v>0</v>
      </c>
      <c r="BS119" s="270">
        <f t="shared" si="727"/>
        <v>0</v>
      </c>
      <c r="BT119" s="270">
        <f t="shared" si="727"/>
        <v>0</v>
      </c>
      <c r="BU119" s="270">
        <f t="shared" si="727"/>
        <v>0</v>
      </c>
      <c r="BV119" s="270">
        <f t="shared" si="727"/>
        <v>0</v>
      </c>
      <c r="BW119" s="270">
        <f t="shared" si="727"/>
        <v>0</v>
      </c>
      <c r="BX119" s="270">
        <f t="shared" si="727"/>
        <v>0</v>
      </c>
      <c r="BY119" s="270">
        <f t="shared" si="727"/>
        <v>-0.05</v>
      </c>
      <c r="BZ119" s="270">
        <f t="shared" si="727"/>
        <v>-0.03</v>
      </c>
      <c r="CA119" s="270">
        <f t="shared" si="727"/>
        <v>0</v>
      </c>
      <c r="CB119" s="270">
        <f t="shared" si="727"/>
        <v>0</v>
      </c>
      <c r="CC119" s="270">
        <f t="shared" si="727"/>
        <v>0</v>
      </c>
      <c r="CD119" s="270">
        <f t="shared" si="727"/>
        <v>0</v>
      </c>
      <c r="CE119" s="270">
        <f t="shared" si="727"/>
        <v>0</v>
      </c>
      <c r="CF119" s="270">
        <f t="shared" si="727"/>
        <v>0</v>
      </c>
      <c r="CG119" s="270">
        <f t="shared" si="727"/>
        <v>0</v>
      </c>
      <c r="CH119" s="270">
        <f t="shared" si="727"/>
        <v>0</v>
      </c>
      <c r="CI119" s="270">
        <f t="shared" si="727"/>
        <v>0</v>
      </c>
      <c r="CJ119" s="270">
        <f t="shared" si="727"/>
        <v>0</v>
      </c>
      <c r="CK119" s="270">
        <f t="shared" si="727"/>
        <v>0</v>
      </c>
      <c r="CL119" s="270">
        <f t="shared" si="727"/>
        <v>0</v>
      </c>
      <c r="CM119" s="270">
        <f t="shared" si="727"/>
        <v>0</v>
      </c>
      <c r="CN119" s="270">
        <f t="shared" si="727"/>
        <v>0</v>
      </c>
      <c r="CO119" s="270">
        <f t="shared" si="727"/>
        <v>0</v>
      </c>
      <c r="CP119" s="270">
        <f t="shared" si="727"/>
        <v>0</v>
      </c>
      <c r="CQ119" s="215"/>
      <c r="CR119" s="270">
        <f t="shared" si="27"/>
        <v>-0.08</v>
      </c>
      <c r="CS119" s="215"/>
      <c r="CT119" s="270">
        <f t="shared" ref="CT119:DX119" si="728">IF(AI118&gt;0,IF((AI118+BN119)&lt;E$10,AI118+BN119,E$10),0)</f>
        <v>0</v>
      </c>
      <c r="CU119" s="270">
        <f t="shared" si="728"/>
        <v>0</v>
      </c>
      <c r="CV119" s="270">
        <f t="shared" si="728"/>
        <v>0</v>
      </c>
      <c r="CW119" s="270">
        <f t="shared" si="728"/>
        <v>0</v>
      </c>
      <c r="CX119" s="270">
        <f t="shared" si="728"/>
        <v>0</v>
      </c>
      <c r="CY119" s="270">
        <f t="shared" si="728"/>
        <v>0</v>
      </c>
      <c r="CZ119" s="270">
        <f t="shared" si="728"/>
        <v>0</v>
      </c>
      <c r="DA119" s="270">
        <f t="shared" si="728"/>
        <v>0</v>
      </c>
      <c r="DB119" s="270">
        <f t="shared" si="728"/>
        <v>0</v>
      </c>
      <c r="DC119" s="270">
        <f t="shared" si="728"/>
        <v>0</v>
      </c>
      <c r="DD119" s="270">
        <f t="shared" si="728"/>
        <v>0</v>
      </c>
      <c r="DE119" s="270">
        <f t="shared" si="728"/>
        <v>0</v>
      </c>
      <c r="DF119" s="270">
        <f t="shared" si="728"/>
        <v>0</v>
      </c>
      <c r="DG119" s="270">
        <f t="shared" si="728"/>
        <v>0</v>
      </c>
      <c r="DH119" s="270">
        <f t="shared" si="728"/>
        <v>0</v>
      </c>
      <c r="DI119" s="270">
        <f t="shared" si="728"/>
        <v>0</v>
      </c>
      <c r="DJ119" s="270">
        <f t="shared" si="728"/>
        <v>0</v>
      </c>
      <c r="DK119" s="270">
        <f t="shared" si="728"/>
        <v>0</v>
      </c>
      <c r="DL119" s="270">
        <f t="shared" si="728"/>
        <v>0</v>
      </c>
      <c r="DM119" s="270">
        <f t="shared" si="728"/>
        <v>0</v>
      </c>
      <c r="DN119" s="270">
        <f t="shared" si="728"/>
        <v>0</v>
      </c>
      <c r="DO119" s="270">
        <f t="shared" si="728"/>
        <v>0</v>
      </c>
      <c r="DP119" s="270">
        <f t="shared" si="728"/>
        <v>0</v>
      </c>
      <c r="DQ119" s="270">
        <f t="shared" si="728"/>
        <v>0</v>
      </c>
      <c r="DR119" s="270">
        <f t="shared" si="728"/>
        <v>0</v>
      </c>
      <c r="DS119" s="270">
        <f t="shared" si="728"/>
        <v>0</v>
      </c>
      <c r="DT119" s="270">
        <f t="shared" si="728"/>
        <v>0</v>
      </c>
      <c r="DU119" s="270">
        <f t="shared" si="728"/>
        <v>0</v>
      </c>
      <c r="DV119" s="270">
        <f t="shared" si="728"/>
        <v>0</v>
      </c>
      <c r="DW119" s="270">
        <f t="shared" si="728"/>
        <v>0</v>
      </c>
      <c r="DX119" s="270">
        <f t="shared" si="728"/>
        <v>0</v>
      </c>
      <c r="DY119" s="270">
        <f t="shared" si="29"/>
        <v>0</v>
      </c>
      <c r="DZ119" s="274"/>
      <c r="EA119" s="275">
        <f t="shared" si="38"/>
        <v>0</v>
      </c>
      <c r="EB119" s="270">
        <f t="shared" ref="EB119:FC119" si="729">IF(AJ117&lt;=0,0,IF($C118&lt;=SUM($EA119:EA119),0,IF(CU118+$C118-SUM($EA119:EA119)&gt;AJ117+BO118,AJ117+BO118-CU118,$C118-SUM($EA119:EA119))))</f>
        <v>0</v>
      </c>
      <c r="EC119" s="270">
        <f t="shared" si="729"/>
        <v>0</v>
      </c>
      <c r="ED119" s="270">
        <f t="shared" si="729"/>
        <v>0</v>
      </c>
      <c r="EE119" s="270">
        <f t="shared" si="729"/>
        <v>0</v>
      </c>
      <c r="EF119" s="270">
        <f t="shared" si="729"/>
        <v>0</v>
      </c>
      <c r="EG119" s="270">
        <f t="shared" si="729"/>
        <v>0</v>
      </c>
      <c r="EH119" s="270">
        <f t="shared" si="729"/>
        <v>0</v>
      </c>
      <c r="EI119" s="270">
        <f t="shared" si="729"/>
        <v>0</v>
      </c>
      <c r="EJ119" s="270">
        <f t="shared" si="729"/>
        <v>0</v>
      </c>
      <c r="EK119" s="270">
        <f t="shared" si="729"/>
        <v>0</v>
      </c>
      <c r="EL119" s="270">
        <f t="shared" si="729"/>
        <v>0</v>
      </c>
      <c r="EM119" s="270">
        <f t="shared" si="729"/>
        <v>0</v>
      </c>
      <c r="EN119" s="270">
        <f t="shared" si="729"/>
        <v>0</v>
      </c>
      <c r="EO119" s="270">
        <f t="shared" si="729"/>
        <v>0</v>
      </c>
      <c r="EP119" s="270">
        <f t="shared" si="729"/>
        <v>0</v>
      </c>
      <c r="EQ119" s="270">
        <f t="shared" si="729"/>
        <v>0</v>
      </c>
      <c r="ER119" s="270">
        <f t="shared" si="729"/>
        <v>0</v>
      </c>
      <c r="ES119" s="270">
        <f t="shared" si="729"/>
        <v>0</v>
      </c>
      <c r="ET119" s="270">
        <f t="shared" si="729"/>
        <v>0</v>
      </c>
      <c r="EU119" s="270">
        <f t="shared" si="729"/>
        <v>0</v>
      </c>
      <c r="EV119" s="270">
        <f t="shared" si="729"/>
        <v>0</v>
      </c>
      <c r="EW119" s="270">
        <f t="shared" si="729"/>
        <v>0</v>
      </c>
      <c r="EX119" s="270">
        <f t="shared" si="729"/>
        <v>0</v>
      </c>
      <c r="EY119" s="270">
        <f t="shared" si="729"/>
        <v>0</v>
      </c>
      <c r="EZ119" s="270">
        <f t="shared" si="729"/>
        <v>0</v>
      </c>
      <c r="FA119" s="270">
        <f t="shared" si="729"/>
        <v>0</v>
      </c>
      <c r="FB119" s="270">
        <f t="shared" si="729"/>
        <v>0</v>
      </c>
      <c r="FC119" s="270">
        <f t="shared" si="729"/>
        <v>0</v>
      </c>
      <c r="FD119" s="271"/>
      <c r="FE119" s="271"/>
      <c r="FF119" s="271"/>
      <c r="FG119" s="215"/>
      <c r="FH119" s="215"/>
    </row>
    <row r="120" ht="11.25" customHeight="1">
      <c r="A120" s="215" t="str">
        <f t="shared" si="19"/>
        <v/>
      </c>
      <c r="B120" s="241" t="str">
        <f t="shared" si="600"/>
        <v>#N/A</v>
      </c>
      <c r="C120" s="271" t="str">
        <f>IF(A120="","",IF(Calculator!snowball,IF(($E$5-DY120)&lt;0,0,$E$5-DY120),0)+D120)</f>
        <v/>
      </c>
      <c r="D120" s="270"/>
      <c r="E120" s="270">
        <f t="shared" si="40"/>
        <v>0</v>
      </c>
      <c r="F120" s="270">
        <f t="shared" ref="F120:AG120" si="730">CU120+EB121</f>
        <v>0</v>
      </c>
      <c r="G120" s="270">
        <f t="shared" si="730"/>
        <v>0</v>
      </c>
      <c r="H120" s="270">
        <f t="shared" si="730"/>
        <v>0</v>
      </c>
      <c r="I120" s="270">
        <f t="shared" si="730"/>
        <v>0</v>
      </c>
      <c r="J120" s="270">
        <f t="shared" si="730"/>
        <v>0</v>
      </c>
      <c r="K120" s="270">
        <f t="shared" si="730"/>
        <v>0</v>
      </c>
      <c r="L120" s="270">
        <f t="shared" si="730"/>
        <v>0</v>
      </c>
      <c r="M120" s="270">
        <f t="shared" si="730"/>
        <v>0</v>
      </c>
      <c r="N120" s="270">
        <f t="shared" si="730"/>
        <v>0</v>
      </c>
      <c r="O120" s="270">
        <f t="shared" si="730"/>
        <v>0</v>
      </c>
      <c r="P120" s="272">
        <f t="shared" si="730"/>
        <v>0</v>
      </c>
      <c r="Q120" s="272">
        <f t="shared" si="730"/>
        <v>0</v>
      </c>
      <c r="R120" s="272">
        <f t="shared" si="730"/>
        <v>0</v>
      </c>
      <c r="S120" s="272">
        <f t="shared" si="730"/>
        <v>0</v>
      </c>
      <c r="T120" s="272">
        <f t="shared" si="730"/>
        <v>0</v>
      </c>
      <c r="U120" s="270">
        <f t="shared" si="730"/>
        <v>0</v>
      </c>
      <c r="V120" s="270">
        <f t="shared" si="730"/>
        <v>0</v>
      </c>
      <c r="W120" s="270">
        <f t="shared" si="730"/>
        <v>0</v>
      </c>
      <c r="X120" s="270">
        <f t="shared" si="730"/>
        <v>0</v>
      </c>
      <c r="Y120" s="270">
        <f t="shared" si="730"/>
        <v>0</v>
      </c>
      <c r="Z120" s="270">
        <f t="shared" si="730"/>
        <v>0</v>
      </c>
      <c r="AA120" s="270">
        <f t="shared" si="730"/>
        <v>0</v>
      </c>
      <c r="AB120" s="270">
        <f t="shared" si="730"/>
        <v>0</v>
      </c>
      <c r="AC120" s="270">
        <f t="shared" si="730"/>
        <v>0</v>
      </c>
      <c r="AD120" s="270">
        <f t="shared" si="730"/>
        <v>0</v>
      </c>
      <c r="AE120" s="270">
        <f t="shared" si="730"/>
        <v>0</v>
      </c>
      <c r="AF120" s="270">
        <f t="shared" si="730"/>
        <v>0</v>
      </c>
      <c r="AG120" s="270">
        <f t="shared" si="730"/>
        <v>0</v>
      </c>
      <c r="AH120" s="279">
        <f t="shared" si="602"/>
        <v>0</v>
      </c>
      <c r="AI120" s="270">
        <f t="shared" si="43"/>
        <v>0</v>
      </c>
      <c r="AJ120" s="270">
        <f t="shared" ref="AJ120:AO120" si="731">IF(F$8=0,0,ROUND(AJ119-(F120-BO120),2))</f>
        <v>0</v>
      </c>
      <c r="AK120" s="270">
        <f t="shared" si="731"/>
        <v>0</v>
      </c>
      <c r="AL120" s="270">
        <f t="shared" si="731"/>
        <v>0</v>
      </c>
      <c r="AM120" s="270">
        <f t="shared" si="731"/>
        <v>0</v>
      </c>
      <c r="AN120" s="270">
        <f t="shared" si="731"/>
        <v>0</v>
      </c>
      <c r="AO120" s="270">
        <f t="shared" si="731"/>
        <v>0</v>
      </c>
      <c r="AP120" s="270">
        <v>0.0</v>
      </c>
      <c r="AQ120" s="270">
        <f t="shared" ref="AQ120:AS120" si="732">IF(M$8=0,0,ROUND(AQ119-(M120-BV120),2))</f>
        <v>0</v>
      </c>
      <c r="AR120" s="270">
        <f t="shared" si="732"/>
        <v>0</v>
      </c>
      <c r="AS120" s="270">
        <f t="shared" si="732"/>
        <v>0</v>
      </c>
      <c r="AT120" s="270">
        <f t="shared" si="605"/>
        <v>-6.22</v>
      </c>
      <c r="AU120" s="270">
        <f t="shared" ref="AU120:BK120" si="733">IF(Q$8=0,0,ROUND(AU119-(Q120-BY120),2))</f>
        <v>-9.03</v>
      </c>
      <c r="AV120" s="270">
        <f t="shared" si="733"/>
        <v>0</v>
      </c>
      <c r="AW120" s="270">
        <f t="shared" si="733"/>
        <v>0</v>
      </c>
      <c r="AX120" s="270">
        <f t="shared" si="733"/>
        <v>0</v>
      </c>
      <c r="AY120" s="270">
        <f t="shared" si="733"/>
        <v>0</v>
      </c>
      <c r="AZ120" s="270">
        <f t="shared" si="733"/>
        <v>0</v>
      </c>
      <c r="BA120" s="270">
        <f t="shared" si="733"/>
        <v>0</v>
      </c>
      <c r="BB120" s="270">
        <f t="shared" si="733"/>
        <v>0</v>
      </c>
      <c r="BC120" s="270">
        <f t="shared" si="733"/>
        <v>0</v>
      </c>
      <c r="BD120" s="270">
        <f t="shared" si="733"/>
        <v>0</v>
      </c>
      <c r="BE120" s="270">
        <f t="shared" si="733"/>
        <v>0</v>
      </c>
      <c r="BF120" s="270">
        <f t="shared" si="733"/>
        <v>0</v>
      </c>
      <c r="BG120" s="270">
        <f t="shared" si="733"/>
        <v>0</v>
      </c>
      <c r="BH120" s="270">
        <f t="shared" si="733"/>
        <v>0</v>
      </c>
      <c r="BI120" s="270">
        <f t="shared" si="733"/>
        <v>0</v>
      </c>
      <c r="BJ120" s="270">
        <f t="shared" si="733"/>
        <v>0</v>
      </c>
      <c r="BK120" s="270">
        <f t="shared" si="733"/>
        <v>0</v>
      </c>
      <c r="BL120" s="265">
        <f t="shared" si="16"/>
        <v>-15.25</v>
      </c>
      <c r="BM120" s="215"/>
      <c r="BN120" s="270">
        <f t="shared" ref="BN120:CP120" si="734">ROUND(AI119*E$9/12,2)</f>
        <v>0</v>
      </c>
      <c r="BO120" s="270">
        <f t="shared" si="734"/>
        <v>0</v>
      </c>
      <c r="BP120" s="270">
        <f t="shared" si="734"/>
        <v>0</v>
      </c>
      <c r="BQ120" s="270">
        <f t="shared" si="734"/>
        <v>0</v>
      </c>
      <c r="BR120" s="270">
        <f t="shared" si="734"/>
        <v>0</v>
      </c>
      <c r="BS120" s="270">
        <f t="shared" si="734"/>
        <v>0</v>
      </c>
      <c r="BT120" s="270">
        <f t="shared" si="734"/>
        <v>0</v>
      </c>
      <c r="BU120" s="270">
        <f t="shared" si="734"/>
        <v>0</v>
      </c>
      <c r="BV120" s="270">
        <f t="shared" si="734"/>
        <v>0</v>
      </c>
      <c r="BW120" s="270">
        <f t="shared" si="734"/>
        <v>0</v>
      </c>
      <c r="BX120" s="270">
        <f t="shared" si="734"/>
        <v>0</v>
      </c>
      <c r="BY120" s="270">
        <f t="shared" si="734"/>
        <v>-0.05</v>
      </c>
      <c r="BZ120" s="270">
        <f t="shared" si="734"/>
        <v>-0.03</v>
      </c>
      <c r="CA120" s="270">
        <f t="shared" si="734"/>
        <v>0</v>
      </c>
      <c r="CB120" s="270">
        <f t="shared" si="734"/>
        <v>0</v>
      </c>
      <c r="CC120" s="270">
        <f t="shared" si="734"/>
        <v>0</v>
      </c>
      <c r="CD120" s="270">
        <f t="shared" si="734"/>
        <v>0</v>
      </c>
      <c r="CE120" s="270">
        <f t="shared" si="734"/>
        <v>0</v>
      </c>
      <c r="CF120" s="270">
        <f t="shared" si="734"/>
        <v>0</v>
      </c>
      <c r="CG120" s="270">
        <f t="shared" si="734"/>
        <v>0</v>
      </c>
      <c r="CH120" s="270">
        <f t="shared" si="734"/>
        <v>0</v>
      </c>
      <c r="CI120" s="270">
        <f t="shared" si="734"/>
        <v>0</v>
      </c>
      <c r="CJ120" s="270">
        <f t="shared" si="734"/>
        <v>0</v>
      </c>
      <c r="CK120" s="270">
        <f t="shared" si="734"/>
        <v>0</v>
      </c>
      <c r="CL120" s="270">
        <f t="shared" si="734"/>
        <v>0</v>
      </c>
      <c r="CM120" s="270">
        <f t="shared" si="734"/>
        <v>0</v>
      </c>
      <c r="CN120" s="270">
        <f t="shared" si="734"/>
        <v>0</v>
      </c>
      <c r="CO120" s="270">
        <f t="shared" si="734"/>
        <v>0</v>
      </c>
      <c r="CP120" s="270">
        <f t="shared" si="734"/>
        <v>0</v>
      </c>
      <c r="CQ120" s="215"/>
      <c r="CR120" s="270">
        <f t="shared" si="27"/>
        <v>-0.08</v>
      </c>
      <c r="CS120" s="215"/>
      <c r="CT120" s="270">
        <f t="shared" ref="CT120:DX120" si="735">IF(AI119&gt;0,IF((AI119+BN120)&lt;E$10,AI119+BN120,E$10),0)</f>
        <v>0</v>
      </c>
      <c r="CU120" s="270">
        <f t="shared" si="735"/>
        <v>0</v>
      </c>
      <c r="CV120" s="270">
        <f t="shared" si="735"/>
        <v>0</v>
      </c>
      <c r="CW120" s="270">
        <f t="shared" si="735"/>
        <v>0</v>
      </c>
      <c r="CX120" s="270">
        <f t="shared" si="735"/>
        <v>0</v>
      </c>
      <c r="CY120" s="270">
        <f t="shared" si="735"/>
        <v>0</v>
      </c>
      <c r="CZ120" s="270">
        <f t="shared" si="735"/>
        <v>0</v>
      </c>
      <c r="DA120" s="270">
        <f t="shared" si="735"/>
        <v>0</v>
      </c>
      <c r="DB120" s="270">
        <f t="shared" si="735"/>
        <v>0</v>
      </c>
      <c r="DC120" s="270">
        <f t="shared" si="735"/>
        <v>0</v>
      </c>
      <c r="DD120" s="270">
        <f t="shared" si="735"/>
        <v>0</v>
      </c>
      <c r="DE120" s="270">
        <f t="shared" si="735"/>
        <v>0</v>
      </c>
      <c r="DF120" s="270">
        <f t="shared" si="735"/>
        <v>0</v>
      </c>
      <c r="DG120" s="270">
        <f t="shared" si="735"/>
        <v>0</v>
      </c>
      <c r="DH120" s="270">
        <f t="shared" si="735"/>
        <v>0</v>
      </c>
      <c r="DI120" s="270">
        <f t="shared" si="735"/>
        <v>0</v>
      </c>
      <c r="DJ120" s="270">
        <f t="shared" si="735"/>
        <v>0</v>
      </c>
      <c r="DK120" s="270">
        <f t="shared" si="735"/>
        <v>0</v>
      </c>
      <c r="DL120" s="270">
        <f t="shared" si="735"/>
        <v>0</v>
      </c>
      <c r="DM120" s="270">
        <f t="shared" si="735"/>
        <v>0</v>
      </c>
      <c r="DN120" s="270">
        <f t="shared" si="735"/>
        <v>0</v>
      </c>
      <c r="DO120" s="270">
        <f t="shared" si="735"/>
        <v>0</v>
      </c>
      <c r="DP120" s="270">
        <f t="shared" si="735"/>
        <v>0</v>
      </c>
      <c r="DQ120" s="270">
        <f t="shared" si="735"/>
        <v>0</v>
      </c>
      <c r="DR120" s="270">
        <f t="shared" si="735"/>
        <v>0</v>
      </c>
      <c r="DS120" s="270">
        <f t="shared" si="735"/>
        <v>0</v>
      </c>
      <c r="DT120" s="270">
        <f t="shared" si="735"/>
        <v>0</v>
      </c>
      <c r="DU120" s="270">
        <f t="shared" si="735"/>
        <v>0</v>
      </c>
      <c r="DV120" s="270">
        <f t="shared" si="735"/>
        <v>0</v>
      </c>
      <c r="DW120" s="270">
        <f t="shared" si="735"/>
        <v>0</v>
      </c>
      <c r="DX120" s="270">
        <f t="shared" si="735"/>
        <v>0</v>
      </c>
      <c r="DY120" s="270">
        <f t="shared" si="29"/>
        <v>0</v>
      </c>
      <c r="DZ120" s="274"/>
      <c r="EA120" s="275">
        <f t="shared" si="38"/>
        <v>0</v>
      </c>
      <c r="EB120" s="270">
        <f t="shared" ref="EB120:FC120" si="736">IF(AJ118&lt;=0,0,IF($C119&lt;=SUM($EA120:EA120),0,IF(CU119+$C119-SUM($EA120:EA120)&gt;AJ118+BO119,AJ118+BO119-CU119,$C119-SUM($EA120:EA120))))</f>
        <v>0</v>
      </c>
      <c r="EC120" s="270">
        <f t="shared" si="736"/>
        <v>0</v>
      </c>
      <c r="ED120" s="270">
        <f t="shared" si="736"/>
        <v>0</v>
      </c>
      <c r="EE120" s="270">
        <f t="shared" si="736"/>
        <v>0</v>
      </c>
      <c r="EF120" s="270">
        <f t="shared" si="736"/>
        <v>0</v>
      </c>
      <c r="EG120" s="270">
        <f t="shared" si="736"/>
        <v>0</v>
      </c>
      <c r="EH120" s="270">
        <f t="shared" si="736"/>
        <v>0</v>
      </c>
      <c r="EI120" s="270">
        <f t="shared" si="736"/>
        <v>0</v>
      </c>
      <c r="EJ120" s="270">
        <f t="shared" si="736"/>
        <v>0</v>
      </c>
      <c r="EK120" s="270">
        <f t="shared" si="736"/>
        <v>0</v>
      </c>
      <c r="EL120" s="270">
        <f t="shared" si="736"/>
        <v>0</v>
      </c>
      <c r="EM120" s="270">
        <f t="shared" si="736"/>
        <v>0</v>
      </c>
      <c r="EN120" s="270">
        <f t="shared" si="736"/>
        <v>0</v>
      </c>
      <c r="EO120" s="270">
        <f t="shared" si="736"/>
        <v>0</v>
      </c>
      <c r="EP120" s="270">
        <f t="shared" si="736"/>
        <v>0</v>
      </c>
      <c r="EQ120" s="270">
        <f t="shared" si="736"/>
        <v>0</v>
      </c>
      <c r="ER120" s="270">
        <f t="shared" si="736"/>
        <v>0</v>
      </c>
      <c r="ES120" s="270">
        <f t="shared" si="736"/>
        <v>0</v>
      </c>
      <c r="ET120" s="270">
        <f t="shared" si="736"/>
        <v>0</v>
      </c>
      <c r="EU120" s="270">
        <f t="shared" si="736"/>
        <v>0</v>
      </c>
      <c r="EV120" s="270">
        <f t="shared" si="736"/>
        <v>0</v>
      </c>
      <c r="EW120" s="270">
        <f t="shared" si="736"/>
        <v>0</v>
      </c>
      <c r="EX120" s="270">
        <f t="shared" si="736"/>
        <v>0</v>
      </c>
      <c r="EY120" s="270">
        <f t="shared" si="736"/>
        <v>0</v>
      </c>
      <c r="EZ120" s="270">
        <f t="shared" si="736"/>
        <v>0</v>
      </c>
      <c r="FA120" s="270">
        <f t="shared" si="736"/>
        <v>0</v>
      </c>
      <c r="FB120" s="270">
        <f t="shared" si="736"/>
        <v>0</v>
      </c>
      <c r="FC120" s="270">
        <f t="shared" si="736"/>
        <v>0</v>
      </c>
      <c r="FD120" s="271"/>
      <c r="FE120" s="271"/>
      <c r="FF120" s="271"/>
      <c r="FG120" s="215"/>
      <c r="FH120" s="215"/>
    </row>
    <row r="121" ht="11.25" customHeight="1">
      <c r="A121" s="215" t="str">
        <f t="shared" si="19"/>
        <v/>
      </c>
      <c r="B121" s="241" t="str">
        <f t="shared" si="600"/>
        <v>#N/A</v>
      </c>
      <c r="C121" s="271" t="str">
        <f>IF(A121="","",IF(Calculator!snowball,IF(($E$5-DY121)&lt;0,0,$E$5-DY121),0)+D121)</f>
        <v/>
      </c>
      <c r="D121" s="270"/>
      <c r="E121" s="270">
        <f t="shared" si="40"/>
        <v>0</v>
      </c>
      <c r="F121" s="270">
        <f t="shared" ref="F121:AG121" si="737">CU121+EB122</f>
        <v>0</v>
      </c>
      <c r="G121" s="270">
        <f t="shared" si="737"/>
        <v>0</v>
      </c>
      <c r="H121" s="270">
        <f t="shared" si="737"/>
        <v>0</v>
      </c>
      <c r="I121" s="270">
        <f t="shared" si="737"/>
        <v>0</v>
      </c>
      <c r="J121" s="270">
        <f t="shared" si="737"/>
        <v>0</v>
      </c>
      <c r="K121" s="270">
        <f t="shared" si="737"/>
        <v>0</v>
      </c>
      <c r="L121" s="270">
        <f t="shared" si="737"/>
        <v>0</v>
      </c>
      <c r="M121" s="270">
        <f t="shared" si="737"/>
        <v>0</v>
      </c>
      <c r="N121" s="270">
        <f t="shared" si="737"/>
        <v>0</v>
      </c>
      <c r="O121" s="270">
        <f t="shared" si="737"/>
        <v>0</v>
      </c>
      <c r="P121" s="272">
        <f t="shared" si="737"/>
        <v>0</v>
      </c>
      <c r="Q121" s="272">
        <f t="shared" si="737"/>
        <v>0</v>
      </c>
      <c r="R121" s="272">
        <f t="shared" si="737"/>
        <v>0</v>
      </c>
      <c r="S121" s="272">
        <f t="shared" si="737"/>
        <v>0</v>
      </c>
      <c r="T121" s="272">
        <f t="shared" si="737"/>
        <v>0</v>
      </c>
      <c r="U121" s="270">
        <f t="shared" si="737"/>
        <v>0</v>
      </c>
      <c r="V121" s="270">
        <f t="shared" si="737"/>
        <v>0</v>
      </c>
      <c r="W121" s="270">
        <f t="shared" si="737"/>
        <v>0</v>
      </c>
      <c r="X121" s="270">
        <f t="shared" si="737"/>
        <v>0</v>
      </c>
      <c r="Y121" s="270">
        <f t="shared" si="737"/>
        <v>0</v>
      </c>
      <c r="Z121" s="270">
        <f t="shared" si="737"/>
        <v>0</v>
      </c>
      <c r="AA121" s="270">
        <f t="shared" si="737"/>
        <v>0</v>
      </c>
      <c r="AB121" s="270">
        <f t="shared" si="737"/>
        <v>0</v>
      </c>
      <c r="AC121" s="270">
        <f t="shared" si="737"/>
        <v>0</v>
      </c>
      <c r="AD121" s="270">
        <f t="shared" si="737"/>
        <v>0</v>
      </c>
      <c r="AE121" s="270">
        <f t="shared" si="737"/>
        <v>0</v>
      </c>
      <c r="AF121" s="270">
        <f t="shared" si="737"/>
        <v>0</v>
      </c>
      <c r="AG121" s="270">
        <f t="shared" si="737"/>
        <v>0</v>
      </c>
      <c r="AH121" s="279">
        <f t="shared" si="602"/>
        <v>0</v>
      </c>
      <c r="AI121" s="270">
        <f t="shared" si="43"/>
        <v>0</v>
      </c>
      <c r="AJ121" s="270">
        <f t="shared" ref="AJ121:AO121" si="738">IF(F$8=0,0,ROUND(AJ120-(F121-BO121),2))</f>
        <v>0</v>
      </c>
      <c r="AK121" s="270">
        <f t="shared" si="738"/>
        <v>0</v>
      </c>
      <c r="AL121" s="270">
        <f t="shared" si="738"/>
        <v>0</v>
      </c>
      <c r="AM121" s="270">
        <f t="shared" si="738"/>
        <v>0</v>
      </c>
      <c r="AN121" s="270">
        <f t="shared" si="738"/>
        <v>0</v>
      </c>
      <c r="AO121" s="270">
        <f t="shared" si="738"/>
        <v>0</v>
      </c>
      <c r="AP121" s="270">
        <v>0.0</v>
      </c>
      <c r="AQ121" s="270">
        <f t="shared" ref="AQ121:AS121" si="739">IF(M$8=0,0,ROUND(AQ120-(M121-BV121),2))</f>
        <v>0</v>
      </c>
      <c r="AR121" s="270">
        <f t="shared" si="739"/>
        <v>0</v>
      </c>
      <c r="AS121" s="270">
        <f t="shared" si="739"/>
        <v>0</v>
      </c>
      <c r="AT121" s="270">
        <f t="shared" si="605"/>
        <v>-6.22</v>
      </c>
      <c r="AU121" s="270">
        <f t="shared" ref="AU121:BK121" si="740">IF(Q$8=0,0,ROUND(AU120-(Q121-BY121),2))</f>
        <v>-9.08</v>
      </c>
      <c r="AV121" s="270">
        <f t="shared" si="740"/>
        <v>0</v>
      </c>
      <c r="AW121" s="270">
        <f t="shared" si="740"/>
        <v>0</v>
      </c>
      <c r="AX121" s="270">
        <f t="shared" si="740"/>
        <v>0</v>
      </c>
      <c r="AY121" s="270">
        <f t="shared" si="740"/>
        <v>0</v>
      </c>
      <c r="AZ121" s="270">
        <f t="shared" si="740"/>
        <v>0</v>
      </c>
      <c r="BA121" s="270">
        <f t="shared" si="740"/>
        <v>0</v>
      </c>
      <c r="BB121" s="270">
        <f t="shared" si="740"/>
        <v>0</v>
      </c>
      <c r="BC121" s="270">
        <f t="shared" si="740"/>
        <v>0</v>
      </c>
      <c r="BD121" s="270">
        <f t="shared" si="740"/>
        <v>0</v>
      </c>
      <c r="BE121" s="270">
        <f t="shared" si="740"/>
        <v>0</v>
      </c>
      <c r="BF121" s="270">
        <f t="shared" si="740"/>
        <v>0</v>
      </c>
      <c r="BG121" s="270">
        <f t="shared" si="740"/>
        <v>0</v>
      </c>
      <c r="BH121" s="270">
        <f t="shared" si="740"/>
        <v>0</v>
      </c>
      <c r="BI121" s="270">
        <f t="shared" si="740"/>
        <v>0</v>
      </c>
      <c r="BJ121" s="270">
        <f t="shared" si="740"/>
        <v>0</v>
      </c>
      <c r="BK121" s="270">
        <f t="shared" si="740"/>
        <v>0</v>
      </c>
      <c r="BL121" s="265">
        <f t="shared" si="16"/>
        <v>-15.3</v>
      </c>
      <c r="BM121" s="215"/>
      <c r="BN121" s="270">
        <f t="shared" ref="BN121:CP121" si="741">ROUND(AI120*E$9/12,2)</f>
        <v>0</v>
      </c>
      <c r="BO121" s="270">
        <f t="shared" si="741"/>
        <v>0</v>
      </c>
      <c r="BP121" s="270">
        <f t="shared" si="741"/>
        <v>0</v>
      </c>
      <c r="BQ121" s="270">
        <f t="shared" si="741"/>
        <v>0</v>
      </c>
      <c r="BR121" s="270">
        <f t="shared" si="741"/>
        <v>0</v>
      </c>
      <c r="BS121" s="270">
        <f t="shared" si="741"/>
        <v>0</v>
      </c>
      <c r="BT121" s="270">
        <f t="shared" si="741"/>
        <v>0</v>
      </c>
      <c r="BU121" s="270">
        <f t="shared" si="741"/>
        <v>0</v>
      </c>
      <c r="BV121" s="270">
        <f t="shared" si="741"/>
        <v>0</v>
      </c>
      <c r="BW121" s="270">
        <f t="shared" si="741"/>
        <v>0</v>
      </c>
      <c r="BX121" s="270">
        <f t="shared" si="741"/>
        <v>0</v>
      </c>
      <c r="BY121" s="270">
        <f t="shared" si="741"/>
        <v>-0.05</v>
      </c>
      <c r="BZ121" s="270">
        <f t="shared" si="741"/>
        <v>-0.03</v>
      </c>
      <c r="CA121" s="270">
        <f t="shared" si="741"/>
        <v>0</v>
      </c>
      <c r="CB121" s="270">
        <f t="shared" si="741"/>
        <v>0</v>
      </c>
      <c r="CC121" s="270">
        <f t="shared" si="741"/>
        <v>0</v>
      </c>
      <c r="CD121" s="270">
        <f t="shared" si="741"/>
        <v>0</v>
      </c>
      <c r="CE121" s="270">
        <f t="shared" si="741"/>
        <v>0</v>
      </c>
      <c r="CF121" s="270">
        <f t="shared" si="741"/>
        <v>0</v>
      </c>
      <c r="CG121" s="270">
        <f t="shared" si="741"/>
        <v>0</v>
      </c>
      <c r="CH121" s="270">
        <f t="shared" si="741"/>
        <v>0</v>
      </c>
      <c r="CI121" s="270">
        <f t="shared" si="741"/>
        <v>0</v>
      </c>
      <c r="CJ121" s="270">
        <f t="shared" si="741"/>
        <v>0</v>
      </c>
      <c r="CK121" s="270">
        <f t="shared" si="741"/>
        <v>0</v>
      </c>
      <c r="CL121" s="270">
        <f t="shared" si="741"/>
        <v>0</v>
      </c>
      <c r="CM121" s="270">
        <f t="shared" si="741"/>
        <v>0</v>
      </c>
      <c r="CN121" s="270">
        <f t="shared" si="741"/>
        <v>0</v>
      </c>
      <c r="CO121" s="270">
        <f t="shared" si="741"/>
        <v>0</v>
      </c>
      <c r="CP121" s="270">
        <f t="shared" si="741"/>
        <v>0</v>
      </c>
      <c r="CQ121" s="215"/>
      <c r="CR121" s="270">
        <f t="shared" si="27"/>
        <v>-0.08</v>
      </c>
      <c r="CS121" s="215"/>
      <c r="CT121" s="270">
        <f t="shared" ref="CT121:DX121" si="742">IF(AI120&gt;0,IF((AI120+BN121)&lt;E$10,AI120+BN121,E$10),0)</f>
        <v>0</v>
      </c>
      <c r="CU121" s="270">
        <f t="shared" si="742"/>
        <v>0</v>
      </c>
      <c r="CV121" s="270">
        <f t="shared" si="742"/>
        <v>0</v>
      </c>
      <c r="CW121" s="270">
        <f t="shared" si="742"/>
        <v>0</v>
      </c>
      <c r="CX121" s="270">
        <f t="shared" si="742"/>
        <v>0</v>
      </c>
      <c r="CY121" s="270">
        <f t="shared" si="742"/>
        <v>0</v>
      </c>
      <c r="CZ121" s="270">
        <f t="shared" si="742"/>
        <v>0</v>
      </c>
      <c r="DA121" s="270">
        <f t="shared" si="742"/>
        <v>0</v>
      </c>
      <c r="DB121" s="270">
        <f t="shared" si="742"/>
        <v>0</v>
      </c>
      <c r="DC121" s="270">
        <f t="shared" si="742"/>
        <v>0</v>
      </c>
      <c r="DD121" s="270">
        <f t="shared" si="742"/>
        <v>0</v>
      </c>
      <c r="DE121" s="270">
        <f t="shared" si="742"/>
        <v>0</v>
      </c>
      <c r="DF121" s="270">
        <f t="shared" si="742"/>
        <v>0</v>
      </c>
      <c r="DG121" s="270">
        <f t="shared" si="742"/>
        <v>0</v>
      </c>
      <c r="DH121" s="270">
        <f t="shared" si="742"/>
        <v>0</v>
      </c>
      <c r="DI121" s="270">
        <f t="shared" si="742"/>
        <v>0</v>
      </c>
      <c r="DJ121" s="270">
        <f t="shared" si="742"/>
        <v>0</v>
      </c>
      <c r="DK121" s="270">
        <f t="shared" si="742"/>
        <v>0</v>
      </c>
      <c r="DL121" s="270">
        <f t="shared" si="742"/>
        <v>0</v>
      </c>
      <c r="DM121" s="270">
        <f t="shared" si="742"/>
        <v>0</v>
      </c>
      <c r="DN121" s="270">
        <f t="shared" si="742"/>
        <v>0</v>
      </c>
      <c r="DO121" s="270">
        <f t="shared" si="742"/>
        <v>0</v>
      </c>
      <c r="DP121" s="270">
        <f t="shared" si="742"/>
        <v>0</v>
      </c>
      <c r="DQ121" s="270">
        <f t="shared" si="742"/>
        <v>0</v>
      </c>
      <c r="DR121" s="270">
        <f t="shared" si="742"/>
        <v>0</v>
      </c>
      <c r="DS121" s="270">
        <f t="shared" si="742"/>
        <v>0</v>
      </c>
      <c r="DT121" s="270">
        <f t="shared" si="742"/>
        <v>0</v>
      </c>
      <c r="DU121" s="270">
        <f t="shared" si="742"/>
        <v>0</v>
      </c>
      <c r="DV121" s="270">
        <f t="shared" si="742"/>
        <v>0</v>
      </c>
      <c r="DW121" s="270">
        <f t="shared" si="742"/>
        <v>0</v>
      </c>
      <c r="DX121" s="270">
        <f t="shared" si="742"/>
        <v>0</v>
      </c>
      <c r="DY121" s="270">
        <f t="shared" si="29"/>
        <v>0</v>
      </c>
      <c r="DZ121" s="274"/>
      <c r="EA121" s="275">
        <f t="shared" si="38"/>
        <v>0</v>
      </c>
      <c r="EB121" s="270">
        <f t="shared" ref="EB121:FC121" si="743">IF(AJ119&lt;=0,0,IF($C120&lt;=SUM($EA121:EA121),0,IF(CU120+$C120-SUM($EA121:EA121)&gt;AJ119+BO120,AJ119+BO120-CU120,$C120-SUM($EA121:EA121))))</f>
        <v>0</v>
      </c>
      <c r="EC121" s="270">
        <f t="shared" si="743"/>
        <v>0</v>
      </c>
      <c r="ED121" s="270">
        <f t="shared" si="743"/>
        <v>0</v>
      </c>
      <c r="EE121" s="270">
        <f t="shared" si="743"/>
        <v>0</v>
      </c>
      <c r="EF121" s="270">
        <f t="shared" si="743"/>
        <v>0</v>
      </c>
      <c r="EG121" s="270">
        <f t="shared" si="743"/>
        <v>0</v>
      </c>
      <c r="EH121" s="270">
        <f t="shared" si="743"/>
        <v>0</v>
      </c>
      <c r="EI121" s="270">
        <f t="shared" si="743"/>
        <v>0</v>
      </c>
      <c r="EJ121" s="270">
        <f t="shared" si="743"/>
        <v>0</v>
      </c>
      <c r="EK121" s="270">
        <f t="shared" si="743"/>
        <v>0</v>
      </c>
      <c r="EL121" s="270">
        <f t="shared" si="743"/>
        <v>0</v>
      </c>
      <c r="EM121" s="270">
        <f t="shared" si="743"/>
        <v>0</v>
      </c>
      <c r="EN121" s="270">
        <f t="shared" si="743"/>
        <v>0</v>
      </c>
      <c r="EO121" s="270">
        <f t="shared" si="743"/>
        <v>0</v>
      </c>
      <c r="EP121" s="270">
        <f t="shared" si="743"/>
        <v>0</v>
      </c>
      <c r="EQ121" s="270">
        <f t="shared" si="743"/>
        <v>0</v>
      </c>
      <c r="ER121" s="270">
        <f t="shared" si="743"/>
        <v>0</v>
      </c>
      <c r="ES121" s="270">
        <f t="shared" si="743"/>
        <v>0</v>
      </c>
      <c r="ET121" s="270">
        <f t="shared" si="743"/>
        <v>0</v>
      </c>
      <c r="EU121" s="270">
        <f t="shared" si="743"/>
        <v>0</v>
      </c>
      <c r="EV121" s="270">
        <f t="shared" si="743"/>
        <v>0</v>
      </c>
      <c r="EW121" s="270">
        <f t="shared" si="743"/>
        <v>0</v>
      </c>
      <c r="EX121" s="270">
        <f t="shared" si="743"/>
        <v>0</v>
      </c>
      <c r="EY121" s="270">
        <f t="shared" si="743"/>
        <v>0</v>
      </c>
      <c r="EZ121" s="270">
        <f t="shared" si="743"/>
        <v>0</v>
      </c>
      <c r="FA121" s="270">
        <f t="shared" si="743"/>
        <v>0</v>
      </c>
      <c r="FB121" s="270">
        <f t="shared" si="743"/>
        <v>0</v>
      </c>
      <c r="FC121" s="270">
        <f t="shared" si="743"/>
        <v>0</v>
      </c>
      <c r="FD121" s="271"/>
      <c r="FE121" s="271"/>
      <c r="FF121" s="271"/>
      <c r="FG121" s="215"/>
      <c r="FH121" s="215"/>
    </row>
    <row r="122" ht="11.25" customHeight="1">
      <c r="A122" s="215" t="str">
        <f t="shared" si="19"/>
        <v/>
      </c>
      <c r="B122" s="241" t="str">
        <f t="shared" si="600"/>
        <v>#N/A</v>
      </c>
      <c r="C122" s="271" t="str">
        <f>IF(A122="","",IF(Calculator!snowball,IF(($E$5-DY122)&lt;0,0,$E$5-DY122),0)+D122)</f>
        <v/>
      </c>
      <c r="D122" s="270"/>
      <c r="E122" s="270">
        <f t="shared" si="40"/>
        <v>0</v>
      </c>
      <c r="F122" s="270">
        <f t="shared" ref="F122:AG122" si="744">CU122+EB123</f>
        <v>0</v>
      </c>
      <c r="G122" s="270">
        <f t="shared" si="744"/>
        <v>0</v>
      </c>
      <c r="H122" s="270">
        <f t="shared" si="744"/>
        <v>0</v>
      </c>
      <c r="I122" s="270">
        <f t="shared" si="744"/>
        <v>0</v>
      </c>
      <c r="J122" s="270">
        <f t="shared" si="744"/>
        <v>0</v>
      </c>
      <c r="K122" s="270">
        <f t="shared" si="744"/>
        <v>0</v>
      </c>
      <c r="L122" s="270">
        <f t="shared" si="744"/>
        <v>0</v>
      </c>
      <c r="M122" s="270">
        <f t="shared" si="744"/>
        <v>0</v>
      </c>
      <c r="N122" s="270">
        <f t="shared" si="744"/>
        <v>0</v>
      </c>
      <c r="O122" s="270">
        <f t="shared" si="744"/>
        <v>0</v>
      </c>
      <c r="P122" s="272">
        <f t="shared" si="744"/>
        <v>0</v>
      </c>
      <c r="Q122" s="272">
        <f t="shared" si="744"/>
        <v>0</v>
      </c>
      <c r="R122" s="272">
        <f t="shared" si="744"/>
        <v>0</v>
      </c>
      <c r="S122" s="272">
        <f t="shared" si="744"/>
        <v>0</v>
      </c>
      <c r="T122" s="272">
        <f t="shared" si="744"/>
        <v>0</v>
      </c>
      <c r="U122" s="270">
        <f t="shared" si="744"/>
        <v>0</v>
      </c>
      <c r="V122" s="270">
        <f t="shared" si="744"/>
        <v>0</v>
      </c>
      <c r="W122" s="270">
        <f t="shared" si="744"/>
        <v>0</v>
      </c>
      <c r="X122" s="270">
        <f t="shared" si="744"/>
        <v>0</v>
      </c>
      <c r="Y122" s="270">
        <f t="shared" si="744"/>
        <v>0</v>
      </c>
      <c r="Z122" s="270">
        <f t="shared" si="744"/>
        <v>0</v>
      </c>
      <c r="AA122" s="270">
        <f t="shared" si="744"/>
        <v>0</v>
      </c>
      <c r="AB122" s="270">
        <f t="shared" si="744"/>
        <v>0</v>
      </c>
      <c r="AC122" s="270">
        <f t="shared" si="744"/>
        <v>0</v>
      </c>
      <c r="AD122" s="270">
        <f t="shared" si="744"/>
        <v>0</v>
      </c>
      <c r="AE122" s="270">
        <f t="shared" si="744"/>
        <v>0</v>
      </c>
      <c r="AF122" s="270">
        <f t="shared" si="744"/>
        <v>0</v>
      </c>
      <c r="AG122" s="270">
        <f t="shared" si="744"/>
        <v>0</v>
      </c>
      <c r="AH122" s="279">
        <f t="shared" si="602"/>
        <v>0</v>
      </c>
      <c r="AI122" s="270">
        <f t="shared" si="43"/>
        <v>0</v>
      </c>
      <c r="AJ122" s="270">
        <f t="shared" ref="AJ122:AO122" si="745">IF(F$8=0,0,ROUND(AJ121-(F122-BO122),2))</f>
        <v>0</v>
      </c>
      <c r="AK122" s="270">
        <f t="shared" si="745"/>
        <v>0</v>
      </c>
      <c r="AL122" s="270">
        <f t="shared" si="745"/>
        <v>0</v>
      </c>
      <c r="AM122" s="270">
        <f t="shared" si="745"/>
        <v>0</v>
      </c>
      <c r="AN122" s="270">
        <f t="shared" si="745"/>
        <v>0</v>
      </c>
      <c r="AO122" s="270">
        <f t="shared" si="745"/>
        <v>0</v>
      </c>
      <c r="AP122" s="270">
        <v>0.0</v>
      </c>
      <c r="AQ122" s="270">
        <f t="shared" ref="AQ122:AS122" si="746">IF(M$8=0,0,ROUND(AQ121-(M122-BV122),2))</f>
        <v>0</v>
      </c>
      <c r="AR122" s="270">
        <f t="shared" si="746"/>
        <v>0</v>
      </c>
      <c r="AS122" s="270">
        <f t="shared" si="746"/>
        <v>0</v>
      </c>
      <c r="AT122" s="270">
        <f t="shared" si="605"/>
        <v>-6.22</v>
      </c>
      <c r="AU122" s="270">
        <f t="shared" ref="AU122:BK122" si="747">IF(Q$8=0,0,ROUND(AU121-(Q122-BY122),2))</f>
        <v>-9.13</v>
      </c>
      <c r="AV122" s="270">
        <f t="shared" si="747"/>
        <v>0</v>
      </c>
      <c r="AW122" s="270">
        <f t="shared" si="747"/>
        <v>0</v>
      </c>
      <c r="AX122" s="270">
        <f t="shared" si="747"/>
        <v>0</v>
      </c>
      <c r="AY122" s="270">
        <f t="shared" si="747"/>
        <v>0</v>
      </c>
      <c r="AZ122" s="270">
        <f t="shared" si="747"/>
        <v>0</v>
      </c>
      <c r="BA122" s="270">
        <f t="shared" si="747"/>
        <v>0</v>
      </c>
      <c r="BB122" s="270">
        <f t="shared" si="747"/>
        <v>0</v>
      </c>
      <c r="BC122" s="270">
        <f t="shared" si="747"/>
        <v>0</v>
      </c>
      <c r="BD122" s="270">
        <f t="shared" si="747"/>
        <v>0</v>
      </c>
      <c r="BE122" s="270">
        <f t="shared" si="747"/>
        <v>0</v>
      </c>
      <c r="BF122" s="270">
        <f t="shared" si="747"/>
        <v>0</v>
      </c>
      <c r="BG122" s="270">
        <f t="shared" si="747"/>
        <v>0</v>
      </c>
      <c r="BH122" s="270">
        <f t="shared" si="747"/>
        <v>0</v>
      </c>
      <c r="BI122" s="270">
        <f t="shared" si="747"/>
        <v>0</v>
      </c>
      <c r="BJ122" s="270">
        <f t="shared" si="747"/>
        <v>0</v>
      </c>
      <c r="BK122" s="270">
        <f t="shared" si="747"/>
        <v>0</v>
      </c>
      <c r="BL122" s="265">
        <f t="shared" si="16"/>
        <v>-15.35</v>
      </c>
      <c r="BM122" s="215"/>
      <c r="BN122" s="270">
        <f t="shared" ref="BN122:CP122" si="748">ROUND(AI121*E$9/12,2)</f>
        <v>0</v>
      </c>
      <c r="BO122" s="270">
        <f t="shared" si="748"/>
        <v>0</v>
      </c>
      <c r="BP122" s="270">
        <f t="shared" si="748"/>
        <v>0</v>
      </c>
      <c r="BQ122" s="270">
        <f t="shared" si="748"/>
        <v>0</v>
      </c>
      <c r="BR122" s="270">
        <f t="shared" si="748"/>
        <v>0</v>
      </c>
      <c r="BS122" s="270">
        <f t="shared" si="748"/>
        <v>0</v>
      </c>
      <c r="BT122" s="270">
        <f t="shared" si="748"/>
        <v>0</v>
      </c>
      <c r="BU122" s="270">
        <f t="shared" si="748"/>
        <v>0</v>
      </c>
      <c r="BV122" s="270">
        <f t="shared" si="748"/>
        <v>0</v>
      </c>
      <c r="BW122" s="270">
        <f t="shared" si="748"/>
        <v>0</v>
      </c>
      <c r="BX122" s="270">
        <f t="shared" si="748"/>
        <v>0</v>
      </c>
      <c r="BY122" s="270">
        <f t="shared" si="748"/>
        <v>-0.05</v>
      </c>
      <c r="BZ122" s="270">
        <f t="shared" si="748"/>
        <v>-0.03</v>
      </c>
      <c r="CA122" s="270">
        <f t="shared" si="748"/>
        <v>0</v>
      </c>
      <c r="CB122" s="270">
        <f t="shared" si="748"/>
        <v>0</v>
      </c>
      <c r="CC122" s="270">
        <f t="shared" si="748"/>
        <v>0</v>
      </c>
      <c r="CD122" s="270">
        <f t="shared" si="748"/>
        <v>0</v>
      </c>
      <c r="CE122" s="270">
        <f t="shared" si="748"/>
        <v>0</v>
      </c>
      <c r="CF122" s="270">
        <f t="shared" si="748"/>
        <v>0</v>
      </c>
      <c r="CG122" s="270">
        <f t="shared" si="748"/>
        <v>0</v>
      </c>
      <c r="CH122" s="270">
        <f t="shared" si="748"/>
        <v>0</v>
      </c>
      <c r="CI122" s="270">
        <f t="shared" si="748"/>
        <v>0</v>
      </c>
      <c r="CJ122" s="270">
        <f t="shared" si="748"/>
        <v>0</v>
      </c>
      <c r="CK122" s="270">
        <f t="shared" si="748"/>
        <v>0</v>
      </c>
      <c r="CL122" s="270">
        <f t="shared" si="748"/>
        <v>0</v>
      </c>
      <c r="CM122" s="270">
        <f t="shared" si="748"/>
        <v>0</v>
      </c>
      <c r="CN122" s="270">
        <f t="shared" si="748"/>
        <v>0</v>
      </c>
      <c r="CO122" s="270">
        <f t="shared" si="748"/>
        <v>0</v>
      </c>
      <c r="CP122" s="270">
        <f t="shared" si="748"/>
        <v>0</v>
      </c>
      <c r="CQ122" s="215"/>
      <c r="CR122" s="270">
        <f t="shared" si="27"/>
        <v>-0.08</v>
      </c>
      <c r="CS122" s="215"/>
      <c r="CT122" s="270">
        <f t="shared" ref="CT122:DX122" si="749">IF(AI121&gt;0,IF((AI121+BN122)&lt;E$10,AI121+BN122,E$10),0)</f>
        <v>0</v>
      </c>
      <c r="CU122" s="270">
        <f t="shared" si="749"/>
        <v>0</v>
      </c>
      <c r="CV122" s="270">
        <f t="shared" si="749"/>
        <v>0</v>
      </c>
      <c r="CW122" s="270">
        <f t="shared" si="749"/>
        <v>0</v>
      </c>
      <c r="CX122" s="270">
        <f t="shared" si="749"/>
        <v>0</v>
      </c>
      <c r="CY122" s="270">
        <f t="shared" si="749"/>
        <v>0</v>
      </c>
      <c r="CZ122" s="270">
        <f t="shared" si="749"/>
        <v>0</v>
      </c>
      <c r="DA122" s="270">
        <f t="shared" si="749"/>
        <v>0</v>
      </c>
      <c r="DB122" s="270">
        <f t="shared" si="749"/>
        <v>0</v>
      </c>
      <c r="DC122" s="270">
        <f t="shared" si="749"/>
        <v>0</v>
      </c>
      <c r="DD122" s="270">
        <f t="shared" si="749"/>
        <v>0</v>
      </c>
      <c r="DE122" s="270">
        <f t="shared" si="749"/>
        <v>0</v>
      </c>
      <c r="DF122" s="270">
        <f t="shared" si="749"/>
        <v>0</v>
      </c>
      <c r="DG122" s="270">
        <f t="shared" si="749"/>
        <v>0</v>
      </c>
      <c r="DH122" s="270">
        <f t="shared" si="749"/>
        <v>0</v>
      </c>
      <c r="DI122" s="270">
        <f t="shared" si="749"/>
        <v>0</v>
      </c>
      <c r="DJ122" s="270">
        <f t="shared" si="749"/>
        <v>0</v>
      </c>
      <c r="DK122" s="270">
        <f t="shared" si="749"/>
        <v>0</v>
      </c>
      <c r="DL122" s="270">
        <f t="shared" si="749"/>
        <v>0</v>
      </c>
      <c r="DM122" s="270">
        <f t="shared" si="749"/>
        <v>0</v>
      </c>
      <c r="DN122" s="270">
        <f t="shared" si="749"/>
        <v>0</v>
      </c>
      <c r="DO122" s="270">
        <f t="shared" si="749"/>
        <v>0</v>
      </c>
      <c r="DP122" s="270">
        <f t="shared" si="749"/>
        <v>0</v>
      </c>
      <c r="DQ122" s="270">
        <f t="shared" si="749"/>
        <v>0</v>
      </c>
      <c r="DR122" s="270">
        <f t="shared" si="749"/>
        <v>0</v>
      </c>
      <c r="DS122" s="270">
        <f t="shared" si="749"/>
        <v>0</v>
      </c>
      <c r="DT122" s="270">
        <f t="shared" si="749"/>
        <v>0</v>
      </c>
      <c r="DU122" s="270">
        <f t="shared" si="749"/>
        <v>0</v>
      </c>
      <c r="DV122" s="270">
        <f t="shared" si="749"/>
        <v>0</v>
      </c>
      <c r="DW122" s="270">
        <f t="shared" si="749"/>
        <v>0</v>
      </c>
      <c r="DX122" s="270">
        <f t="shared" si="749"/>
        <v>0</v>
      </c>
      <c r="DY122" s="270">
        <f t="shared" si="29"/>
        <v>0</v>
      </c>
      <c r="DZ122" s="274"/>
      <c r="EA122" s="275">
        <f t="shared" si="38"/>
        <v>0</v>
      </c>
      <c r="EB122" s="270">
        <f t="shared" ref="EB122:FC122" si="750">IF(AJ120&lt;=0,0,IF($C121&lt;=SUM($EA122:EA122),0,IF(CU121+$C121-SUM($EA122:EA122)&gt;AJ120+BO121,AJ120+BO121-CU121,$C121-SUM($EA122:EA122))))</f>
        <v>0</v>
      </c>
      <c r="EC122" s="270">
        <f t="shared" si="750"/>
        <v>0</v>
      </c>
      <c r="ED122" s="270">
        <f t="shared" si="750"/>
        <v>0</v>
      </c>
      <c r="EE122" s="270">
        <f t="shared" si="750"/>
        <v>0</v>
      </c>
      <c r="EF122" s="270">
        <f t="shared" si="750"/>
        <v>0</v>
      </c>
      <c r="EG122" s="270">
        <f t="shared" si="750"/>
        <v>0</v>
      </c>
      <c r="EH122" s="270">
        <f t="shared" si="750"/>
        <v>0</v>
      </c>
      <c r="EI122" s="270">
        <f t="shared" si="750"/>
        <v>0</v>
      </c>
      <c r="EJ122" s="270">
        <f t="shared" si="750"/>
        <v>0</v>
      </c>
      <c r="EK122" s="270">
        <f t="shared" si="750"/>
        <v>0</v>
      </c>
      <c r="EL122" s="270">
        <f t="shared" si="750"/>
        <v>0</v>
      </c>
      <c r="EM122" s="270">
        <f t="shared" si="750"/>
        <v>0</v>
      </c>
      <c r="EN122" s="270">
        <f t="shared" si="750"/>
        <v>0</v>
      </c>
      <c r="EO122" s="270">
        <f t="shared" si="750"/>
        <v>0</v>
      </c>
      <c r="EP122" s="270">
        <f t="shared" si="750"/>
        <v>0</v>
      </c>
      <c r="EQ122" s="270">
        <f t="shared" si="750"/>
        <v>0</v>
      </c>
      <c r="ER122" s="270">
        <f t="shared" si="750"/>
        <v>0</v>
      </c>
      <c r="ES122" s="270">
        <f t="shared" si="750"/>
        <v>0</v>
      </c>
      <c r="ET122" s="270">
        <f t="shared" si="750"/>
        <v>0</v>
      </c>
      <c r="EU122" s="270">
        <f t="shared" si="750"/>
        <v>0</v>
      </c>
      <c r="EV122" s="270">
        <f t="shared" si="750"/>
        <v>0</v>
      </c>
      <c r="EW122" s="270">
        <f t="shared" si="750"/>
        <v>0</v>
      </c>
      <c r="EX122" s="270">
        <f t="shared" si="750"/>
        <v>0</v>
      </c>
      <c r="EY122" s="270">
        <f t="shared" si="750"/>
        <v>0</v>
      </c>
      <c r="EZ122" s="270">
        <f t="shared" si="750"/>
        <v>0</v>
      </c>
      <c r="FA122" s="270">
        <f t="shared" si="750"/>
        <v>0</v>
      </c>
      <c r="FB122" s="270">
        <f t="shared" si="750"/>
        <v>0</v>
      </c>
      <c r="FC122" s="270">
        <f t="shared" si="750"/>
        <v>0</v>
      </c>
      <c r="FD122" s="271"/>
      <c r="FE122" s="271"/>
      <c r="FF122" s="271"/>
      <c r="FG122" s="215"/>
      <c r="FH122" s="215"/>
    </row>
    <row r="123" ht="11.25" customHeight="1">
      <c r="A123" s="215" t="str">
        <f t="shared" si="19"/>
        <v/>
      </c>
      <c r="B123" s="241" t="str">
        <f t="shared" si="600"/>
        <v>#N/A</v>
      </c>
      <c r="C123" s="271" t="str">
        <f>IF(A123="","",IF(Calculator!snowball,IF(($E$5-DY123)&lt;0,0,$E$5-DY123),0)+D123)</f>
        <v/>
      </c>
      <c r="D123" s="270"/>
      <c r="E123" s="270">
        <f t="shared" si="40"/>
        <v>0</v>
      </c>
      <c r="F123" s="270">
        <f t="shared" ref="F123:AG123" si="751">CU123+EB124</f>
        <v>0</v>
      </c>
      <c r="G123" s="270">
        <f t="shared" si="751"/>
        <v>0</v>
      </c>
      <c r="H123" s="270">
        <f t="shared" si="751"/>
        <v>0</v>
      </c>
      <c r="I123" s="270">
        <f t="shared" si="751"/>
        <v>0</v>
      </c>
      <c r="J123" s="270">
        <f t="shared" si="751"/>
        <v>0</v>
      </c>
      <c r="K123" s="270">
        <f t="shared" si="751"/>
        <v>0</v>
      </c>
      <c r="L123" s="270">
        <f t="shared" si="751"/>
        <v>0</v>
      </c>
      <c r="M123" s="270">
        <f t="shared" si="751"/>
        <v>0</v>
      </c>
      <c r="N123" s="270">
        <f t="shared" si="751"/>
        <v>0</v>
      </c>
      <c r="O123" s="270">
        <f t="shared" si="751"/>
        <v>0</v>
      </c>
      <c r="P123" s="272">
        <f t="shared" si="751"/>
        <v>0</v>
      </c>
      <c r="Q123" s="272">
        <f t="shared" si="751"/>
        <v>0</v>
      </c>
      <c r="R123" s="272">
        <f t="shared" si="751"/>
        <v>0</v>
      </c>
      <c r="S123" s="272">
        <f t="shared" si="751"/>
        <v>0</v>
      </c>
      <c r="T123" s="272">
        <f t="shared" si="751"/>
        <v>0</v>
      </c>
      <c r="U123" s="270">
        <f t="shared" si="751"/>
        <v>0</v>
      </c>
      <c r="V123" s="270">
        <f t="shared" si="751"/>
        <v>0</v>
      </c>
      <c r="W123" s="270">
        <f t="shared" si="751"/>
        <v>0</v>
      </c>
      <c r="X123" s="270">
        <f t="shared" si="751"/>
        <v>0</v>
      </c>
      <c r="Y123" s="270">
        <f t="shared" si="751"/>
        <v>0</v>
      </c>
      <c r="Z123" s="270">
        <f t="shared" si="751"/>
        <v>0</v>
      </c>
      <c r="AA123" s="270">
        <f t="shared" si="751"/>
        <v>0</v>
      </c>
      <c r="AB123" s="270">
        <f t="shared" si="751"/>
        <v>0</v>
      </c>
      <c r="AC123" s="270">
        <f t="shared" si="751"/>
        <v>0</v>
      </c>
      <c r="AD123" s="270">
        <f t="shared" si="751"/>
        <v>0</v>
      </c>
      <c r="AE123" s="270">
        <f t="shared" si="751"/>
        <v>0</v>
      </c>
      <c r="AF123" s="270">
        <f t="shared" si="751"/>
        <v>0</v>
      </c>
      <c r="AG123" s="270">
        <f t="shared" si="751"/>
        <v>0</v>
      </c>
      <c r="AH123" s="279">
        <f t="shared" si="602"/>
        <v>0</v>
      </c>
      <c r="AI123" s="270">
        <f t="shared" si="43"/>
        <v>0</v>
      </c>
      <c r="AJ123" s="270">
        <f t="shared" ref="AJ123:AO123" si="752">IF(F$8=0,0,ROUND(AJ122-(F123-BO123),2))</f>
        <v>0</v>
      </c>
      <c r="AK123" s="270">
        <f t="shared" si="752"/>
        <v>0</v>
      </c>
      <c r="AL123" s="270">
        <f t="shared" si="752"/>
        <v>0</v>
      </c>
      <c r="AM123" s="270">
        <f t="shared" si="752"/>
        <v>0</v>
      </c>
      <c r="AN123" s="270">
        <f t="shared" si="752"/>
        <v>0</v>
      </c>
      <c r="AO123" s="270">
        <f t="shared" si="752"/>
        <v>0</v>
      </c>
      <c r="AP123" s="270">
        <v>0.0</v>
      </c>
      <c r="AQ123" s="270">
        <f t="shared" ref="AQ123:AS123" si="753">IF(M$8=0,0,ROUND(AQ122-(M123-BV123),2))</f>
        <v>0</v>
      </c>
      <c r="AR123" s="270">
        <f t="shared" si="753"/>
        <v>0</v>
      </c>
      <c r="AS123" s="270">
        <f t="shared" si="753"/>
        <v>0</v>
      </c>
      <c r="AT123" s="270">
        <f t="shared" si="605"/>
        <v>-6.22</v>
      </c>
      <c r="AU123" s="270">
        <f t="shared" ref="AU123:BK123" si="754">IF(Q$8=0,0,ROUND(AU122-(Q123-BY123),2))</f>
        <v>-9.18</v>
      </c>
      <c r="AV123" s="270">
        <f t="shared" si="754"/>
        <v>0</v>
      </c>
      <c r="AW123" s="270">
        <f t="shared" si="754"/>
        <v>0</v>
      </c>
      <c r="AX123" s="270">
        <f t="shared" si="754"/>
        <v>0</v>
      </c>
      <c r="AY123" s="270">
        <f t="shared" si="754"/>
        <v>0</v>
      </c>
      <c r="AZ123" s="270">
        <f t="shared" si="754"/>
        <v>0</v>
      </c>
      <c r="BA123" s="270">
        <f t="shared" si="754"/>
        <v>0</v>
      </c>
      <c r="BB123" s="270">
        <f t="shared" si="754"/>
        <v>0</v>
      </c>
      <c r="BC123" s="270">
        <f t="shared" si="754"/>
        <v>0</v>
      </c>
      <c r="BD123" s="270">
        <f t="shared" si="754"/>
        <v>0</v>
      </c>
      <c r="BE123" s="270">
        <f t="shared" si="754"/>
        <v>0</v>
      </c>
      <c r="BF123" s="270">
        <f t="shared" si="754"/>
        <v>0</v>
      </c>
      <c r="BG123" s="270">
        <f t="shared" si="754"/>
        <v>0</v>
      </c>
      <c r="BH123" s="270">
        <f t="shared" si="754"/>
        <v>0</v>
      </c>
      <c r="BI123" s="270">
        <f t="shared" si="754"/>
        <v>0</v>
      </c>
      <c r="BJ123" s="270">
        <f t="shared" si="754"/>
        <v>0</v>
      </c>
      <c r="BK123" s="270">
        <f t="shared" si="754"/>
        <v>0</v>
      </c>
      <c r="BL123" s="265">
        <f t="shared" si="16"/>
        <v>-15.4</v>
      </c>
      <c r="BM123" s="215"/>
      <c r="BN123" s="270">
        <f t="shared" ref="BN123:CP123" si="755">ROUND(AI122*E$9/12,2)</f>
        <v>0</v>
      </c>
      <c r="BO123" s="270">
        <f t="shared" si="755"/>
        <v>0</v>
      </c>
      <c r="BP123" s="270">
        <f t="shared" si="755"/>
        <v>0</v>
      </c>
      <c r="BQ123" s="270">
        <f t="shared" si="755"/>
        <v>0</v>
      </c>
      <c r="BR123" s="270">
        <f t="shared" si="755"/>
        <v>0</v>
      </c>
      <c r="BS123" s="270">
        <f t="shared" si="755"/>
        <v>0</v>
      </c>
      <c r="BT123" s="270">
        <f t="shared" si="755"/>
        <v>0</v>
      </c>
      <c r="BU123" s="270">
        <f t="shared" si="755"/>
        <v>0</v>
      </c>
      <c r="BV123" s="270">
        <f t="shared" si="755"/>
        <v>0</v>
      </c>
      <c r="BW123" s="270">
        <f t="shared" si="755"/>
        <v>0</v>
      </c>
      <c r="BX123" s="270">
        <f t="shared" si="755"/>
        <v>0</v>
      </c>
      <c r="BY123" s="270">
        <f t="shared" si="755"/>
        <v>-0.05</v>
      </c>
      <c r="BZ123" s="270">
        <f t="shared" si="755"/>
        <v>-0.03</v>
      </c>
      <c r="CA123" s="270">
        <f t="shared" si="755"/>
        <v>0</v>
      </c>
      <c r="CB123" s="270">
        <f t="shared" si="755"/>
        <v>0</v>
      </c>
      <c r="CC123" s="270">
        <f t="shared" si="755"/>
        <v>0</v>
      </c>
      <c r="CD123" s="270">
        <f t="shared" si="755"/>
        <v>0</v>
      </c>
      <c r="CE123" s="270">
        <f t="shared" si="755"/>
        <v>0</v>
      </c>
      <c r="CF123" s="270">
        <f t="shared" si="755"/>
        <v>0</v>
      </c>
      <c r="CG123" s="270">
        <f t="shared" si="755"/>
        <v>0</v>
      </c>
      <c r="CH123" s="270">
        <f t="shared" si="755"/>
        <v>0</v>
      </c>
      <c r="CI123" s="270">
        <f t="shared" si="755"/>
        <v>0</v>
      </c>
      <c r="CJ123" s="270">
        <f t="shared" si="755"/>
        <v>0</v>
      </c>
      <c r="CK123" s="270">
        <f t="shared" si="755"/>
        <v>0</v>
      </c>
      <c r="CL123" s="270">
        <f t="shared" si="755"/>
        <v>0</v>
      </c>
      <c r="CM123" s="270">
        <f t="shared" si="755"/>
        <v>0</v>
      </c>
      <c r="CN123" s="270">
        <f t="shared" si="755"/>
        <v>0</v>
      </c>
      <c r="CO123" s="270">
        <f t="shared" si="755"/>
        <v>0</v>
      </c>
      <c r="CP123" s="270">
        <f t="shared" si="755"/>
        <v>0</v>
      </c>
      <c r="CQ123" s="215"/>
      <c r="CR123" s="270">
        <f t="shared" si="27"/>
        <v>-0.08</v>
      </c>
      <c r="CS123" s="215"/>
      <c r="CT123" s="270">
        <f t="shared" ref="CT123:DX123" si="756">IF(AI122&gt;0,IF((AI122+BN123)&lt;E$10,AI122+BN123,E$10),0)</f>
        <v>0</v>
      </c>
      <c r="CU123" s="270">
        <f t="shared" si="756"/>
        <v>0</v>
      </c>
      <c r="CV123" s="270">
        <f t="shared" si="756"/>
        <v>0</v>
      </c>
      <c r="CW123" s="270">
        <f t="shared" si="756"/>
        <v>0</v>
      </c>
      <c r="CX123" s="270">
        <f t="shared" si="756"/>
        <v>0</v>
      </c>
      <c r="CY123" s="270">
        <f t="shared" si="756"/>
        <v>0</v>
      </c>
      <c r="CZ123" s="270">
        <f t="shared" si="756"/>
        <v>0</v>
      </c>
      <c r="DA123" s="270">
        <f t="shared" si="756"/>
        <v>0</v>
      </c>
      <c r="DB123" s="270">
        <f t="shared" si="756"/>
        <v>0</v>
      </c>
      <c r="DC123" s="270">
        <f t="shared" si="756"/>
        <v>0</v>
      </c>
      <c r="DD123" s="270">
        <f t="shared" si="756"/>
        <v>0</v>
      </c>
      <c r="DE123" s="270">
        <f t="shared" si="756"/>
        <v>0</v>
      </c>
      <c r="DF123" s="270">
        <f t="shared" si="756"/>
        <v>0</v>
      </c>
      <c r="DG123" s="270">
        <f t="shared" si="756"/>
        <v>0</v>
      </c>
      <c r="DH123" s="270">
        <f t="shared" si="756"/>
        <v>0</v>
      </c>
      <c r="DI123" s="270">
        <f t="shared" si="756"/>
        <v>0</v>
      </c>
      <c r="DJ123" s="270">
        <f t="shared" si="756"/>
        <v>0</v>
      </c>
      <c r="DK123" s="270">
        <f t="shared" si="756"/>
        <v>0</v>
      </c>
      <c r="DL123" s="270">
        <f t="shared" si="756"/>
        <v>0</v>
      </c>
      <c r="DM123" s="270">
        <f t="shared" si="756"/>
        <v>0</v>
      </c>
      <c r="DN123" s="270">
        <f t="shared" si="756"/>
        <v>0</v>
      </c>
      <c r="DO123" s="270">
        <f t="shared" si="756"/>
        <v>0</v>
      </c>
      <c r="DP123" s="270">
        <f t="shared" si="756"/>
        <v>0</v>
      </c>
      <c r="DQ123" s="270">
        <f t="shared" si="756"/>
        <v>0</v>
      </c>
      <c r="DR123" s="270">
        <f t="shared" si="756"/>
        <v>0</v>
      </c>
      <c r="DS123" s="270">
        <f t="shared" si="756"/>
        <v>0</v>
      </c>
      <c r="DT123" s="270">
        <f t="shared" si="756"/>
        <v>0</v>
      </c>
      <c r="DU123" s="270">
        <f t="shared" si="756"/>
        <v>0</v>
      </c>
      <c r="DV123" s="270">
        <f t="shared" si="756"/>
        <v>0</v>
      </c>
      <c r="DW123" s="270">
        <f t="shared" si="756"/>
        <v>0</v>
      </c>
      <c r="DX123" s="270">
        <f t="shared" si="756"/>
        <v>0</v>
      </c>
      <c r="DY123" s="270">
        <f t="shared" si="29"/>
        <v>0</v>
      </c>
      <c r="DZ123" s="274"/>
      <c r="EA123" s="275">
        <f t="shared" si="38"/>
        <v>0</v>
      </c>
      <c r="EB123" s="270">
        <f t="shared" ref="EB123:FC123" si="757">IF(AJ121&lt;=0,0,IF($C122&lt;=SUM($EA123:EA123),0,IF(CU122+$C122-SUM($EA123:EA123)&gt;AJ121+BO122,AJ121+BO122-CU122,$C122-SUM($EA123:EA123))))</f>
        <v>0</v>
      </c>
      <c r="EC123" s="270">
        <f t="shared" si="757"/>
        <v>0</v>
      </c>
      <c r="ED123" s="270">
        <f t="shared" si="757"/>
        <v>0</v>
      </c>
      <c r="EE123" s="270">
        <f t="shared" si="757"/>
        <v>0</v>
      </c>
      <c r="EF123" s="270">
        <f t="shared" si="757"/>
        <v>0</v>
      </c>
      <c r="EG123" s="270">
        <f t="shared" si="757"/>
        <v>0</v>
      </c>
      <c r="EH123" s="270">
        <f t="shared" si="757"/>
        <v>0</v>
      </c>
      <c r="EI123" s="270">
        <f t="shared" si="757"/>
        <v>0</v>
      </c>
      <c r="EJ123" s="270">
        <f t="shared" si="757"/>
        <v>0</v>
      </c>
      <c r="EK123" s="270">
        <f t="shared" si="757"/>
        <v>0</v>
      </c>
      <c r="EL123" s="270">
        <f t="shared" si="757"/>
        <v>0</v>
      </c>
      <c r="EM123" s="270">
        <f t="shared" si="757"/>
        <v>0</v>
      </c>
      <c r="EN123" s="270">
        <f t="shared" si="757"/>
        <v>0</v>
      </c>
      <c r="EO123" s="270">
        <f t="shared" si="757"/>
        <v>0</v>
      </c>
      <c r="EP123" s="270">
        <f t="shared" si="757"/>
        <v>0</v>
      </c>
      <c r="EQ123" s="270">
        <f t="shared" si="757"/>
        <v>0</v>
      </c>
      <c r="ER123" s="270">
        <f t="shared" si="757"/>
        <v>0</v>
      </c>
      <c r="ES123" s="270">
        <f t="shared" si="757"/>
        <v>0</v>
      </c>
      <c r="ET123" s="270">
        <f t="shared" si="757"/>
        <v>0</v>
      </c>
      <c r="EU123" s="270">
        <f t="shared" si="757"/>
        <v>0</v>
      </c>
      <c r="EV123" s="270">
        <f t="shared" si="757"/>
        <v>0</v>
      </c>
      <c r="EW123" s="270">
        <f t="shared" si="757"/>
        <v>0</v>
      </c>
      <c r="EX123" s="270">
        <f t="shared" si="757"/>
        <v>0</v>
      </c>
      <c r="EY123" s="270">
        <f t="shared" si="757"/>
        <v>0</v>
      </c>
      <c r="EZ123" s="270">
        <f t="shared" si="757"/>
        <v>0</v>
      </c>
      <c r="FA123" s="270">
        <f t="shared" si="757"/>
        <v>0</v>
      </c>
      <c r="FB123" s="270">
        <f t="shared" si="757"/>
        <v>0</v>
      </c>
      <c r="FC123" s="270">
        <f t="shared" si="757"/>
        <v>0</v>
      </c>
      <c r="FD123" s="271"/>
      <c r="FE123" s="271"/>
      <c r="FF123" s="271"/>
      <c r="FG123" s="215"/>
      <c r="FH123" s="215"/>
    </row>
    <row r="124" ht="11.25" customHeight="1">
      <c r="A124" s="215" t="str">
        <f t="shared" si="19"/>
        <v/>
      </c>
      <c r="B124" s="241" t="str">
        <f t="shared" si="600"/>
        <v>#N/A</v>
      </c>
      <c r="C124" s="271" t="str">
        <f>IF(A124="","",IF(Calculator!snowball,IF(($E$5-DY124)&lt;0,0,$E$5-DY124),0)+D124)</f>
        <v/>
      </c>
      <c r="D124" s="270"/>
      <c r="E124" s="270">
        <f t="shared" si="40"/>
        <v>0</v>
      </c>
      <c r="F124" s="270">
        <f t="shared" ref="F124:AG124" si="758">CU124+EB125</f>
        <v>0</v>
      </c>
      <c r="G124" s="270">
        <f t="shared" si="758"/>
        <v>0</v>
      </c>
      <c r="H124" s="270">
        <f t="shared" si="758"/>
        <v>0</v>
      </c>
      <c r="I124" s="270">
        <f t="shared" si="758"/>
        <v>0</v>
      </c>
      <c r="J124" s="270">
        <f t="shared" si="758"/>
        <v>0</v>
      </c>
      <c r="K124" s="270">
        <f t="shared" si="758"/>
        <v>0</v>
      </c>
      <c r="L124" s="270">
        <f t="shared" si="758"/>
        <v>0</v>
      </c>
      <c r="M124" s="270">
        <f t="shared" si="758"/>
        <v>0</v>
      </c>
      <c r="N124" s="270">
        <f t="shared" si="758"/>
        <v>0</v>
      </c>
      <c r="O124" s="270">
        <f t="shared" si="758"/>
        <v>0</v>
      </c>
      <c r="P124" s="272">
        <f t="shared" si="758"/>
        <v>0</v>
      </c>
      <c r="Q124" s="272">
        <f t="shared" si="758"/>
        <v>0</v>
      </c>
      <c r="R124" s="272">
        <f t="shared" si="758"/>
        <v>0</v>
      </c>
      <c r="S124" s="272">
        <f t="shared" si="758"/>
        <v>0</v>
      </c>
      <c r="T124" s="272">
        <f t="shared" si="758"/>
        <v>0</v>
      </c>
      <c r="U124" s="270">
        <f t="shared" si="758"/>
        <v>0</v>
      </c>
      <c r="V124" s="270">
        <f t="shared" si="758"/>
        <v>0</v>
      </c>
      <c r="W124" s="270">
        <f t="shared" si="758"/>
        <v>0</v>
      </c>
      <c r="X124" s="270">
        <f t="shared" si="758"/>
        <v>0</v>
      </c>
      <c r="Y124" s="270">
        <f t="shared" si="758"/>
        <v>0</v>
      </c>
      <c r="Z124" s="270">
        <f t="shared" si="758"/>
        <v>0</v>
      </c>
      <c r="AA124" s="270">
        <f t="shared" si="758"/>
        <v>0</v>
      </c>
      <c r="AB124" s="270">
        <f t="shared" si="758"/>
        <v>0</v>
      </c>
      <c r="AC124" s="270">
        <f t="shared" si="758"/>
        <v>0</v>
      </c>
      <c r="AD124" s="270">
        <f t="shared" si="758"/>
        <v>0</v>
      </c>
      <c r="AE124" s="270">
        <f t="shared" si="758"/>
        <v>0</v>
      </c>
      <c r="AF124" s="270">
        <f t="shared" si="758"/>
        <v>0</v>
      </c>
      <c r="AG124" s="270">
        <f t="shared" si="758"/>
        <v>0</v>
      </c>
      <c r="AH124" s="279">
        <f t="shared" si="602"/>
        <v>0</v>
      </c>
      <c r="AI124" s="270">
        <f t="shared" si="43"/>
        <v>0</v>
      </c>
      <c r="AJ124" s="270">
        <f t="shared" ref="AJ124:AO124" si="759">IF(F$8=0,0,ROUND(AJ123-(F124-BO124),2))</f>
        <v>0</v>
      </c>
      <c r="AK124" s="270">
        <f t="shared" si="759"/>
        <v>0</v>
      </c>
      <c r="AL124" s="270">
        <f t="shared" si="759"/>
        <v>0</v>
      </c>
      <c r="AM124" s="270">
        <f t="shared" si="759"/>
        <v>0</v>
      </c>
      <c r="AN124" s="270">
        <f t="shared" si="759"/>
        <v>0</v>
      </c>
      <c r="AO124" s="270">
        <f t="shared" si="759"/>
        <v>0</v>
      </c>
      <c r="AP124" s="270">
        <v>0.0</v>
      </c>
      <c r="AQ124" s="270">
        <f t="shared" ref="AQ124:AS124" si="760">IF(M$8=0,0,ROUND(AQ123-(M124-BV124),2))</f>
        <v>0</v>
      </c>
      <c r="AR124" s="270">
        <f t="shared" si="760"/>
        <v>0</v>
      </c>
      <c r="AS124" s="270">
        <f t="shared" si="760"/>
        <v>0</v>
      </c>
      <c r="AT124" s="270">
        <f t="shared" si="605"/>
        <v>-6.22</v>
      </c>
      <c r="AU124" s="270">
        <f t="shared" ref="AU124:BK124" si="761">IF(Q$8=0,0,ROUND(AU123-(Q124-BY124),2))</f>
        <v>-9.23</v>
      </c>
      <c r="AV124" s="270">
        <f t="shared" si="761"/>
        <v>0</v>
      </c>
      <c r="AW124" s="270">
        <f t="shared" si="761"/>
        <v>0</v>
      </c>
      <c r="AX124" s="270">
        <f t="shared" si="761"/>
        <v>0</v>
      </c>
      <c r="AY124" s="270">
        <f t="shared" si="761"/>
        <v>0</v>
      </c>
      <c r="AZ124" s="270">
        <f t="shared" si="761"/>
        <v>0</v>
      </c>
      <c r="BA124" s="270">
        <f t="shared" si="761"/>
        <v>0</v>
      </c>
      <c r="BB124" s="270">
        <f t="shared" si="761"/>
        <v>0</v>
      </c>
      <c r="BC124" s="270">
        <f t="shared" si="761"/>
        <v>0</v>
      </c>
      <c r="BD124" s="270">
        <f t="shared" si="761"/>
        <v>0</v>
      </c>
      <c r="BE124" s="270">
        <f t="shared" si="761"/>
        <v>0</v>
      </c>
      <c r="BF124" s="270">
        <f t="shared" si="761"/>
        <v>0</v>
      </c>
      <c r="BG124" s="270">
        <f t="shared" si="761"/>
        <v>0</v>
      </c>
      <c r="BH124" s="270">
        <f t="shared" si="761"/>
        <v>0</v>
      </c>
      <c r="BI124" s="270">
        <f t="shared" si="761"/>
        <v>0</v>
      </c>
      <c r="BJ124" s="270">
        <f t="shared" si="761"/>
        <v>0</v>
      </c>
      <c r="BK124" s="270">
        <f t="shared" si="761"/>
        <v>0</v>
      </c>
      <c r="BL124" s="265">
        <f t="shared" si="16"/>
        <v>-15.45</v>
      </c>
      <c r="BM124" s="215"/>
      <c r="BN124" s="270">
        <f t="shared" ref="BN124:CP124" si="762">ROUND(AI123*E$9/12,2)</f>
        <v>0</v>
      </c>
      <c r="BO124" s="270">
        <f t="shared" si="762"/>
        <v>0</v>
      </c>
      <c r="BP124" s="270">
        <f t="shared" si="762"/>
        <v>0</v>
      </c>
      <c r="BQ124" s="270">
        <f t="shared" si="762"/>
        <v>0</v>
      </c>
      <c r="BR124" s="270">
        <f t="shared" si="762"/>
        <v>0</v>
      </c>
      <c r="BS124" s="270">
        <f t="shared" si="762"/>
        <v>0</v>
      </c>
      <c r="BT124" s="270">
        <f t="shared" si="762"/>
        <v>0</v>
      </c>
      <c r="BU124" s="270">
        <f t="shared" si="762"/>
        <v>0</v>
      </c>
      <c r="BV124" s="270">
        <f t="shared" si="762"/>
        <v>0</v>
      </c>
      <c r="BW124" s="270">
        <f t="shared" si="762"/>
        <v>0</v>
      </c>
      <c r="BX124" s="270">
        <f t="shared" si="762"/>
        <v>0</v>
      </c>
      <c r="BY124" s="270">
        <f t="shared" si="762"/>
        <v>-0.05</v>
      </c>
      <c r="BZ124" s="270">
        <f t="shared" si="762"/>
        <v>-0.03</v>
      </c>
      <c r="CA124" s="270">
        <f t="shared" si="762"/>
        <v>0</v>
      </c>
      <c r="CB124" s="270">
        <f t="shared" si="762"/>
        <v>0</v>
      </c>
      <c r="CC124" s="270">
        <f t="shared" si="762"/>
        <v>0</v>
      </c>
      <c r="CD124" s="270">
        <f t="shared" si="762"/>
        <v>0</v>
      </c>
      <c r="CE124" s="270">
        <f t="shared" si="762"/>
        <v>0</v>
      </c>
      <c r="CF124" s="270">
        <f t="shared" si="762"/>
        <v>0</v>
      </c>
      <c r="CG124" s="270">
        <f t="shared" si="762"/>
        <v>0</v>
      </c>
      <c r="CH124" s="270">
        <f t="shared" si="762"/>
        <v>0</v>
      </c>
      <c r="CI124" s="270">
        <f t="shared" si="762"/>
        <v>0</v>
      </c>
      <c r="CJ124" s="270">
        <f t="shared" si="762"/>
        <v>0</v>
      </c>
      <c r="CK124" s="270">
        <f t="shared" si="762"/>
        <v>0</v>
      </c>
      <c r="CL124" s="270">
        <f t="shared" si="762"/>
        <v>0</v>
      </c>
      <c r="CM124" s="270">
        <f t="shared" si="762"/>
        <v>0</v>
      </c>
      <c r="CN124" s="270">
        <f t="shared" si="762"/>
        <v>0</v>
      </c>
      <c r="CO124" s="270">
        <f t="shared" si="762"/>
        <v>0</v>
      </c>
      <c r="CP124" s="270">
        <f t="shared" si="762"/>
        <v>0</v>
      </c>
      <c r="CQ124" s="215"/>
      <c r="CR124" s="270">
        <f t="shared" si="27"/>
        <v>-0.08</v>
      </c>
      <c r="CS124" s="215"/>
      <c r="CT124" s="270">
        <f t="shared" ref="CT124:DX124" si="763">IF(AI123&gt;0,IF((AI123+BN124)&lt;E$10,AI123+BN124,E$10),0)</f>
        <v>0</v>
      </c>
      <c r="CU124" s="270">
        <f t="shared" si="763"/>
        <v>0</v>
      </c>
      <c r="CV124" s="270">
        <f t="shared" si="763"/>
        <v>0</v>
      </c>
      <c r="CW124" s="270">
        <f t="shared" si="763"/>
        <v>0</v>
      </c>
      <c r="CX124" s="270">
        <f t="shared" si="763"/>
        <v>0</v>
      </c>
      <c r="CY124" s="270">
        <f t="shared" si="763"/>
        <v>0</v>
      </c>
      <c r="CZ124" s="270">
        <f t="shared" si="763"/>
        <v>0</v>
      </c>
      <c r="DA124" s="270">
        <f t="shared" si="763"/>
        <v>0</v>
      </c>
      <c r="DB124" s="270">
        <f t="shared" si="763"/>
        <v>0</v>
      </c>
      <c r="DC124" s="270">
        <f t="shared" si="763"/>
        <v>0</v>
      </c>
      <c r="DD124" s="270">
        <f t="shared" si="763"/>
        <v>0</v>
      </c>
      <c r="DE124" s="270">
        <f t="shared" si="763"/>
        <v>0</v>
      </c>
      <c r="DF124" s="270">
        <f t="shared" si="763"/>
        <v>0</v>
      </c>
      <c r="DG124" s="270">
        <f t="shared" si="763"/>
        <v>0</v>
      </c>
      <c r="DH124" s="270">
        <f t="shared" si="763"/>
        <v>0</v>
      </c>
      <c r="DI124" s="270">
        <f t="shared" si="763"/>
        <v>0</v>
      </c>
      <c r="DJ124" s="270">
        <f t="shared" si="763"/>
        <v>0</v>
      </c>
      <c r="DK124" s="270">
        <f t="shared" si="763"/>
        <v>0</v>
      </c>
      <c r="DL124" s="270">
        <f t="shared" si="763"/>
        <v>0</v>
      </c>
      <c r="DM124" s="270">
        <f t="shared" si="763"/>
        <v>0</v>
      </c>
      <c r="DN124" s="270">
        <f t="shared" si="763"/>
        <v>0</v>
      </c>
      <c r="DO124" s="270">
        <f t="shared" si="763"/>
        <v>0</v>
      </c>
      <c r="DP124" s="270">
        <f t="shared" si="763"/>
        <v>0</v>
      </c>
      <c r="DQ124" s="270">
        <f t="shared" si="763"/>
        <v>0</v>
      </c>
      <c r="DR124" s="270">
        <f t="shared" si="763"/>
        <v>0</v>
      </c>
      <c r="DS124" s="270">
        <f t="shared" si="763"/>
        <v>0</v>
      </c>
      <c r="DT124" s="270">
        <f t="shared" si="763"/>
        <v>0</v>
      </c>
      <c r="DU124" s="270">
        <f t="shared" si="763"/>
        <v>0</v>
      </c>
      <c r="DV124" s="270">
        <f t="shared" si="763"/>
        <v>0</v>
      </c>
      <c r="DW124" s="270">
        <f t="shared" si="763"/>
        <v>0</v>
      </c>
      <c r="DX124" s="270">
        <f t="shared" si="763"/>
        <v>0</v>
      </c>
      <c r="DY124" s="270">
        <f t="shared" si="29"/>
        <v>0</v>
      </c>
      <c r="DZ124" s="274"/>
      <c r="EA124" s="275">
        <f t="shared" si="38"/>
        <v>0</v>
      </c>
      <c r="EB124" s="270">
        <f t="shared" ref="EB124:FC124" si="764">IF(AJ122&lt;=0,0,IF($C123&lt;=SUM($EA124:EA124),0,IF(CU123+$C123-SUM($EA124:EA124)&gt;AJ122+BO123,AJ122+BO123-CU123,$C123-SUM($EA124:EA124))))</f>
        <v>0</v>
      </c>
      <c r="EC124" s="270">
        <f t="shared" si="764"/>
        <v>0</v>
      </c>
      <c r="ED124" s="270">
        <f t="shared" si="764"/>
        <v>0</v>
      </c>
      <c r="EE124" s="270">
        <f t="shared" si="764"/>
        <v>0</v>
      </c>
      <c r="EF124" s="270">
        <f t="shared" si="764"/>
        <v>0</v>
      </c>
      <c r="EG124" s="270">
        <f t="shared" si="764"/>
        <v>0</v>
      </c>
      <c r="EH124" s="270">
        <f t="shared" si="764"/>
        <v>0</v>
      </c>
      <c r="EI124" s="270">
        <f t="shared" si="764"/>
        <v>0</v>
      </c>
      <c r="EJ124" s="270">
        <f t="shared" si="764"/>
        <v>0</v>
      </c>
      <c r="EK124" s="270">
        <f t="shared" si="764"/>
        <v>0</v>
      </c>
      <c r="EL124" s="270">
        <f t="shared" si="764"/>
        <v>0</v>
      </c>
      <c r="EM124" s="270">
        <f t="shared" si="764"/>
        <v>0</v>
      </c>
      <c r="EN124" s="270">
        <f t="shared" si="764"/>
        <v>0</v>
      </c>
      <c r="EO124" s="270">
        <f t="shared" si="764"/>
        <v>0</v>
      </c>
      <c r="EP124" s="270">
        <f t="shared" si="764"/>
        <v>0</v>
      </c>
      <c r="EQ124" s="270">
        <f t="shared" si="764"/>
        <v>0</v>
      </c>
      <c r="ER124" s="270">
        <f t="shared" si="764"/>
        <v>0</v>
      </c>
      <c r="ES124" s="270">
        <f t="shared" si="764"/>
        <v>0</v>
      </c>
      <c r="ET124" s="270">
        <f t="shared" si="764"/>
        <v>0</v>
      </c>
      <c r="EU124" s="270">
        <f t="shared" si="764"/>
        <v>0</v>
      </c>
      <c r="EV124" s="270">
        <f t="shared" si="764"/>
        <v>0</v>
      </c>
      <c r="EW124" s="270">
        <f t="shared" si="764"/>
        <v>0</v>
      </c>
      <c r="EX124" s="270">
        <f t="shared" si="764"/>
        <v>0</v>
      </c>
      <c r="EY124" s="270">
        <f t="shared" si="764"/>
        <v>0</v>
      </c>
      <c r="EZ124" s="270">
        <f t="shared" si="764"/>
        <v>0</v>
      </c>
      <c r="FA124" s="270">
        <f t="shared" si="764"/>
        <v>0</v>
      </c>
      <c r="FB124" s="270">
        <f t="shared" si="764"/>
        <v>0</v>
      </c>
      <c r="FC124" s="270">
        <f t="shared" si="764"/>
        <v>0</v>
      </c>
      <c r="FD124" s="271"/>
      <c r="FE124" s="271"/>
      <c r="FF124" s="271"/>
      <c r="FG124" s="215"/>
      <c r="FH124" s="215"/>
    </row>
    <row r="125" ht="11.25" customHeight="1">
      <c r="A125" s="215" t="str">
        <f t="shared" si="19"/>
        <v/>
      </c>
      <c r="B125" s="241" t="str">
        <f t="shared" si="600"/>
        <v>#N/A</v>
      </c>
      <c r="C125" s="271" t="str">
        <f>IF(A125="","",IF(Calculator!snowball,IF(($E$5-DY125)&lt;0,0,$E$5-DY125),0)+D125)</f>
        <v/>
      </c>
      <c r="D125" s="270"/>
      <c r="E125" s="270">
        <f t="shared" si="40"/>
        <v>0</v>
      </c>
      <c r="F125" s="270">
        <f t="shared" ref="F125:AG125" si="765">CU125+EB126</f>
        <v>0</v>
      </c>
      <c r="G125" s="270">
        <f t="shared" si="765"/>
        <v>0</v>
      </c>
      <c r="H125" s="270">
        <f t="shared" si="765"/>
        <v>0</v>
      </c>
      <c r="I125" s="270">
        <f t="shared" si="765"/>
        <v>0</v>
      </c>
      <c r="J125" s="270">
        <f t="shared" si="765"/>
        <v>0</v>
      </c>
      <c r="K125" s="270">
        <f t="shared" si="765"/>
        <v>0</v>
      </c>
      <c r="L125" s="270">
        <f t="shared" si="765"/>
        <v>0</v>
      </c>
      <c r="M125" s="270">
        <f t="shared" si="765"/>
        <v>0</v>
      </c>
      <c r="N125" s="270">
        <f t="shared" si="765"/>
        <v>0</v>
      </c>
      <c r="O125" s="270">
        <f t="shared" si="765"/>
        <v>0</v>
      </c>
      <c r="P125" s="272">
        <f t="shared" si="765"/>
        <v>0</v>
      </c>
      <c r="Q125" s="272">
        <f t="shared" si="765"/>
        <v>0</v>
      </c>
      <c r="R125" s="272">
        <f t="shared" si="765"/>
        <v>0</v>
      </c>
      <c r="S125" s="272">
        <f t="shared" si="765"/>
        <v>0</v>
      </c>
      <c r="T125" s="272">
        <f t="shared" si="765"/>
        <v>0</v>
      </c>
      <c r="U125" s="270">
        <f t="shared" si="765"/>
        <v>0</v>
      </c>
      <c r="V125" s="270">
        <f t="shared" si="765"/>
        <v>0</v>
      </c>
      <c r="W125" s="270">
        <f t="shared" si="765"/>
        <v>0</v>
      </c>
      <c r="X125" s="270">
        <f t="shared" si="765"/>
        <v>0</v>
      </c>
      <c r="Y125" s="270">
        <f t="shared" si="765"/>
        <v>0</v>
      </c>
      <c r="Z125" s="270">
        <f t="shared" si="765"/>
        <v>0</v>
      </c>
      <c r="AA125" s="270">
        <f t="shared" si="765"/>
        <v>0</v>
      </c>
      <c r="AB125" s="270">
        <f t="shared" si="765"/>
        <v>0</v>
      </c>
      <c r="AC125" s="270">
        <f t="shared" si="765"/>
        <v>0</v>
      </c>
      <c r="AD125" s="270">
        <f t="shared" si="765"/>
        <v>0</v>
      </c>
      <c r="AE125" s="270">
        <f t="shared" si="765"/>
        <v>0</v>
      </c>
      <c r="AF125" s="270">
        <f t="shared" si="765"/>
        <v>0</v>
      </c>
      <c r="AG125" s="270">
        <f t="shared" si="765"/>
        <v>0</v>
      </c>
      <c r="AH125" s="279">
        <f t="shared" si="602"/>
        <v>0</v>
      </c>
      <c r="AI125" s="270">
        <f t="shared" si="43"/>
        <v>0</v>
      </c>
      <c r="AJ125" s="270">
        <f t="shared" ref="AJ125:AO125" si="766">IF(F$8=0,0,ROUND(AJ124-(F125-BO125),2))</f>
        <v>0</v>
      </c>
      <c r="AK125" s="270">
        <f t="shared" si="766"/>
        <v>0</v>
      </c>
      <c r="AL125" s="270">
        <f t="shared" si="766"/>
        <v>0</v>
      </c>
      <c r="AM125" s="270">
        <f t="shared" si="766"/>
        <v>0</v>
      </c>
      <c r="AN125" s="270">
        <f t="shared" si="766"/>
        <v>0</v>
      </c>
      <c r="AO125" s="270">
        <f t="shared" si="766"/>
        <v>0</v>
      </c>
      <c r="AP125" s="270">
        <v>0.0</v>
      </c>
      <c r="AQ125" s="270">
        <f t="shared" ref="AQ125:AS125" si="767">IF(M$8=0,0,ROUND(AQ124-(M125-BV125),2))</f>
        <v>0</v>
      </c>
      <c r="AR125" s="270">
        <f t="shared" si="767"/>
        <v>0</v>
      </c>
      <c r="AS125" s="270">
        <f t="shared" si="767"/>
        <v>0</v>
      </c>
      <c r="AT125" s="270">
        <f t="shared" si="605"/>
        <v>-6.22</v>
      </c>
      <c r="AU125" s="270">
        <f t="shared" ref="AU125:BK125" si="768">IF(Q$8=0,0,ROUND(AU124-(Q125-BY125),2))</f>
        <v>-9.28</v>
      </c>
      <c r="AV125" s="270">
        <f t="shared" si="768"/>
        <v>0</v>
      </c>
      <c r="AW125" s="270">
        <f t="shared" si="768"/>
        <v>0</v>
      </c>
      <c r="AX125" s="270">
        <f t="shared" si="768"/>
        <v>0</v>
      </c>
      <c r="AY125" s="270">
        <f t="shared" si="768"/>
        <v>0</v>
      </c>
      <c r="AZ125" s="270">
        <f t="shared" si="768"/>
        <v>0</v>
      </c>
      <c r="BA125" s="270">
        <f t="shared" si="768"/>
        <v>0</v>
      </c>
      <c r="BB125" s="270">
        <f t="shared" si="768"/>
        <v>0</v>
      </c>
      <c r="BC125" s="270">
        <f t="shared" si="768"/>
        <v>0</v>
      </c>
      <c r="BD125" s="270">
        <f t="shared" si="768"/>
        <v>0</v>
      </c>
      <c r="BE125" s="270">
        <f t="shared" si="768"/>
        <v>0</v>
      </c>
      <c r="BF125" s="270">
        <f t="shared" si="768"/>
        <v>0</v>
      </c>
      <c r="BG125" s="270">
        <f t="shared" si="768"/>
        <v>0</v>
      </c>
      <c r="BH125" s="270">
        <f t="shared" si="768"/>
        <v>0</v>
      </c>
      <c r="BI125" s="270">
        <f t="shared" si="768"/>
        <v>0</v>
      </c>
      <c r="BJ125" s="270">
        <f t="shared" si="768"/>
        <v>0</v>
      </c>
      <c r="BK125" s="270">
        <f t="shared" si="768"/>
        <v>0</v>
      </c>
      <c r="BL125" s="265">
        <f t="shared" si="16"/>
        <v>-15.5</v>
      </c>
      <c r="BM125" s="215"/>
      <c r="BN125" s="270">
        <f t="shared" ref="BN125:CP125" si="769">ROUND(AI124*E$9/12,2)</f>
        <v>0</v>
      </c>
      <c r="BO125" s="270">
        <f t="shared" si="769"/>
        <v>0</v>
      </c>
      <c r="BP125" s="270">
        <f t="shared" si="769"/>
        <v>0</v>
      </c>
      <c r="BQ125" s="270">
        <f t="shared" si="769"/>
        <v>0</v>
      </c>
      <c r="BR125" s="270">
        <f t="shared" si="769"/>
        <v>0</v>
      </c>
      <c r="BS125" s="270">
        <f t="shared" si="769"/>
        <v>0</v>
      </c>
      <c r="BT125" s="270">
        <f t="shared" si="769"/>
        <v>0</v>
      </c>
      <c r="BU125" s="270">
        <f t="shared" si="769"/>
        <v>0</v>
      </c>
      <c r="BV125" s="270">
        <f t="shared" si="769"/>
        <v>0</v>
      </c>
      <c r="BW125" s="270">
        <f t="shared" si="769"/>
        <v>0</v>
      </c>
      <c r="BX125" s="270">
        <f t="shared" si="769"/>
        <v>0</v>
      </c>
      <c r="BY125" s="270">
        <f t="shared" si="769"/>
        <v>-0.05</v>
      </c>
      <c r="BZ125" s="270">
        <f t="shared" si="769"/>
        <v>-0.03</v>
      </c>
      <c r="CA125" s="270">
        <f t="shared" si="769"/>
        <v>0</v>
      </c>
      <c r="CB125" s="270">
        <f t="shared" si="769"/>
        <v>0</v>
      </c>
      <c r="CC125" s="270">
        <f t="shared" si="769"/>
        <v>0</v>
      </c>
      <c r="CD125" s="270">
        <f t="shared" si="769"/>
        <v>0</v>
      </c>
      <c r="CE125" s="270">
        <f t="shared" si="769"/>
        <v>0</v>
      </c>
      <c r="CF125" s="270">
        <f t="shared" si="769"/>
        <v>0</v>
      </c>
      <c r="CG125" s="270">
        <f t="shared" si="769"/>
        <v>0</v>
      </c>
      <c r="CH125" s="270">
        <f t="shared" si="769"/>
        <v>0</v>
      </c>
      <c r="CI125" s="270">
        <f t="shared" si="769"/>
        <v>0</v>
      </c>
      <c r="CJ125" s="270">
        <f t="shared" si="769"/>
        <v>0</v>
      </c>
      <c r="CK125" s="270">
        <f t="shared" si="769"/>
        <v>0</v>
      </c>
      <c r="CL125" s="270">
        <f t="shared" si="769"/>
        <v>0</v>
      </c>
      <c r="CM125" s="270">
        <f t="shared" si="769"/>
        <v>0</v>
      </c>
      <c r="CN125" s="270">
        <f t="shared" si="769"/>
        <v>0</v>
      </c>
      <c r="CO125" s="270">
        <f t="shared" si="769"/>
        <v>0</v>
      </c>
      <c r="CP125" s="270">
        <f t="shared" si="769"/>
        <v>0</v>
      </c>
      <c r="CQ125" s="215"/>
      <c r="CR125" s="270">
        <f t="shared" si="27"/>
        <v>-0.08</v>
      </c>
      <c r="CS125" s="215"/>
      <c r="CT125" s="270">
        <f t="shared" ref="CT125:DX125" si="770">IF(AI124&gt;0,IF((AI124+BN125)&lt;E$10,AI124+BN125,E$10),0)</f>
        <v>0</v>
      </c>
      <c r="CU125" s="270">
        <f t="shared" si="770"/>
        <v>0</v>
      </c>
      <c r="CV125" s="270">
        <f t="shared" si="770"/>
        <v>0</v>
      </c>
      <c r="CW125" s="270">
        <f t="shared" si="770"/>
        <v>0</v>
      </c>
      <c r="CX125" s="270">
        <f t="shared" si="770"/>
        <v>0</v>
      </c>
      <c r="CY125" s="270">
        <f t="shared" si="770"/>
        <v>0</v>
      </c>
      <c r="CZ125" s="270">
        <f t="shared" si="770"/>
        <v>0</v>
      </c>
      <c r="DA125" s="270">
        <f t="shared" si="770"/>
        <v>0</v>
      </c>
      <c r="DB125" s="270">
        <f t="shared" si="770"/>
        <v>0</v>
      </c>
      <c r="DC125" s="270">
        <f t="shared" si="770"/>
        <v>0</v>
      </c>
      <c r="DD125" s="270">
        <f t="shared" si="770"/>
        <v>0</v>
      </c>
      <c r="DE125" s="270">
        <f t="shared" si="770"/>
        <v>0</v>
      </c>
      <c r="DF125" s="270">
        <f t="shared" si="770"/>
        <v>0</v>
      </c>
      <c r="DG125" s="270">
        <f t="shared" si="770"/>
        <v>0</v>
      </c>
      <c r="DH125" s="270">
        <f t="shared" si="770"/>
        <v>0</v>
      </c>
      <c r="DI125" s="270">
        <f t="shared" si="770"/>
        <v>0</v>
      </c>
      <c r="DJ125" s="270">
        <f t="shared" si="770"/>
        <v>0</v>
      </c>
      <c r="DK125" s="270">
        <f t="shared" si="770"/>
        <v>0</v>
      </c>
      <c r="DL125" s="270">
        <f t="shared" si="770"/>
        <v>0</v>
      </c>
      <c r="DM125" s="270">
        <f t="shared" si="770"/>
        <v>0</v>
      </c>
      <c r="DN125" s="270">
        <f t="shared" si="770"/>
        <v>0</v>
      </c>
      <c r="DO125" s="270">
        <f t="shared" si="770"/>
        <v>0</v>
      </c>
      <c r="DP125" s="270">
        <f t="shared" si="770"/>
        <v>0</v>
      </c>
      <c r="DQ125" s="270">
        <f t="shared" si="770"/>
        <v>0</v>
      </c>
      <c r="DR125" s="270">
        <f t="shared" si="770"/>
        <v>0</v>
      </c>
      <c r="DS125" s="270">
        <f t="shared" si="770"/>
        <v>0</v>
      </c>
      <c r="DT125" s="270">
        <f t="shared" si="770"/>
        <v>0</v>
      </c>
      <c r="DU125" s="270">
        <f t="shared" si="770"/>
        <v>0</v>
      </c>
      <c r="DV125" s="270">
        <f t="shared" si="770"/>
        <v>0</v>
      </c>
      <c r="DW125" s="270">
        <f t="shared" si="770"/>
        <v>0</v>
      </c>
      <c r="DX125" s="270">
        <f t="shared" si="770"/>
        <v>0</v>
      </c>
      <c r="DY125" s="270">
        <f t="shared" si="29"/>
        <v>0</v>
      </c>
      <c r="DZ125" s="274"/>
      <c r="EA125" s="275">
        <f t="shared" si="38"/>
        <v>0</v>
      </c>
      <c r="EB125" s="270">
        <f t="shared" ref="EB125:FC125" si="771">IF(AJ123&lt;=0,0,IF($C124&lt;=SUM($EA125:EA125),0,IF(CU124+$C124-SUM($EA125:EA125)&gt;AJ123+BO124,AJ123+BO124-CU124,$C124-SUM($EA125:EA125))))</f>
        <v>0</v>
      </c>
      <c r="EC125" s="270">
        <f t="shared" si="771"/>
        <v>0</v>
      </c>
      <c r="ED125" s="270">
        <f t="shared" si="771"/>
        <v>0</v>
      </c>
      <c r="EE125" s="270">
        <f t="shared" si="771"/>
        <v>0</v>
      </c>
      <c r="EF125" s="270">
        <f t="shared" si="771"/>
        <v>0</v>
      </c>
      <c r="EG125" s="270">
        <f t="shared" si="771"/>
        <v>0</v>
      </c>
      <c r="EH125" s="270">
        <f t="shared" si="771"/>
        <v>0</v>
      </c>
      <c r="EI125" s="270">
        <f t="shared" si="771"/>
        <v>0</v>
      </c>
      <c r="EJ125" s="270">
        <f t="shared" si="771"/>
        <v>0</v>
      </c>
      <c r="EK125" s="270">
        <f t="shared" si="771"/>
        <v>0</v>
      </c>
      <c r="EL125" s="270">
        <f t="shared" si="771"/>
        <v>0</v>
      </c>
      <c r="EM125" s="270">
        <f t="shared" si="771"/>
        <v>0</v>
      </c>
      <c r="EN125" s="270">
        <f t="shared" si="771"/>
        <v>0</v>
      </c>
      <c r="EO125" s="270">
        <f t="shared" si="771"/>
        <v>0</v>
      </c>
      <c r="EP125" s="270">
        <f t="shared" si="771"/>
        <v>0</v>
      </c>
      <c r="EQ125" s="270">
        <f t="shared" si="771"/>
        <v>0</v>
      </c>
      <c r="ER125" s="270">
        <f t="shared" si="771"/>
        <v>0</v>
      </c>
      <c r="ES125" s="270">
        <f t="shared" si="771"/>
        <v>0</v>
      </c>
      <c r="ET125" s="270">
        <f t="shared" si="771"/>
        <v>0</v>
      </c>
      <c r="EU125" s="270">
        <f t="shared" si="771"/>
        <v>0</v>
      </c>
      <c r="EV125" s="270">
        <f t="shared" si="771"/>
        <v>0</v>
      </c>
      <c r="EW125" s="270">
        <f t="shared" si="771"/>
        <v>0</v>
      </c>
      <c r="EX125" s="270">
        <f t="shared" si="771"/>
        <v>0</v>
      </c>
      <c r="EY125" s="270">
        <f t="shared" si="771"/>
        <v>0</v>
      </c>
      <c r="EZ125" s="270">
        <f t="shared" si="771"/>
        <v>0</v>
      </c>
      <c r="FA125" s="270">
        <f t="shared" si="771"/>
        <v>0</v>
      </c>
      <c r="FB125" s="270">
        <f t="shared" si="771"/>
        <v>0</v>
      </c>
      <c r="FC125" s="270">
        <f t="shared" si="771"/>
        <v>0</v>
      </c>
      <c r="FD125" s="271"/>
      <c r="FE125" s="271"/>
      <c r="FF125" s="271"/>
      <c r="FG125" s="215"/>
      <c r="FH125" s="215"/>
    </row>
    <row r="126" ht="11.25" customHeight="1">
      <c r="A126" s="215" t="str">
        <f t="shared" si="19"/>
        <v/>
      </c>
      <c r="B126" s="241" t="str">
        <f t="shared" si="600"/>
        <v>#N/A</v>
      </c>
      <c r="C126" s="271" t="str">
        <f>IF(A126="","",IF(Calculator!snowball,IF(($E$5-DY126)&lt;0,0,$E$5-DY126),0)+D126)</f>
        <v/>
      </c>
      <c r="D126" s="271"/>
      <c r="E126" s="270">
        <f t="shared" si="40"/>
        <v>0</v>
      </c>
      <c r="F126" s="270">
        <f t="shared" ref="F126:AG126" si="772">CU126+EB127</f>
        <v>0</v>
      </c>
      <c r="G126" s="270">
        <f t="shared" si="772"/>
        <v>0</v>
      </c>
      <c r="H126" s="270">
        <f t="shared" si="772"/>
        <v>0</v>
      </c>
      <c r="I126" s="270">
        <f t="shared" si="772"/>
        <v>0</v>
      </c>
      <c r="J126" s="270">
        <f t="shared" si="772"/>
        <v>0</v>
      </c>
      <c r="K126" s="270">
        <f t="shared" si="772"/>
        <v>0</v>
      </c>
      <c r="L126" s="270">
        <f t="shared" si="772"/>
        <v>0</v>
      </c>
      <c r="M126" s="270">
        <f t="shared" si="772"/>
        <v>0</v>
      </c>
      <c r="N126" s="270">
        <f t="shared" si="772"/>
        <v>0</v>
      </c>
      <c r="O126" s="270">
        <f t="shared" si="772"/>
        <v>0</v>
      </c>
      <c r="P126" s="272">
        <f t="shared" si="772"/>
        <v>0</v>
      </c>
      <c r="Q126" s="272">
        <f t="shared" si="772"/>
        <v>0</v>
      </c>
      <c r="R126" s="272">
        <f t="shared" si="772"/>
        <v>0</v>
      </c>
      <c r="S126" s="272">
        <f t="shared" si="772"/>
        <v>0</v>
      </c>
      <c r="T126" s="272">
        <f t="shared" si="772"/>
        <v>0</v>
      </c>
      <c r="U126" s="270">
        <f t="shared" si="772"/>
        <v>0</v>
      </c>
      <c r="V126" s="270">
        <f t="shared" si="772"/>
        <v>0</v>
      </c>
      <c r="W126" s="270">
        <f t="shared" si="772"/>
        <v>0</v>
      </c>
      <c r="X126" s="270">
        <f t="shared" si="772"/>
        <v>0</v>
      </c>
      <c r="Y126" s="270">
        <f t="shared" si="772"/>
        <v>0</v>
      </c>
      <c r="Z126" s="270">
        <f t="shared" si="772"/>
        <v>0</v>
      </c>
      <c r="AA126" s="270">
        <f t="shared" si="772"/>
        <v>0</v>
      </c>
      <c r="AB126" s="270">
        <f t="shared" si="772"/>
        <v>0</v>
      </c>
      <c r="AC126" s="270">
        <f t="shared" si="772"/>
        <v>0</v>
      </c>
      <c r="AD126" s="270">
        <f t="shared" si="772"/>
        <v>0</v>
      </c>
      <c r="AE126" s="270">
        <f t="shared" si="772"/>
        <v>0</v>
      </c>
      <c r="AF126" s="270">
        <f t="shared" si="772"/>
        <v>0</v>
      </c>
      <c r="AG126" s="270">
        <f t="shared" si="772"/>
        <v>0</v>
      </c>
      <c r="AH126" s="279">
        <f t="shared" si="602"/>
        <v>0</v>
      </c>
      <c r="AI126" s="270">
        <f t="shared" si="43"/>
        <v>0</v>
      </c>
      <c r="AJ126" s="270">
        <f t="shared" ref="AJ126:AO126" si="773">IF(F$8=0,0,ROUND(AJ125-(F126-BO126),2))</f>
        <v>0</v>
      </c>
      <c r="AK126" s="270">
        <f t="shared" si="773"/>
        <v>0</v>
      </c>
      <c r="AL126" s="270">
        <f t="shared" si="773"/>
        <v>0</v>
      </c>
      <c r="AM126" s="270">
        <f t="shared" si="773"/>
        <v>0</v>
      </c>
      <c r="AN126" s="270">
        <f t="shared" si="773"/>
        <v>0</v>
      </c>
      <c r="AO126" s="270">
        <f t="shared" si="773"/>
        <v>0</v>
      </c>
      <c r="AP126" s="270">
        <v>0.0</v>
      </c>
      <c r="AQ126" s="270">
        <f t="shared" ref="AQ126:AS126" si="774">IF(M$8=0,0,ROUND(AQ125-(M126-BV126),2))</f>
        <v>0</v>
      </c>
      <c r="AR126" s="270">
        <f t="shared" si="774"/>
        <v>0</v>
      </c>
      <c r="AS126" s="270">
        <f t="shared" si="774"/>
        <v>0</v>
      </c>
      <c r="AT126" s="270">
        <f t="shared" si="605"/>
        <v>-6.22</v>
      </c>
      <c r="AU126" s="270">
        <f t="shared" ref="AU126:BK126" si="775">IF(Q$8=0,0,ROUND(AU125-(Q126-BY126),2))</f>
        <v>-9.33</v>
      </c>
      <c r="AV126" s="270">
        <f t="shared" si="775"/>
        <v>0</v>
      </c>
      <c r="AW126" s="270">
        <f t="shared" si="775"/>
        <v>0</v>
      </c>
      <c r="AX126" s="270">
        <f t="shared" si="775"/>
        <v>0</v>
      </c>
      <c r="AY126" s="270">
        <f t="shared" si="775"/>
        <v>0</v>
      </c>
      <c r="AZ126" s="270">
        <f t="shared" si="775"/>
        <v>0</v>
      </c>
      <c r="BA126" s="270">
        <f t="shared" si="775"/>
        <v>0</v>
      </c>
      <c r="BB126" s="270">
        <f t="shared" si="775"/>
        <v>0</v>
      </c>
      <c r="BC126" s="270">
        <f t="shared" si="775"/>
        <v>0</v>
      </c>
      <c r="BD126" s="270">
        <f t="shared" si="775"/>
        <v>0</v>
      </c>
      <c r="BE126" s="270">
        <f t="shared" si="775"/>
        <v>0</v>
      </c>
      <c r="BF126" s="270">
        <f t="shared" si="775"/>
        <v>0</v>
      </c>
      <c r="BG126" s="270">
        <f t="shared" si="775"/>
        <v>0</v>
      </c>
      <c r="BH126" s="270">
        <f t="shared" si="775"/>
        <v>0</v>
      </c>
      <c r="BI126" s="270">
        <f t="shared" si="775"/>
        <v>0</v>
      </c>
      <c r="BJ126" s="270">
        <f t="shared" si="775"/>
        <v>0</v>
      </c>
      <c r="BK126" s="270">
        <f t="shared" si="775"/>
        <v>0</v>
      </c>
      <c r="BL126" s="265">
        <f t="shared" si="16"/>
        <v>-15.55</v>
      </c>
      <c r="BM126" s="215"/>
      <c r="BN126" s="270">
        <f t="shared" ref="BN126:CP126" si="776">ROUND(AI125*E$9/12,2)</f>
        <v>0</v>
      </c>
      <c r="BO126" s="270">
        <f t="shared" si="776"/>
        <v>0</v>
      </c>
      <c r="BP126" s="270">
        <f t="shared" si="776"/>
        <v>0</v>
      </c>
      <c r="BQ126" s="270">
        <f t="shared" si="776"/>
        <v>0</v>
      </c>
      <c r="BR126" s="270">
        <f t="shared" si="776"/>
        <v>0</v>
      </c>
      <c r="BS126" s="270">
        <f t="shared" si="776"/>
        <v>0</v>
      </c>
      <c r="BT126" s="270">
        <f t="shared" si="776"/>
        <v>0</v>
      </c>
      <c r="BU126" s="270">
        <f t="shared" si="776"/>
        <v>0</v>
      </c>
      <c r="BV126" s="270">
        <f t="shared" si="776"/>
        <v>0</v>
      </c>
      <c r="BW126" s="270">
        <f t="shared" si="776"/>
        <v>0</v>
      </c>
      <c r="BX126" s="270">
        <f t="shared" si="776"/>
        <v>0</v>
      </c>
      <c r="BY126" s="270">
        <f t="shared" si="776"/>
        <v>-0.05</v>
      </c>
      <c r="BZ126" s="270">
        <f t="shared" si="776"/>
        <v>-0.03</v>
      </c>
      <c r="CA126" s="270">
        <f t="shared" si="776"/>
        <v>0</v>
      </c>
      <c r="CB126" s="270">
        <f t="shared" si="776"/>
        <v>0</v>
      </c>
      <c r="CC126" s="270">
        <f t="shared" si="776"/>
        <v>0</v>
      </c>
      <c r="CD126" s="270">
        <f t="shared" si="776"/>
        <v>0</v>
      </c>
      <c r="CE126" s="270">
        <f t="shared" si="776"/>
        <v>0</v>
      </c>
      <c r="CF126" s="270">
        <f t="shared" si="776"/>
        <v>0</v>
      </c>
      <c r="CG126" s="270">
        <f t="shared" si="776"/>
        <v>0</v>
      </c>
      <c r="CH126" s="270">
        <f t="shared" si="776"/>
        <v>0</v>
      </c>
      <c r="CI126" s="270">
        <f t="shared" si="776"/>
        <v>0</v>
      </c>
      <c r="CJ126" s="270">
        <f t="shared" si="776"/>
        <v>0</v>
      </c>
      <c r="CK126" s="270">
        <f t="shared" si="776"/>
        <v>0</v>
      </c>
      <c r="CL126" s="270">
        <f t="shared" si="776"/>
        <v>0</v>
      </c>
      <c r="CM126" s="270">
        <f t="shared" si="776"/>
        <v>0</v>
      </c>
      <c r="CN126" s="270">
        <f t="shared" si="776"/>
        <v>0</v>
      </c>
      <c r="CO126" s="270">
        <f t="shared" si="776"/>
        <v>0</v>
      </c>
      <c r="CP126" s="270">
        <f t="shared" si="776"/>
        <v>0</v>
      </c>
      <c r="CQ126" s="215"/>
      <c r="CR126" s="270">
        <f t="shared" si="27"/>
        <v>-0.08</v>
      </c>
      <c r="CS126" s="215"/>
      <c r="CT126" s="270">
        <f t="shared" ref="CT126:DX126" si="777">IF(AI125&gt;0,IF((AI125+BN126)&lt;E$10,AI125+BN126,E$10),0)</f>
        <v>0</v>
      </c>
      <c r="CU126" s="270">
        <f t="shared" si="777"/>
        <v>0</v>
      </c>
      <c r="CV126" s="270">
        <f t="shared" si="777"/>
        <v>0</v>
      </c>
      <c r="CW126" s="270">
        <f t="shared" si="777"/>
        <v>0</v>
      </c>
      <c r="CX126" s="270">
        <f t="shared" si="777"/>
        <v>0</v>
      </c>
      <c r="CY126" s="270">
        <f t="shared" si="777"/>
        <v>0</v>
      </c>
      <c r="CZ126" s="270">
        <f t="shared" si="777"/>
        <v>0</v>
      </c>
      <c r="DA126" s="270">
        <f t="shared" si="777"/>
        <v>0</v>
      </c>
      <c r="DB126" s="270">
        <f t="shared" si="777"/>
        <v>0</v>
      </c>
      <c r="DC126" s="270">
        <f t="shared" si="777"/>
        <v>0</v>
      </c>
      <c r="DD126" s="270">
        <f t="shared" si="777"/>
        <v>0</v>
      </c>
      <c r="DE126" s="270">
        <f t="shared" si="777"/>
        <v>0</v>
      </c>
      <c r="DF126" s="270">
        <f t="shared" si="777"/>
        <v>0</v>
      </c>
      <c r="DG126" s="270">
        <f t="shared" si="777"/>
        <v>0</v>
      </c>
      <c r="DH126" s="270">
        <f t="shared" si="777"/>
        <v>0</v>
      </c>
      <c r="DI126" s="270">
        <f t="shared" si="777"/>
        <v>0</v>
      </c>
      <c r="DJ126" s="270">
        <f t="shared" si="777"/>
        <v>0</v>
      </c>
      <c r="DK126" s="270">
        <f t="shared" si="777"/>
        <v>0</v>
      </c>
      <c r="DL126" s="270">
        <f t="shared" si="777"/>
        <v>0</v>
      </c>
      <c r="DM126" s="270">
        <f t="shared" si="777"/>
        <v>0</v>
      </c>
      <c r="DN126" s="270">
        <f t="shared" si="777"/>
        <v>0</v>
      </c>
      <c r="DO126" s="270">
        <f t="shared" si="777"/>
        <v>0</v>
      </c>
      <c r="DP126" s="270">
        <f t="shared" si="777"/>
        <v>0</v>
      </c>
      <c r="DQ126" s="270">
        <f t="shared" si="777"/>
        <v>0</v>
      </c>
      <c r="DR126" s="270">
        <f t="shared" si="777"/>
        <v>0</v>
      </c>
      <c r="DS126" s="270">
        <f t="shared" si="777"/>
        <v>0</v>
      </c>
      <c r="DT126" s="270">
        <f t="shared" si="777"/>
        <v>0</v>
      </c>
      <c r="DU126" s="270">
        <f t="shared" si="777"/>
        <v>0</v>
      </c>
      <c r="DV126" s="270">
        <f t="shared" si="777"/>
        <v>0</v>
      </c>
      <c r="DW126" s="270">
        <f t="shared" si="777"/>
        <v>0</v>
      </c>
      <c r="DX126" s="270">
        <f t="shared" si="777"/>
        <v>0</v>
      </c>
      <c r="DY126" s="270">
        <f t="shared" si="29"/>
        <v>0</v>
      </c>
      <c r="DZ126" s="274"/>
      <c r="EA126" s="275">
        <f t="shared" si="38"/>
        <v>0</v>
      </c>
      <c r="EB126" s="270">
        <f t="shared" ref="EB126:FC126" si="778">IF(AJ124&lt;=0,0,IF($C125&lt;=SUM($EA126:EA126),0,IF(CU125+$C125-SUM($EA126:EA126)&gt;AJ124+BO125,AJ124+BO125-CU125,$C125-SUM($EA126:EA126))))</f>
        <v>0</v>
      </c>
      <c r="EC126" s="270">
        <f t="shared" si="778"/>
        <v>0</v>
      </c>
      <c r="ED126" s="270">
        <f t="shared" si="778"/>
        <v>0</v>
      </c>
      <c r="EE126" s="270">
        <f t="shared" si="778"/>
        <v>0</v>
      </c>
      <c r="EF126" s="270">
        <f t="shared" si="778"/>
        <v>0</v>
      </c>
      <c r="EG126" s="270">
        <f t="shared" si="778"/>
        <v>0</v>
      </c>
      <c r="EH126" s="270">
        <f t="shared" si="778"/>
        <v>0</v>
      </c>
      <c r="EI126" s="270">
        <f t="shared" si="778"/>
        <v>0</v>
      </c>
      <c r="EJ126" s="270">
        <f t="shared" si="778"/>
        <v>0</v>
      </c>
      <c r="EK126" s="270">
        <f t="shared" si="778"/>
        <v>0</v>
      </c>
      <c r="EL126" s="270">
        <f t="shared" si="778"/>
        <v>0</v>
      </c>
      <c r="EM126" s="270">
        <f t="shared" si="778"/>
        <v>0</v>
      </c>
      <c r="EN126" s="270">
        <f t="shared" si="778"/>
        <v>0</v>
      </c>
      <c r="EO126" s="270">
        <f t="shared" si="778"/>
        <v>0</v>
      </c>
      <c r="EP126" s="270">
        <f t="shared" si="778"/>
        <v>0</v>
      </c>
      <c r="EQ126" s="270">
        <f t="shared" si="778"/>
        <v>0</v>
      </c>
      <c r="ER126" s="270">
        <f t="shared" si="778"/>
        <v>0</v>
      </c>
      <c r="ES126" s="270">
        <f t="shared" si="778"/>
        <v>0</v>
      </c>
      <c r="ET126" s="270">
        <f t="shared" si="778"/>
        <v>0</v>
      </c>
      <c r="EU126" s="270">
        <f t="shared" si="778"/>
        <v>0</v>
      </c>
      <c r="EV126" s="270">
        <f t="shared" si="778"/>
        <v>0</v>
      </c>
      <c r="EW126" s="270">
        <f t="shared" si="778"/>
        <v>0</v>
      </c>
      <c r="EX126" s="270">
        <f t="shared" si="778"/>
        <v>0</v>
      </c>
      <c r="EY126" s="270">
        <f t="shared" si="778"/>
        <v>0</v>
      </c>
      <c r="EZ126" s="270">
        <f t="shared" si="778"/>
        <v>0</v>
      </c>
      <c r="FA126" s="270">
        <f t="shared" si="778"/>
        <v>0</v>
      </c>
      <c r="FB126" s="270">
        <f t="shared" si="778"/>
        <v>0</v>
      </c>
      <c r="FC126" s="270">
        <f t="shared" si="778"/>
        <v>0</v>
      </c>
      <c r="FD126" s="271"/>
      <c r="FE126" s="271"/>
      <c r="FF126" s="271"/>
      <c r="FG126" s="215"/>
      <c r="FH126" s="215"/>
    </row>
    <row r="127" ht="11.25" customHeight="1">
      <c r="A127" s="215" t="str">
        <f t="shared" si="19"/>
        <v/>
      </c>
      <c r="B127" s="241" t="str">
        <f t="shared" si="600"/>
        <v>#N/A</v>
      </c>
      <c r="C127" s="271" t="str">
        <f>IF(A127="","",IF(Calculator!snowball,IF(($E$5-DY127)&lt;0,0,$E$5-DY127),0)+D127)</f>
        <v/>
      </c>
      <c r="D127" s="271"/>
      <c r="E127" s="270">
        <f t="shared" si="40"/>
        <v>0</v>
      </c>
      <c r="F127" s="270">
        <f t="shared" ref="F127:AG127" si="779">CU127+EB128</f>
        <v>0</v>
      </c>
      <c r="G127" s="270">
        <f t="shared" si="779"/>
        <v>0</v>
      </c>
      <c r="H127" s="270">
        <f t="shared" si="779"/>
        <v>0</v>
      </c>
      <c r="I127" s="270">
        <f t="shared" si="779"/>
        <v>0</v>
      </c>
      <c r="J127" s="270">
        <f t="shared" si="779"/>
        <v>0</v>
      </c>
      <c r="K127" s="270">
        <f t="shared" si="779"/>
        <v>0</v>
      </c>
      <c r="L127" s="270">
        <f t="shared" si="779"/>
        <v>0</v>
      </c>
      <c r="M127" s="270">
        <f t="shared" si="779"/>
        <v>0</v>
      </c>
      <c r="N127" s="270">
        <f t="shared" si="779"/>
        <v>0</v>
      </c>
      <c r="O127" s="270">
        <f t="shared" si="779"/>
        <v>0</v>
      </c>
      <c r="P127" s="272">
        <f t="shared" si="779"/>
        <v>0</v>
      </c>
      <c r="Q127" s="272">
        <f t="shared" si="779"/>
        <v>0</v>
      </c>
      <c r="R127" s="272">
        <f t="shared" si="779"/>
        <v>0</v>
      </c>
      <c r="S127" s="272">
        <f t="shared" si="779"/>
        <v>0</v>
      </c>
      <c r="T127" s="272">
        <f t="shared" si="779"/>
        <v>0</v>
      </c>
      <c r="U127" s="270">
        <f t="shared" si="779"/>
        <v>0</v>
      </c>
      <c r="V127" s="270">
        <f t="shared" si="779"/>
        <v>0</v>
      </c>
      <c r="W127" s="270">
        <f t="shared" si="779"/>
        <v>0</v>
      </c>
      <c r="X127" s="270">
        <f t="shared" si="779"/>
        <v>0</v>
      </c>
      <c r="Y127" s="270">
        <f t="shared" si="779"/>
        <v>0</v>
      </c>
      <c r="Z127" s="270">
        <f t="shared" si="779"/>
        <v>0</v>
      </c>
      <c r="AA127" s="270">
        <f t="shared" si="779"/>
        <v>0</v>
      </c>
      <c r="AB127" s="270">
        <f t="shared" si="779"/>
        <v>0</v>
      </c>
      <c r="AC127" s="270">
        <f t="shared" si="779"/>
        <v>0</v>
      </c>
      <c r="AD127" s="270">
        <f t="shared" si="779"/>
        <v>0</v>
      </c>
      <c r="AE127" s="270">
        <f t="shared" si="779"/>
        <v>0</v>
      </c>
      <c r="AF127" s="270">
        <f t="shared" si="779"/>
        <v>0</v>
      </c>
      <c r="AG127" s="270">
        <f t="shared" si="779"/>
        <v>0</v>
      </c>
      <c r="AH127" s="279">
        <f t="shared" si="602"/>
        <v>0</v>
      </c>
      <c r="AI127" s="270">
        <f t="shared" si="43"/>
        <v>0</v>
      </c>
      <c r="AJ127" s="270">
        <f t="shared" ref="AJ127:AO127" si="780">IF(F$8=0,0,ROUND(AJ126-(F127-BO127),2))</f>
        <v>0</v>
      </c>
      <c r="AK127" s="270">
        <f t="shared" si="780"/>
        <v>0</v>
      </c>
      <c r="AL127" s="270">
        <f t="shared" si="780"/>
        <v>0</v>
      </c>
      <c r="AM127" s="270">
        <f t="shared" si="780"/>
        <v>0</v>
      </c>
      <c r="AN127" s="270">
        <f t="shared" si="780"/>
        <v>0</v>
      </c>
      <c r="AO127" s="270">
        <f t="shared" si="780"/>
        <v>0</v>
      </c>
      <c r="AP127" s="270">
        <v>0.0</v>
      </c>
      <c r="AQ127" s="270">
        <f t="shared" ref="AQ127:AS127" si="781">IF(M$8=0,0,ROUND(AQ126-(M127-BV127),2))</f>
        <v>0</v>
      </c>
      <c r="AR127" s="270">
        <f t="shared" si="781"/>
        <v>0</v>
      </c>
      <c r="AS127" s="270">
        <f t="shared" si="781"/>
        <v>0</v>
      </c>
      <c r="AT127" s="270">
        <f t="shared" si="605"/>
        <v>-6.22</v>
      </c>
      <c r="AU127" s="270">
        <f t="shared" ref="AU127:BK127" si="782">IF(Q$8=0,0,ROUND(AU126-(Q127-BY127),2))</f>
        <v>-9.38</v>
      </c>
      <c r="AV127" s="270">
        <f t="shared" si="782"/>
        <v>0</v>
      </c>
      <c r="AW127" s="270">
        <f t="shared" si="782"/>
        <v>0</v>
      </c>
      <c r="AX127" s="270">
        <f t="shared" si="782"/>
        <v>0</v>
      </c>
      <c r="AY127" s="270">
        <f t="shared" si="782"/>
        <v>0</v>
      </c>
      <c r="AZ127" s="270">
        <f t="shared" si="782"/>
        <v>0</v>
      </c>
      <c r="BA127" s="270">
        <f t="shared" si="782"/>
        <v>0</v>
      </c>
      <c r="BB127" s="270">
        <f t="shared" si="782"/>
        <v>0</v>
      </c>
      <c r="BC127" s="270">
        <f t="shared" si="782"/>
        <v>0</v>
      </c>
      <c r="BD127" s="270">
        <f t="shared" si="782"/>
        <v>0</v>
      </c>
      <c r="BE127" s="270">
        <f t="shared" si="782"/>
        <v>0</v>
      </c>
      <c r="BF127" s="270">
        <f t="shared" si="782"/>
        <v>0</v>
      </c>
      <c r="BG127" s="270">
        <f t="shared" si="782"/>
        <v>0</v>
      </c>
      <c r="BH127" s="270">
        <f t="shared" si="782"/>
        <v>0</v>
      </c>
      <c r="BI127" s="270">
        <f t="shared" si="782"/>
        <v>0</v>
      </c>
      <c r="BJ127" s="270">
        <f t="shared" si="782"/>
        <v>0</v>
      </c>
      <c r="BK127" s="270">
        <f t="shared" si="782"/>
        <v>0</v>
      </c>
      <c r="BL127" s="265">
        <f t="shared" si="16"/>
        <v>-15.6</v>
      </c>
      <c r="BM127" s="215"/>
      <c r="BN127" s="270">
        <f t="shared" ref="BN127:CP127" si="783">ROUND(AI126*E$9/12,2)</f>
        <v>0</v>
      </c>
      <c r="BO127" s="270">
        <f t="shared" si="783"/>
        <v>0</v>
      </c>
      <c r="BP127" s="270">
        <f t="shared" si="783"/>
        <v>0</v>
      </c>
      <c r="BQ127" s="270">
        <f t="shared" si="783"/>
        <v>0</v>
      </c>
      <c r="BR127" s="270">
        <f t="shared" si="783"/>
        <v>0</v>
      </c>
      <c r="BS127" s="270">
        <f t="shared" si="783"/>
        <v>0</v>
      </c>
      <c r="BT127" s="270">
        <f t="shared" si="783"/>
        <v>0</v>
      </c>
      <c r="BU127" s="270">
        <f t="shared" si="783"/>
        <v>0</v>
      </c>
      <c r="BV127" s="270">
        <f t="shared" si="783"/>
        <v>0</v>
      </c>
      <c r="BW127" s="270">
        <f t="shared" si="783"/>
        <v>0</v>
      </c>
      <c r="BX127" s="270">
        <f t="shared" si="783"/>
        <v>0</v>
      </c>
      <c r="BY127" s="270">
        <f t="shared" si="783"/>
        <v>-0.05</v>
      </c>
      <c r="BZ127" s="270">
        <f t="shared" si="783"/>
        <v>-0.03</v>
      </c>
      <c r="CA127" s="270">
        <f t="shared" si="783"/>
        <v>0</v>
      </c>
      <c r="CB127" s="270">
        <f t="shared" si="783"/>
        <v>0</v>
      </c>
      <c r="CC127" s="270">
        <f t="shared" si="783"/>
        <v>0</v>
      </c>
      <c r="CD127" s="270">
        <f t="shared" si="783"/>
        <v>0</v>
      </c>
      <c r="CE127" s="270">
        <f t="shared" si="783"/>
        <v>0</v>
      </c>
      <c r="CF127" s="270">
        <f t="shared" si="783"/>
        <v>0</v>
      </c>
      <c r="CG127" s="270">
        <f t="shared" si="783"/>
        <v>0</v>
      </c>
      <c r="CH127" s="270">
        <f t="shared" si="783"/>
        <v>0</v>
      </c>
      <c r="CI127" s="270">
        <f t="shared" si="783"/>
        <v>0</v>
      </c>
      <c r="CJ127" s="270">
        <f t="shared" si="783"/>
        <v>0</v>
      </c>
      <c r="CK127" s="270">
        <f t="shared" si="783"/>
        <v>0</v>
      </c>
      <c r="CL127" s="270">
        <f t="shared" si="783"/>
        <v>0</v>
      </c>
      <c r="CM127" s="270">
        <f t="shared" si="783"/>
        <v>0</v>
      </c>
      <c r="CN127" s="270">
        <f t="shared" si="783"/>
        <v>0</v>
      </c>
      <c r="CO127" s="270">
        <f t="shared" si="783"/>
        <v>0</v>
      </c>
      <c r="CP127" s="270">
        <f t="shared" si="783"/>
        <v>0</v>
      </c>
      <c r="CQ127" s="215"/>
      <c r="CR127" s="270">
        <f t="shared" si="27"/>
        <v>-0.08</v>
      </c>
      <c r="CS127" s="215"/>
      <c r="CT127" s="270">
        <f t="shared" ref="CT127:DX127" si="784">IF(AI126&gt;0,IF((AI126+BN127)&lt;E$10,AI126+BN127,E$10),0)</f>
        <v>0</v>
      </c>
      <c r="CU127" s="270">
        <f t="shared" si="784"/>
        <v>0</v>
      </c>
      <c r="CV127" s="270">
        <f t="shared" si="784"/>
        <v>0</v>
      </c>
      <c r="CW127" s="270">
        <f t="shared" si="784"/>
        <v>0</v>
      </c>
      <c r="CX127" s="270">
        <f t="shared" si="784"/>
        <v>0</v>
      </c>
      <c r="CY127" s="270">
        <f t="shared" si="784"/>
        <v>0</v>
      </c>
      <c r="CZ127" s="270">
        <f t="shared" si="784"/>
        <v>0</v>
      </c>
      <c r="DA127" s="270">
        <f t="shared" si="784"/>
        <v>0</v>
      </c>
      <c r="DB127" s="270">
        <f t="shared" si="784"/>
        <v>0</v>
      </c>
      <c r="DC127" s="270">
        <f t="shared" si="784"/>
        <v>0</v>
      </c>
      <c r="DD127" s="270">
        <f t="shared" si="784"/>
        <v>0</v>
      </c>
      <c r="DE127" s="270">
        <f t="shared" si="784"/>
        <v>0</v>
      </c>
      <c r="DF127" s="270">
        <f t="shared" si="784"/>
        <v>0</v>
      </c>
      <c r="DG127" s="270">
        <f t="shared" si="784"/>
        <v>0</v>
      </c>
      <c r="DH127" s="270">
        <f t="shared" si="784"/>
        <v>0</v>
      </c>
      <c r="DI127" s="270">
        <f t="shared" si="784"/>
        <v>0</v>
      </c>
      <c r="DJ127" s="270">
        <f t="shared" si="784"/>
        <v>0</v>
      </c>
      <c r="DK127" s="270">
        <f t="shared" si="784"/>
        <v>0</v>
      </c>
      <c r="DL127" s="270">
        <f t="shared" si="784"/>
        <v>0</v>
      </c>
      <c r="DM127" s="270">
        <f t="shared" si="784"/>
        <v>0</v>
      </c>
      <c r="DN127" s="270">
        <f t="shared" si="784"/>
        <v>0</v>
      </c>
      <c r="DO127" s="270">
        <f t="shared" si="784"/>
        <v>0</v>
      </c>
      <c r="DP127" s="270">
        <f t="shared" si="784"/>
        <v>0</v>
      </c>
      <c r="DQ127" s="270">
        <f t="shared" si="784"/>
        <v>0</v>
      </c>
      <c r="DR127" s="270">
        <f t="shared" si="784"/>
        <v>0</v>
      </c>
      <c r="DS127" s="270">
        <f t="shared" si="784"/>
        <v>0</v>
      </c>
      <c r="DT127" s="270">
        <f t="shared" si="784"/>
        <v>0</v>
      </c>
      <c r="DU127" s="270">
        <f t="shared" si="784"/>
        <v>0</v>
      </c>
      <c r="DV127" s="270">
        <f t="shared" si="784"/>
        <v>0</v>
      </c>
      <c r="DW127" s="270">
        <f t="shared" si="784"/>
        <v>0</v>
      </c>
      <c r="DX127" s="270">
        <f t="shared" si="784"/>
        <v>0</v>
      </c>
      <c r="DY127" s="270">
        <f t="shared" si="29"/>
        <v>0</v>
      </c>
      <c r="DZ127" s="274"/>
      <c r="EA127" s="275">
        <f t="shared" si="38"/>
        <v>0</v>
      </c>
      <c r="EB127" s="270">
        <f t="shared" ref="EB127:FC127" si="785">IF(AJ125&lt;=0,0,IF($C126&lt;=SUM($EA127:EA127),0,IF(CU126+$C126-SUM($EA127:EA127)&gt;AJ125+BO126,AJ125+BO126-CU126,$C126-SUM($EA127:EA127))))</f>
        <v>0</v>
      </c>
      <c r="EC127" s="270">
        <f t="shared" si="785"/>
        <v>0</v>
      </c>
      <c r="ED127" s="270">
        <f t="shared" si="785"/>
        <v>0</v>
      </c>
      <c r="EE127" s="270">
        <f t="shared" si="785"/>
        <v>0</v>
      </c>
      <c r="EF127" s="270">
        <f t="shared" si="785"/>
        <v>0</v>
      </c>
      <c r="EG127" s="270">
        <f t="shared" si="785"/>
        <v>0</v>
      </c>
      <c r="EH127" s="270">
        <f t="shared" si="785"/>
        <v>0</v>
      </c>
      <c r="EI127" s="270">
        <f t="shared" si="785"/>
        <v>0</v>
      </c>
      <c r="EJ127" s="270">
        <f t="shared" si="785"/>
        <v>0</v>
      </c>
      <c r="EK127" s="270">
        <f t="shared" si="785"/>
        <v>0</v>
      </c>
      <c r="EL127" s="270">
        <f t="shared" si="785"/>
        <v>0</v>
      </c>
      <c r="EM127" s="270">
        <f t="shared" si="785"/>
        <v>0</v>
      </c>
      <c r="EN127" s="270">
        <f t="shared" si="785"/>
        <v>0</v>
      </c>
      <c r="EO127" s="270">
        <f t="shared" si="785"/>
        <v>0</v>
      </c>
      <c r="EP127" s="270">
        <f t="shared" si="785"/>
        <v>0</v>
      </c>
      <c r="EQ127" s="270">
        <f t="shared" si="785"/>
        <v>0</v>
      </c>
      <c r="ER127" s="270">
        <f t="shared" si="785"/>
        <v>0</v>
      </c>
      <c r="ES127" s="270">
        <f t="shared" si="785"/>
        <v>0</v>
      </c>
      <c r="ET127" s="270">
        <f t="shared" si="785"/>
        <v>0</v>
      </c>
      <c r="EU127" s="270">
        <f t="shared" si="785"/>
        <v>0</v>
      </c>
      <c r="EV127" s="270">
        <f t="shared" si="785"/>
        <v>0</v>
      </c>
      <c r="EW127" s="270">
        <f t="shared" si="785"/>
        <v>0</v>
      </c>
      <c r="EX127" s="270">
        <f t="shared" si="785"/>
        <v>0</v>
      </c>
      <c r="EY127" s="270">
        <f t="shared" si="785"/>
        <v>0</v>
      </c>
      <c r="EZ127" s="270">
        <f t="shared" si="785"/>
        <v>0</v>
      </c>
      <c r="FA127" s="270">
        <f t="shared" si="785"/>
        <v>0</v>
      </c>
      <c r="FB127" s="270">
        <f t="shared" si="785"/>
        <v>0</v>
      </c>
      <c r="FC127" s="270">
        <f t="shared" si="785"/>
        <v>0</v>
      </c>
      <c r="FD127" s="271"/>
      <c r="FE127" s="271"/>
      <c r="FF127" s="271"/>
      <c r="FG127" s="215"/>
      <c r="FH127" s="215"/>
    </row>
    <row r="128" ht="11.25" customHeight="1">
      <c r="A128" s="215" t="str">
        <f t="shared" si="19"/>
        <v/>
      </c>
      <c r="B128" s="241" t="str">
        <f t="shared" si="600"/>
        <v>#N/A</v>
      </c>
      <c r="C128" s="271" t="str">
        <f>IF(A128="","",IF(Calculator!snowball,IF(($E$5-DY128)&lt;0,0,$E$5-DY128),0)+D128)</f>
        <v/>
      </c>
      <c r="D128" s="271"/>
      <c r="E128" s="270">
        <f t="shared" si="40"/>
        <v>0</v>
      </c>
      <c r="F128" s="270">
        <f t="shared" ref="F128:AG128" si="786">CU128+EB129</f>
        <v>0</v>
      </c>
      <c r="G128" s="270">
        <f t="shared" si="786"/>
        <v>0</v>
      </c>
      <c r="H128" s="270">
        <f t="shared" si="786"/>
        <v>0</v>
      </c>
      <c r="I128" s="270">
        <f t="shared" si="786"/>
        <v>0</v>
      </c>
      <c r="J128" s="270">
        <f t="shared" si="786"/>
        <v>0</v>
      </c>
      <c r="K128" s="270">
        <f t="shared" si="786"/>
        <v>0</v>
      </c>
      <c r="L128" s="270">
        <f t="shared" si="786"/>
        <v>0</v>
      </c>
      <c r="M128" s="270">
        <f t="shared" si="786"/>
        <v>0</v>
      </c>
      <c r="N128" s="270">
        <f t="shared" si="786"/>
        <v>0</v>
      </c>
      <c r="O128" s="270">
        <f t="shared" si="786"/>
        <v>0</v>
      </c>
      <c r="P128" s="272">
        <f t="shared" si="786"/>
        <v>0</v>
      </c>
      <c r="Q128" s="272">
        <f t="shared" si="786"/>
        <v>0</v>
      </c>
      <c r="R128" s="272">
        <f t="shared" si="786"/>
        <v>0</v>
      </c>
      <c r="S128" s="272">
        <f t="shared" si="786"/>
        <v>0</v>
      </c>
      <c r="T128" s="272">
        <f t="shared" si="786"/>
        <v>0</v>
      </c>
      <c r="U128" s="270">
        <f t="shared" si="786"/>
        <v>0</v>
      </c>
      <c r="V128" s="270">
        <f t="shared" si="786"/>
        <v>0</v>
      </c>
      <c r="W128" s="270">
        <f t="shared" si="786"/>
        <v>0</v>
      </c>
      <c r="X128" s="270">
        <f t="shared" si="786"/>
        <v>0</v>
      </c>
      <c r="Y128" s="270">
        <f t="shared" si="786"/>
        <v>0</v>
      </c>
      <c r="Z128" s="270">
        <f t="shared" si="786"/>
        <v>0</v>
      </c>
      <c r="AA128" s="270">
        <f t="shared" si="786"/>
        <v>0</v>
      </c>
      <c r="AB128" s="270">
        <f t="shared" si="786"/>
        <v>0</v>
      </c>
      <c r="AC128" s="270">
        <f t="shared" si="786"/>
        <v>0</v>
      </c>
      <c r="AD128" s="270">
        <f t="shared" si="786"/>
        <v>0</v>
      </c>
      <c r="AE128" s="270">
        <f t="shared" si="786"/>
        <v>0</v>
      </c>
      <c r="AF128" s="270">
        <f t="shared" si="786"/>
        <v>0</v>
      </c>
      <c r="AG128" s="270">
        <f t="shared" si="786"/>
        <v>0</v>
      </c>
      <c r="AH128" s="279">
        <f t="shared" si="602"/>
        <v>0</v>
      </c>
      <c r="AI128" s="270">
        <f t="shared" si="43"/>
        <v>0</v>
      </c>
      <c r="AJ128" s="270">
        <f t="shared" ref="AJ128:AO128" si="787">IF(F$8=0,0,ROUND(AJ127-(F128-BO128),2))</f>
        <v>0</v>
      </c>
      <c r="AK128" s="270">
        <f t="shared" si="787"/>
        <v>0</v>
      </c>
      <c r="AL128" s="270">
        <f t="shared" si="787"/>
        <v>0</v>
      </c>
      <c r="AM128" s="270">
        <f t="shared" si="787"/>
        <v>0</v>
      </c>
      <c r="AN128" s="270">
        <f t="shared" si="787"/>
        <v>0</v>
      </c>
      <c r="AO128" s="270">
        <f t="shared" si="787"/>
        <v>0</v>
      </c>
      <c r="AP128" s="270">
        <v>0.0</v>
      </c>
      <c r="AQ128" s="270">
        <f t="shared" ref="AQ128:AS128" si="788">IF(M$8=0,0,ROUND(AQ127-(M128-BV128),2))</f>
        <v>0</v>
      </c>
      <c r="AR128" s="270">
        <f t="shared" si="788"/>
        <v>0</v>
      </c>
      <c r="AS128" s="270">
        <f t="shared" si="788"/>
        <v>0</v>
      </c>
      <c r="AT128" s="270">
        <f t="shared" si="605"/>
        <v>-6.22</v>
      </c>
      <c r="AU128" s="270">
        <f t="shared" ref="AU128:BK128" si="789">IF(Q$8=0,0,ROUND(AU127-(Q128-BY128),2))</f>
        <v>-9.43</v>
      </c>
      <c r="AV128" s="270">
        <f t="shared" si="789"/>
        <v>0</v>
      </c>
      <c r="AW128" s="270">
        <f t="shared" si="789"/>
        <v>0</v>
      </c>
      <c r="AX128" s="270">
        <f t="shared" si="789"/>
        <v>0</v>
      </c>
      <c r="AY128" s="270">
        <f t="shared" si="789"/>
        <v>0</v>
      </c>
      <c r="AZ128" s="270">
        <f t="shared" si="789"/>
        <v>0</v>
      </c>
      <c r="BA128" s="270">
        <f t="shared" si="789"/>
        <v>0</v>
      </c>
      <c r="BB128" s="270">
        <f t="shared" si="789"/>
        <v>0</v>
      </c>
      <c r="BC128" s="270">
        <f t="shared" si="789"/>
        <v>0</v>
      </c>
      <c r="BD128" s="270">
        <f t="shared" si="789"/>
        <v>0</v>
      </c>
      <c r="BE128" s="270">
        <f t="shared" si="789"/>
        <v>0</v>
      </c>
      <c r="BF128" s="270">
        <f t="shared" si="789"/>
        <v>0</v>
      </c>
      <c r="BG128" s="270">
        <f t="shared" si="789"/>
        <v>0</v>
      </c>
      <c r="BH128" s="270">
        <f t="shared" si="789"/>
        <v>0</v>
      </c>
      <c r="BI128" s="270">
        <f t="shared" si="789"/>
        <v>0</v>
      </c>
      <c r="BJ128" s="270">
        <f t="shared" si="789"/>
        <v>0</v>
      </c>
      <c r="BK128" s="270">
        <f t="shared" si="789"/>
        <v>0</v>
      </c>
      <c r="BL128" s="265">
        <f t="shared" si="16"/>
        <v>-15.65</v>
      </c>
      <c r="BM128" s="215"/>
      <c r="BN128" s="270">
        <f t="shared" ref="BN128:CP128" si="790">ROUND(AI127*E$9/12,2)</f>
        <v>0</v>
      </c>
      <c r="BO128" s="270">
        <f t="shared" si="790"/>
        <v>0</v>
      </c>
      <c r="BP128" s="270">
        <f t="shared" si="790"/>
        <v>0</v>
      </c>
      <c r="BQ128" s="270">
        <f t="shared" si="790"/>
        <v>0</v>
      </c>
      <c r="BR128" s="270">
        <f t="shared" si="790"/>
        <v>0</v>
      </c>
      <c r="BS128" s="270">
        <f t="shared" si="790"/>
        <v>0</v>
      </c>
      <c r="BT128" s="270">
        <f t="shared" si="790"/>
        <v>0</v>
      </c>
      <c r="BU128" s="270">
        <f t="shared" si="790"/>
        <v>0</v>
      </c>
      <c r="BV128" s="270">
        <f t="shared" si="790"/>
        <v>0</v>
      </c>
      <c r="BW128" s="270">
        <f t="shared" si="790"/>
        <v>0</v>
      </c>
      <c r="BX128" s="270">
        <f t="shared" si="790"/>
        <v>0</v>
      </c>
      <c r="BY128" s="270">
        <f t="shared" si="790"/>
        <v>-0.05</v>
      </c>
      <c r="BZ128" s="270">
        <f t="shared" si="790"/>
        <v>-0.03</v>
      </c>
      <c r="CA128" s="270">
        <f t="shared" si="790"/>
        <v>0</v>
      </c>
      <c r="CB128" s="270">
        <f t="shared" si="790"/>
        <v>0</v>
      </c>
      <c r="CC128" s="270">
        <f t="shared" si="790"/>
        <v>0</v>
      </c>
      <c r="CD128" s="270">
        <f t="shared" si="790"/>
        <v>0</v>
      </c>
      <c r="CE128" s="270">
        <f t="shared" si="790"/>
        <v>0</v>
      </c>
      <c r="CF128" s="270">
        <f t="shared" si="790"/>
        <v>0</v>
      </c>
      <c r="CG128" s="270">
        <f t="shared" si="790"/>
        <v>0</v>
      </c>
      <c r="CH128" s="270">
        <f t="shared" si="790"/>
        <v>0</v>
      </c>
      <c r="CI128" s="270">
        <f t="shared" si="790"/>
        <v>0</v>
      </c>
      <c r="CJ128" s="270">
        <f t="shared" si="790"/>
        <v>0</v>
      </c>
      <c r="CK128" s="270">
        <f t="shared" si="790"/>
        <v>0</v>
      </c>
      <c r="CL128" s="270">
        <f t="shared" si="790"/>
        <v>0</v>
      </c>
      <c r="CM128" s="270">
        <f t="shared" si="790"/>
        <v>0</v>
      </c>
      <c r="CN128" s="270">
        <f t="shared" si="790"/>
        <v>0</v>
      </c>
      <c r="CO128" s="270">
        <f t="shared" si="790"/>
        <v>0</v>
      </c>
      <c r="CP128" s="270">
        <f t="shared" si="790"/>
        <v>0</v>
      </c>
      <c r="CQ128" s="215"/>
      <c r="CR128" s="270">
        <f t="shared" si="27"/>
        <v>-0.08</v>
      </c>
      <c r="CS128" s="215"/>
      <c r="CT128" s="270">
        <f t="shared" ref="CT128:DX128" si="791">IF(AI127&gt;0,IF((AI127+BN128)&lt;E$10,AI127+BN128,E$10),0)</f>
        <v>0</v>
      </c>
      <c r="CU128" s="270">
        <f t="shared" si="791"/>
        <v>0</v>
      </c>
      <c r="CV128" s="270">
        <f t="shared" si="791"/>
        <v>0</v>
      </c>
      <c r="CW128" s="270">
        <f t="shared" si="791"/>
        <v>0</v>
      </c>
      <c r="CX128" s="270">
        <f t="shared" si="791"/>
        <v>0</v>
      </c>
      <c r="CY128" s="270">
        <f t="shared" si="791"/>
        <v>0</v>
      </c>
      <c r="CZ128" s="270">
        <f t="shared" si="791"/>
        <v>0</v>
      </c>
      <c r="DA128" s="270">
        <f t="shared" si="791"/>
        <v>0</v>
      </c>
      <c r="DB128" s="270">
        <f t="shared" si="791"/>
        <v>0</v>
      </c>
      <c r="DC128" s="270">
        <f t="shared" si="791"/>
        <v>0</v>
      </c>
      <c r="DD128" s="270">
        <f t="shared" si="791"/>
        <v>0</v>
      </c>
      <c r="DE128" s="270">
        <f t="shared" si="791"/>
        <v>0</v>
      </c>
      <c r="DF128" s="270">
        <f t="shared" si="791"/>
        <v>0</v>
      </c>
      <c r="DG128" s="270">
        <f t="shared" si="791"/>
        <v>0</v>
      </c>
      <c r="DH128" s="270">
        <f t="shared" si="791"/>
        <v>0</v>
      </c>
      <c r="DI128" s="270">
        <f t="shared" si="791"/>
        <v>0</v>
      </c>
      <c r="DJ128" s="270">
        <f t="shared" si="791"/>
        <v>0</v>
      </c>
      <c r="DK128" s="270">
        <f t="shared" si="791"/>
        <v>0</v>
      </c>
      <c r="DL128" s="270">
        <f t="shared" si="791"/>
        <v>0</v>
      </c>
      <c r="DM128" s="270">
        <f t="shared" si="791"/>
        <v>0</v>
      </c>
      <c r="DN128" s="270">
        <f t="shared" si="791"/>
        <v>0</v>
      </c>
      <c r="DO128" s="270">
        <f t="shared" si="791"/>
        <v>0</v>
      </c>
      <c r="DP128" s="270">
        <f t="shared" si="791"/>
        <v>0</v>
      </c>
      <c r="DQ128" s="270">
        <f t="shared" si="791"/>
        <v>0</v>
      </c>
      <c r="DR128" s="270">
        <f t="shared" si="791"/>
        <v>0</v>
      </c>
      <c r="DS128" s="270">
        <f t="shared" si="791"/>
        <v>0</v>
      </c>
      <c r="DT128" s="270">
        <f t="shared" si="791"/>
        <v>0</v>
      </c>
      <c r="DU128" s="270">
        <f t="shared" si="791"/>
        <v>0</v>
      </c>
      <c r="DV128" s="270">
        <f t="shared" si="791"/>
        <v>0</v>
      </c>
      <c r="DW128" s="270">
        <f t="shared" si="791"/>
        <v>0</v>
      </c>
      <c r="DX128" s="270">
        <f t="shared" si="791"/>
        <v>0</v>
      </c>
      <c r="DY128" s="270">
        <f t="shared" si="29"/>
        <v>0</v>
      </c>
      <c r="DZ128" s="274"/>
      <c r="EA128" s="275">
        <f t="shared" si="38"/>
        <v>0</v>
      </c>
      <c r="EB128" s="270">
        <f t="shared" ref="EB128:FC128" si="792">IF(AJ126&lt;=0,0,IF($C127&lt;=SUM($EA128:EA128),0,IF(CU127+$C127-SUM($EA128:EA128)&gt;AJ126+BO127,AJ126+BO127-CU127,$C127-SUM($EA128:EA128))))</f>
        <v>0</v>
      </c>
      <c r="EC128" s="270">
        <f t="shared" si="792"/>
        <v>0</v>
      </c>
      <c r="ED128" s="270">
        <f t="shared" si="792"/>
        <v>0</v>
      </c>
      <c r="EE128" s="270">
        <f t="shared" si="792"/>
        <v>0</v>
      </c>
      <c r="EF128" s="270">
        <f t="shared" si="792"/>
        <v>0</v>
      </c>
      <c r="EG128" s="270">
        <f t="shared" si="792"/>
        <v>0</v>
      </c>
      <c r="EH128" s="270">
        <f t="shared" si="792"/>
        <v>0</v>
      </c>
      <c r="EI128" s="270">
        <f t="shared" si="792"/>
        <v>0</v>
      </c>
      <c r="EJ128" s="270">
        <f t="shared" si="792"/>
        <v>0</v>
      </c>
      <c r="EK128" s="270">
        <f t="shared" si="792"/>
        <v>0</v>
      </c>
      <c r="EL128" s="270">
        <f t="shared" si="792"/>
        <v>0</v>
      </c>
      <c r="EM128" s="270">
        <f t="shared" si="792"/>
        <v>0</v>
      </c>
      <c r="EN128" s="270">
        <f t="shared" si="792"/>
        <v>0</v>
      </c>
      <c r="EO128" s="270">
        <f t="shared" si="792"/>
        <v>0</v>
      </c>
      <c r="EP128" s="270">
        <f t="shared" si="792"/>
        <v>0</v>
      </c>
      <c r="EQ128" s="270">
        <f t="shared" si="792"/>
        <v>0</v>
      </c>
      <c r="ER128" s="270">
        <f t="shared" si="792"/>
        <v>0</v>
      </c>
      <c r="ES128" s="270">
        <f t="shared" si="792"/>
        <v>0</v>
      </c>
      <c r="ET128" s="270">
        <f t="shared" si="792"/>
        <v>0</v>
      </c>
      <c r="EU128" s="270">
        <f t="shared" si="792"/>
        <v>0</v>
      </c>
      <c r="EV128" s="270">
        <f t="shared" si="792"/>
        <v>0</v>
      </c>
      <c r="EW128" s="270">
        <f t="shared" si="792"/>
        <v>0</v>
      </c>
      <c r="EX128" s="270">
        <f t="shared" si="792"/>
        <v>0</v>
      </c>
      <c r="EY128" s="270">
        <f t="shared" si="792"/>
        <v>0</v>
      </c>
      <c r="EZ128" s="270">
        <f t="shared" si="792"/>
        <v>0</v>
      </c>
      <c r="FA128" s="270">
        <f t="shared" si="792"/>
        <v>0</v>
      </c>
      <c r="FB128" s="270">
        <f t="shared" si="792"/>
        <v>0</v>
      </c>
      <c r="FC128" s="270">
        <f t="shared" si="792"/>
        <v>0</v>
      </c>
      <c r="FD128" s="271"/>
      <c r="FE128" s="271"/>
      <c r="FF128" s="271"/>
      <c r="FG128" s="215"/>
      <c r="FH128" s="215"/>
    </row>
    <row r="129" ht="11.25" customHeight="1">
      <c r="A129" s="215" t="str">
        <f t="shared" si="19"/>
        <v/>
      </c>
      <c r="B129" s="241" t="str">
        <f t="shared" si="600"/>
        <v>#N/A</v>
      </c>
      <c r="C129" s="271" t="str">
        <f>IF(A129="","",IF(Calculator!snowball,IF(($E$5-DY129)&lt;0,0,$E$5-DY129),0)+D129)</f>
        <v/>
      </c>
      <c r="D129" s="271"/>
      <c r="E129" s="270">
        <f t="shared" si="40"/>
        <v>0</v>
      </c>
      <c r="F129" s="270">
        <f t="shared" ref="F129:AG129" si="793">CU129+EB130</f>
        <v>0</v>
      </c>
      <c r="G129" s="270">
        <f t="shared" si="793"/>
        <v>0</v>
      </c>
      <c r="H129" s="270">
        <f t="shared" si="793"/>
        <v>0</v>
      </c>
      <c r="I129" s="270">
        <f t="shared" si="793"/>
        <v>0</v>
      </c>
      <c r="J129" s="270">
        <f t="shared" si="793"/>
        <v>0</v>
      </c>
      <c r="K129" s="270">
        <f t="shared" si="793"/>
        <v>0</v>
      </c>
      <c r="L129" s="270">
        <f t="shared" si="793"/>
        <v>0</v>
      </c>
      <c r="M129" s="270">
        <f t="shared" si="793"/>
        <v>0</v>
      </c>
      <c r="N129" s="270">
        <f t="shared" si="793"/>
        <v>0</v>
      </c>
      <c r="O129" s="270">
        <f t="shared" si="793"/>
        <v>0</v>
      </c>
      <c r="P129" s="272">
        <f t="shared" si="793"/>
        <v>0</v>
      </c>
      <c r="Q129" s="272">
        <f t="shared" si="793"/>
        <v>0</v>
      </c>
      <c r="R129" s="272">
        <f t="shared" si="793"/>
        <v>0</v>
      </c>
      <c r="S129" s="272">
        <f t="shared" si="793"/>
        <v>0</v>
      </c>
      <c r="T129" s="272">
        <f t="shared" si="793"/>
        <v>0</v>
      </c>
      <c r="U129" s="270">
        <f t="shared" si="793"/>
        <v>0</v>
      </c>
      <c r="V129" s="270">
        <f t="shared" si="793"/>
        <v>0</v>
      </c>
      <c r="W129" s="270">
        <f t="shared" si="793"/>
        <v>0</v>
      </c>
      <c r="X129" s="270">
        <f t="shared" si="793"/>
        <v>0</v>
      </c>
      <c r="Y129" s="270">
        <f t="shared" si="793"/>
        <v>0</v>
      </c>
      <c r="Z129" s="270">
        <f t="shared" si="793"/>
        <v>0</v>
      </c>
      <c r="AA129" s="270">
        <f t="shared" si="793"/>
        <v>0</v>
      </c>
      <c r="AB129" s="270">
        <f t="shared" si="793"/>
        <v>0</v>
      </c>
      <c r="AC129" s="270">
        <f t="shared" si="793"/>
        <v>0</v>
      </c>
      <c r="AD129" s="270">
        <f t="shared" si="793"/>
        <v>0</v>
      </c>
      <c r="AE129" s="270">
        <f t="shared" si="793"/>
        <v>0</v>
      </c>
      <c r="AF129" s="270">
        <f t="shared" si="793"/>
        <v>0</v>
      </c>
      <c r="AG129" s="270">
        <f t="shared" si="793"/>
        <v>0</v>
      </c>
      <c r="AH129" s="279">
        <f t="shared" si="602"/>
        <v>0</v>
      </c>
      <c r="AI129" s="270">
        <f t="shared" si="43"/>
        <v>0</v>
      </c>
      <c r="AJ129" s="270">
        <f t="shared" ref="AJ129:AO129" si="794">IF(F$8=0,0,ROUND(AJ128-(F129-BO129),2))</f>
        <v>0</v>
      </c>
      <c r="AK129" s="270">
        <f t="shared" si="794"/>
        <v>0</v>
      </c>
      <c r="AL129" s="270">
        <f t="shared" si="794"/>
        <v>0</v>
      </c>
      <c r="AM129" s="270">
        <f t="shared" si="794"/>
        <v>0</v>
      </c>
      <c r="AN129" s="270">
        <f t="shared" si="794"/>
        <v>0</v>
      </c>
      <c r="AO129" s="270">
        <f t="shared" si="794"/>
        <v>0</v>
      </c>
      <c r="AP129" s="270">
        <v>0.0</v>
      </c>
      <c r="AQ129" s="270">
        <f t="shared" ref="AQ129:AS129" si="795">IF(M$8=0,0,ROUND(AQ128-(M129-BV129),2))</f>
        <v>0</v>
      </c>
      <c r="AR129" s="270">
        <f t="shared" si="795"/>
        <v>0</v>
      </c>
      <c r="AS129" s="270">
        <f t="shared" si="795"/>
        <v>0</v>
      </c>
      <c r="AT129" s="270">
        <f t="shared" si="605"/>
        <v>-6.22</v>
      </c>
      <c r="AU129" s="270">
        <f t="shared" ref="AU129:BK129" si="796">IF(Q$8=0,0,ROUND(AU128-(Q129-BY129),2))</f>
        <v>-9.48</v>
      </c>
      <c r="AV129" s="270">
        <f t="shared" si="796"/>
        <v>0</v>
      </c>
      <c r="AW129" s="270">
        <f t="shared" si="796"/>
        <v>0</v>
      </c>
      <c r="AX129" s="270">
        <f t="shared" si="796"/>
        <v>0</v>
      </c>
      <c r="AY129" s="270">
        <f t="shared" si="796"/>
        <v>0</v>
      </c>
      <c r="AZ129" s="270">
        <f t="shared" si="796"/>
        <v>0</v>
      </c>
      <c r="BA129" s="270">
        <f t="shared" si="796"/>
        <v>0</v>
      </c>
      <c r="BB129" s="270">
        <f t="shared" si="796"/>
        <v>0</v>
      </c>
      <c r="BC129" s="270">
        <f t="shared" si="796"/>
        <v>0</v>
      </c>
      <c r="BD129" s="270">
        <f t="shared" si="796"/>
        <v>0</v>
      </c>
      <c r="BE129" s="270">
        <f t="shared" si="796"/>
        <v>0</v>
      </c>
      <c r="BF129" s="270">
        <f t="shared" si="796"/>
        <v>0</v>
      </c>
      <c r="BG129" s="270">
        <f t="shared" si="796"/>
        <v>0</v>
      </c>
      <c r="BH129" s="270">
        <f t="shared" si="796"/>
        <v>0</v>
      </c>
      <c r="BI129" s="270">
        <f t="shared" si="796"/>
        <v>0</v>
      </c>
      <c r="BJ129" s="270">
        <f t="shared" si="796"/>
        <v>0</v>
      </c>
      <c r="BK129" s="270">
        <f t="shared" si="796"/>
        <v>0</v>
      </c>
      <c r="BL129" s="265">
        <f t="shared" si="16"/>
        <v>-15.7</v>
      </c>
      <c r="BM129" s="215"/>
      <c r="BN129" s="270">
        <f t="shared" ref="BN129:CP129" si="797">ROUND(AI128*E$9/12,2)</f>
        <v>0</v>
      </c>
      <c r="BO129" s="270">
        <f t="shared" si="797"/>
        <v>0</v>
      </c>
      <c r="BP129" s="270">
        <f t="shared" si="797"/>
        <v>0</v>
      </c>
      <c r="BQ129" s="270">
        <f t="shared" si="797"/>
        <v>0</v>
      </c>
      <c r="BR129" s="270">
        <f t="shared" si="797"/>
        <v>0</v>
      </c>
      <c r="BS129" s="270">
        <f t="shared" si="797"/>
        <v>0</v>
      </c>
      <c r="BT129" s="270">
        <f t="shared" si="797"/>
        <v>0</v>
      </c>
      <c r="BU129" s="270">
        <f t="shared" si="797"/>
        <v>0</v>
      </c>
      <c r="BV129" s="270">
        <f t="shared" si="797"/>
        <v>0</v>
      </c>
      <c r="BW129" s="270">
        <f t="shared" si="797"/>
        <v>0</v>
      </c>
      <c r="BX129" s="270">
        <f t="shared" si="797"/>
        <v>0</v>
      </c>
      <c r="BY129" s="270">
        <f t="shared" si="797"/>
        <v>-0.05</v>
      </c>
      <c r="BZ129" s="270">
        <f t="shared" si="797"/>
        <v>-0.03</v>
      </c>
      <c r="CA129" s="270">
        <f t="shared" si="797"/>
        <v>0</v>
      </c>
      <c r="CB129" s="270">
        <f t="shared" si="797"/>
        <v>0</v>
      </c>
      <c r="CC129" s="270">
        <f t="shared" si="797"/>
        <v>0</v>
      </c>
      <c r="CD129" s="270">
        <f t="shared" si="797"/>
        <v>0</v>
      </c>
      <c r="CE129" s="270">
        <f t="shared" si="797"/>
        <v>0</v>
      </c>
      <c r="CF129" s="270">
        <f t="shared" si="797"/>
        <v>0</v>
      </c>
      <c r="CG129" s="270">
        <f t="shared" si="797"/>
        <v>0</v>
      </c>
      <c r="CH129" s="270">
        <f t="shared" si="797"/>
        <v>0</v>
      </c>
      <c r="CI129" s="270">
        <f t="shared" si="797"/>
        <v>0</v>
      </c>
      <c r="CJ129" s="270">
        <f t="shared" si="797"/>
        <v>0</v>
      </c>
      <c r="CK129" s="270">
        <f t="shared" si="797"/>
        <v>0</v>
      </c>
      <c r="CL129" s="270">
        <f t="shared" si="797"/>
        <v>0</v>
      </c>
      <c r="CM129" s="270">
        <f t="shared" si="797"/>
        <v>0</v>
      </c>
      <c r="CN129" s="270">
        <f t="shared" si="797"/>
        <v>0</v>
      </c>
      <c r="CO129" s="270">
        <f t="shared" si="797"/>
        <v>0</v>
      </c>
      <c r="CP129" s="270">
        <f t="shared" si="797"/>
        <v>0</v>
      </c>
      <c r="CQ129" s="215"/>
      <c r="CR129" s="270">
        <f t="shared" si="27"/>
        <v>-0.08</v>
      </c>
      <c r="CS129" s="215"/>
      <c r="CT129" s="270">
        <f t="shared" ref="CT129:DX129" si="798">IF(AI128&gt;0,IF((AI128+BN129)&lt;E$10,AI128+BN129,E$10),0)</f>
        <v>0</v>
      </c>
      <c r="CU129" s="270">
        <f t="shared" si="798"/>
        <v>0</v>
      </c>
      <c r="CV129" s="270">
        <f t="shared" si="798"/>
        <v>0</v>
      </c>
      <c r="CW129" s="270">
        <f t="shared" si="798"/>
        <v>0</v>
      </c>
      <c r="CX129" s="270">
        <f t="shared" si="798"/>
        <v>0</v>
      </c>
      <c r="CY129" s="270">
        <f t="shared" si="798"/>
        <v>0</v>
      </c>
      <c r="CZ129" s="270">
        <f t="shared" si="798"/>
        <v>0</v>
      </c>
      <c r="DA129" s="270">
        <f t="shared" si="798"/>
        <v>0</v>
      </c>
      <c r="DB129" s="270">
        <f t="shared" si="798"/>
        <v>0</v>
      </c>
      <c r="DC129" s="270">
        <f t="shared" si="798"/>
        <v>0</v>
      </c>
      <c r="DD129" s="270">
        <f t="shared" si="798"/>
        <v>0</v>
      </c>
      <c r="DE129" s="270">
        <f t="shared" si="798"/>
        <v>0</v>
      </c>
      <c r="DF129" s="270">
        <f t="shared" si="798"/>
        <v>0</v>
      </c>
      <c r="DG129" s="270">
        <f t="shared" si="798"/>
        <v>0</v>
      </c>
      <c r="DH129" s="270">
        <f t="shared" si="798"/>
        <v>0</v>
      </c>
      <c r="DI129" s="270">
        <f t="shared" si="798"/>
        <v>0</v>
      </c>
      <c r="DJ129" s="270">
        <f t="shared" si="798"/>
        <v>0</v>
      </c>
      <c r="DK129" s="270">
        <f t="shared" si="798"/>
        <v>0</v>
      </c>
      <c r="DL129" s="270">
        <f t="shared" si="798"/>
        <v>0</v>
      </c>
      <c r="DM129" s="270">
        <f t="shared" si="798"/>
        <v>0</v>
      </c>
      <c r="DN129" s="270">
        <f t="shared" si="798"/>
        <v>0</v>
      </c>
      <c r="DO129" s="270">
        <f t="shared" si="798"/>
        <v>0</v>
      </c>
      <c r="DP129" s="270">
        <f t="shared" si="798"/>
        <v>0</v>
      </c>
      <c r="DQ129" s="270">
        <f t="shared" si="798"/>
        <v>0</v>
      </c>
      <c r="DR129" s="270">
        <f t="shared" si="798"/>
        <v>0</v>
      </c>
      <c r="DS129" s="270">
        <f t="shared" si="798"/>
        <v>0</v>
      </c>
      <c r="DT129" s="270">
        <f t="shared" si="798"/>
        <v>0</v>
      </c>
      <c r="DU129" s="270">
        <f t="shared" si="798"/>
        <v>0</v>
      </c>
      <c r="DV129" s="270">
        <f t="shared" si="798"/>
        <v>0</v>
      </c>
      <c r="DW129" s="270">
        <f t="shared" si="798"/>
        <v>0</v>
      </c>
      <c r="DX129" s="270">
        <f t="shared" si="798"/>
        <v>0</v>
      </c>
      <c r="DY129" s="270">
        <f t="shared" si="29"/>
        <v>0</v>
      </c>
      <c r="DZ129" s="274"/>
      <c r="EA129" s="275">
        <f t="shared" si="38"/>
        <v>0</v>
      </c>
      <c r="EB129" s="270">
        <f t="shared" ref="EB129:FC129" si="799">IF(AJ127&lt;=0,0,IF($C128&lt;=SUM($EA129:EA129),0,IF(CU128+$C128-SUM($EA129:EA129)&gt;AJ127+BO128,AJ127+BO128-CU128,$C128-SUM($EA129:EA129))))</f>
        <v>0</v>
      </c>
      <c r="EC129" s="270">
        <f t="shared" si="799"/>
        <v>0</v>
      </c>
      <c r="ED129" s="270">
        <f t="shared" si="799"/>
        <v>0</v>
      </c>
      <c r="EE129" s="270">
        <f t="shared" si="799"/>
        <v>0</v>
      </c>
      <c r="EF129" s="270">
        <f t="shared" si="799"/>
        <v>0</v>
      </c>
      <c r="EG129" s="270">
        <f t="shared" si="799"/>
        <v>0</v>
      </c>
      <c r="EH129" s="270">
        <f t="shared" si="799"/>
        <v>0</v>
      </c>
      <c r="EI129" s="270">
        <f t="shared" si="799"/>
        <v>0</v>
      </c>
      <c r="EJ129" s="270">
        <f t="shared" si="799"/>
        <v>0</v>
      </c>
      <c r="EK129" s="270">
        <f t="shared" si="799"/>
        <v>0</v>
      </c>
      <c r="EL129" s="270">
        <f t="shared" si="799"/>
        <v>0</v>
      </c>
      <c r="EM129" s="270">
        <f t="shared" si="799"/>
        <v>0</v>
      </c>
      <c r="EN129" s="270">
        <f t="shared" si="799"/>
        <v>0</v>
      </c>
      <c r="EO129" s="270">
        <f t="shared" si="799"/>
        <v>0</v>
      </c>
      <c r="EP129" s="270">
        <f t="shared" si="799"/>
        <v>0</v>
      </c>
      <c r="EQ129" s="270">
        <f t="shared" si="799"/>
        <v>0</v>
      </c>
      <c r="ER129" s="270">
        <f t="shared" si="799"/>
        <v>0</v>
      </c>
      <c r="ES129" s="270">
        <f t="shared" si="799"/>
        <v>0</v>
      </c>
      <c r="ET129" s="270">
        <f t="shared" si="799"/>
        <v>0</v>
      </c>
      <c r="EU129" s="270">
        <f t="shared" si="799"/>
        <v>0</v>
      </c>
      <c r="EV129" s="270">
        <f t="shared" si="799"/>
        <v>0</v>
      </c>
      <c r="EW129" s="270">
        <f t="shared" si="799"/>
        <v>0</v>
      </c>
      <c r="EX129" s="270">
        <f t="shared" si="799"/>
        <v>0</v>
      </c>
      <c r="EY129" s="270">
        <f t="shared" si="799"/>
        <v>0</v>
      </c>
      <c r="EZ129" s="270">
        <f t="shared" si="799"/>
        <v>0</v>
      </c>
      <c r="FA129" s="270">
        <f t="shared" si="799"/>
        <v>0</v>
      </c>
      <c r="FB129" s="270">
        <f t="shared" si="799"/>
        <v>0</v>
      </c>
      <c r="FC129" s="270">
        <f t="shared" si="799"/>
        <v>0</v>
      </c>
      <c r="FD129" s="271"/>
      <c r="FE129" s="271"/>
      <c r="FF129" s="271"/>
      <c r="FG129" s="215"/>
      <c r="FH129" s="215"/>
    </row>
    <row r="130" ht="11.25" customHeight="1">
      <c r="A130" s="215" t="str">
        <f t="shared" si="19"/>
        <v/>
      </c>
      <c r="B130" s="241" t="str">
        <f t="shared" si="600"/>
        <v>#N/A</v>
      </c>
      <c r="C130" s="271" t="str">
        <f>IF(A130="","",IF(Calculator!snowball,IF(($E$5-DY130)&lt;0,0,$E$5-DY130),0)+D130)</f>
        <v/>
      </c>
      <c r="D130" s="271"/>
      <c r="E130" s="270">
        <f t="shared" si="40"/>
        <v>0</v>
      </c>
      <c r="F130" s="270">
        <f t="shared" ref="F130:AG130" si="800">CU130+EB131</f>
        <v>0</v>
      </c>
      <c r="G130" s="270">
        <f t="shared" si="800"/>
        <v>0</v>
      </c>
      <c r="H130" s="270">
        <f t="shared" si="800"/>
        <v>0</v>
      </c>
      <c r="I130" s="270">
        <f t="shared" si="800"/>
        <v>0</v>
      </c>
      <c r="J130" s="270">
        <f t="shared" si="800"/>
        <v>0</v>
      </c>
      <c r="K130" s="270">
        <f t="shared" si="800"/>
        <v>0</v>
      </c>
      <c r="L130" s="270">
        <f t="shared" si="800"/>
        <v>0</v>
      </c>
      <c r="M130" s="270">
        <f t="shared" si="800"/>
        <v>0</v>
      </c>
      <c r="N130" s="270">
        <f t="shared" si="800"/>
        <v>0</v>
      </c>
      <c r="O130" s="270">
        <f t="shared" si="800"/>
        <v>0</v>
      </c>
      <c r="P130" s="272">
        <f t="shared" si="800"/>
        <v>0</v>
      </c>
      <c r="Q130" s="272">
        <f t="shared" si="800"/>
        <v>0</v>
      </c>
      <c r="R130" s="272">
        <f t="shared" si="800"/>
        <v>0</v>
      </c>
      <c r="S130" s="272">
        <f t="shared" si="800"/>
        <v>0</v>
      </c>
      <c r="T130" s="272">
        <f t="shared" si="800"/>
        <v>0</v>
      </c>
      <c r="U130" s="270">
        <f t="shared" si="800"/>
        <v>0</v>
      </c>
      <c r="V130" s="270">
        <f t="shared" si="800"/>
        <v>0</v>
      </c>
      <c r="W130" s="270">
        <f t="shared" si="800"/>
        <v>0</v>
      </c>
      <c r="X130" s="270">
        <f t="shared" si="800"/>
        <v>0</v>
      </c>
      <c r="Y130" s="270">
        <f t="shared" si="800"/>
        <v>0</v>
      </c>
      <c r="Z130" s="270">
        <f t="shared" si="800"/>
        <v>0</v>
      </c>
      <c r="AA130" s="270">
        <f t="shared" si="800"/>
        <v>0</v>
      </c>
      <c r="AB130" s="270">
        <f t="shared" si="800"/>
        <v>0</v>
      </c>
      <c r="AC130" s="270">
        <f t="shared" si="800"/>
        <v>0</v>
      </c>
      <c r="AD130" s="270">
        <f t="shared" si="800"/>
        <v>0</v>
      </c>
      <c r="AE130" s="270">
        <f t="shared" si="800"/>
        <v>0</v>
      </c>
      <c r="AF130" s="270">
        <f t="shared" si="800"/>
        <v>0</v>
      </c>
      <c r="AG130" s="270">
        <f t="shared" si="800"/>
        <v>0</v>
      </c>
      <c r="AH130" s="279">
        <f t="shared" si="602"/>
        <v>0</v>
      </c>
      <c r="AI130" s="270">
        <f t="shared" si="43"/>
        <v>0</v>
      </c>
      <c r="AJ130" s="270">
        <f t="shared" ref="AJ130:AO130" si="801">IF(F$8=0,0,ROUND(AJ129-(F130-BO130),2))</f>
        <v>0</v>
      </c>
      <c r="AK130" s="270">
        <f t="shared" si="801"/>
        <v>0</v>
      </c>
      <c r="AL130" s="270">
        <f t="shared" si="801"/>
        <v>0</v>
      </c>
      <c r="AM130" s="270">
        <f t="shared" si="801"/>
        <v>0</v>
      </c>
      <c r="AN130" s="270">
        <f t="shared" si="801"/>
        <v>0</v>
      </c>
      <c r="AO130" s="270">
        <f t="shared" si="801"/>
        <v>0</v>
      </c>
      <c r="AP130" s="270">
        <v>0.0</v>
      </c>
      <c r="AQ130" s="270">
        <f t="shared" ref="AQ130:AS130" si="802">IF(M$8=0,0,ROUND(AQ129-(M130-BV130),2))</f>
        <v>0</v>
      </c>
      <c r="AR130" s="270">
        <f t="shared" si="802"/>
        <v>0</v>
      </c>
      <c r="AS130" s="270">
        <f t="shared" si="802"/>
        <v>0</v>
      </c>
      <c r="AT130" s="270">
        <f t="shared" si="605"/>
        <v>-6.22</v>
      </c>
      <c r="AU130" s="270">
        <f t="shared" ref="AU130:BK130" si="803">IF(Q$8=0,0,ROUND(AU129-(Q130-BY130),2))</f>
        <v>-9.53</v>
      </c>
      <c r="AV130" s="270">
        <f t="shared" si="803"/>
        <v>0</v>
      </c>
      <c r="AW130" s="270">
        <f t="shared" si="803"/>
        <v>0</v>
      </c>
      <c r="AX130" s="270">
        <f t="shared" si="803"/>
        <v>0</v>
      </c>
      <c r="AY130" s="270">
        <f t="shared" si="803"/>
        <v>0</v>
      </c>
      <c r="AZ130" s="270">
        <f t="shared" si="803"/>
        <v>0</v>
      </c>
      <c r="BA130" s="270">
        <f t="shared" si="803"/>
        <v>0</v>
      </c>
      <c r="BB130" s="270">
        <f t="shared" si="803"/>
        <v>0</v>
      </c>
      <c r="BC130" s="270">
        <f t="shared" si="803"/>
        <v>0</v>
      </c>
      <c r="BD130" s="270">
        <f t="shared" si="803"/>
        <v>0</v>
      </c>
      <c r="BE130" s="270">
        <f t="shared" si="803"/>
        <v>0</v>
      </c>
      <c r="BF130" s="270">
        <f t="shared" si="803"/>
        <v>0</v>
      </c>
      <c r="BG130" s="270">
        <f t="shared" si="803"/>
        <v>0</v>
      </c>
      <c r="BH130" s="270">
        <f t="shared" si="803"/>
        <v>0</v>
      </c>
      <c r="BI130" s="270">
        <f t="shared" si="803"/>
        <v>0</v>
      </c>
      <c r="BJ130" s="270">
        <f t="shared" si="803"/>
        <v>0</v>
      </c>
      <c r="BK130" s="270">
        <f t="shared" si="803"/>
        <v>0</v>
      </c>
      <c r="BL130" s="265">
        <f t="shared" si="16"/>
        <v>-15.75</v>
      </c>
      <c r="BM130" s="215"/>
      <c r="BN130" s="270">
        <f t="shared" ref="BN130:CP130" si="804">ROUND(AI129*E$9/12,2)</f>
        <v>0</v>
      </c>
      <c r="BO130" s="270">
        <f t="shared" si="804"/>
        <v>0</v>
      </c>
      <c r="BP130" s="270">
        <f t="shared" si="804"/>
        <v>0</v>
      </c>
      <c r="BQ130" s="270">
        <f t="shared" si="804"/>
        <v>0</v>
      </c>
      <c r="BR130" s="270">
        <f t="shared" si="804"/>
        <v>0</v>
      </c>
      <c r="BS130" s="270">
        <f t="shared" si="804"/>
        <v>0</v>
      </c>
      <c r="BT130" s="270">
        <f t="shared" si="804"/>
        <v>0</v>
      </c>
      <c r="BU130" s="270">
        <f t="shared" si="804"/>
        <v>0</v>
      </c>
      <c r="BV130" s="270">
        <f t="shared" si="804"/>
        <v>0</v>
      </c>
      <c r="BW130" s="270">
        <f t="shared" si="804"/>
        <v>0</v>
      </c>
      <c r="BX130" s="270">
        <f t="shared" si="804"/>
        <v>0</v>
      </c>
      <c r="BY130" s="270">
        <f t="shared" si="804"/>
        <v>-0.05</v>
      </c>
      <c r="BZ130" s="270">
        <f t="shared" si="804"/>
        <v>-0.03</v>
      </c>
      <c r="CA130" s="270">
        <f t="shared" si="804"/>
        <v>0</v>
      </c>
      <c r="CB130" s="270">
        <f t="shared" si="804"/>
        <v>0</v>
      </c>
      <c r="CC130" s="270">
        <f t="shared" si="804"/>
        <v>0</v>
      </c>
      <c r="CD130" s="270">
        <f t="shared" si="804"/>
        <v>0</v>
      </c>
      <c r="CE130" s="270">
        <f t="shared" si="804"/>
        <v>0</v>
      </c>
      <c r="CF130" s="270">
        <f t="shared" si="804"/>
        <v>0</v>
      </c>
      <c r="CG130" s="270">
        <f t="shared" si="804"/>
        <v>0</v>
      </c>
      <c r="CH130" s="270">
        <f t="shared" si="804"/>
        <v>0</v>
      </c>
      <c r="CI130" s="270">
        <f t="shared" si="804"/>
        <v>0</v>
      </c>
      <c r="CJ130" s="270">
        <f t="shared" si="804"/>
        <v>0</v>
      </c>
      <c r="CK130" s="270">
        <f t="shared" si="804"/>
        <v>0</v>
      </c>
      <c r="CL130" s="270">
        <f t="shared" si="804"/>
        <v>0</v>
      </c>
      <c r="CM130" s="270">
        <f t="shared" si="804"/>
        <v>0</v>
      </c>
      <c r="CN130" s="270">
        <f t="shared" si="804"/>
        <v>0</v>
      </c>
      <c r="CO130" s="270">
        <f t="shared" si="804"/>
        <v>0</v>
      </c>
      <c r="CP130" s="270">
        <f t="shared" si="804"/>
        <v>0</v>
      </c>
      <c r="CQ130" s="215"/>
      <c r="CR130" s="270">
        <f t="shared" si="27"/>
        <v>-0.08</v>
      </c>
      <c r="CS130" s="215"/>
      <c r="CT130" s="270">
        <f t="shared" ref="CT130:DX130" si="805">IF(AI129&gt;0,IF((AI129+BN130)&lt;E$10,AI129+BN130,E$10),0)</f>
        <v>0</v>
      </c>
      <c r="CU130" s="270">
        <f t="shared" si="805"/>
        <v>0</v>
      </c>
      <c r="CV130" s="270">
        <f t="shared" si="805"/>
        <v>0</v>
      </c>
      <c r="CW130" s="270">
        <f t="shared" si="805"/>
        <v>0</v>
      </c>
      <c r="CX130" s="270">
        <f t="shared" si="805"/>
        <v>0</v>
      </c>
      <c r="CY130" s="270">
        <f t="shared" si="805"/>
        <v>0</v>
      </c>
      <c r="CZ130" s="270">
        <f t="shared" si="805"/>
        <v>0</v>
      </c>
      <c r="DA130" s="270">
        <f t="shared" si="805"/>
        <v>0</v>
      </c>
      <c r="DB130" s="270">
        <f t="shared" si="805"/>
        <v>0</v>
      </c>
      <c r="DC130" s="270">
        <f t="shared" si="805"/>
        <v>0</v>
      </c>
      <c r="DD130" s="270">
        <f t="shared" si="805"/>
        <v>0</v>
      </c>
      <c r="DE130" s="270">
        <f t="shared" si="805"/>
        <v>0</v>
      </c>
      <c r="DF130" s="270">
        <f t="shared" si="805"/>
        <v>0</v>
      </c>
      <c r="DG130" s="270">
        <f t="shared" si="805"/>
        <v>0</v>
      </c>
      <c r="DH130" s="270">
        <f t="shared" si="805"/>
        <v>0</v>
      </c>
      <c r="DI130" s="270">
        <f t="shared" si="805"/>
        <v>0</v>
      </c>
      <c r="DJ130" s="270">
        <f t="shared" si="805"/>
        <v>0</v>
      </c>
      <c r="DK130" s="270">
        <f t="shared" si="805"/>
        <v>0</v>
      </c>
      <c r="DL130" s="270">
        <f t="shared" si="805"/>
        <v>0</v>
      </c>
      <c r="DM130" s="270">
        <f t="shared" si="805"/>
        <v>0</v>
      </c>
      <c r="DN130" s="270">
        <f t="shared" si="805"/>
        <v>0</v>
      </c>
      <c r="DO130" s="270">
        <f t="shared" si="805"/>
        <v>0</v>
      </c>
      <c r="DP130" s="270">
        <f t="shared" si="805"/>
        <v>0</v>
      </c>
      <c r="DQ130" s="270">
        <f t="shared" si="805"/>
        <v>0</v>
      </c>
      <c r="DR130" s="270">
        <f t="shared" si="805"/>
        <v>0</v>
      </c>
      <c r="DS130" s="270">
        <f t="shared" si="805"/>
        <v>0</v>
      </c>
      <c r="DT130" s="270">
        <f t="shared" si="805"/>
        <v>0</v>
      </c>
      <c r="DU130" s="270">
        <f t="shared" si="805"/>
        <v>0</v>
      </c>
      <c r="DV130" s="270">
        <f t="shared" si="805"/>
        <v>0</v>
      </c>
      <c r="DW130" s="270">
        <f t="shared" si="805"/>
        <v>0</v>
      </c>
      <c r="DX130" s="270">
        <f t="shared" si="805"/>
        <v>0</v>
      </c>
      <c r="DY130" s="270">
        <f t="shared" si="29"/>
        <v>0</v>
      </c>
      <c r="DZ130" s="274"/>
      <c r="EA130" s="275">
        <f t="shared" si="38"/>
        <v>0</v>
      </c>
      <c r="EB130" s="270">
        <f t="shared" ref="EB130:FC130" si="806">IF(AJ128&lt;=0,0,IF($C129&lt;=SUM($EA130:EA130),0,IF(CU129+$C129-SUM($EA130:EA130)&gt;AJ128+BO129,AJ128+BO129-CU129,$C129-SUM($EA130:EA130))))</f>
        <v>0</v>
      </c>
      <c r="EC130" s="270">
        <f t="shared" si="806"/>
        <v>0</v>
      </c>
      <c r="ED130" s="270">
        <f t="shared" si="806"/>
        <v>0</v>
      </c>
      <c r="EE130" s="270">
        <f t="shared" si="806"/>
        <v>0</v>
      </c>
      <c r="EF130" s="270">
        <f t="shared" si="806"/>
        <v>0</v>
      </c>
      <c r="EG130" s="270">
        <f t="shared" si="806"/>
        <v>0</v>
      </c>
      <c r="EH130" s="270">
        <f t="shared" si="806"/>
        <v>0</v>
      </c>
      <c r="EI130" s="270">
        <f t="shared" si="806"/>
        <v>0</v>
      </c>
      <c r="EJ130" s="270">
        <f t="shared" si="806"/>
        <v>0</v>
      </c>
      <c r="EK130" s="270">
        <f t="shared" si="806"/>
        <v>0</v>
      </c>
      <c r="EL130" s="270">
        <f t="shared" si="806"/>
        <v>0</v>
      </c>
      <c r="EM130" s="270">
        <f t="shared" si="806"/>
        <v>0</v>
      </c>
      <c r="EN130" s="270">
        <f t="shared" si="806"/>
        <v>0</v>
      </c>
      <c r="EO130" s="270">
        <f t="shared" si="806"/>
        <v>0</v>
      </c>
      <c r="EP130" s="270">
        <f t="shared" si="806"/>
        <v>0</v>
      </c>
      <c r="EQ130" s="270">
        <f t="shared" si="806"/>
        <v>0</v>
      </c>
      <c r="ER130" s="270">
        <f t="shared" si="806"/>
        <v>0</v>
      </c>
      <c r="ES130" s="270">
        <f t="shared" si="806"/>
        <v>0</v>
      </c>
      <c r="ET130" s="270">
        <f t="shared" si="806"/>
        <v>0</v>
      </c>
      <c r="EU130" s="270">
        <f t="shared" si="806"/>
        <v>0</v>
      </c>
      <c r="EV130" s="270">
        <f t="shared" si="806"/>
        <v>0</v>
      </c>
      <c r="EW130" s="270">
        <f t="shared" si="806"/>
        <v>0</v>
      </c>
      <c r="EX130" s="270">
        <f t="shared" si="806"/>
        <v>0</v>
      </c>
      <c r="EY130" s="270">
        <f t="shared" si="806"/>
        <v>0</v>
      </c>
      <c r="EZ130" s="270">
        <f t="shared" si="806"/>
        <v>0</v>
      </c>
      <c r="FA130" s="270">
        <f t="shared" si="806"/>
        <v>0</v>
      </c>
      <c r="FB130" s="270">
        <f t="shared" si="806"/>
        <v>0</v>
      </c>
      <c r="FC130" s="270">
        <f t="shared" si="806"/>
        <v>0</v>
      </c>
      <c r="FD130" s="271"/>
      <c r="FE130" s="271"/>
      <c r="FF130" s="271"/>
      <c r="FG130" s="215"/>
      <c r="FH130" s="215"/>
    </row>
    <row r="131" ht="11.25" customHeight="1">
      <c r="A131" s="215" t="str">
        <f t="shared" si="19"/>
        <v/>
      </c>
      <c r="B131" s="241" t="str">
        <f t="shared" si="600"/>
        <v>#N/A</v>
      </c>
      <c r="C131" s="271" t="str">
        <f>IF(A131="","",IF(Calculator!snowball,IF(($E$5-DY131)&lt;0,0,$E$5-DY131),0)+D131)</f>
        <v/>
      </c>
      <c r="D131" s="271"/>
      <c r="E131" s="270">
        <f t="shared" si="40"/>
        <v>0</v>
      </c>
      <c r="F131" s="270">
        <f t="shared" ref="F131:AG131" si="807">CU131+EB132</f>
        <v>0</v>
      </c>
      <c r="G131" s="270">
        <f t="shared" si="807"/>
        <v>0</v>
      </c>
      <c r="H131" s="270">
        <f t="shared" si="807"/>
        <v>0</v>
      </c>
      <c r="I131" s="270">
        <f t="shared" si="807"/>
        <v>0</v>
      </c>
      <c r="J131" s="270">
        <f t="shared" si="807"/>
        <v>0</v>
      </c>
      <c r="K131" s="270">
        <f t="shared" si="807"/>
        <v>0</v>
      </c>
      <c r="L131" s="270">
        <f t="shared" si="807"/>
        <v>0</v>
      </c>
      <c r="M131" s="270">
        <f t="shared" si="807"/>
        <v>0</v>
      </c>
      <c r="N131" s="270">
        <f t="shared" si="807"/>
        <v>0</v>
      </c>
      <c r="O131" s="270">
        <f t="shared" si="807"/>
        <v>0</v>
      </c>
      <c r="P131" s="272">
        <f t="shared" si="807"/>
        <v>0</v>
      </c>
      <c r="Q131" s="272">
        <f t="shared" si="807"/>
        <v>0</v>
      </c>
      <c r="R131" s="272">
        <f t="shared" si="807"/>
        <v>0</v>
      </c>
      <c r="S131" s="272">
        <f t="shared" si="807"/>
        <v>0</v>
      </c>
      <c r="T131" s="272">
        <f t="shared" si="807"/>
        <v>0</v>
      </c>
      <c r="U131" s="270">
        <f t="shared" si="807"/>
        <v>0</v>
      </c>
      <c r="V131" s="270">
        <f t="shared" si="807"/>
        <v>0</v>
      </c>
      <c r="W131" s="270">
        <f t="shared" si="807"/>
        <v>0</v>
      </c>
      <c r="X131" s="270">
        <f t="shared" si="807"/>
        <v>0</v>
      </c>
      <c r="Y131" s="270">
        <f t="shared" si="807"/>
        <v>0</v>
      </c>
      <c r="Z131" s="270">
        <f t="shared" si="807"/>
        <v>0</v>
      </c>
      <c r="AA131" s="270">
        <f t="shared" si="807"/>
        <v>0</v>
      </c>
      <c r="AB131" s="270">
        <f t="shared" si="807"/>
        <v>0</v>
      </c>
      <c r="AC131" s="270">
        <f t="shared" si="807"/>
        <v>0</v>
      </c>
      <c r="AD131" s="270">
        <f t="shared" si="807"/>
        <v>0</v>
      </c>
      <c r="AE131" s="270">
        <f t="shared" si="807"/>
        <v>0</v>
      </c>
      <c r="AF131" s="270">
        <f t="shared" si="807"/>
        <v>0</v>
      </c>
      <c r="AG131" s="270">
        <f t="shared" si="807"/>
        <v>0</v>
      </c>
      <c r="AH131" s="279">
        <f t="shared" si="602"/>
        <v>0</v>
      </c>
      <c r="AI131" s="270">
        <f t="shared" si="43"/>
        <v>0</v>
      </c>
      <c r="AJ131" s="270">
        <f t="shared" ref="AJ131:AO131" si="808">IF(F$8=0,0,ROUND(AJ130-(F131-BO131),2))</f>
        <v>0</v>
      </c>
      <c r="AK131" s="270">
        <f t="shared" si="808"/>
        <v>0</v>
      </c>
      <c r="AL131" s="270">
        <f t="shared" si="808"/>
        <v>0</v>
      </c>
      <c r="AM131" s="270">
        <f t="shared" si="808"/>
        <v>0</v>
      </c>
      <c r="AN131" s="270">
        <f t="shared" si="808"/>
        <v>0</v>
      </c>
      <c r="AO131" s="270">
        <f t="shared" si="808"/>
        <v>0</v>
      </c>
      <c r="AP131" s="270">
        <v>0.0</v>
      </c>
      <c r="AQ131" s="270">
        <f t="shared" ref="AQ131:AS131" si="809">IF(M$8=0,0,ROUND(AQ130-(M131-BV131),2))</f>
        <v>0</v>
      </c>
      <c r="AR131" s="270">
        <f t="shared" si="809"/>
        <v>0</v>
      </c>
      <c r="AS131" s="270">
        <f t="shared" si="809"/>
        <v>0</v>
      </c>
      <c r="AT131" s="270">
        <f t="shared" si="605"/>
        <v>-6.22</v>
      </c>
      <c r="AU131" s="270">
        <f t="shared" ref="AU131:BK131" si="810">IF(Q$8=0,0,ROUND(AU130-(Q131-BY131),2))</f>
        <v>-9.58</v>
      </c>
      <c r="AV131" s="270">
        <f t="shared" si="810"/>
        <v>0</v>
      </c>
      <c r="AW131" s="270">
        <f t="shared" si="810"/>
        <v>0</v>
      </c>
      <c r="AX131" s="270">
        <f t="shared" si="810"/>
        <v>0</v>
      </c>
      <c r="AY131" s="270">
        <f t="shared" si="810"/>
        <v>0</v>
      </c>
      <c r="AZ131" s="270">
        <f t="shared" si="810"/>
        <v>0</v>
      </c>
      <c r="BA131" s="270">
        <f t="shared" si="810"/>
        <v>0</v>
      </c>
      <c r="BB131" s="270">
        <f t="shared" si="810"/>
        <v>0</v>
      </c>
      <c r="BC131" s="270">
        <f t="shared" si="810"/>
        <v>0</v>
      </c>
      <c r="BD131" s="270">
        <f t="shared" si="810"/>
        <v>0</v>
      </c>
      <c r="BE131" s="270">
        <f t="shared" si="810"/>
        <v>0</v>
      </c>
      <c r="BF131" s="270">
        <f t="shared" si="810"/>
        <v>0</v>
      </c>
      <c r="BG131" s="270">
        <f t="shared" si="810"/>
        <v>0</v>
      </c>
      <c r="BH131" s="270">
        <f t="shared" si="810"/>
        <v>0</v>
      </c>
      <c r="BI131" s="270">
        <f t="shared" si="810"/>
        <v>0</v>
      </c>
      <c r="BJ131" s="270">
        <f t="shared" si="810"/>
        <v>0</v>
      </c>
      <c r="BK131" s="270">
        <f t="shared" si="810"/>
        <v>0</v>
      </c>
      <c r="BL131" s="265">
        <f t="shared" si="16"/>
        <v>-15.8</v>
      </c>
      <c r="BM131" s="215"/>
      <c r="BN131" s="270">
        <f t="shared" ref="BN131:CP131" si="811">ROUND(AI130*E$9/12,2)</f>
        <v>0</v>
      </c>
      <c r="BO131" s="270">
        <f t="shared" si="811"/>
        <v>0</v>
      </c>
      <c r="BP131" s="270">
        <f t="shared" si="811"/>
        <v>0</v>
      </c>
      <c r="BQ131" s="270">
        <f t="shared" si="811"/>
        <v>0</v>
      </c>
      <c r="BR131" s="270">
        <f t="shared" si="811"/>
        <v>0</v>
      </c>
      <c r="BS131" s="270">
        <f t="shared" si="811"/>
        <v>0</v>
      </c>
      <c r="BT131" s="270">
        <f t="shared" si="811"/>
        <v>0</v>
      </c>
      <c r="BU131" s="270">
        <f t="shared" si="811"/>
        <v>0</v>
      </c>
      <c r="BV131" s="270">
        <f t="shared" si="811"/>
        <v>0</v>
      </c>
      <c r="BW131" s="270">
        <f t="shared" si="811"/>
        <v>0</v>
      </c>
      <c r="BX131" s="270">
        <f t="shared" si="811"/>
        <v>0</v>
      </c>
      <c r="BY131" s="270">
        <f t="shared" si="811"/>
        <v>-0.05</v>
      </c>
      <c r="BZ131" s="270">
        <f t="shared" si="811"/>
        <v>-0.03</v>
      </c>
      <c r="CA131" s="270">
        <f t="shared" si="811"/>
        <v>0</v>
      </c>
      <c r="CB131" s="270">
        <f t="shared" si="811"/>
        <v>0</v>
      </c>
      <c r="CC131" s="270">
        <f t="shared" si="811"/>
        <v>0</v>
      </c>
      <c r="CD131" s="270">
        <f t="shared" si="811"/>
        <v>0</v>
      </c>
      <c r="CE131" s="270">
        <f t="shared" si="811"/>
        <v>0</v>
      </c>
      <c r="CF131" s="270">
        <f t="shared" si="811"/>
        <v>0</v>
      </c>
      <c r="CG131" s="270">
        <f t="shared" si="811"/>
        <v>0</v>
      </c>
      <c r="CH131" s="270">
        <f t="shared" si="811"/>
        <v>0</v>
      </c>
      <c r="CI131" s="270">
        <f t="shared" si="811"/>
        <v>0</v>
      </c>
      <c r="CJ131" s="270">
        <f t="shared" si="811"/>
        <v>0</v>
      </c>
      <c r="CK131" s="270">
        <f t="shared" si="811"/>
        <v>0</v>
      </c>
      <c r="CL131" s="270">
        <f t="shared" si="811"/>
        <v>0</v>
      </c>
      <c r="CM131" s="270">
        <f t="shared" si="811"/>
        <v>0</v>
      </c>
      <c r="CN131" s="270">
        <f t="shared" si="811"/>
        <v>0</v>
      </c>
      <c r="CO131" s="270">
        <f t="shared" si="811"/>
        <v>0</v>
      </c>
      <c r="CP131" s="270">
        <f t="shared" si="811"/>
        <v>0</v>
      </c>
      <c r="CQ131" s="215"/>
      <c r="CR131" s="270">
        <f t="shared" si="27"/>
        <v>-0.08</v>
      </c>
      <c r="CS131" s="215"/>
      <c r="CT131" s="270">
        <f t="shared" ref="CT131:DX131" si="812">IF(AI130&gt;0,IF((AI130+BN131)&lt;E$10,AI130+BN131,E$10),0)</f>
        <v>0</v>
      </c>
      <c r="CU131" s="270">
        <f t="shared" si="812"/>
        <v>0</v>
      </c>
      <c r="CV131" s="270">
        <f t="shared" si="812"/>
        <v>0</v>
      </c>
      <c r="CW131" s="270">
        <f t="shared" si="812"/>
        <v>0</v>
      </c>
      <c r="CX131" s="270">
        <f t="shared" si="812"/>
        <v>0</v>
      </c>
      <c r="CY131" s="270">
        <f t="shared" si="812"/>
        <v>0</v>
      </c>
      <c r="CZ131" s="270">
        <f t="shared" si="812"/>
        <v>0</v>
      </c>
      <c r="DA131" s="270">
        <f t="shared" si="812"/>
        <v>0</v>
      </c>
      <c r="DB131" s="270">
        <f t="shared" si="812"/>
        <v>0</v>
      </c>
      <c r="DC131" s="270">
        <f t="shared" si="812"/>
        <v>0</v>
      </c>
      <c r="DD131" s="270">
        <f t="shared" si="812"/>
        <v>0</v>
      </c>
      <c r="DE131" s="270">
        <f t="shared" si="812"/>
        <v>0</v>
      </c>
      <c r="DF131" s="270">
        <f t="shared" si="812"/>
        <v>0</v>
      </c>
      <c r="DG131" s="270">
        <f t="shared" si="812"/>
        <v>0</v>
      </c>
      <c r="DH131" s="270">
        <f t="shared" si="812"/>
        <v>0</v>
      </c>
      <c r="DI131" s="270">
        <f t="shared" si="812"/>
        <v>0</v>
      </c>
      <c r="DJ131" s="270">
        <f t="shared" si="812"/>
        <v>0</v>
      </c>
      <c r="DK131" s="270">
        <f t="shared" si="812"/>
        <v>0</v>
      </c>
      <c r="DL131" s="270">
        <f t="shared" si="812"/>
        <v>0</v>
      </c>
      <c r="DM131" s="270">
        <f t="shared" si="812"/>
        <v>0</v>
      </c>
      <c r="DN131" s="270">
        <f t="shared" si="812"/>
        <v>0</v>
      </c>
      <c r="DO131" s="270">
        <f t="shared" si="812"/>
        <v>0</v>
      </c>
      <c r="DP131" s="270">
        <f t="shared" si="812"/>
        <v>0</v>
      </c>
      <c r="DQ131" s="270">
        <f t="shared" si="812"/>
        <v>0</v>
      </c>
      <c r="DR131" s="270">
        <f t="shared" si="812"/>
        <v>0</v>
      </c>
      <c r="DS131" s="270">
        <f t="shared" si="812"/>
        <v>0</v>
      </c>
      <c r="DT131" s="270">
        <f t="shared" si="812"/>
        <v>0</v>
      </c>
      <c r="DU131" s="270">
        <f t="shared" si="812"/>
        <v>0</v>
      </c>
      <c r="DV131" s="270">
        <f t="shared" si="812"/>
        <v>0</v>
      </c>
      <c r="DW131" s="270">
        <f t="shared" si="812"/>
        <v>0</v>
      </c>
      <c r="DX131" s="270">
        <f t="shared" si="812"/>
        <v>0</v>
      </c>
      <c r="DY131" s="270">
        <f t="shared" si="29"/>
        <v>0</v>
      </c>
      <c r="DZ131" s="274"/>
      <c r="EA131" s="275">
        <f t="shared" si="38"/>
        <v>0</v>
      </c>
      <c r="EB131" s="270">
        <f t="shared" ref="EB131:FC131" si="813">IF(AJ129&lt;=0,0,IF($C130&lt;=SUM($EA131:EA131),0,IF(CU130+$C130-SUM($EA131:EA131)&gt;AJ129+BO130,AJ129+BO130-CU130,$C130-SUM($EA131:EA131))))</f>
        <v>0</v>
      </c>
      <c r="EC131" s="270">
        <f t="shared" si="813"/>
        <v>0</v>
      </c>
      <c r="ED131" s="270">
        <f t="shared" si="813"/>
        <v>0</v>
      </c>
      <c r="EE131" s="270">
        <f t="shared" si="813"/>
        <v>0</v>
      </c>
      <c r="EF131" s="270">
        <f t="shared" si="813"/>
        <v>0</v>
      </c>
      <c r="EG131" s="270">
        <f t="shared" si="813"/>
        <v>0</v>
      </c>
      <c r="EH131" s="270">
        <f t="shared" si="813"/>
        <v>0</v>
      </c>
      <c r="EI131" s="270">
        <f t="shared" si="813"/>
        <v>0</v>
      </c>
      <c r="EJ131" s="270">
        <f t="shared" si="813"/>
        <v>0</v>
      </c>
      <c r="EK131" s="270">
        <f t="shared" si="813"/>
        <v>0</v>
      </c>
      <c r="EL131" s="270">
        <f t="shared" si="813"/>
        <v>0</v>
      </c>
      <c r="EM131" s="270">
        <f t="shared" si="813"/>
        <v>0</v>
      </c>
      <c r="EN131" s="270">
        <f t="shared" si="813"/>
        <v>0</v>
      </c>
      <c r="EO131" s="270">
        <f t="shared" si="813"/>
        <v>0</v>
      </c>
      <c r="EP131" s="270">
        <f t="shared" si="813"/>
        <v>0</v>
      </c>
      <c r="EQ131" s="270">
        <f t="shared" si="813"/>
        <v>0</v>
      </c>
      <c r="ER131" s="270">
        <f t="shared" si="813"/>
        <v>0</v>
      </c>
      <c r="ES131" s="270">
        <f t="shared" si="813"/>
        <v>0</v>
      </c>
      <c r="ET131" s="270">
        <f t="shared" si="813"/>
        <v>0</v>
      </c>
      <c r="EU131" s="270">
        <f t="shared" si="813"/>
        <v>0</v>
      </c>
      <c r="EV131" s="270">
        <f t="shared" si="813"/>
        <v>0</v>
      </c>
      <c r="EW131" s="270">
        <f t="shared" si="813"/>
        <v>0</v>
      </c>
      <c r="EX131" s="270">
        <f t="shared" si="813"/>
        <v>0</v>
      </c>
      <c r="EY131" s="270">
        <f t="shared" si="813"/>
        <v>0</v>
      </c>
      <c r="EZ131" s="270">
        <f t="shared" si="813"/>
        <v>0</v>
      </c>
      <c r="FA131" s="270">
        <f t="shared" si="813"/>
        <v>0</v>
      </c>
      <c r="FB131" s="270">
        <f t="shared" si="813"/>
        <v>0</v>
      </c>
      <c r="FC131" s="270">
        <f t="shared" si="813"/>
        <v>0</v>
      </c>
      <c r="FD131" s="271"/>
      <c r="FE131" s="271"/>
      <c r="FF131" s="271"/>
      <c r="FG131" s="215"/>
      <c r="FH131" s="215"/>
    </row>
    <row r="132" ht="11.25" customHeight="1">
      <c r="A132" s="215" t="str">
        <f t="shared" si="19"/>
        <v/>
      </c>
      <c r="B132" s="241" t="str">
        <f t="shared" si="600"/>
        <v>#N/A</v>
      </c>
      <c r="C132" s="271" t="str">
        <f>IF(A132="","",IF(Calculator!snowball,IF(($E$5-DY132)&lt;0,0,$E$5-DY132),0)+D132)</f>
        <v/>
      </c>
      <c r="D132" s="271"/>
      <c r="E132" s="270">
        <f t="shared" si="40"/>
        <v>0</v>
      </c>
      <c r="F132" s="270">
        <f t="shared" ref="F132:AG132" si="814">CU132+EB133</f>
        <v>0</v>
      </c>
      <c r="G132" s="270">
        <f t="shared" si="814"/>
        <v>0</v>
      </c>
      <c r="H132" s="270">
        <f t="shared" si="814"/>
        <v>0</v>
      </c>
      <c r="I132" s="270">
        <f t="shared" si="814"/>
        <v>0</v>
      </c>
      <c r="J132" s="270">
        <f t="shared" si="814"/>
        <v>0</v>
      </c>
      <c r="K132" s="270">
        <f t="shared" si="814"/>
        <v>0</v>
      </c>
      <c r="L132" s="270">
        <f t="shared" si="814"/>
        <v>0</v>
      </c>
      <c r="M132" s="270">
        <f t="shared" si="814"/>
        <v>0</v>
      </c>
      <c r="N132" s="270">
        <f t="shared" si="814"/>
        <v>0</v>
      </c>
      <c r="O132" s="270">
        <f t="shared" si="814"/>
        <v>0</v>
      </c>
      <c r="P132" s="272">
        <f t="shared" si="814"/>
        <v>0</v>
      </c>
      <c r="Q132" s="272">
        <f t="shared" si="814"/>
        <v>0</v>
      </c>
      <c r="R132" s="272">
        <f t="shared" si="814"/>
        <v>0</v>
      </c>
      <c r="S132" s="272">
        <f t="shared" si="814"/>
        <v>0</v>
      </c>
      <c r="T132" s="272">
        <f t="shared" si="814"/>
        <v>0</v>
      </c>
      <c r="U132" s="270">
        <f t="shared" si="814"/>
        <v>0</v>
      </c>
      <c r="V132" s="270">
        <f t="shared" si="814"/>
        <v>0</v>
      </c>
      <c r="W132" s="270">
        <f t="shared" si="814"/>
        <v>0</v>
      </c>
      <c r="X132" s="270">
        <f t="shared" si="814"/>
        <v>0</v>
      </c>
      <c r="Y132" s="270">
        <f t="shared" si="814"/>
        <v>0</v>
      </c>
      <c r="Z132" s="270">
        <f t="shared" si="814"/>
        <v>0</v>
      </c>
      <c r="AA132" s="270">
        <f t="shared" si="814"/>
        <v>0</v>
      </c>
      <c r="AB132" s="270">
        <f t="shared" si="814"/>
        <v>0</v>
      </c>
      <c r="AC132" s="270">
        <f t="shared" si="814"/>
        <v>0</v>
      </c>
      <c r="AD132" s="270">
        <f t="shared" si="814"/>
        <v>0</v>
      </c>
      <c r="AE132" s="270">
        <f t="shared" si="814"/>
        <v>0</v>
      </c>
      <c r="AF132" s="270">
        <f t="shared" si="814"/>
        <v>0</v>
      </c>
      <c r="AG132" s="270">
        <f t="shared" si="814"/>
        <v>0</v>
      </c>
      <c r="AH132" s="279">
        <f t="shared" si="602"/>
        <v>0</v>
      </c>
      <c r="AI132" s="270">
        <f t="shared" si="43"/>
        <v>0</v>
      </c>
      <c r="AJ132" s="270">
        <f t="shared" ref="AJ132:AO132" si="815">IF(F$8=0,0,ROUND(AJ131-(F132-BO132),2))</f>
        <v>0</v>
      </c>
      <c r="AK132" s="270">
        <f t="shared" si="815"/>
        <v>0</v>
      </c>
      <c r="AL132" s="270">
        <f t="shared" si="815"/>
        <v>0</v>
      </c>
      <c r="AM132" s="270">
        <f t="shared" si="815"/>
        <v>0</v>
      </c>
      <c r="AN132" s="270">
        <f t="shared" si="815"/>
        <v>0</v>
      </c>
      <c r="AO132" s="270">
        <f t="shared" si="815"/>
        <v>0</v>
      </c>
      <c r="AP132" s="270">
        <v>0.0</v>
      </c>
      <c r="AQ132" s="270">
        <f t="shared" ref="AQ132:AS132" si="816">IF(M$8=0,0,ROUND(AQ131-(M132-BV132),2))</f>
        <v>0</v>
      </c>
      <c r="AR132" s="270">
        <f t="shared" si="816"/>
        <v>0</v>
      </c>
      <c r="AS132" s="270">
        <f t="shared" si="816"/>
        <v>0</v>
      </c>
      <c r="AT132" s="270">
        <f t="shared" si="605"/>
        <v>-6.22</v>
      </c>
      <c r="AU132" s="270">
        <f t="shared" ref="AU132:BK132" si="817">IF(Q$8=0,0,ROUND(AU131-(Q132-BY132),2))</f>
        <v>-9.63</v>
      </c>
      <c r="AV132" s="270">
        <f t="shared" si="817"/>
        <v>0</v>
      </c>
      <c r="AW132" s="270">
        <f t="shared" si="817"/>
        <v>0</v>
      </c>
      <c r="AX132" s="270">
        <f t="shared" si="817"/>
        <v>0</v>
      </c>
      <c r="AY132" s="270">
        <f t="shared" si="817"/>
        <v>0</v>
      </c>
      <c r="AZ132" s="270">
        <f t="shared" si="817"/>
        <v>0</v>
      </c>
      <c r="BA132" s="270">
        <f t="shared" si="817"/>
        <v>0</v>
      </c>
      <c r="BB132" s="270">
        <f t="shared" si="817"/>
        <v>0</v>
      </c>
      <c r="BC132" s="270">
        <f t="shared" si="817"/>
        <v>0</v>
      </c>
      <c r="BD132" s="270">
        <f t="shared" si="817"/>
        <v>0</v>
      </c>
      <c r="BE132" s="270">
        <f t="shared" si="817"/>
        <v>0</v>
      </c>
      <c r="BF132" s="270">
        <f t="shared" si="817"/>
        <v>0</v>
      </c>
      <c r="BG132" s="270">
        <f t="shared" si="817"/>
        <v>0</v>
      </c>
      <c r="BH132" s="270">
        <f t="shared" si="817"/>
        <v>0</v>
      </c>
      <c r="BI132" s="270">
        <f t="shared" si="817"/>
        <v>0</v>
      </c>
      <c r="BJ132" s="270">
        <f t="shared" si="817"/>
        <v>0</v>
      </c>
      <c r="BK132" s="270">
        <f t="shared" si="817"/>
        <v>0</v>
      </c>
      <c r="BL132" s="265">
        <f t="shared" si="16"/>
        <v>-15.85</v>
      </c>
      <c r="BM132" s="215"/>
      <c r="BN132" s="270">
        <f t="shared" ref="BN132:CP132" si="818">ROUND(AI131*E$9/12,2)</f>
        <v>0</v>
      </c>
      <c r="BO132" s="270">
        <f t="shared" si="818"/>
        <v>0</v>
      </c>
      <c r="BP132" s="270">
        <f t="shared" si="818"/>
        <v>0</v>
      </c>
      <c r="BQ132" s="270">
        <f t="shared" si="818"/>
        <v>0</v>
      </c>
      <c r="BR132" s="270">
        <f t="shared" si="818"/>
        <v>0</v>
      </c>
      <c r="BS132" s="270">
        <f t="shared" si="818"/>
        <v>0</v>
      </c>
      <c r="BT132" s="270">
        <f t="shared" si="818"/>
        <v>0</v>
      </c>
      <c r="BU132" s="270">
        <f t="shared" si="818"/>
        <v>0</v>
      </c>
      <c r="BV132" s="270">
        <f t="shared" si="818"/>
        <v>0</v>
      </c>
      <c r="BW132" s="270">
        <f t="shared" si="818"/>
        <v>0</v>
      </c>
      <c r="BX132" s="270">
        <f t="shared" si="818"/>
        <v>0</v>
      </c>
      <c r="BY132" s="270">
        <f t="shared" si="818"/>
        <v>-0.05</v>
      </c>
      <c r="BZ132" s="270">
        <f t="shared" si="818"/>
        <v>-0.03</v>
      </c>
      <c r="CA132" s="270">
        <f t="shared" si="818"/>
        <v>0</v>
      </c>
      <c r="CB132" s="270">
        <f t="shared" si="818"/>
        <v>0</v>
      </c>
      <c r="CC132" s="270">
        <f t="shared" si="818"/>
        <v>0</v>
      </c>
      <c r="CD132" s="270">
        <f t="shared" si="818"/>
        <v>0</v>
      </c>
      <c r="CE132" s="270">
        <f t="shared" si="818"/>
        <v>0</v>
      </c>
      <c r="CF132" s="270">
        <f t="shared" si="818"/>
        <v>0</v>
      </c>
      <c r="CG132" s="270">
        <f t="shared" si="818"/>
        <v>0</v>
      </c>
      <c r="CH132" s="270">
        <f t="shared" si="818"/>
        <v>0</v>
      </c>
      <c r="CI132" s="270">
        <f t="shared" si="818"/>
        <v>0</v>
      </c>
      <c r="CJ132" s="270">
        <f t="shared" si="818"/>
        <v>0</v>
      </c>
      <c r="CK132" s="270">
        <f t="shared" si="818"/>
        <v>0</v>
      </c>
      <c r="CL132" s="270">
        <f t="shared" si="818"/>
        <v>0</v>
      </c>
      <c r="CM132" s="270">
        <f t="shared" si="818"/>
        <v>0</v>
      </c>
      <c r="CN132" s="270">
        <f t="shared" si="818"/>
        <v>0</v>
      </c>
      <c r="CO132" s="270">
        <f t="shared" si="818"/>
        <v>0</v>
      </c>
      <c r="CP132" s="270">
        <f t="shared" si="818"/>
        <v>0</v>
      </c>
      <c r="CQ132" s="215"/>
      <c r="CR132" s="270">
        <f t="shared" si="27"/>
        <v>-0.08</v>
      </c>
      <c r="CS132" s="215"/>
      <c r="CT132" s="270">
        <f t="shared" ref="CT132:DX132" si="819">IF(AI131&gt;0,IF((AI131+BN132)&lt;E$10,AI131+BN132,E$10),0)</f>
        <v>0</v>
      </c>
      <c r="CU132" s="270">
        <f t="shared" si="819"/>
        <v>0</v>
      </c>
      <c r="CV132" s="270">
        <f t="shared" si="819"/>
        <v>0</v>
      </c>
      <c r="CW132" s="270">
        <f t="shared" si="819"/>
        <v>0</v>
      </c>
      <c r="CX132" s="270">
        <f t="shared" si="819"/>
        <v>0</v>
      </c>
      <c r="CY132" s="270">
        <f t="shared" si="819"/>
        <v>0</v>
      </c>
      <c r="CZ132" s="270">
        <f t="shared" si="819"/>
        <v>0</v>
      </c>
      <c r="DA132" s="270">
        <f t="shared" si="819"/>
        <v>0</v>
      </c>
      <c r="DB132" s="270">
        <f t="shared" si="819"/>
        <v>0</v>
      </c>
      <c r="DC132" s="270">
        <f t="shared" si="819"/>
        <v>0</v>
      </c>
      <c r="DD132" s="270">
        <f t="shared" si="819"/>
        <v>0</v>
      </c>
      <c r="DE132" s="270">
        <f t="shared" si="819"/>
        <v>0</v>
      </c>
      <c r="DF132" s="270">
        <f t="shared" si="819"/>
        <v>0</v>
      </c>
      <c r="DG132" s="270">
        <f t="shared" si="819"/>
        <v>0</v>
      </c>
      <c r="DH132" s="270">
        <f t="shared" si="819"/>
        <v>0</v>
      </c>
      <c r="DI132" s="270">
        <f t="shared" si="819"/>
        <v>0</v>
      </c>
      <c r="DJ132" s="270">
        <f t="shared" si="819"/>
        <v>0</v>
      </c>
      <c r="DK132" s="270">
        <f t="shared" si="819"/>
        <v>0</v>
      </c>
      <c r="DL132" s="270">
        <f t="shared" si="819"/>
        <v>0</v>
      </c>
      <c r="DM132" s="270">
        <f t="shared" si="819"/>
        <v>0</v>
      </c>
      <c r="DN132" s="270">
        <f t="shared" si="819"/>
        <v>0</v>
      </c>
      <c r="DO132" s="270">
        <f t="shared" si="819"/>
        <v>0</v>
      </c>
      <c r="DP132" s="270">
        <f t="shared" si="819"/>
        <v>0</v>
      </c>
      <c r="DQ132" s="270">
        <f t="shared" si="819"/>
        <v>0</v>
      </c>
      <c r="DR132" s="270">
        <f t="shared" si="819"/>
        <v>0</v>
      </c>
      <c r="DS132" s="270">
        <f t="shared" si="819"/>
        <v>0</v>
      </c>
      <c r="DT132" s="270">
        <f t="shared" si="819"/>
        <v>0</v>
      </c>
      <c r="DU132" s="270">
        <f t="shared" si="819"/>
        <v>0</v>
      </c>
      <c r="DV132" s="270">
        <f t="shared" si="819"/>
        <v>0</v>
      </c>
      <c r="DW132" s="270">
        <f t="shared" si="819"/>
        <v>0</v>
      </c>
      <c r="DX132" s="270">
        <f t="shared" si="819"/>
        <v>0</v>
      </c>
      <c r="DY132" s="270">
        <f t="shared" si="29"/>
        <v>0</v>
      </c>
      <c r="DZ132" s="274"/>
      <c r="EA132" s="275">
        <f t="shared" si="38"/>
        <v>0</v>
      </c>
      <c r="EB132" s="270">
        <f t="shared" ref="EB132:FC132" si="820">IF(AJ130&lt;=0,0,IF($C131&lt;=SUM($EA132:EA132),0,IF(CU131+$C131-SUM($EA132:EA132)&gt;AJ130+BO131,AJ130+BO131-CU131,$C131-SUM($EA132:EA132))))</f>
        <v>0</v>
      </c>
      <c r="EC132" s="270">
        <f t="shared" si="820"/>
        <v>0</v>
      </c>
      <c r="ED132" s="270">
        <f t="shared" si="820"/>
        <v>0</v>
      </c>
      <c r="EE132" s="270">
        <f t="shared" si="820"/>
        <v>0</v>
      </c>
      <c r="EF132" s="270">
        <f t="shared" si="820"/>
        <v>0</v>
      </c>
      <c r="EG132" s="270">
        <f t="shared" si="820"/>
        <v>0</v>
      </c>
      <c r="EH132" s="270">
        <f t="shared" si="820"/>
        <v>0</v>
      </c>
      <c r="EI132" s="270">
        <f t="shared" si="820"/>
        <v>0</v>
      </c>
      <c r="EJ132" s="270">
        <f t="shared" si="820"/>
        <v>0</v>
      </c>
      <c r="EK132" s="270">
        <f t="shared" si="820"/>
        <v>0</v>
      </c>
      <c r="EL132" s="270">
        <f t="shared" si="820"/>
        <v>0</v>
      </c>
      <c r="EM132" s="270">
        <f t="shared" si="820"/>
        <v>0</v>
      </c>
      <c r="EN132" s="270">
        <f t="shared" si="820"/>
        <v>0</v>
      </c>
      <c r="EO132" s="270">
        <f t="shared" si="820"/>
        <v>0</v>
      </c>
      <c r="EP132" s="270">
        <f t="shared" si="820"/>
        <v>0</v>
      </c>
      <c r="EQ132" s="270">
        <f t="shared" si="820"/>
        <v>0</v>
      </c>
      <c r="ER132" s="270">
        <f t="shared" si="820"/>
        <v>0</v>
      </c>
      <c r="ES132" s="270">
        <f t="shared" si="820"/>
        <v>0</v>
      </c>
      <c r="ET132" s="270">
        <f t="shared" si="820"/>
        <v>0</v>
      </c>
      <c r="EU132" s="270">
        <f t="shared" si="820"/>
        <v>0</v>
      </c>
      <c r="EV132" s="270">
        <f t="shared" si="820"/>
        <v>0</v>
      </c>
      <c r="EW132" s="270">
        <f t="shared" si="820"/>
        <v>0</v>
      </c>
      <c r="EX132" s="270">
        <f t="shared" si="820"/>
        <v>0</v>
      </c>
      <c r="EY132" s="270">
        <f t="shared" si="820"/>
        <v>0</v>
      </c>
      <c r="EZ132" s="270">
        <f t="shared" si="820"/>
        <v>0</v>
      </c>
      <c r="FA132" s="270">
        <f t="shared" si="820"/>
        <v>0</v>
      </c>
      <c r="FB132" s="270">
        <f t="shared" si="820"/>
        <v>0</v>
      </c>
      <c r="FC132" s="270">
        <f t="shared" si="820"/>
        <v>0</v>
      </c>
      <c r="FD132" s="271"/>
      <c r="FE132" s="271"/>
      <c r="FF132" s="271"/>
      <c r="FG132" s="215"/>
      <c r="FH132" s="215"/>
    </row>
    <row r="133" ht="11.25" customHeight="1">
      <c r="A133" s="215" t="str">
        <f t="shared" si="19"/>
        <v/>
      </c>
      <c r="B133" s="241" t="str">
        <f t="shared" si="600"/>
        <v>#N/A</v>
      </c>
      <c r="C133" s="271" t="str">
        <f>IF(A133="","",IF(Calculator!snowball,IF(($E$5-DY133)&lt;0,0,$E$5-DY133),0)+D133)</f>
        <v/>
      </c>
      <c r="D133" s="271"/>
      <c r="E133" s="270">
        <f t="shared" si="40"/>
        <v>0</v>
      </c>
      <c r="F133" s="270">
        <f t="shared" ref="F133:AG133" si="821">CU133+EB134</f>
        <v>0</v>
      </c>
      <c r="G133" s="270">
        <f t="shared" si="821"/>
        <v>0</v>
      </c>
      <c r="H133" s="270">
        <f t="shared" si="821"/>
        <v>0</v>
      </c>
      <c r="I133" s="270">
        <f t="shared" si="821"/>
        <v>0</v>
      </c>
      <c r="J133" s="270">
        <f t="shared" si="821"/>
        <v>0</v>
      </c>
      <c r="K133" s="270">
        <f t="shared" si="821"/>
        <v>0</v>
      </c>
      <c r="L133" s="270">
        <f t="shared" si="821"/>
        <v>0</v>
      </c>
      <c r="M133" s="270">
        <f t="shared" si="821"/>
        <v>0</v>
      </c>
      <c r="N133" s="270">
        <f t="shared" si="821"/>
        <v>0</v>
      </c>
      <c r="O133" s="270">
        <f t="shared" si="821"/>
        <v>0</v>
      </c>
      <c r="P133" s="272">
        <f t="shared" si="821"/>
        <v>0</v>
      </c>
      <c r="Q133" s="272">
        <f t="shared" si="821"/>
        <v>0</v>
      </c>
      <c r="R133" s="272">
        <f t="shared" si="821"/>
        <v>0</v>
      </c>
      <c r="S133" s="272">
        <f t="shared" si="821"/>
        <v>0</v>
      </c>
      <c r="T133" s="272">
        <f t="shared" si="821"/>
        <v>0</v>
      </c>
      <c r="U133" s="270">
        <f t="shared" si="821"/>
        <v>0</v>
      </c>
      <c r="V133" s="270">
        <f t="shared" si="821"/>
        <v>0</v>
      </c>
      <c r="W133" s="270">
        <f t="shared" si="821"/>
        <v>0</v>
      </c>
      <c r="X133" s="270">
        <f t="shared" si="821"/>
        <v>0</v>
      </c>
      <c r="Y133" s="270">
        <f t="shared" si="821"/>
        <v>0</v>
      </c>
      <c r="Z133" s="270">
        <f t="shared" si="821"/>
        <v>0</v>
      </c>
      <c r="AA133" s="270">
        <f t="shared" si="821"/>
        <v>0</v>
      </c>
      <c r="AB133" s="270">
        <f t="shared" si="821"/>
        <v>0</v>
      </c>
      <c r="AC133" s="270">
        <f t="shared" si="821"/>
        <v>0</v>
      </c>
      <c r="AD133" s="270">
        <f t="shared" si="821"/>
        <v>0</v>
      </c>
      <c r="AE133" s="270">
        <f t="shared" si="821"/>
        <v>0</v>
      </c>
      <c r="AF133" s="270">
        <f t="shared" si="821"/>
        <v>0</v>
      </c>
      <c r="AG133" s="270">
        <f t="shared" si="821"/>
        <v>0</v>
      </c>
      <c r="AH133" s="279">
        <f t="shared" si="602"/>
        <v>0</v>
      </c>
      <c r="AI133" s="270">
        <f t="shared" si="43"/>
        <v>0</v>
      </c>
      <c r="AJ133" s="270">
        <f t="shared" ref="AJ133:AO133" si="822">IF(F$8=0,0,ROUND(AJ132-(F133-BO133),2))</f>
        <v>0</v>
      </c>
      <c r="AK133" s="270">
        <f t="shared" si="822"/>
        <v>0</v>
      </c>
      <c r="AL133" s="270">
        <f t="shared" si="822"/>
        <v>0</v>
      </c>
      <c r="AM133" s="270">
        <f t="shared" si="822"/>
        <v>0</v>
      </c>
      <c r="AN133" s="270">
        <f t="shared" si="822"/>
        <v>0</v>
      </c>
      <c r="AO133" s="270">
        <f t="shared" si="822"/>
        <v>0</v>
      </c>
      <c r="AP133" s="270">
        <v>0.0</v>
      </c>
      <c r="AQ133" s="270">
        <f t="shared" ref="AQ133:AS133" si="823">IF(M$8=0,0,ROUND(AQ132-(M133-BV133),2))</f>
        <v>0</v>
      </c>
      <c r="AR133" s="270">
        <f t="shared" si="823"/>
        <v>0</v>
      </c>
      <c r="AS133" s="270">
        <f t="shared" si="823"/>
        <v>0</v>
      </c>
      <c r="AT133" s="270">
        <f t="shared" si="605"/>
        <v>-6.22</v>
      </c>
      <c r="AU133" s="270">
        <f t="shared" ref="AU133:BK133" si="824">IF(Q$8=0,0,ROUND(AU132-(Q133-BY133),2))</f>
        <v>-9.68</v>
      </c>
      <c r="AV133" s="270">
        <f t="shared" si="824"/>
        <v>0</v>
      </c>
      <c r="AW133" s="270">
        <f t="shared" si="824"/>
        <v>0</v>
      </c>
      <c r="AX133" s="270">
        <f t="shared" si="824"/>
        <v>0</v>
      </c>
      <c r="AY133" s="270">
        <f t="shared" si="824"/>
        <v>0</v>
      </c>
      <c r="AZ133" s="270">
        <f t="shared" si="824"/>
        <v>0</v>
      </c>
      <c r="BA133" s="270">
        <f t="shared" si="824"/>
        <v>0</v>
      </c>
      <c r="BB133" s="270">
        <f t="shared" si="824"/>
        <v>0</v>
      </c>
      <c r="BC133" s="270">
        <f t="shared" si="824"/>
        <v>0</v>
      </c>
      <c r="BD133" s="270">
        <f t="shared" si="824"/>
        <v>0</v>
      </c>
      <c r="BE133" s="270">
        <f t="shared" si="824"/>
        <v>0</v>
      </c>
      <c r="BF133" s="270">
        <f t="shared" si="824"/>
        <v>0</v>
      </c>
      <c r="BG133" s="270">
        <f t="shared" si="824"/>
        <v>0</v>
      </c>
      <c r="BH133" s="270">
        <f t="shared" si="824"/>
        <v>0</v>
      </c>
      <c r="BI133" s="270">
        <f t="shared" si="824"/>
        <v>0</v>
      </c>
      <c r="BJ133" s="270">
        <f t="shared" si="824"/>
        <v>0</v>
      </c>
      <c r="BK133" s="270">
        <f t="shared" si="824"/>
        <v>0</v>
      </c>
      <c r="BL133" s="265">
        <f t="shared" si="16"/>
        <v>-15.9</v>
      </c>
      <c r="BM133" s="215"/>
      <c r="BN133" s="270">
        <f t="shared" ref="BN133:CP133" si="825">ROUND(AI132*E$9/12,2)</f>
        <v>0</v>
      </c>
      <c r="BO133" s="270">
        <f t="shared" si="825"/>
        <v>0</v>
      </c>
      <c r="BP133" s="270">
        <f t="shared" si="825"/>
        <v>0</v>
      </c>
      <c r="BQ133" s="270">
        <f t="shared" si="825"/>
        <v>0</v>
      </c>
      <c r="BR133" s="270">
        <f t="shared" si="825"/>
        <v>0</v>
      </c>
      <c r="BS133" s="270">
        <f t="shared" si="825"/>
        <v>0</v>
      </c>
      <c r="BT133" s="270">
        <f t="shared" si="825"/>
        <v>0</v>
      </c>
      <c r="BU133" s="270">
        <f t="shared" si="825"/>
        <v>0</v>
      </c>
      <c r="BV133" s="270">
        <f t="shared" si="825"/>
        <v>0</v>
      </c>
      <c r="BW133" s="270">
        <f t="shared" si="825"/>
        <v>0</v>
      </c>
      <c r="BX133" s="270">
        <f t="shared" si="825"/>
        <v>0</v>
      </c>
      <c r="BY133" s="270">
        <f t="shared" si="825"/>
        <v>-0.05</v>
      </c>
      <c r="BZ133" s="270">
        <f t="shared" si="825"/>
        <v>-0.03</v>
      </c>
      <c r="CA133" s="270">
        <f t="shared" si="825"/>
        <v>0</v>
      </c>
      <c r="CB133" s="270">
        <f t="shared" si="825"/>
        <v>0</v>
      </c>
      <c r="CC133" s="270">
        <f t="shared" si="825"/>
        <v>0</v>
      </c>
      <c r="CD133" s="270">
        <f t="shared" si="825"/>
        <v>0</v>
      </c>
      <c r="CE133" s="270">
        <f t="shared" si="825"/>
        <v>0</v>
      </c>
      <c r="CF133" s="270">
        <f t="shared" si="825"/>
        <v>0</v>
      </c>
      <c r="CG133" s="270">
        <f t="shared" si="825"/>
        <v>0</v>
      </c>
      <c r="CH133" s="270">
        <f t="shared" si="825"/>
        <v>0</v>
      </c>
      <c r="CI133" s="270">
        <f t="shared" si="825"/>
        <v>0</v>
      </c>
      <c r="CJ133" s="270">
        <f t="shared" si="825"/>
        <v>0</v>
      </c>
      <c r="CK133" s="270">
        <f t="shared" si="825"/>
        <v>0</v>
      </c>
      <c r="CL133" s="270">
        <f t="shared" si="825"/>
        <v>0</v>
      </c>
      <c r="CM133" s="270">
        <f t="shared" si="825"/>
        <v>0</v>
      </c>
      <c r="CN133" s="270">
        <f t="shared" si="825"/>
        <v>0</v>
      </c>
      <c r="CO133" s="270">
        <f t="shared" si="825"/>
        <v>0</v>
      </c>
      <c r="CP133" s="270">
        <f t="shared" si="825"/>
        <v>0</v>
      </c>
      <c r="CQ133" s="215"/>
      <c r="CR133" s="270">
        <f t="shared" si="27"/>
        <v>-0.08</v>
      </c>
      <c r="CS133" s="215"/>
      <c r="CT133" s="270">
        <f t="shared" ref="CT133:DX133" si="826">IF(AI132&gt;0,IF((AI132+BN133)&lt;E$10,AI132+BN133,E$10),0)</f>
        <v>0</v>
      </c>
      <c r="CU133" s="270">
        <f t="shared" si="826"/>
        <v>0</v>
      </c>
      <c r="CV133" s="270">
        <f t="shared" si="826"/>
        <v>0</v>
      </c>
      <c r="CW133" s="270">
        <f t="shared" si="826"/>
        <v>0</v>
      </c>
      <c r="CX133" s="270">
        <f t="shared" si="826"/>
        <v>0</v>
      </c>
      <c r="CY133" s="270">
        <f t="shared" si="826"/>
        <v>0</v>
      </c>
      <c r="CZ133" s="270">
        <f t="shared" si="826"/>
        <v>0</v>
      </c>
      <c r="DA133" s="270">
        <f t="shared" si="826"/>
        <v>0</v>
      </c>
      <c r="DB133" s="270">
        <f t="shared" si="826"/>
        <v>0</v>
      </c>
      <c r="DC133" s="270">
        <f t="shared" si="826"/>
        <v>0</v>
      </c>
      <c r="DD133" s="270">
        <f t="shared" si="826"/>
        <v>0</v>
      </c>
      <c r="DE133" s="270">
        <f t="shared" si="826"/>
        <v>0</v>
      </c>
      <c r="DF133" s="270">
        <f t="shared" si="826"/>
        <v>0</v>
      </c>
      <c r="DG133" s="270">
        <f t="shared" si="826"/>
        <v>0</v>
      </c>
      <c r="DH133" s="270">
        <f t="shared" si="826"/>
        <v>0</v>
      </c>
      <c r="DI133" s="270">
        <f t="shared" si="826"/>
        <v>0</v>
      </c>
      <c r="DJ133" s="270">
        <f t="shared" si="826"/>
        <v>0</v>
      </c>
      <c r="DK133" s="270">
        <f t="shared" si="826"/>
        <v>0</v>
      </c>
      <c r="DL133" s="270">
        <f t="shared" si="826"/>
        <v>0</v>
      </c>
      <c r="DM133" s="270">
        <f t="shared" si="826"/>
        <v>0</v>
      </c>
      <c r="DN133" s="270">
        <f t="shared" si="826"/>
        <v>0</v>
      </c>
      <c r="DO133" s="270">
        <f t="shared" si="826"/>
        <v>0</v>
      </c>
      <c r="DP133" s="270">
        <f t="shared" si="826"/>
        <v>0</v>
      </c>
      <c r="DQ133" s="270">
        <f t="shared" si="826"/>
        <v>0</v>
      </c>
      <c r="DR133" s="270">
        <f t="shared" si="826"/>
        <v>0</v>
      </c>
      <c r="DS133" s="270">
        <f t="shared" si="826"/>
        <v>0</v>
      </c>
      <c r="DT133" s="270">
        <f t="shared" si="826"/>
        <v>0</v>
      </c>
      <c r="DU133" s="270">
        <f t="shared" si="826"/>
        <v>0</v>
      </c>
      <c r="DV133" s="270">
        <f t="shared" si="826"/>
        <v>0</v>
      </c>
      <c r="DW133" s="270">
        <f t="shared" si="826"/>
        <v>0</v>
      </c>
      <c r="DX133" s="270">
        <f t="shared" si="826"/>
        <v>0</v>
      </c>
      <c r="DY133" s="270">
        <f t="shared" si="29"/>
        <v>0</v>
      </c>
      <c r="DZ133" s="274"/>
      <c r="EA133" s="275">
        <f t="shared" si="38"/>
        <v>0</v>
      </c>
      <c r="EB133" s="270">
        <f t="shared" ref="EB133:FC133" si="827">IF(AJ131&lt;=0,0,IF($C132&lt;=SUM($EA133:EA133),0,IF(CU132+$C132-SUM($EA133:EA133)&gt;AJ131+BO132,AJ131+BO132-CU132,$C132-SUM($EA133:EA133))))</f>
        <v>0</v>
      </c>
      <c r="EC133" s="270">
        <f t="shared" si="827"/>
        <v>0</v>
      </c>
      <c r="ED133" s="270">
        <f t="shared" si="827"/>
        <v>0</v>
      </c>
      <c r="EE133" s="270">
        <f t="shared" si="827"/>
        <v>0</v>
      </c>
      <c r="EF133" s="270">
        <f t="shared" si="827"/>
        <v>0</v>
      </c>
      <c r="EG133" s="270">
        <f t="shared" si="827"/>
        <v>0</v>
      </c>
      <c r="EH133" s="270">
        <f t="shared" si="827"/>
        <v>0</v>
      </c>
      <c r="EI133" s="270">
        <f t="shared" si="827"/>
        <v>0</v>
      </c>
      <c r="EJ133" s="270">
        <f t="shared" si="827"/>
        <v>0</v>
      </c>
      <c r="EK133" s="270">
        <f t="shared" si="827"/>
        <v>0</v>
      </c>
      <c r="EL133" s="270">
        <f t="shared" si="827"/>
        <v>0</v>
      </c>
      <c r="EM133" s="270">
        <f t="shared" si="827"/>
        <v>0</v>
      </c>
      <c r="EN133" s="270">
        <f t="shared" si="827"/>
        <v>0</v>
      </c>
      <c r="EO133" s="270">
        <f t="shared" si="827"/>
        <v>0</v>
      </c>
      <c r="EP133" s="270">
        <f t="shared" si="827"/>
        <v>0</v>
      </c>
      <c r="EQ133" s="270">
        <f t="shared" si="827"/>
        <v>0</v>
      </c>
      <c r="ER133" s="270">
        <f t="shared" si="827"/>
        <v>0</v>
      </c>
      <c r="ES133" s="270">
        <f t="shared" si="827"/>
        <v>0</v>
      </c>
      <c r="ET133" s="270">
        <f t="shared" si="827"/>
        <v>0</v>
      </c>
      <c r="EU133" s="270">
        <f t="shared" si="827"/>
        <v>0</v>
      </c>
      <c r="EV133" s="270">
        <f t="shared" si="827"/>
        <v>0</v>
      </c>
      <c r="EW133" s="270">
        <f t="shared" si="827"/>
        <v>0</v>
      </c>
      <c r="EX133" s="270">
        <f t="shared" si="827"/>
        <v>0</v>
      </c>
      <c r="EY133" s="270">
        <f t="shared" si="827"/>
        <v>0</v>
      </c>
      <c r="EZ133" s="270">
        <f t="shared" si="827"/>
        <v>0</v>
      </c>
      <c r="FA133" s="270">
        <f t="shared" si="827"/>
        <v>0</v>
      </c>
      <c r="FB133" s="270">
        <f t="shared" si="827"/>
        <v>0</v>
      </c>
      <c r="FC133" s="270">
        <f t="shared" si="827"/>
        <v>0</v>
      </c>
      <c r="FD133" s="271"/>
      <c r="FE133" s="271"/>
      <c r="FF133" s="271"/>
      <c r="FG133" s="215"/>
      <c r="FH133" s="215"/>
    </row>
    <row r="134" ht="11.25" customHeight="1">
      <c r="A134" s="215" t="str">
        <f t="shared" si="19"/>
        <v/>
      </c>
      <c r="B134" s="241" t="str">
        <f t="shared" si="600"/>
        <v>#N/A</v>
      </c>
      <c r="C134" s="271" t="str">
        <f>IF(A134="","",IF(Calculator!snowball,IF(($E$5-DY134)&lt;0,0,$E$5-DY134),0)+D134)</f>
        <v/>
      </c>
      <c r="D134" s="271"/>
      <c r="E134" s="270">
        <f t="shared" si="40"/>
        <v>0</v>
      </c>
      <c r="F134" s="270">
        <f t="shared" ref="F134:AG134" si="828">CU134+EB135</f>
        <v>0</v>
      </c>
      <c r="G134" s="270">
        <f t="shared" si="828"/>
        <v>0</v>
      </c>
      <c r="H134" s="270">
        <f t="shared" si="828"/>
        <v>0</v>
      </c>
      <c r="I134" s="270">
        <f t="shared" si="828"/>
        <v>0</v>
      </c>
      <c r="J134" s="270">
        <f t="shared" si="828"/>
        <v>0</v>
      </c>
      <c r="K134" s="270">
        <f t="shared" si="828"/>
        <v>0</v>
      </c>
      <c r="L134" s="270">
        <f t="shared" si="828"/>
        <v>0</v>
      </c>
      <c r="M134" s="270">
        <f t="shared" si="828"/>
        <v>0</v>
      </c>
      <c r="N134" s="270">
        <f t="shared" si="828"/>
        <v>0</v>
      </c>
      <c r="O134" s="270">
        <f t="shared" si="828"/>
        <v>0</v>
      </c>
      <c r="P134" s="272">
        <f t="shared" si="828"/>
        <v>0</v>
      </c>
      <c r="Q134" s="272">
        <f t="shared" si="828"/>
        <v>0</v>
      </c>
      <c r="R134" s="272">
        <f t="shared" si="828"/>
        <v>0</v>
      </c>
      <c r="S134" s="272">
        <f t="shared" si="828"/>
        <v>0</v>
      </c>
      <c r="T134" s="272">
        <f t="shared" si="828"/>
        <v>0</v>
      </c>
      <c r="U134" s="270">
        <f t="shared" si="828"/>
        <v>0</v>
      </c>
      <c r="V134" s="270">
        <f t="shared" si="828"/>
        <v>0</v>
      </c>
      <c r="W134" s="270">
        <f t="shared" si="828"/>
        <v>0</v>
      </c>
      <c r="X134" s="270">
        <f t="shared" si="828"/>
        <v>0</v>
      </c>
      <c r="Y134" s="270">
        <f t="shared" si="828"/>
        <v>0</v>
      </c>
      <c r="Z134" s="270">
        <f t="shared" si="828"/>
        <v>0</v>
      </c>
      <c r="AA134" s="270">
        <f t="shared" si="828"/>
        <v>0</v>
      </c>
      <c r="AB134" s="270">
        <f t="shared" si="828"/>
        <v>0</v>
      </c>
      <c r="AC134" s="270">
        <f t="shared" si="828"/>
        <v>0</v>
      </c>
      <c r="AD134" s="270">
        <f t="shared" si="828"/>
        <v>0</v>
      </c>
      <c r="AE134" s="270">
        <f t="shared" si="828"/>
        <v>0</v>
      </c>
      <c r="AF134" s="270">
        <f t="shared" si="828"/>
        <v>0</v>
      </c>
      <c r="AG134" s="270">
        <f t="shared" si="828"/>
        <v>0</v>
      </c>
      <c r="AH134" s="279">
        <f t="shared" si="602"/>
        <v>0</v>
      </c>
      <c r="AI134" s="270">
        <f t="shared" si="43"/>
        <v>0</v>
      </c>
      <c r="AJ134" s="270">
        <f t="shared" ref="AJ134:AO134" si="829">IF(F$8=0,0,ROUND(AJ133-(F134-BO134),2))</f>
        <v>0</v>
      </c>
      <c r="AK134" s="270">
        <f t="shared" si="829"/>
        <v>0</v>
      </c>
      <c r="AL134" s="270">
        <f t="shared" si="829"/>
        <v>0</v>
      </c>
      <c r="AM134" s="270">
        <f t="shared" si="829"/>
        <v>0</v>
      </c>
      <c r="AN134" s="270">
        <f t="shared" si="829"/>
        <v>0</v>
      </c>
      <c r="AO134" s="270">
        <f t="shared" si="829"/>
        <v>0</v>
      </c>
      <c r="AP134" s="270">
        <v>0.0</v>
      </c>
      <c r="AQ134" s="270">
        <f t="shared" ref="AQ134:AS134" si="830">IF(M$8=0,0,ROUND(AQ133-(M134-BV134),2))</f>
        <v>0</v>
      </c>
      <c r="AR134" s="270">
        <f t="shared" si="830"/>
        <v>0</v>
      </c>
      <c r="AS134" s="270">
        <f t="shared" si="830"/>
        <v>0</v>
      </c>
      <c r="AT134" s="270">
        <f t="shared" si="605"/>
        <v>-6.22</v>
      </c>
      <c r="AU134" s="270">
        <f t="shared" ref="AU134:BK134" si="831">IF(Q$8=0,0,ROUND(AU133-(Q134-BY134),2))</f>
        <v>-9.73</v>
      </c>
      <c r="AV134" s="270">
        <f t="shared" si="831"/>
        <v>0</v>
      </c>
      <c r="AW134" s="270">
        <f t="shared" si="831"/>
        <v>0</v>
      </c>
      <c r="AX134" s="270">
        <f t="shared" si="831"/>
        <v>0</v>
      </c>
      <c r="AY134" s="270">
        <f t="shared" si="831"/>
        <v>0</v>
      </c>
      <c r="AZ134" s="270">
        <f t="shared" si="831"/>
        <v>0</v>
      </c>
      <c r="BA134" s="270">
        <f t="shared" si="831"/>
        <v>0</v>
      </c>
      <c r="BB134" s="270">
        <f t="shared" si="831"/>
        <v>0</v>
      </c>
      <c r="BC134" s="270">
        <f t="shared" si="831"/>
        <v>0</v>
      </c>
      <c r="BD134" s="270">
        <f t="shared" si="831"/>
        <v>0</v>
      </c>
      <c r="BE134" s="270">
        <f t="shared" si="831"/>
        <v>0</v>
      </c>
      <c r="BF134" s="270">
        <f t="shared" si="831"/>
        <v>0</v>
      </c>
      <c r="BG134" s="270">
        <f t="shared" si="831"/>
        <v>0</v>
      </c>
      <c r="BH134" s="270">
        <f t="shared" si="831"/>
        <v>0</v>
      </c>
      <c r="BI134" s="270">
        <f t="shared" si="831"/>
        <v>0</v>
      </c>
      <c r="BJ134" s="270">
        <f t="shared" si="831"/>
        <v>0</v>
      </c>
      <c r="BK134" s="270">
        <f t="shared" si="831"/>
        <v>0</v>
      </c>
      <c r="BL134" s="265">
        <f t="shared" si="16"/>
        <v>-15.95</v>
      </c>
      <c r="BM134" s="215"/>
      <c r="BN134" s="270">
        <f t="shared" ref="BN134:CP134" si="832">ROUND(AI133*E$9/12,2)</f>
        <v>0</v>
      </c>
      <c r="BO134" s="270">
        <f t="shared" si="832"/>
        <v>0</v>
      </c>
      <c r="BP134" s="270">
        <f t="shared" si="832"/>
        <v>0</v>
      </c>
      <c r="BQ134" s="270">
        <f t="shared" si="832"/>
        <v>0</v>
      </c>
      <c r="BR134" s="270">
        <f t="shared" si="832"/>
        <v>0</v>
      </c>
      <c r="BS134" s="270">
        <f t="shared" si="832"/>
        <v>0</v>
      </c>
      <c r="BT134" s="270">
        <f t="shared" si="832"/>
        <v>0</v>
      </c>
      <c r="BU134" s="270">
        <f t="shared" si="832"/>
        <v>0</v>
      </c>
      <c r="BV134" s="270">
        <f t="shared" si="832"/>
        <v>0</v>
      </c>
      <c r="BW134" s="270">
        <f t="shared" si="832"/>
        <v>0</v>
      </c>
      <c r="BX134" s="270">
        <f t="shared" si="832"/>
        <v>0</v>
      </c>
      <c r="BY134" s="270">
        <f t="shared" si="832"/>
        <v>-0.05</v>
      </c>
      <c r="BZ134" s="270">
        <f t="shared" si="832"/>
        <v>-0.03</v>
      </c>
      <c r="CA134" s="270">
        <f t="shared" si="832"/>
        <v>0</v>
      </c>
      <c r="CB134" s="270">
        <f t="shared" si="832"/>
        <v>0</v>
      </c>
      <c r="CC134" s="270">
        <f t="shared" si="832"/>
        <v>0</v>
      </c>
      <c r="CD134" s="270">
        <f t="shared" si="832"/>
        <v>0</v>
      </c>
      <c r="CE134" s="270">
        <f t="shared" si="832"/>
        <v>0</v>
      </c>
      <c r="CF134" s="270">
        <f t="shared" si="832"/>
        <v>0</v>
      </c>
      <c r="CG134" s="270">
        <f t="shared" si="832"/>
        <v>0</v>
      </c>
      <c r="CH134" s="270">
        <f t="shared" si="832"/>
        <v>0</v>
      </c>
      <c r="CI134" s="270">
        <f t="shared" si="832"/>
        <v>0</v>
      </c>
      <c r="CJ134" s="270">
        <f t="shared" si="832"/>
        <v>0</v>
      </c>
      <c r="CK134" s="270">
        <f t="shared" si="832"/>
        <v>0</v>
      </c>
      <c r="CL134" s="270">
        <f t="shared" si="832"/>
        <v>0</v>
      </c>
      <c r="CM134" s="270">
        <f t="shared" si="832"/>
        <v>0</v>
      </c>
      <c r="CN134" s="270">
        <f t="shared" si="832"/>
        <v>0</v>
      </c>
      <c r="CO134" s="270">
        <f t="shared" si="832"/>
        <v>0</v>
      </c>
      <c r="CP134" s="270">
        <f t="shared" si="832"/>
        <v>0</v>
      </c>
      <c r="CQ134" s="215"/>
      <c r="CR134" s="270">
        <f t="shared" si="27"/>
        <v>-0.08</v>
      </c>
      <c r="CS134" s="215"/>
      <c r="CT134" s="270">
        <f t="shared" ref="CT134:DX134" si="833">IF(AI133&gt;0,IF((AI133+BN134)&lt;E$10,AI133+BN134,E$10),0)</f>
        <v>0</v>
      </c>
      <c r="CU134" s="270">
        <f t="shared" si="833"/>
        <v>0</v>
      </c>
      <c r="CV134" s="270">
        <f t="shared" si="833"/>
        <v>0</v>
      </c>
      <c r="CW134" s="270">
        <f t="shared" si="833"/>
        <v>0</v>
      </c>
      <c r="CX134" s="270">
        <f t="shared" si="833"/>
        <v>0</v>
      </c>
      <c r="CY134" s="270">
        <f t="shared" si="833"/>
        <v>0</v>
      </c>
      <c r="CZ134" s="270">
        <f t="shared" si="833"/>
        <v>0</v>
      </c>
      <c r="DA134" s="270">
        <f t="shared" si="833"/>
        <v>0</v>
      </c>
      <c r="DB134" s="270">
        <f t="shared" si="833"/>
        <v>0</v>
      </c>
      <c r="DC134" s="270">
        <f t="shared" si="833"/>
        <v>0</v>
      </c>
      <c r="DD134" s="270">
        <f t="shared" si="833"/>
        <v>0</v>
      </c>
      <c r="DE134" s="270">
        <f t="shared" si="833"/>
        <v>0</v>
      </c>
      <c r="DF134" s="270">
        <f t="shared" si="833"/>
        <v>0</v>
      </c>
      <c r="DG134" s="270">
        <f t="shared" si="833"/>
        <v>0</v>
      </c>
      <c r="DH134" s="270">
        <f t="shared" si="833"/>
        <v>0</v>
      </c>
      <c r="DI134" s="270">
        <f t="shared" si="833"/>
        <v>0</v>
      </c>
      <c r="DJ134" s="270">
        <f t="shared" si="833"/>
        <v>0</v>
      </c>
      <c r="DK134" s="270">
        <f t="shared" si="833"/>
        <v>0</v>
      </c>
      <c r="DL134" s="270">
        <f t="shared" si="833"/>
        <v>0</v>
      </c>
      <c r="DM134" s="270">
        <f t="shared" si="833"/>
        <v>0</v>
      </c>
      <c r="DN134" s="270">
        <f t="shared" si="833"/>
        <v>0</v>
      </c>
      <c r="DO134" s="270">
        <f t="shared" si="833"/>
        <v>0</v>
      </c>
      <c r="DP134" s="270">
        <f t="shared" si="833"/>
        <v>0</v>
      </c>
      <c r="DQ134" s="270">
        <f t="shared" si="833"/>
        <v>0</v>
      </c>
      <c r="DR134" s="270">
        <f t="shared" si="833"/>
        <v>0</v>
      </c>
      <c r="DS134" s="270">
        <f t="shared" si="833"/>
        <v>0</v>
      </c>
      <c r="DT134" s="270">
        <f t="shared" si="833"/>
        <v>0</v>
      </c>
      <c r="DU134" s="270">
        <f t="shared" si="833"/>
        <v>0</v>
      </c>
      <c r="DV134" s="270">
        <f t="shared" si="833"/>
        <v>0</v>
      </c>
      <c r="DW134" s="270">
        <f t="shared" si="833"/>
        <v>0</v>
      </c>
      <c r="DX134" s="270">
        <f t="shared" si="833"/>
        <v>0</v>
      </c>
      <c r="DY134" s="270">
        <f t="shared" si="29"/>
        <v>0</v>
      </c>
      <c r="DZ134" s="274"/>
      <c r="EA134" s="275">
        <f t="shared" si="38"/>
        <v>0</v>
      </c>
      <c r="EB134" s="270">
        <f t="shared" ref="EB134:FC134" si="834">IF(AJ132&lt;=0,0,IF($C133&lt;=SUM($EA134:EA134),0,IF(CU133+$C133-SUM($EA134:EA134)&gt;AJ132+BO133,AJ132+BO133-CU133,$C133-SUM($EA134:EA134))))</f>
        <v>0</v>
      </c>
      <c r="EC134" s="270">
        <f t="shared" si="834"/>
        <v>0</v>
      </c>
      <c r="ED134" s="270">
        <f t="shared" si="834"/>
        <v>0</v>
      </c>
      <c r="EE134" s="270">
        <f t="shared" si="834"/>
        <v>0</v>
      </c>
      <c r="EF134" s="270">
        <f t="shared" si="834"/>
        <v>0</v>
      </c>
      <c r="EG134" s="270">
        <f t="shared" si="834"/>
        <v>0</v>
      </c>
      <c r="EH134" s="270">
        <f t="shared" si="834"/>
        <v>0</v>
      </c>
      <c r="EI134" s="270">
        <f t="shared" si="834"/>
        <v>0</v>
      </c>
      <c r="EJ134" s="270">
        <f t="shared" si="834"/>
        <v>0</v>
      </c>
      <c r="EK134" s="270">
        <f t="shared" si="834"/>
        <v>0</v>
      </c>
      <c r="EL134" s="270">
        <f t="shared" si="834"/>
        <v>0</v>
      </c>
      <c r="EM134" s="270">
        <f t="shared" si="834"/>
        <v>0</v>
      </c>
      <c r="EN134" s="270">
        <f t="shared" si="834"/>
        <v>0</v>
      </c>
      <c r="EO134" s="270">
        <f t="shared" si="834"/>
        <v>0</v>
      </c>
      <c r="EP134" s="270">
        <f t="shared" si="834"/>
        <v>0</v>
      </c>
      <c r="EQ134" s="270">
        <f t="shared" si="834"/>
        <v>0</v>
      </c>
      <c r="ER134" s="270">
        <f t="shared" si="834"/>
        <v>0</v>
      </c>
      <c r="ES134" s="270">
        <f t="shared" si="834"/>
        <v>0</v>
      </c>
      <c r="ET134" s="270">
        <f t="shared" si="834"/>
        <v>0</v>
      </c>
      <c r="EU134" s="270">
        <f t="shared" si="834"/>
        <v>0</v>
      </c>
      <c r="EV134" s="270">
        <f t="shared" si="834"/>
        <v>0</v>
      </c>
      <c r="EW134" s="270">
        <f t="shared" si="834"/>
        <v>0</v>
      </c>
      <c r="EX134" s="270">
        <f t="shared" si="834"/>
        <v>0</v>
      </c>
      <c r="EY134" s="270">
        <f t="shared" si="834"/>
        <v>0</v>
      </c>
      <c r="EZ134" s="270">
        <f t="shared" si="834"/>
        <v>0</v>
      </c>
      <c r="FA134" s="270">
        <f t="shared" si="834"/>
        <v>0</v>
      </c>
      <c r="FB134" s="270">
        <f t="shared" si="834"/>
        <v>0</v>
      </c>
      <c r="FC134" s="270">
        <f t="shared" si="834"/>
        <v>0</v>
      </c>
      <c r="FD134" s="271"/>
      <c r="FE134" s="271"/>
      <c r="FF134" s="271"/>
      <c r="FG134" s="215"/>
      <c r="FH134" s="215"/>
    </row>
    <row r="135" ht="11.25" customHeight="1">
      <c r="A135" s="215" t="str">
        <f t="shared" si="19"/>
        <v/>
      </c>
      <c r="B135" s="241" t="str">
        <f t="shared" si="600"/>
        <v>#N/A</v>
      </c>
      <c r="C135" s="271" t="str">
        <f>IF(A135="","",IF(Calculator!snowball,IF(($E$5-DY135)&lt;0,0,$E$5-DY135),0)+D135)</f>
        <v/>
      </c>
      <c r="D135" s="271"/>
      <c r="E135" s="270">
        <f t="shared" si="40"/>
        <v>0</v>
      </c>
      <c r="F135" s="270">
        <f t="shared" ref="F135:AG135" si="835">CU135+EB136</f>
        <v>0</v>
      </c>
      <c r="G135" s="270">
        <f t="shared" si="835"/>
        <v>0</v>
      </c>
      <c r="H135" s="270">
        <f t="shared" si="835"/>
        <v>0</v>
      </c>
      <c r="I135" s="270">
        <f t="shared" si="835"/>
        <v>0</v>
      </c>
      <c r="J135" s="270">
        <f t="shared" si="835"/>
        <v>0</v>
      </c>
      <c r="K135" s="270">
        <f t="shared" si="835"/>
        <v>0</v>
      </c>
      <c r="L135" s="270">
        <f t="shared" si="835"/>
        <v>0</v>
      </c>
      <c r="M135" s="270">
        <f t="shared" si="835"/>
        <v>0</v>
      </c>
      <c r="N135" s="270">
        <f t="shared" si="835"/>
        <v>0</v>
      </c>
      <c r="O135" s="270">
        <f t="shared" si="835"/>
        <v>0</v>
      </c>
      <c r="P135" s="272">
        <f t="shared" si="835"/>
        <v>0</v>
      </c>
      <c r="Q135" s="272">
        <f t="shared" si="835"/>
        <v>0</v>
      </c>
      <c r="R135" s="272">
        <f t="shared" si="835"/>
        <v>0</v>
      </c>
      <c r="S135" s="272">
        <f t="shared" si="835"/>
        <v>0</v>
      </c>
      <c r="T135" s="272">
        <f t="shared" si="835"/>
        <v>0</v>
      </c>
      <c r="U135" s="270">
        <f t="shared" si="835"/>
        <v>0</v>
      </c>
      <c r="V135" s="270">
        <f t="shared" si="835"/>
        <v>0</v>
      </c>
      <c r="W135" s="270">
        <f t="shared" si="835"/>
        <v>0</v>
      </c>
      <c r="X135" s="270">
        <f t="shared" si="835"/>
        <v>0</v>
      </c>
      <c r="Y135" s="270">
        <f t="shared" si="835"/>
        <v>0</v>
      </c>
      <c r="Z135" s="270">
        <f t="shared" si="835"/>
        <v>0</v>
      </c>
      <c r="AA135" s="270">
        <f t="shared" si="835"/>
        <v>0</v>
      </c>
      <c r="AB135" s="270">
        <f t="shared" si="835"/>
        <v>0</v>
      </c>
      <c r="AC135" s="270">
        <f t="shared" si="835"/>
        <v>0</v>
      </c>
      <c r="AD135" s="270">
        <f t="shared" si="835"/>
        <v>0</v>
      </c>
      <c r="AE135" s="270">
        <f t="shared" si="835"/>
        <v>0</v>
      </c>
      <c r="AF135" s="270">
        <f t="shared" si="835"/>
        <v>0</v>
      </c>
      <c r="AG135" s="270">
        <f t="shared" si="835"/>
        <v>0</v>
      </c>
      <c r="AH135" s="279">
        <f t="shared" si="602"/>
        <v>0</v>
      </c>
      <c r="AI135" s="270">
        <f t="shared" si="43"/>
        <v>0</v>
      </c>
      <c r="AJ135" s="270">
        <f t="shared" ref="AJ135:AO135" si="836">IF(F$8=0,0,ROUND(AJ134-(F135-BO135),2))</f>
        <v>0</v>
      </c>
      <c r="AK135" s="270">
        <f t="shared" si="836"/>
        <v>0</v>
      </c>
      <c r="AL135" s="270">
        <f t="shared" si="836"/>
        <v>0</v>
      </c>
      <c r="AM135" s="270">
        <f t="shared" si="836"/>
        <v>0</v>
      </c>
      <c r="AN135" s="270">
        <f t="shared" si="836"/>
        <v>0</v>
      </c>
      <c r="AO135" s="270">
        <f t="shared" si="836"/>
        <v>0</v>
      </c>
      <c r="AP135" s="270">
        <v>0.0</v>
      </c>
      <c r="AQ135" s="270">
        <f t="shared" ref="AQ135:AS135" si="837">IF(M$8=0,0,ROUND(AQ134-(M135-BV135),2))</f>
        <v>0</v>
      </c>
      <c r="AR135" s="270">
        <f t="shared" si="837"/>
        <v>0</v>
      </c>
      <c r="AS135" s="270">
        <f t="shared" si="837"/>
        <v>0</v>
      </c>
      <c r="AT135" s="270">
        <f t="shared" si="605"/>
        <v>-6.22</v>
      </c>
      <c r="AU135" s="270">
        <f t="shared" ref="AU135:BK135" si="838">IF(Q$8=0,0,ROUND(AU134-(Q135-BY135),2))</f>
        <v>-9.78</v>
      </c>
      <c r="AV135" s="270">
        <f t="shared" si="838"/>
        <v>0</v>
      </c>
      <c r="AW135" s="270">
        <f t="shared" si="838"/>
        <v>0</v>
      </c>
      <c r="AX135" s="270">
        <f t="shared" si="838"/>
        <v>0</v>
      </c>
      <c r="AY135" s="270">
        <f t="shared" si="838"/>
        <v>0</v>
      </c>
      <c r="AZ135" s="270">
        <f t="shared" si="838"/>
        <v>0</v>
      </c>
      <c r="BA135" s="270">
        <f t="shared" si="838"/>
        <v>0</v>
      </c>
      <c r="BB135" s="270">
        <f t="shared" si="838"/>
        <v>0</v>
      </c>
      <c r="BC135" s="270">
        <f t="shared" si="838"/>
        <v>0</v>
      </c>
      <c r="BD135" s="270">
        <f t="shared" si="838"/>
        <v>0</v>
      </c>
      <c r="BE135" s="270">
        <f t="shared" si="838"/>
        <v>0</v>
      </c>
      <c r="BF135" s="270">
        <f t="shared" si="838"/>
        <v>0</v>
      </c>
      <c r="BG135" s="270">
        <f t="shared" si="838"/>
        <v>0</v>
      </c>
      <c r="BH135" s="270">
        <f t="shared" si="838"/>
        <v>0</v>
      </c>
      <c r="BI135" s="270">
        <f t="shared" si="838"/>
        <v>0</v>
      </c>
      <c r="BJ135" s="270">
        <f t="shared" si="838"/>
        <v>0</v>
      </c>
      <c r="BK135" s="270">
        <f t="shared" si="838"/>
        <v>0</v>
      </c>
      <c r="BL135" s="265">
        <f t="shared" si="16"/>
        <v>-16</v>
      </c>
      <c r="BM135" s="215"/>
      <c r="BN135" s="270">
        <f t="shared" ref="BN135:CP135" si="839">ROUND(AI134*E$9/12,2)</f>
        <v>0</v>
      </c>
      <c r="BO135" s="270">
        <f t="shared" si="839"/>
        <v>0</v>
      </c>
      <c r="BP135" s="270">
        <f t="shared" si="839"/>
        <v>0</v>
      </c>
      <c r="BQ135" s="270">
        <f t="shared" si="839"/>
        <v>0</v>
      </c>
      <c r="BR135" s="270">
        <f t="shared" si="839"/>
        <v>0</v>
      </c>
      <c r="BS135" s="270">
        <f t="shared" si="839"/>
        <v>0</v>
      </c>
      <c r="BT135" s="270">
        <f t="shared" si="839"/>
        <v>0</v>
      </c>
      <c r="BU135" s="270">
        <f t="shared" si="839"/>
        <v>0</v>
      </c>
      <c r="BV135" s="270">
        <f t="shared" si="839"/>
        <v>0</v>
      </c>
      <c r="BW135" s="270">
        <f t="shared" si="839"/>
        <v>0</v>
      </c>
      <c r="BX135" s="270">
        <f t="shared" si="839"/>
        <v>0</v>
      </c>
      <c r="BY135" s="270">
        <f t="shared" si="839"/>
        <v>-0.05</v>
      </c>
      <c r="BZ135" s="270">
        <f t="shared" si="839"/>
        <v>-0.03</v>
      </c>
      <c r="CA135" s="270">
        <f t="shared" si="839"/>
        <v>0</v>
      </c>
      <c r="CB135" s="270">
        <f t="shared" si="839"/>
        <v>0</v>
      </c>
      <c r="CC135" s="270">
        <f t="shared" si="839"/>
        <v>0</v>
      </c>
      <c r="CD135" s="270">
        <f t="shared" si="839"/>
        <v>0</v>
      </c>
      <c r="CE135" s="270">
        <f t="shared" si="839"/>
        <v>0</v>
      </c>
      <c r="CF135" s="270">
        <f t="shared" si="839"/>
        <v>0</v>
      </c>
      <c r="CG135" s="270">
        <f t="shared" si="839"/>
        <v>0</v>
      </c>
      <c r="CH135" s="270">
        <f t="shared" si="839"/>
        <v>0</v>
      </c>
      <c r="CI135" s="270">
        <f t="shared" si="839"/>
        <v>0</v>
      </c>
      <c r="CJ135" s="270">
        <f t="shared" si="839"/>
        <v>0</v>
      </c>
      <c r="CK135" s="270">
        <f t="shared" si="839"/>
        <v>0</v>
      </c>
      <c r="CL135" s="270">
        <f t="shared" si="839"/>
        <v>0</v>
      </c>
      <c r="CM135" s="270">
        <f t="shared" si="839"/>
        <v>0</v>
      </c>
      <c r="CN135" s="270">
        <f t="shared" si="839"/>
        <v>0</v>
      </c>
      <c r="CO135" s="270">
        <f t="shared" si="839"/>
        <v>0</v>
      </c>
      <c r="CP135" s="270">
        <f t="shared" si="839"/>
        <v>0</v>
      </c>
      <c r="CQ135" s="215"/>
      <c r="CR135" s="270">
        <f t="shared" si="27"/>
        <v>-0.08</v>
      </c>
      <c r="CS135" s="215"/>
      <c r="CT135" s="270">
        <f t="shared" ref="CT135:DX135" si="840">IF(AI134&gt;0,IF((AI134+BN135)&lt;E$10,AI134+BN135,E$10),0)</f>
        <v>0</v>
      </c>
      <c r="CU135" s="270">
        <f t="shared" si="840"/>
        <v>0</v>
      </c>
      <c r="CV135" s="270">
        <f t="shared" si="840"/>
        <v>0</v>
      </c>
      <c r="CW135" s="270">
        <f t="shared" si="840"/>
        <v>0</v>
      </c>
      <c r="CX135" s="270">
        <f t="shared" si="840"/>
        <v>0</v>
      </c>
      <c r="CY135" s="270">
        <f t="shared" si="840"/>
        <v>0</v>
      </c>
      <c r="CZ135" s="270">
        <f t="shared" si="840"/>
        <v>0</v>
      </c>
      <c r="DA135" s="270">
        <f t="shared" si="840"/>
        <v>0</v>
      </c>
      <c r="DB135" s="270">
        <f t="shared" si="840"/>
        <v>0</v>
      </c>
      <c r="DC135" s="270">
        <f t="shared" si="840"/>
        <v>0</v>
      </c>
      <c r="DD135" s="270">
        <f t="shared" si="840"/>
        <v>0</v>
      </c>
      <c r="DE135" s="270">
        <f t="shared" si="840"/>
        <v>0</v>
      </c>
      <c r="DF135" s="270">
        <f t="shared" si="840"/>
        <v>0</v>
      </c>
      <c r="DG135" s="270">
        <f t="shared" si="840"/>
        <v>0</v>
      </c>
      <c r="DH135" s="270">
        <f t="shared" si="840"/>
        <v>0</v>
      </c>
      <c r="DI135" s="270">
        <f t="shared" si="840"/>
        <v>0</v>
      </c>
      <c r="DJ135" s="270">
        <f t="shared" si="840"/>
        <v>0</v>
      </c>
      <c r="DK135" s="270">
        <f t="shared" si="840"/>
        <v>0</v>
      </c>
      <c r="DL135" s="270">
        <f t="shared" si="840"/>
        <v>0</v>
      </c>
      <c r="DM135" s="270">
        <f t="shared" si="840"/>
        <v>0</v>
      </c>
      <c r="DN135" s="270">
        <f t="shared" si="840"/>
        <v>0</v>
      </c>
      <c r="DO135" s="270">
        <f t="shared" si="840"/>
        <v>0</v>
      </c>
      <c r="DP135" s="270">
        <f t="shared" si="840"/>
        <v>0</v>
      </c>
      <c r="DQ135" s="270">
        <f t="shared" si="840"/>
        <v>0</v>
      </c>
      <c r="DR135" s="270">
        <f t="shared" si="840"/>
        <v>0</v>
      </c>
      <c r="DS135" s="270">
        <f t="shared" si="840"/>
        <v>0</v>
      </c>
      <c r="DT135" s="270">
        <f t="shared" si="840"/>
        <v>0</v>
      </c>
      <c r="DU135" s="270">
        <f t="shared" si="840"/>
        <v>0</v>
      </c>
      <c r="DV135" s="270">
        <f t="shared" si="840"/>
        <v>0</v>
      </c>
      <c r="DW135" s="270">
        <f t="shared" si="840"/>
        <v>0</v>
      </c>
      <c r="DX135" s="270">
        <f t="shared" si="840"/>
        <v>0</v>
      </c>
      <c r="DY135" s="270">
        <f t="shared" si="29"/>
        <v>0</v>
      </c>
      <c r="DZ135" s="274"/>
      <c r="EA135" s="275">
        <f t="shared" si="38"/>
        <v>0</v>
      </c>
      <c r="EB135" s="270">
        <f t="shared" ref="EB135:FC135" si="841">IF(AJ133&lt;=0,0,IF($C134&lt;=SUM($EA135:EA135),0,IF(CU134+$C134-SUM($EA135:EA135)&gt;AJ133+BO134,AJ133+BO134-CU134,$C134-SUM($EA135:EA135))))</f>
        <v>0</v>
      </c>
      <c r="EC135" s="270">
        <f t="shared" si="841"/>
        <v>0</v>
      </c>
      <c r="ED135" s="270">
        <f t="shared" si="841"/>
        <v>0</v>
      </c>
      <c r="EE135" s="270">
        <f t="shared" si="841"/>
        <v>0</v>
      </c>
      <c r="EF135" s="270">
        <f t="shared" si="841"/>
        <v>0</v>
      </c>
      <c r="EG135" s="270">
        <f t="shared" si="841"/>
        <v>0</v>
      </c>
      <c r="EH135" s="270">
        <f t="shared" si="841"/>
        <v>0</v>
      </c>
      <c r="EI135" s="270">
        <f t="shared" si="841"/>
        <v>0</v>
      </c>
      <c r="EJ135" s="270">
        <f t="shared" si="841"/>
        <v>0</v>
      </c>
      <c r="EK135" s="270">
        <f t="shared" si="841"/>
        <v>0</v>
      </c>
      <c r="EL135" s="270">
        <f t="shared" si="841"/>
        <v>0</v>
      </c>
      <c r="EM135" s="270">
        <f t="shared" si="841"/>
        <v>0</v>
      </c>
      <c r="EN135" s="270">
        <f t="shared" si="841"/>
        <v>0</v>
      </c>
      <c r="EO135" s="270">
        <f t="shared" si="841"/>
        <v>0</v>
      </c>
      <c r="EP135" s="270">
        <f t="shared" si="841"/>
        <v>0</v>
      </c>
      <c r="EQ135" s="270">
        <f t="shared" si="841"/>
        <v>0</v>
      </c>
      <c r="ER135" s="270">
        <f t="shared" si="841"/>
        <v>0</v>
      </c>
      <c r="ES135" s="270">
        <f t="shared" si="841"/>
        <v>0</v>
      </c>
      <c r="ET135" s="270">
        <f t="shared" si="841"/>
        <v>0</v>
      </c>
      <c r="EU135" s="270">
        <f t="shared" si="841"/>
        <v>0</v>
      </c>
      <c r="EV135" s="270">
        <f t="shared" si="841"/>
        <v>0</v>
      </c>
      <c r="EW135" s="270">
        <f t="shared" si="841"/>
        <v>0</v>
      </c>
      <c r="EX135" s="270">
        <f t="shared" si="841"/>
        <v>0</v>
      </c>
      <c r="EY135" s="270">
        <f t="shared" si="841"/>
        <v>0</v>
      </c>
      <c r="EZ135" s="270">
        <f t="shared" si="841"/>
        <v>0</v>
      </c>
      <c r="FA135" s="270">
        <f t="shared" si="841"/>
        <v>0</v>
      </c>
      <c r="FB135" s="270">
        <f t="shared" si="841"/>
        <v>0</v>
      </c>
      <c r="FC135" s="270">
        <f t="shared" si="841"/>
        <v>0</v>
      </c>
      <c r="FD135" s="271"/>
      <c r="FE135" s="271"/>
      <c r="FF135" s="271"/>
      <c r="FG135" s="215"/>
      <c r="FH135" s="215"/>
    </row>
    <row r="136" ht="11.25" customHeight="1">
      <c r="A136" s="215" t="str">
        <f t="shared" si="19"/>
        <v/>
      </c>
      <c r="B136" s="241" t="str">
        <f t="shared" si="600"/>
        <v>#N/A</v>
      </c>
      <c r="C136" s="271" t="str">
        <f>IF(A136="","",IF(Calculator!snowball,IF(($E$5-DY136)&lt;0,0,$E$5-DY136),0)+D136)</f>
        <v/>
      </c>
      <c r="D136" s="271"/>
      <c r="E136" s="270">
        <f t="shared" si="40"/>
        <v>0</v>
      </c>
      <c r="F136" s="270">
        <f t="shared" ref="F136:AG136" si="842">CU136+EB137</f>
        <v>0</v>
      </c>
      <c r="G136" s="270">
        <f t="shared" si="842"/>
        <v>0</v>
      </c>
      <c r="H136" s="270">
        <f t="shared" si="842"/>
        <v>0</v>
      </c>
      <c r="I136" s="270">
        <f t="shared" si="842"/>
        <v>0</v>
      </c>
      <c r="J136" s="270">
        <f t="shared" si="842"/>
        <v>0</v>
      </c>
      <c r="K136" s="270">
        <f t="shared" si="842"/>
        <v>0</v>
      </c>
      <c r="L136" s="270">
        <f t="shared" si="842"/>
        <v>0</v>
      </c>
      <c r="M136" s="270">
        <f t="shared" si="842"/>
        <v>0</v>
      </c>
      <c r="N136" s="270">
        <f t="shared" si="842"/>
        <v>0</v>
      </c>
      <c r="O136" s="270">
        <f t="shared" si="842"/>
        <v>0</v>
      </c>
      <c r="P136" s="272">
        <f t="shared" si="842"/>
        <v>0</v>
      </c>
      <c r="Q136" s="272">
        <f t="shared" si="842"/>
        <v>0</v>
      </c>
      <c r="R136" s="272">
        <f t="shared" si="842"/>
        <v>0</v>
      </c>
      <c r="S136" s="272">
        <f t="shared" si="842"/>
        <v>0</v>
      </c>
      <c r="T136" s="272">
        <f t="shared" si="842"/>
        <v>0</v>
      </c>
      <c r="U136" s="270">
        <f t="shared" si="842"/>
        <v>0</v>
      </c>
      <c r="V136" s="270">
        <f t="shared" si="842"/>
        <v>0</v>
      </c>
      <c r="W136" s="270">
        <f t="shared" si="842"/>
        <v>0</v>
      </c>
      <c r="X136" s="270">
        <f t="shared" si="842"/>
        <v>0</v>
      </c>
      <c r="Y136" s="270">
        <f t="shared" si="842"/>
        <v>0</v>
      </c>
      <c r="Z136" s="270">
        <f t="shared" si="842"/>
        <v>0</v>
      </c>
      <c r="AA136" s="270">
        <f t="shared" si="842"/>
        <v>0</v>
      </c>
      <c r="AB136" s="270">
        <f t="shared" si="842"/>
        <v>0</v>
      </c>
      <c r="AC136" s="270">
        <f t="shared" si="842"/>
        <v>0</v>
      </c>
      <c r="AD136" s="270">
        <f t="shared" si="842"/>
        <v>0</v>
      </c>
      <c r="AE136" s="270">
        <f t="shared" si="842"/>
        <v>0</v>
      </c>
      <c r="AF136" s="270">
        <f t="shared" si="842"/>
        <v>0</v>
      </c>
      <c r="AG136" s="270">
        <f t="shared" si="842"/>
        <v>0</v>
      </c>
      <c r="AH136" s="279">
        <f t="shared" si="602"/>
        <v>0</v>
      </c>
      <c r="AI136" s="270">
        <f t="shared" si="43"/>
        <v>0</v>
      </c>
      <c r="AJ136" s="270">
        <f t="shared" ref="AJ136:AO136" si="843">IF(F$8=0,0,ROUND(AJ135-(F136-BO136),2))</f>
        <v>0</v>
      </c>
      <c r="AK136" s="270">
        <f t="shared" si="843"/>
        <v>0</v>
      </c>
      <c r="AL136" s="270">
        <f t="shared" si="843"/>
        <v>0</v>
      </c>
      <c r="AM136" s="270">
        <f t="shared" si="843"/>
        <v>0</v>
      </c>
      <c r="AN136" s="270">
        <f t="shared" si="843"/>
        <v>0</v>
      </c>
      <c r="AO136" s="270">
        <f t="shared" si="843"/>
        <v>0</v>
      </c>
      <c r="AP136" s="270">
        <v>0.0</v>
      </c>
      <c r="AQ136" s="270">
        <f t="shared" ref="AQ136:AS136" si="844">IF(M$8=0,0,ROUND(AQ135-(M136-BV136),2))</f>
        <v>0</v>
      </c>
      <c r="AR136" s="270">
        <f t="shared" si="844"/>
        <v>0</v>
      </c>
      <c r="AS136" s="270">
        <f t="shared" si="844"/>
        <v>0</v>
      </c>
      <c r="AT136" s="270">
        <f t="shared" si="605"/>
        <v>-6.22</v>
      </c>
      <c r="AU136" s="270">
        <f t="shared" ref="AU136:BK136" si="845">IF(Q$8=0,0,ROUND(AU135-(Q136-BY136),2))</f>
        <v>-9.83</v>
      </c>
      <c r="AV136" s="270">
        <f t="shared" si="845"/>
        <v>0</v>
      </c>
      <c r="AW136" s="270">
        <f t="shared" si="845"/>
        <v>0</v>
      </c>
      <c r="AX136" s="270">
        <f t="shared" si="845"/>
        <v>0</v>
      </c>
      <c r="AY136" s="270">
        <f t="shared" si="845"/>
        <v>0</v>
      </c>
      <c r="AZ136" s="270">
        <f t="shared" si="845"/>
        <v>0</v>
      </c>
      <c r="BA136" s="270">
        <f t="shared" si="845"/>
        <v>0</v>
      </c>
      <c r="BB136" s="270">
        <f t="shared" si="845"/>
        <v>0</v>
      </c>
      <c r="BC136" s="270">
        <f t="shared" si="845"/>
        <v>0</v>
      </c>
      <c r="BD136" s="270">
        <f t="shared" si="845"/>
        <v>0</v>
      </c>
      <c r="BE136" s="270">
        <f t="shared" si="845"/>
        <v>0</v>
      </c>
      <c r="BF136" s="270">
        <f t="shared" si="845"/>
        <v>0</v>
      </c>
      <c r="BG136" s="270">
        <f t="shared" si="845"/>
        <v>0</v>
      </c>
      <c r="BH136" s="270">
        <f t="shared" si="845"/>
        <v>0</v>
      </c>
      <c r="BI136" s="270">
        <f t="shared" si="845"/>
        <v>0</v>
      </c>
      <c r="BJ136" s="270">
        <f t="shared" si="845"/>
        <v>0</v>
      </c>
      <c r="BK136" s="270">
        <f t="shared" si="845"/>
        <v>0</v>
      </c>
      <c r="BL136" s="265">
        <f t="shared" si="16"/>
        <v>-16.05</v>
      </c>
      <c r="BM136" s="215"/>
      <c r="BN136" s="270">
        <f t="shared" ref="BN136:CP136" si="846">ROUND(AI135*E$9/12,2)</f>
        <v>0</v>
      </c>
      <c r="BO136" s="270">
        <f t="shared" si="846"/>
        <v>0</v>
      </c>
      <c r="BP136" s="270">
        <f t="shared" si="846"/>
        <v>0</v>
      </c>
      <c r="BQ136" s="270">
        <f t="shared" si="846"/>
        <v>0</v>
      </c>
      <c r="BR136" s="270">
        <f t="shared" si="846"/>
        <v>0</v>
      </c>
      <c r="BS136" s="270">
        <f t="shared" si="846"/>
        <v>0</v>
      </c>
      <c r="BT136" s="270">
        <f t="shared" si="846"/>
        <v>0</v>
      </c>
      <c r="BU136" s="270">
        <f t="shared" si="846"/>
        <v>0</v>
      </c>
      <c r="BV136" s="270">
        <f t="shared" si="846"/>
        <v>0</v>
      </c>
      <c r="BW136" s="270">
        <f t="shared" si="846"/>
        <v>0</v>
      </c>
      <c r="BX136" s="270">
        <f t="shared" si="846"/>
        <v>0</v>
      </c>
      <c r="BY136" s="270">
        <f t="shared" si="846"/>
        <v>-0.05</v>
      </c>
      <c r="BZ136" s="270">
        <f t="shared" si="846"/>
        <v>-0.03</v>
      </c>
      <c r="CA136" s="270">
        <f t="shared" si="846"/>
        <v>0</v>
      </c>
      <c r="CB136" s="270">
        <f t="shared" si="846"/>
        <v>0</v>
      </c>
      <c r="CC136" s="270">
        <f t="shared" si="846"/>
        <v>0</v>
      </c>
      <c r="CD136" s="270">
        <f t="shared" si="846"/>
        <v>0</v>
      </c>
      <c r="CE136" s="270">
        <f t="shared" si="846"/>
        <v>0</v>
      </c>
      <c r="CF136" s="270">
        <f t="shared" si="846"/>
        <v>0</v>
      </c>
      <c r="CG136" s="270">
        <f t="shared" si="846"/>
        <v>0</v>
      </c>
      <c r="CH136" s="270">
        <f t="shared" si="846"/>
        <v>0</v>
      </c>
      <c r="CI136" s="270">
        <f t="shared" si="846"/>
        <v>0</v>
      </c>
      <c r="CJ136" s="270">
        <f t="shared" si="846"/>
        <v>0</v>
      </c>
      <c r="CK136" s="270">
        <f t="shared" si="846"/>
        <v>0</v>
      </c>
      <c r="CL136" s="270">
        <f t="shared" si="846"/>
        <v>0</v>
      </c>
      <c r="CM136" s="270">
        <f t="shared" si="846"/>
        <v>0</v>
      </c>
      <c r="CN136" s="270">
        <f t="shared" si="846"/>
        <v>0</v>
      </c>
      <c r="CO136" s="270">
        <f t="shared" si="846"/>
        <v>0</v>
      </c>
      <c r="CP136" s="270">
        <f t="shared" si="846"/>
        <v>0</v>
      </c>
      <c r="CQ136" s="215"/>
      <c r="CR136" s="270">
        <f t="shared" si="27"/>
        <v>-0.08</v>
      </c>
      <c r="CS136" s="215"/>
      <c r="CT136" s="270">
        <f t="shared" ref="CT136:DX136" si="847">IF(AI135&gt;0,IF((AI135+BN136)&lt;E$10,AI135+BN136,E$10),0)</f>
        <v>0</v>
      </c>
      <c r="CU136" s="270">
        <f t="shared" si="847"/>
        <v>0</v>
      </c>
      <c r="CV136" s="270">
        <f t="shared" si="847"/>
        <v>0</v>
      </c>
      <c r="CW136" s="270">
        <f t="shared" si="847"/>
        <v>0</v>
      </c>
      <c r="CX136" s="270">
        <f t="shared" si="847"/>
        <v>0</v>
      </c>
      <c r="CY136" s="270">
        <f t="shared" si="847"/>
        <v>0</v>
      </c>
      <c r="CZ136" s="270">
        <f t="shared" si="847"/>
        <v>0</v>
      </c>
      <c r="DA136" s="270">
        <f t="shared" si="847"/>
        <v>0</v>
      </c>
      <c r="DB136" s="270">
        <f t="shared" si="847"/>
        <v>0</v>
      </c>
      <c r="DC136" s="270">
        <f t="shared" si="847"/>
        <v>0</v>
      </c>
      <c r="DD136" s="270">
        <f t="shared" si="847"/>
        <v>0</v>
      </c>
      <c r="DE136" s="270">
        <f t="shared" si="847"/>
        <v>0</v>
      </c>
      <c r="DF136" s="270">
        <f t="shared" si="847"/>
        <v>0</v>
      </c>
      <c r="DG136" s="270">
        <f t="shared" si="847"/>
        <v>0</v>
      </c>
      <c r="DH136" s="270">
        <f t="shared" si="847"/>
        <v>0</v>
      </c>
      <c r="DI136" s="270">
        <f t="shared" si="847"/>
        <v>0</v>
      </c>
      <c r="DJ136" s="270">
        <f t="shared" si="847"/>
        <v>0</v>
      </c>
      <c r="DK136" s="270">
        <f t="shared" si="847"/>
        <v>0</v>
      </c>
      <c r="DL136" s="270">
        <f t="shared" si="847"/>
        <v>0</v>
      </c>
      <c r="DM136" s="270">
        <f t="shared" si="847"/>
        <v>0</v>
      </c>
      <c r="DN136" s="270">
        <f t="shared" si="847"/>
        <v>0</v>
      </c>
      <c r="DO136" s="270">
        <f t="shared" si="847"/>
        <v>0</v>
      </c>
      <c r="DP136" s="270">
        <f t="shared" si="847"/>
        <v>0</v>
      </c>
      <c r="DQ136" s="270">
        <f t="shared" si="847"/>
        <v>0</v>
      </c>
      <c r="DR136" s="270">
        <f t="shared" si="847"/>
        <v>0</v>
      </c>
      <c r="DS136" s="270">
        <f t="shared" si="847"/>
        <v>0</v>
      </c>
      <c r="DT136" s="270">
        <f t="shared" si="847"/>
        <v>0</v>
      </c>
      <c r="DU136" s="270">
        <f t="shared" si="847"/>
        <v>0</v>
      </c>
      <c r="DV136" s="270">
        <f t="shared" si="847"/>
        <v>0</v>
      </c>
      <c r="DW136" s="270">
        <f t="shared" si="847"/>
        <v>0</v>
      </c>
      <c r="DX136" s="270">
        <f t="shared" si="847"/>
        <v>0</v>
      </c>
      <c r="DY136" s="270">
        <f t="shared" si="29"/>
        <v>0</v>
      </c>
      <c r="DZ136" s="274"/>
      <c r="EA136" s="275">
        <f t="shared" si="38"/>
        <v>0</v>
      </c>
      <c r="EB136" s="270">
        <f t="shared" ref="EB136:FC136" si="848">IF(AJ134&lt;=0,0,IF($C135&lt;=SUM($EA136:EA136),0,IF(CU135+$C135-SUM($EA136:EA136)&gt;AJ134+BO135,AJ134+BO135-CU135,$C135-SUM($EA136:EA136))))</f>
        <v>0</v>
      </c>
      <c r="EC136" s="270">
        <f t="shared" si="848"/>
        <v>0</v>
      </c>
      <c r="ED136" s="270">
        <f t="shared" si="848"/>
        <v>0</v>
      </c>
      <c r="EE136" s="270">
        <f t="shared" si="848"/>
        <v>0</v>
      </c>
      <c r="EF136" s="270">
        <f t="shared" si="848"/>
        <v>0</v>
      </c>
      <c r="EG136" s="270">
        <f t="shared" si="848"/>
        <v>0</v>
      </c>
      <c r="EH136" s="270">
        <f t="shared" si="848"/>
        <v>0</v>
      </c>
      <c r="EI136" s="270">
        <f t="shared" si="848"/>
        <v>0</v>
      </c>
      <c r="EJ136" s="270">
        <f t="shared" si="848"/>
        <v>0</v>
      </c>
      <c r="EK136" s="270">
        <f t="shared" si="848"/>
        <v>0</v>
      </c>
      <c r="EL136" s="270">
        <f t="shared" si="848"/>
        <v>0</v>
      </c>
      <c r="EM136" s="270">
        <f t="shared" si="848"/>
        <v>0</v>
      </c>
      <c r="EN136" s="270">
        <f t="shared" si="848"/>
        <v>0</v>
      </c>
      <c r="EO136" s="270">
        <f t="shared" si="848"/>
        <v>0</v>
      </c>
      <c r="EP136" s="270">
        <f t="shared" si="848"/>
        <v>0</v>
      </c>
      <c r="EQ136" s="270">
        <f t="shared" si="848"/>
        <v>0</v>
      </c>
      <c r="ER136" s="270">
        <f t="shared" si="848"/>
        <v>0</v>
      </c>
      <c r="ES136" s="270">
        <f t="shared" si="848"/>
        <v>0</v>
      </c>
      <c r="ET136" s="270">
        <f t="shared" si="848"/>
        <v>0</v>
      </c>
      <c r="EU136" s="270">
        <f t="shared" si="848"/>
        <v>0</v>
      </c>
      <c r="EV136" s="270">
        <f t="shared" si="848"/>
        <v>0</v>
      </c>
      <c r="EW136" s="270">
        <f t="shared" si="848"/>
        <v>0</v>
      </c>
      <c r="EX136" s="270">
        <f t="shared" si="848"/>
        <v>0</v>
      </c>
      <c r="EY136" s="270">
        <f t="shared" si="848"/>
        <v>0</v>
      </c>
      <c r="EZ136" s="270">
        <f t="shared" si="848"/>
        <v>0</v>
      </c>
      <c r="FA136" s="270">
        <f t="shared" si="848"/>
        <v>0</v>
      </c>
      <c r="FB136" s="270">
        <f t="shared" si="848"/>
        <v>0</v>
      </c>
      <c r="FC136" s="270">
        <f t="shared" si="848"/>
        <v>0</v>
      </c>
      <c r="FD136" s="271"/>
      <c r="FE136" s="271"/>
      <c r="FF136" s="271"/>
      <c r="FG136" s="215"/>
      <c r="FH136" s="215"/>
    </row>
    <row r="137" ht="11.25" customHeight="1">
      <c r="A137" s="215" t="str">
        <f t="shared" si="19"/>
        <v/>
      </c>
      <c r="B137" s="241" t="str">
        <f t="shared" si="600"/>
        <v>#N/A</v>
      </c>
      <c r="C137" s="271" t="str">
        <f>IF(A137="","",IF(Calculator!snowball,IF(($E$5-DY137)&lt;0,0,$E$5-DY137),0)+D137)</f>
        <v/>
      </c>
      <c r="D137" s="271"/>
      <c r="E137" s="270">
        <f t="shared" si="40"/>
        <v>0</v>
      </c>
      <c r="F137" s="270">
        <f t="shared" ref="F137:AG137" si="849">CU137+EB138</f>
        <v>0</v>
      </c>
      <c r="G137" s="270">
        <f t="shared" si="849"/>
        <v>0</v>
      </c>
      <c r="H137" s="270">
        <f t="shared" si="849"/>
        <v>0</v>
      </c>
      <c r="I137" s="270">
        <f t="shared" si="849"/>
        <v>0</v>
      </c>
      <c r="J137" s="270">
        <f t="shared" si="849"/>
        <v>0</v>
      </c>
      <c r="K137" s="270">
        <f t="shared" si="849"/>
        <v>0</v>
      </c>
      <c r="L137" s="270">
        <f t="shared" si="849"/>
        <v>0</v>
      </c>
      <c r="M137" s="270">
        <f t="shared" si="849"/>
        <v>0</v>
      </c>
      <c r="N137" s="270">
        <f t="shared" si="849"/>
        <v>0</v>
      </c>
      <c r="O137" s="270">
        <f t="shared" si="849"/>
        <v>0</v>
      </c>
      <c r="P137" s="272">
        <f t="shared" si="849"/>
        <v>0</v>
      </c>
      <c r="Q137" s="272">
        <f t="shared" si="849"/>
        <v>0</v>
      </c>
      <c r="R137" s="272">
        <f t="shared" si="849"/>
        <v>0</v>
      </c>
      <c r="S137" s="272">
        <f t="shared" si="849"/>
        <v>0</v>
      </c>
      <c r="T137" s="272">
        <f t="shared" si="849"/>
        <v>0</v>
      </c>
      <c r="U137" s="270">
        <f t="shared" si="849"/>
        <v>0</v>
      </c>
      <c r="V137" s="270">
        <f t="shared" si="849"/>
        <v>0</v>
      </c>
      <c r="W137" s="270">
        <f t="shared" si="849"/>
        <v>0</v>
      </c>
      <c r="X137" s="270">
        <f t="shared" si="849"/>
        <v>0</v>
      </c>
      <c r="Y137" s="270">
        <f t="shared" si="849"/>
        <v>0</v>
      </c>
      <c r="Z137" s="270">
        <f t="shared" si="849"/>
        <v>0</v>
      </c>
      <c r="AA137" s="270">
        <f t="shared" si="849"/>
        <v>0</v>
      </c>
      <c r="AB137" s="270">
        <f t="shared" si="849"/>
        <v>0</v>
      </c>
      <c r="AC137" s="270">
        <f t="shared" si="849"/>
        <v>0</v>
      </c>
      <c r="AD137" s="270">
        <f t="shared" si="849"/>
        <v>0</v>
      </c>
      <c r="AE137" s="270">
        <f t="shared" si="849"/>
        <v>0</v>
      </c>
      <c r="AF137" s="270">
        <f t="shared" si="849"/>
        <v>0</v>
      </c>
      <c r="AG137" s="270">
        <f t="shared" si="849"/>
        <v>0</v>
      </c>
      <c r="AH137" s="279">
        <f t="shared" si="602"/>
        <v>0</v>
      </c>
      <c r="AI137" s="270">
        <f t="shared" si="43"/>
        <v>0</v>
      </c>
      <c r="AJ137" s="270">
        <f t="shared" ref="AJ137:AO137" si="850">IF(F$8=0,0,ROUND(AJ136-(F137-BO137),2))</f>
        <v>0</v>
      </c>
      <c r="AK137" s="270">
        <f t="shared" si="850"/>
        <v>0</v>
      </c>
      <c r="AL137" s="270">
        <f t="shared" si="850"/>
        <v>0</v>
      </c>
      <c r="AM137" s="270">
        <f t="shared" si="850"/>
        <v>0</v>
      </c>
      <c r="AN137" s="270">
        <f t="shared" si="850"/>
        <v>0</v>
      </c>
      <c r="AO137" s="270">
        <f t="shared" si="850"/>
        <v>0</v>
      </c>
      <c r="AP137" s="270">
        <v>0.0</v>
      </c>
      <c r="AQ137" s="270">
        <f t="shared" ref="AQ137:AS137" si="851">IF(M$8=0,0,ROUND(AQ136-(M137-BV137),2))</f>
        <v>0</v>
      </c>
      <c r="AR137" s="270">
        <f t="shared" si="851"/>
        <v>0</v>
      </c>
      <c r="AS137" s="270">
        <f t="shared" si="851"/>
        <v>0</v>
      </c>
      <c r="AT137" s="270">
        <f t="shared" si="605"/>
        <v>-6.22</v>
      </c>
      <c r="AU137" s="270">
        <f t="shared" ref="AU137:BK137" si="852">IF(Q$8=0,0,ROUND(AU136-(Q137-BY137),2))</f>
        <v>-9.88</v>
      </c>
      <c r="AV137" s="270">
        <f t="shared" si="852"/>
        <v>0</v>
      </c>
      <c r="AW137" s="270">
        <f t="shared" si="852"/>
        <v>0</v>
      </c>
      <c r="AX137" s="270">
        <f t="shared" si="852"/>
        <v>0</v>
      </c>
      <c r="AY137" s="270">
        <f t="shared" si="852"/>
        <v>0</v>
      </c>
      <c r="AZ137" s="270">
        <f t="shared" si="852"/>
        <v>0</v>
      </c>
      <c r="BA137" s="270">
        <f t="shared" si="852"/>
        <v>0</v>
      </c>
      <c r="BB137" s="270">
        <f t="shared" si="852"/>
        <v>0</v>
      </c>
      <c r="BC137" s="270">
        <f t="shared" si="852"/>
        <v>0</v>
      </c>
      <c r="BD137" s="270">
        <f t="shared" si="852"/>
        <v>0</v>
      </c>
      <c r="BE137" s="270">
        <f t="shared" si="852"/>
        <v>0</v>
      </c>
      <c r="BF137" s="270">
        <f t="shared" si="852"/>
        <v>0</v>
      </c>
      <c r="BG137" s="270">
        <f t="shared" si="852"/>
        <v>0</v>
      </c>
      <c r="BH137" s="270">
        <f t="shared" si="852"/>
        <v>0</v>
      </c>
      <c r="BI137" s="270">
        <f t="shared" si="852"/>
        <v>0</v>
      </c>
      <c r="BJ137" s="270">
        <f t="shared" si="852"/>
        <v>0</v>
      </c>
      <c r="BK137" s="270">
        <f t="shared" si="852"/>
        <v>0</v>
      </c>
      <c r="BL137" s="265">
        <f t="shared" si="16"/>
        <v>-16.1</v>
      </c>
      <c r="BM137" s="215"/>
      <c r="BN137" s="270">
        <f t="shared" ref="BN137:CP137" si="853">ROUND(AI136*E$9/12,2)</f>
        <v>0</v>
      </c>
      <c r="BO137" s="270">
        <f t="shared" si="853"/>
        <v>0</v>
      </c>
      <c r="BP137" s="270">
        <f t="shared" si="853"/>
        <v>0</v>
      </c>
      <c r="BQ137" s="270">
        <f t="shared" si="853"/>
        <v>0</v>
      </c>
      <c r="BR137" s="270">
        <f t="shared" si="853"/>
        <v>0</v>
      </c>
      <c r="BS137" s="270">
        <f t="shared" si="853"/>
        <v>0</v>
      </c>
      <c r="BT137" s="270">
        <f t="shared" si="853"/>
        <v>0</v>
      </c>
      <c r="BU137" s="270">
        <f t="shared" si="853"/>
        <v>0</v>
      </c>
      <c r="BV137" s="270">
        <f t="shared" si="853"/>
        <v>0</v>
      </c>
      <c r="BW137" s="270">
        <f t="shared" si="853"/>
        <v>0</v>
      </c>
      <c r="BX137" s="270">
        <f t="shared" si="853"/>
        <v>0</v>
      </c>
      <c r="BY137" s="270">
        <f t="shared" si="853"/>
        <v>-0.05</v>
      </c>
      <c r="BZ137" s="270">
        <f t="shared" si="853"/>
        <v>-0.03</v>
      </c>
      <c r="CA137" s="270">
        <f t="shared" si="853"/>
        <v>0</v>
      </c>
      <c r="CB137" s="270">
        <f t="shared" si="853"/>
        <v>0</v>
      </c>
      <c r="CC137" s="270">
        <f t="shared" si="853"/>
        <v>0</v>
      </c>
      <c r="CD137" s="270">
        <f t="shared" si="853"/>
        <v>0</v>
      </c>
      <c r="CE137" s="270">
        <f t="shared" si="853"/>
        <v>0</v>
      </c>
      <c r="CF137" s="270">
        <f t="shared" si="853"/>
        <v>0</v>
      </c>
      <c r="CG137" s="270">
        <f t="shared" si="853"/>
        <v>0</v>
      </c>
      <c r="CH137" s="270">
        <f t="shared" si="853"/>
        <v>0</v>
      </c>
      <c r="CI137" s="270">
        <f t="shared" si="853"/>
        <v>0</v>
      </c>
      <c r="CJ137" s="270">
        <f t="shared" si="853"/>
        <v>0</v>
      </c>
      <c r="CK137" s="270">
        <f t="shared" si="853"/>
        <v>0</v>
      </c>
      <c r="CL137" s="270">
        <f t="shared" si="853"/>
        <v>0</v>
      </c>
      <c r="CM137" s="270">
        <f t="shared" si="853"/>
        <v>0</v>
      </c>
      <c r="CN137" s="270">
        <f t="shared" si="853"/>
        <v>0</v>
      </c>
      <c r="CO137" s="270">
        <f t="shared" si="853"/>
        <v>0</v>
      </c>
      <c r="CP137" s="270">
        <f t="shared" si="853"/>
        <v>0</v>
      </c>
      <c r="CQ137" s="215"/>
      <c r="CR137" s="270">
        <f t="shared" si="27"/>
        <v>-0.08</v>
      </c>
      <c r="CS137" s="215"/>
      <c r="CT137" s="270">
        <f t="shared" ref="CT137:DX137" si="854">IF(AI136&gt;0,IF((AI136+BN137)&lt;E$10,AI136+BN137,E$10),0)</f>
        <v>0</v>
      </c>
      <c r="CU137" s="270">
        <f t="shared" si="854"/>
        <v>0</v>
      </c>
      <c r="CV137" s="270">
        <f t="shared" si="854"/>
        <v>0</v>
      </c>
      <c r="CW137" s="270">
        <f t="shared" si="854"/>
        <v>0</v>
      </c>
      <c r="CX137" s="270">
        <f t="shared" si="854"/>
        <v>0</v>
      </c>
      <c r="CY137" s="270">
        <f t="shared" si="854"/>
        <v>0</v>
      </c>
      <c r="CZ137" s="270">
        <f t="shared" si="854"/>
        <v>0</v>
      </c>
      <c r="DA137" s="270">
        <f t="shared" si="854"/>
        <v>0</v>
      </c>
      <c r="DB137" s="270">
        <f t="shared" si="854"/>
        <v>0</v>
      </c>
      <c r="DC137" s="270">
        <f t="shared" si="854"/>
        <v>0</v>
      </c>
      <c r="DD137" s="270">
        <f t="shared" si="854"/>
        <v>0</v>
      </c>
      <c r="DE137" s="270">
        <f t="shared" si="854"/>
        <v>0</v>
      </c>
      <c r="DF137" s="270">
        <f t="shared" si="854"/>
        <v>0</v>
      </c>
      <c r="DG137" s="270">
        <f t="shared" si="854"/>
        <v>0</v>
      </c>
      <c r="DH137" s="270">
        <f t="shared" si="854"/>
        <v>0</v>
      </c>
      <c r="DI137" s="270">
        <f t="shared" si="854"/>
        <v>0</v>
      </c>
      <c r="DJ137" s="270">
        <f t="shared" si="854"/>
        <v>0</v>
      </c>
      <c r="DK137" s="270">
        <f t="shared" si="854"/>
        <v>0</v>
      </c>
      <c r="DL137" s="270">
        <f t="shared" si="854"/>
        <v>0</v>
      </c>
      <c r="DM137" s="270">
        <f t="shared" si="854"/>
        <v>0</v>
      </c>
      <c r="DN137" s="270">
        <f t="shared" si="854"/>
        <v>0</v>
      </c>
      <c r="DO137" s="270">
        <f t="shared" si="854"/>
        <v>0</v>
      </c>
      <c r="DP137" s="270">
        <f t="shared" si="854"/>
        <v>0</v>
      </c>
      <c r="DQ137" s="270">
        <f t="shared" si="854"/>
        <v>0</v>
      </c>
      <c r="DR137" s="270">
        <f t="shared" si="854"/>
        <v>0</v>
      </c>
      <c r="DS137" s="270">
        <f t="shared" si="854"/>
        <v>0</v>
      </c>
      <c r="DT137" s="270">
        <f t="shared" si="854"/>
        <v>0</v>
      </c>
      <c r="DU137" s="270">
        <f t="shared" si="854"/>
        <v>0</v>
      </c>
      <c r="DV137" s="270">
        <f t="shared" si="854"/>
        <v>0</v>
      </c>
      <c r="DW137" s="270">
        <f t="shared" si="854"/>
        <v>0</v>
      </c>
      <c r="DX137" s="270">
        <f t="shared" si="854"/>
        <v>0</v>
      </c>
      <c r="DY137" s="270">
        <f t="shared" si="29"/>
        <v>0</v>
      </c>
      <c r="DZ137" s="274"/>
      <c r="EA137" s="275">
        <f t="shared" si="38"/>
        <v>0</v>
      </c>
      <c r="EB137" s="270">
        <f t="shared" ref="EB137:FC137" si="855">IF(AJ135&lt;=0,0,IF($C136&lt;=SUM($EA137:EA137),0,IF(CU136+$C136-SUM($EA137:EA137)&gt;AJ135+BO136,AJ135+BO136-CU136,$C136-SUM($EA137:EA137))))</f>
        <v>0</v>
      </c>
      <c r="EC137" s="270">
        <f t="shared" si="855"/>
        <v>0</v>
      </c>
      <c r="ED137" s="270">
        <f t="shared" si="855"/>
        <v>0</v>
      </c>
      <c r="EE137" s="270">
        <f t="shared" si="855"/>
        <v>0</v>
      </c>
      <c r="EF137" s="270">
        <f t="shared" si="855"/>
        <v>0</v>
      </c>
      <c r="EG137" s="270">
        <f t="shared" si="855"/>
        <v>0</v>
      </c>
      <c r="EH137" s="270">
        <f t="shared" si="855"/>
        <v>0</v>
      </c>
      <c r="EI137" s="270">
        <f t="shared" si="855"/>
        <v>0</v>
      </c>
      <c r="EJ137" s="270">
        <f t="shared" si="855"/>
        <v>0</v>
      </c>
      <c r="EK137" s="270">
        <f t="shared" si="855"/>
        <v>0</v>
      </c>
      <c r="EL137" s="270">
        <f t="shared" si="855"/>
        <v>0</v>
      </c>
      <c r="EM137" s="270">
        <f t="shared" si="855"/>
        <v>0</v>
      </c>
      <c r="EN137" s="270">
        <f t="shared" si="855"/>
        <v>0</v>
      </c>
      <c r="EO137" s="270">
        <f t="shared" si="855"/>
        <v>0</v>
      </c>
      <c r="EP137" s="270">
        <f t="shared" si="855"/>
        <v>0</v>
      </c>
      <c r="EQ137" s="270">
        <f t="shared" si="855"/>
        <v>0</v>
      </c>
      <c r="ER137" s="270">
        <f t="shared" si="855"/>
        <v>0</v>
      </c>
      <c r="ES137" s="270">
        <f t="shared" si="855"/>
        <v>0</v>
      </c>
      <c r="ET137" s="270">
        <f t="shared" si="855"/>
        <v>0</v>
      </c>
      <c r="EU137" s="270">
        <f t="shared" si="855"/>
        <v>0</v>
      </c>
      <c r="EV137" s="270">
        <f t="shared" si="855"/>
        <v>0</v>
      </c>
      <c r="EW137" s="270">
        <f t="shared" si="855"/>
        <v>0</v>
      </c>
      <c r="EX137" s="270">
        <f t="shared" si="855"/>
        <v>0</v>
      </c>
      <c r="EY137" s="270">
        <f t="shared" si="855"/>
        <v>0</v>
      </c>
      <c r="EZ137" s="270">
        <f t="shared" si="855"/>
        <v>0</v>
      </c>
      <c r="FA137" s="270">
        <f t="shared" si="855"/>
        <v>0</v>
      </c>
      <c r="FB137" s="270">
        <f t="shared" si="855"/>
        <v>0</v>
      </c>
      <c r="FC137" s="270">
        <f t="shared" si="855"/>
        <v>0</v>
      </c>
      <c r="FD137" s="271"/>
      <c r="FE137" s="271"/>
      <c r="FF137" s="271"/>
      <c r="FG137" s="215"/>
      <c r="FH137" s="215"/>
    </row>
    <row r="138" ht="11.25" customHeight="1">
      <c r="A138" s="215" t="str">
        <f t="shared" si="19"/>
        <v/>
      </c>
      <c r="B138" s="241" t="str">
        <f t="shared" si="600"/>
        <v>#N/A</v>
      </c>
      <c r="C138" s="271" t="str">
        <f>IF(A138="","",IF(Calculator!snowball,IF(($E$5-DY138)&lt;0,0,$E$5-DY138),0)+D138)</f>
        <v/>
      </c>
      <c r="D138" s="271"/>
      <c r="E138" s="270">
        <f t="shared" si="40"/>
        <v>0</v>
      </c>
      <c r="F138" s="270">
        <f t="shared" ref="F138:AG138" si="856">CU138+EB139</f>
        <v>0</v>
      </c>
      <c r="G138" s="270">
        <f t="shared" si="856"/>
        <v>0</v>
      </c>
      <c r="H138" s="270">
        <f t="shared" si="856"/>
        <v>0</v>
      </c>
      <c r="I138" s="270">
        <f t="shared" si="856"/>
        <v>0</v>
      </c>
      <c r="J138" s="270">
        <f t="shared" si="856"/>
        <v>0</v>
      </c>
      <c r="K138" s="270">
        <f t="shared" si="856"/>
        <v>0</v>
      </c>
      <c r="L138" s="270">
        <f t="shared" si="856"/>
        <v>0</v>
      </c>
      <c r="M138" s="270">
        <f t="shared" si="856"/>
        <v>0</v>
      </c>
      <c r="N138" s="270">
        <f t="shared" si="856"/>
        <v>0</v>
      </c>
      <c r="O138" s="270">
        <f t="shared" si="856"/>
        <v>0</v>
      </c>
      <c r="P138" s="272">
        <f t="shared" si="856"/>
        <v>0</v>
      </c>
      <c r="Q138" s="272">
        <f t="shared" si="856"/>
        <v>0</v>
      </c>
      <c r="R138" s="272">
        <f t="shared" si="856"/>
        <v>0</v>
      </c>
      <c r="S138" s="272">
        <f t="shared" si="856"/>
        <v>0</v>
      </c>
      <c r="T138" s="272">
        <f t="shared" si="856"/>
        <v>0</v>
      </c>
      <c r="U138" s="270">
        <f t="shared" si="856"/>
        <v>0</v>
      </c>
      <c r="V138" s="270">
        <f t="shared" si="856"/>
        <v>0</v>
      </c>
      <c r="W138" s="270">
        <f t="shared" si="856"/>
        <v>0</v>
      </c>
      <c r="X138" s="270">
        <f t="shared" si="856"/>
        <v>0</v>
      </c>
      <c r="Y138" s="270">
        <f t="shared" si="856"/>
        <v>0</v>
      </c>
      <c r="Z138" s="270">
        <f t="shared" si="856"/>
        <v>0</v>
      </c>
      <c r="AA138" s="270">
        <f t="shared" si="856"/>
        <v>0</v>
      </c>
      <c r="AB138" s="270">
        <f t="shared" si="856"/>
        <v>0</v>
      </c>
      <c r="AC138" s="270">
        <f t="shared" si="856"/>
        <v>0</v>
      </c>
      <c r="AD138" s="270">
        <f t="shared" si="856"/>
        <v>0</v>
      </c>
      <c r="AE138" s="270">
        <f t="shared" si="856"/>
        <v>0</v>
      </c>
      <c r="AF138" s="270">
        <f t="shared" si="856"/>
        <v>0</v>
      </c>
      <c r="AG138" s="270">
        <f t="shared" si="856"/>
        <v>0</v>
      </c>
      <c r="AH138" s="279">
        <f t="shared" si="602"/>
        <v>0</v>
      </c>
      <c r="AI138" s="270">
        <f t="shared" si="43"/>
        <v>0</v>
      </c>
      <c r="AJ138" s="270">
        <f t="shared" ref="AJ138:AO138" si="857">IF(F$8=0,0,ROUND(AJ137-(F138-BO138),2))</f>
        <v>0</v>
      </c>
      <c r="AK138" s="270">
        <f t="shared" si="857"/>
        <v>0</v>
      </c>
      <c r="AL138" s="270">
        <f t="shared" si="857"/>
        <v>0</v>
      </c>
      <c r="AM138" s="270">
        <f t="shared" si="857"/>
        <v>0</v>
      </c>
      <c r="AN138" s="270">
        <f t="shared" si="857"/>
        <v>0</v>
      </c>
      <c r="AO138" s="270">
        <f t="shared" si="857"/>
        <v>0</v>
      </c>
      <c r="AP138" s="270">
        <v>0.0</v>
      </c>
      <c r="AQ138" s="270">
        <f t="shared" ref="AQ138:AS138" si="858">IF(M$8=0,0,ROUND(AQ137-(M138-BV138),2))</f>
        <v>0</v>
      </c>
      <c r="AR138" s="270">
        <f t="shared" si="858"/>
        <v>0</v>
      </c>
      <c r="AS138" s="270">
        <f t="shared" si="858"/>
        <v>0</v>
      </c>
      <c r="AT138" s="270">
        <f t="shared" si="605"/>
        <v>-6.22</v>
      </c>
      <c r="AU138" s="270">
        <f t="shared" ref="AU138:BK138" si="859">IF(Q$8=0,0,ROUND(AU137-(Q138-BY138),2))</f>
        <v>-9.93</v>
      </c>
      <c r="AV138" s="270">
        <f t="shared" si="859"/>
        <v>0</v>
      </c>
      <c r="AW138" s="270">
        <f t="shared" si="859"/>
        <v>0</v>
      </c>
      <c r="AX138" s="270">
        <f t="shared" si="859"/>
        <v>0</v>
      </c>
      <c r="AY138" s="270">
        <f t="shared" si="859"/>
        <v>0</v>
      </c>
      <c r="AZ138" s="270">
        <f t="shared" si="859"/>
        <v>0</v>
      </c>
      <c r="BA138" s="270">
        <f t="shared" si="859"/>
        <v>0</v>
      </c>
      <c r="BB138" s="270">
        <f t="shared" si="859"/>
        <v>0</v>
      </c>
      <c r="BC138" s="270">
        <f t="shared" si="859"/>
        <v>0</v>
      </c>
      <c r="BD138" s="270">
        <f t="shared" si="859"/>
        <v>0</v>
      </c>
      <c r="BE138" s="270">
        <f t="shared" si="859"/>
        <v>0</v>
      </c>
      <c r="BF138" s="270">
        <f t="shared" si="859"/>
        <v>0</v>
      </c>
      <c r="BG138" s="270">
        <f t="shared" si="859"/>
        <v>0</v>
      </c>
      <c r="BH138" s="270">
        <f t="shared" si="859"/>
        <v>0</v>
      </c>
      <c r="BI138" s="270">
        <f t="shared" si="859"/>
        <v>0</v>
      </c>
      <c r="BJ138" s="270">
        <f t="shared" si="859"/>
        <v>0</v>
      </c>
      <c r="BK138" s="270">
        <f t="shared" si="859"/>
        <v>0</v>
      </c>
      <c r="BL138" s="265">
        <f t="shared" si="16"/>
        <v>-16.15</v>
      </c>
      <c r="BM138" s="215"/>
      <c r="BN138" s="270">
        <f t="shared" ref="BN138:CP138" si="860">ROUND(AI137*E$9/12,2)</f>
        <v>0</v>
      </c>
      <c r="BO138" s="270">
        <f t="shared" si="860"/>
        <v>0</v>
      </c>
      <c r="BP138" s="270">
        <f t="shared" si="860"/>
        <v>0</v>
      </c>
      <c r="BQ138" s="270">
        <f t="shared" si="860"/>
        <v>0</v>
      </c>
      <c r="BR138" s="270">
        <f t="shared" si="860"/>
        <v>0</v>
      </c>
      <c r="BS138" s="270">
        <f t="shared" si="860"/>
        <v>0</v>
      </c>
      <c r="BT138" s="270">
        <f t="shared" si="860"/>
        <v>0</v>
      </c>
      <c r="BU138" s="270">
        <f t="shared" si="860"/>
        <v>0</v>
      </c>
      <c r="BV138" s="270">
        <f t="shared" si="860"/>
        <v>0</v>
      </c>
      <c r="BW138" s="270">
        <f t="shared" si="860"/>
        <v>0</v>
      </c>
      <c r="BX138" s="270">
        <f t="shared" si="860"/>
        <v>0</v>
      </c>
      <c r="BY138" s="270">
        <f t="shared" si="860"/>
        <v>-0.05</v>
      </c>
      <c r="BZ138" s="270">
        <f t="shared" si="860"/>
        <v>-0.03</v>
      </c>
      <c r="CA138" s="270">
        <f t="shared" si="860"/>
        <v>0</v>
      </c>
      <c r="CB138" s="270">
        <f t="shared" si="860"/>
        <v>0</v>
      </c>
      <c r="CC138" s="270">
        <f t="shared" si="860"/>
        <v>0</v>
      </c>
      <c r="CD138" s="270">
        <f t="shared" si="860"/>
        <v>0</v>
      </c>
      <c r="CE138" s="270">
        <f t="shared" si="860"/>
        <v>0</v>
      </c>
      <c r="CF138" s="270">
        <f t="shared" si="860"/>
        <v>0</v>
      </c>
      <c r="CG138" s="270">
        <f t="shared" si="860"/>
        <v>0</v>
      </c>
      <c r="CH138" s="270">
        <f t="shared" si="860"/>
        <v>0</v>
      </c>
      <c r="CI138" s="270">
        <f t="shared" si="860"/>
        <v>0</v>
      </c>
      <c r="CJ138" s="270">
        <f t="shared" si="860"/>
        <v>0</v>
      </c>
      <c r="CK138" s="270">
        <f t="shared" si="860"/>
        <v>0</v>
      </c>
      <c r="CL138" s="270">
        <f t="shared" si="860"/>
        <v>0</v>
      </c>
      <c r="CM138" s="270">
        <f t="shared" si="860"/>
        <v>0</v>
      </c>
      <c r="CN138" s="270">
        <f t="shared" si="860"/>
        <v>0</v>
      </c>
      <c r="CO138" s="270">
        <f t="shared" si="860"/>
        <v>0</v>
      </c>
      <c r="CP138" s="270">
        <f t="shared" si="860"/>
        <v>0</v>
      </c>
      <c r="CQ138" s="215"/>
      <c r="CR138" s="270">
        <f t="shared" si="27"/>
        <v>-0.08</v>
      </c>
      <c r="CS138" s="215"/>
      <c r="CT138" s="270">
        <f t="shared" ref="CT138:DX138" si="861">IF(AI137&gt;0,IF((AI137+BN138)&lt;E$10,AI137+BN138,E$10),0)</f>
        <v>0</v>
      </c>
      <c r="CU138" s="270">
        <f t="shared" si="861"/>
        <v>0</v>
      </c>
      <c r="CV138" s="270">
        <f t="shared" si="861"/>
        <v>0</v>
      </c>
      <c r="CW138" s="270">
        <f t="shared" si="861"/>
        <v>0</v>
      </c>
      <c r="CX138" s="270">
        <f t="shared" si="861"/>
        <v>0</v>
      </c>
      <c r="CY138" s="270">
        <f t="shared" si="861"/>
        <v>0</v>
      </c>
      <c r="CZ138" s="270">
        <f t="shared" si="861"/>
        <v>0</v>
      </c>
      <c r="DA138" s="270">
        <f t="shared" si="861"/>
        <v>0</v>
      </c>
      <c r="DB138" s="270">
        <f t="shared" si="861"/>
        <v>0</v>
      </c>
      <c r="DC138" s="270">
        <f t="shared" si="861"/>
        <v>0</v>
      </c>
      <c r="DD138" s="270">
        <f t="shared" si="861"/>
        <v>0</v>
      </c>
      <c r="DE138" s="270">
        <f t="shared" si="861"/>
        <v>0</v>
      </c>
      <c r="DF138" s="270">
        <f t="shared" si="861"/>
        <v>0</v>
      </c>
      <c r="DG138" s="270">
        <f t="shared" si="861"/>
        <v>0</v>
      </c>
      <c r="DH138" s="270">
        <f t="shared" si="861"/>
        <v>0</v>
      </c>
      <c r="DI138" s="270">
        <f t="shared" si="861"/>
        <v>0</v>
      </c>
      <c r="DJ138" s="270">
        <f t="shared" si="861"/>
        <v>0</v>
      </c>
      <c r="DK138" s="270">
        <f t="shared" si="861"/>
        <v>0</v>
      </c>
      <c r="DL138" s="270">
        <f t="shared" si="861"/>
        <v>0</v>
      </c>
      <c r="DM138" s="270">
        <f t="shared" si="861"/>
        <v>0</v>
      </c>
      <c r="DN138" s="270">
        <f t="shared" si="861"/>
        <v>0</v>
      </c>
      <c r="DO138" s="270">
        <f t="shared" si="861"/>
        <v>0</v>
      </c>
      <c r="DP138" s="270">
        <f t="shared" si="861"/>
        <v>0</v>
      </c>
      <c r="DQ138" s="270">
        <f t="shared" si="861"/>
        <v>0</v>
      </c>
      <c r="DR138" s="270">
        <f t="shared" si="861"/>
        <v>0</v>
      </c>
      <c r="DS138" s="270">
        <f t="shared" si="861"/>
        <v>0</v>
      </c>
      <c r="DT138" s="270">
        <f t="shared" si="861"/>
        <v>0</v>
      </c>
      <c r="DU138" s="270">
        <f t="shared" si="861"/>
        <v>0</v>
      </c>
      <c r="DV138" s="270">
        <f t="shared" si="861"/>
        <v>0</v>
      </c>
      <c r="DW138" s="270">
        <f t="shared" si="861"/>
        <v>0</v>
      </c>
      <c r="DX138" s="270">
        <f t="shared" si="861"/>
        <v>0</v>
      </c>
      <c r="DY138" s="270">
        <f t="shared" si="29"/>
        <v>0</v>
      </c>
      <c r="DZ138" s="274"/>
      <c r="EA138" s="275">
        <f t="shared" si="38"/>
        <v>0</v>
      </c>
      <c r="EB138" s="270">
        <f t="shared" ref="EB138:FC138" si="862">IF(AJ136&lt;=0,0,IF($C137&lt;=SUM($EA138:EA138),0,IF(CU137+$C137-SUM($EA138:EA138)&gt;AJ136+BO137,AJ136+BO137-CU137,$C137-SUM($EA138:EA138))))</f>
        <v>0</v>
      </c>
      <c r="EC138" s="270">
        <f t="shared" si="862"/>
        <v>0</v>
      </c>
      <c r="ED138" s="270">
        <f t="shared" si="862"/>
        <v>0</v>
      </c>
      <c r="EE138" s="270">
        <f t="shared" si="862"/>
        <v>0</v>
      </c>
      <c r="EF138" s="270">
        <f t="shared" si="862"/>
        <v>0</v>
      </c>
      <c r="EG138" s="270">
        <f t="shared" si="862"/>
        <v>0</v>
      </c>
      <c r="EH138" s="270">
        <f t="shared" si="862"/>
        <v>0</v>
      </c>
      <c r="EI138" s="270">
        <f t="shared" si="862"/>
        <v>0</v>
      </c>
      <c r="EJ138" s="270">
        <f t="shared" si="862"/>
        <v>0</v>
      </c>
      <c r="EK138" s="270">
        <f t="shared" si="862"/>
        <v>0</v>
      </c>
      <c r="EL138" s="270">
        <f t="shared" si="862"/>
        <v>0</v>
      </c>
      <c r="EM138" s="270">
        <f t="shared" si="862"/>
        <v>0</v>
      </c>
      <c r="EN138" s="270">
        <f t="shared" si="862"/>
        <v>0</v>
      </c>
      <c r="EO138" s="270">
        <f t="shared" si="862"/>
        <v>0</v>
      </c>
      <c r="EP138" s="270">
        <f t="shared" si="862"/>
        <v>0</v>
      </c>
      <c r="EQ138" s="270">
        <f t="shared" si="862"/>
        <v>0</v>
      </c>
      <c r="ER138" s="270">
        <f t="shared" si="862"/>
        <v>0</v>
      </c>
      <c r="ES138" s="270">
        <f t="shared" si="862"/>
        <v>0</v>
      </c>
      <c r="ET138" s="270">
        <f t="shared" si="862"/>
        <v>0</v>
      </c>
      <c r="EU138" s="270">
        <f t="shared" si="862"/>
        <v>0</v>
      </c>
      <c r="EV138" s="270">
        <f t="shared" si="862"/>
        <v>0</v>
      </c>
      <c r="EW138" s="270">
        <f t="shared" si="862"/>
        <v>0</v>
      </c>
      <c r="EX138" s="270">
        <f t="shared" si="862"/>
        <v>0</v>
      </c>
      <c r="EY138" s="270">
        <f t="shared" si="862"/>
        <v>0</v>
      </c>
      <c r="EZ138" s="270">
        <f t="shared" si="862"/>
        <v>0</v>
      </c>
      <c r="FA138" s="270">
        <f t="shared" si="862"/>
        <v>0</v>
      </c>
      <c r="FB138" s="270">
        <f t="shared" si="862"/>
        <v>0</v>
      </c>
      <c r="FC138" s="270">
        <f t="shared" si="862"/>
        <v>0</v>
      </c>
      <c r="FD138" s="271"/>
      <c r="FE138" s="271"/>
      <c r="FF138" s="271"/>
      <c r="FG138" s="215"/>
      <c r="FH138" s="215"/>
    </row>
    <row r="139" ht="11.25" customHeight="1">
      <c r="A139" s="215" t="str">
        <f t="shared" si="19"/>
        <v/>
      </c>
      <c r="B139" s="241" t="str">
        <f t="shared" si="600"/>
        <v>#N/A</v>
      </c>
      <c r="C139" s="271" t="str">
        <f>IF(A139="","",IF(Calculator!snowball,IF(($E$5-DY139)&lt;0,0,$E$5-DY139),0)+D139)</f>
        <v/>
      </c>
      <c r="D139" s="271"/>
      <c r="E139" s="270">
        <f t="shared" si="40"/>
        <v>0</v>
      </c>
      <c r="F139" s="270">
        <f t="shared" ref="F139:AG139" si="863">CU139+EB140</f>
        <v>0</v>
      </c>
      <c r="G139" s="270">
        <f t="shared" si="863"/>
        <v>0</v>
      </c>
      <c r="H139" s="270">
        <f t="shared" si="863"/>
        <v>0</v>
      </c>
      <c r="I139" s="270">
        <f t="shared" si="863"/>
        <v>0</v>
      </c>
      <c r="J139" s="270">
        <f t="shared" si="863"/>
        <v>0</v>
      </c>
      <c r="K139" s="270">
        <f t="shared" si="863"/>
        <v>0</v>
      </c>
      <c r="L139" s="270">
        <f t="shared" si="863"/>
        <v>0</v>
      </c>
      <c r="M139" s="270">
        <f t="shared" si="863"/>
        <v>0</v>
      </c>
      <c r="N139" s="270">
        <f t="shared" si="863"/>
        <v>0</v>
      </c>
      <c r="O139" s="270">
        <f t="shared" si="863"/>
        <v>0</v>
      </c>
      <c r="P139" s="272">
        <f t="shared" si="863"/>
        <v>0</v>
      </c>
      <c r="Q139" s="272">
        <f t="shared" si="863"/>
        <v>0</v>
      </c>
      <c r="R139" s="272">
        <f t="shared" si="863"/>
        <v>0</v>
      </c>
      <c r="S139" s="272">
        <f t="shared" si="863"/>
        <v>0</v>
      </c>
      <c r="T139" s="272">
        <f t="shared" si="863"/>
        <v>0</v>
      </c>
      <c r="U139" s="270">
        <f t="shared" si="863"/>
        <v>0</v>
      </c>
      <c r="V139" s="270">
        <f t="shared" si="863"/>
        <v>0</v>
      </c>
      <c r="W139" s="270">
        <f t="shared" si="863"/>
        <v>0</v>
      </c>
      <c r="X139" s="270">
        <f t="shared" si="863"/>
        <v>0</v>
      </c>
      <c r="Y139" s="270">
        <f t="shared" si="863"/>
        <v>0</v>
      </c>
      <c r="Z139" s="270">
        <f t="shared" si="863"/>
        <v>0</v>
      </c>
      <c r="AA139" s="270">
        <f t="shared" si="863"/>
        <v>0</v>
      </c>
      <c r="AB139" s="270">
        <f t="shared" si="863"/>
        <v>0</v>
      </c>
      <c r="AC139" s="270">
        <f t="shared" si="863"/>
        <v>0</v>
      </c>
      <c r="AD139" s="270">
        <f t="shared" si="863"/>
        <v>0</v>
      </c>
      <c r="AE139" s="270">
        <f t="shared" si="863"/>
        <v>0</v>
      </c>
      <c r="AF139" s="270">
        <f t="shared" si="863"/>
        <v>0</v>
      </c>
      <c r="AG139" s="270">
        <f t="shared" si="863"/>
        <v>0</v>
      </c>
      <c r="AH139" s="279">
        <f t="shared" si="602"/>
        <v>0</v>
      </c>
      <c r="AI139" s="270">
        <f t="shared" si="43"/>
        <v>0</v>
      </c>
      <c r="AJ139" s="270">
        <f t="shared" ref="AJ139:AO139" si="864">IF(F$8=0,0,ROUND(AJ138-(F139-BO139),2))</f>
        <v>0</v>
      </c>
      <c r="AK139" s="270">
        <f t="shared" si="864"/>
        <v>0</v>
      </c>
      <c r="AL139" s="270">
        <f t="shared" si="864"/>
        <v>0</v>
      </c>
      <c r="AM139" s="270">
        <f t="shared" si="864"/>
        <v>0</v>
      </c>
      <c r="AN139" s="270">
        <f t="shared" si="864"/>
        <v>0</v>
      </c>
      <c r="AO139" s="270">
        <f t="shared" si="864"/>
        <v>0</v>
      </c>
      <c r="AP139" s="270">
        <v>0.0</v>
      </c>
      <c r="AQ139" s="270">
        <f t="shared" ref="AQ139:AS139" si="865">IF(M$8=0,0,ROUND(AQ138-(M139-BV139),2))</f>
        <v>0</v>
      </c>
      <c r="AR139" s="270">
        <f t="shared" si="865"/>
        <v>0</v>
      </c>
      <c r="AS139" s="270">
        <f t="shared" si="865"/>
        <v>0</v>
      </c>
      <c r="AT139" s="270">
        <f t="shared" si="605"/>
        <v>-6.22</v>
      </c>
      <c r="AU139" s="270">
        <f t="shared" ref="AU139:BK139" si="866">IF(Q$8=0,0,ROUND(AU138-(Q139-BY139),2))</f>
        <v>-9.98</v>
      </c>
      <c r="AV139" s="270">
        <f t="shared" si="866"/>
        <v>0</v>
      </c>
      <c r="AW139" s="270">
        <f t="shared" si="866"/>
        <v>0</v>
      </c>
      <c r="AX139" s="270">
        <f t="shared" si="866"/>
        <v>0</v>
      </c>
      <c r="AY139" s="270">
        <f t="shared" si="866"/>
        <v>0</v>
      </c>
      <c r="AZ139" s="270">
        <f t="shared" si="866"/>
        <v>0</v>
      </c>
      <c r="BA139" s="270">
        <f t="shared" si="866"/>
        <v>0</v>
      </c>
      <c r="BB139" s="270">
        <f t="shared" si="866"/>
        <v>0</v>
      </c>
      <c r="BC139" s="270">
        <f t="shared" si="866"/>
        <v>0</v>
      </c>
      <c r="BD139" s="270">
        <f t="shared" si="866"/>
        <v>0</v>
      </c>
      <c r="BE139" s="270">
        <f t="shared" si="866"/>
        <v>0</v>
      </c>
      <c r="BF139" s="270">
        <f t="shared" si="866"/>
        <v>0</v>
      </c>
      <c r="BG139" s="270">
        <f t="shared" si="866"/>
        <v>0</v>
      </c>
      <c r="BH139" s="270">
        <f t="shared" si="866"/>
        <v>0</v>
      </c>
      <c r="BI139" s="270">
        <f t="shared" si="866"/>
        <v>0</v>
      </c>
      <c r="BJ139" s="270">
        <f t="shared" si="866"/>
        <v>0</v>
      </c>
      <c r="BK139" s="270">
        <f t="shared" si="866"/>
        <v>0</v>
      </c>
      <c r="BL139" s="265">
        <f t="shared" si="16"/>
        <v>-16.2</v>
      </c>
      <c r="BM139" s="215"/>
      <c r="BN139" s="270">
        <f t="shared" ref="BN139:CP139" si="867">ROUND(AI138*E$9/12,2)</f>
        <v>0</v>
      </c>
      <c r="BO139" s="270">
        <f t="shared" si="867"/>
        <v>0</v>
      </c>
      <c r="BP139" s="270">
        <f t="shared" si="867"/>
        <v>0</v>
      </c>
      <c r="BQ139" s="270">
        <f t="shared" si="867"/>
        <v>0</v>
      </c>
      <c r="BR139" s="270">
        <f t="shared" si="867"/>
        <v>0</v>
      </c>
      <c r="BS139" s="270">
        <f t="shared" si="867"/>
        <v>0</v>
      </c>
      <c r="BT139" s="270">
        <f t="shared" si="867"/>
        <v>0</v>
      </c>
      <c r="BU139" s="270">
        <f t="shared" si="867"/>
        <v>0</v>
      </c>
      <c r="BV139" s="270">
        <f t="shared" si="867"/>
        <v>0</v>
      </c>
      <c r="BW139" s="270">
        <f t="shared" si="867"/>
        <v>0</v>
      </c>
      <c r="BX139" s="270">
        <f t="shared" si="867"/>
        <v>0</v>
      </c>
      <c r="BY139" s="270">
        <f t="shared" si="867"/>
        <v>-0.05</v>
      </c>
      <c r="BZ139" s="270">
        <f t="shared" si="867"/>
        <v>-0.03</v>
      </c>
      <c r="CA139" s="270">
        <f t="shared" si="867"/>
        <v>0</v>
      </c>
      <c r="CB139" s="270">
        <f t="shared" si="867"/>
        <v>0</v>
      </c>
      <c r="CC139" s="270">
        <f t="shared" si="867"/>
        <v>0</v>
      </c>
      <c r="CD139" s="270">
        <f t="shared" si="867"/>
        <v>0</v>
      </c>
      <c r="CE139" s="270">
        <f t="shared" si="867"/>
        <v>0</v>
      </c>
      <c r="CF139" s="270">
        <f t="shared" si="867"/>
        <v>0</v>
      </c>
      <c r="CG139" s="270">
        <f t="shared" si="867"/>
        <v>0</v>
      </c>
      <c r="CH139" s="270">
        <f t="shared" si="867"/>
        <v>0</v>
      </c>
      <c r="CI139" s="270">
        <f t="shared" si="867"/>
        <v>0</v>
      </c>
      <c r="CJ139" s="270">
        <f t="shared" si="867"/>
        <v>0</v>
      </c>
      <c r="CK139" s="270">
        <f t="shared" si="867"/>
        <v>0</v>
      </c>
      <c r="CL139" s="270">
        <f t="shared" si="867"/>
        <v>0</v>
      </c>
      <c r="CM139" s="270">
        <f t="shared" si="867"/>
        <v>0</v>
      </c>
      <c r="CN139" s="270">
        <f t="shared" si="867"/>
        <v>0</v>
      </c>
      <c r="CO139" s="270">
        <f t="shared" si="867"/>
        <v>0</v>
      </c>
      <c r="CP139" s="270">
        <f t="shared" si="867"/>
        <v>0</v>
      </c>
      <c r="CQ139" s="215"/>
      <c r="CR139" s="270">
        <f t="shared" si="27"/>
        <v>-0.08</v>
      </c>
      <c r="CS139" s="215"/>
      <c r="CT139" s="270">
        <f t="shared" ref="CT139:DX139" si="868">IF(AI138&gt;0,IF((AI138+BN139)&lt;E$10,AI138+BN139,E$10),0)</f>
        <v>0</v>
      </c>
      <c r="CU139" s="270">
        <f t="shared" si="868"/>
        <v>0</v>
      </c>
      <c r="CV139" s="270">
        <f t="shared" si="868"/>
        <v>0</v>
      </c>
      <c r="CW139" s="270">
        <f t="shared" si="868"/>
        <v>0</v>
      </c>
      <c r="CX139" s="270">
        <f t="shared" si="868"/>
        <v>0</v>
      </c>
      <c r="CY139" s="270">
        <f t="shared" si="868"/>
        <v>0</v>
      </c>
      <c r="CZ139" s="270">
        <f t="shared" si="868"/>
        <v>0</v>
      </c>
      <c r="DA139" s="270">
        <f t="shared" si="868"/>
        <v>0</v>
      </c>
      <c r="DB139" s="270">
        <f t="shared" si="868"/>
        <v>0</v>
      </c>
      <c r="DC139" s="270">
        <f t="shared" si="868"/>
        <v>0</v>
      </c>
      <c r="DD139" s="270">
        <f t="shared" si="868"/>
        <v>0</v>
      </c>
      <c r="DE139" s="270">
        <f t="shared" si="868"/>
        <v>0</v>
      </c>
      <c r="DF139" s="270">
        <f t="shared" si="868"/>
        <v>0</v>
      </c>
      <c r="DG139" s="270">
        <f t="shared" si="868"/>
        <v>0</v>
      </c>
      <c r="DH139" s="270">
        <f t="shared" si="868"/>
        <v>0</v>
      </c>
      <c r="DI139" s="270">
        <f t="shared" si="868"/>
        <v>0</v>
      </c>
      <c r="DJ139" s="270">
        <f t="shared" si="868"/>
        <v>0</v>
      </c>
      <c r="DK139" s="270">
        <f t="shared" si="868"/>
        <v>0</v>
      </c>
      <c r="DL139" s="270">
        <f t="shared" si="868"/>
        <v>0</v>
      </c>
      <c r="DM139" s="270">
        <f t="shared" si="868"/>
        <v>0</v>
      </c>
      <c r="DN139" s="270">
        <f t="shared" si="868"/>
        <v>0</v>
      </c>
      <c r="DO139" s="270">
        <f t="shared" si="868"/>
        <v>0</v>
      </c>
      <c r="DP139" s="270">
        <f t="shared" si="868"/>
        <v>0</v>
      </c>
      <c r="DQ139" s="270">
        <f t="shared" si="868"/>
        <v>0</v>
      </c>
      <c r="DR139" s="270">
        <f t="shared" si="868"/>
        <v>0</v>
      </c>
      <c r="DS139" s="270">
        <f t="shared" si="868"/>
        <v>0</v>
      </c>
      <c r="DT139" s="270">
        <f t="shared" si="868"/>
        <v>0</v>
      </c>
      <c r="DU139" s="270">
        <f t="shared" si="868"/>
        <v>0</v>
      </c>
      <c r="DV139" s="270">
        <f t="shared" si="868"/>
        <v>0</v>
      </c>
      <c r="DW139" s="270">
        <f t="shared" si="868"/>
        <v>0</v>
      </c>
      <c r="DX139" s="270">
        <f t="shared" si="868"/>
        <v>0</v>
      </c>
      <c r="DY139" s="270">
        <f t="shared" si="29"/>
        <v>0</v>
      </c>
      <c r="DZ139" s="274"/>
      <c r="EA139" s="275">
        <f t="shared" si="38"/>
        <v>0</v>
      </c>
      <c r="EB139" s="270">
        <f t="shared" ref="EB139:FC139" si="869">IF(AJ137&lt;=0,0,IF($C138&lt;=SUM($EA139:EA139),0,IF(CU138+$C138-SUM($EA139:EA139)&gt;AJ137+BO138,AJ137+BO138-CU138,$C138-SUM($EA139:EA139))))</f>
        <v>0</v>
      </c>
      <c r="EC139" s="270">
        <f t="shared" si="869"/>
        <v>0</v>
      </c>
      <c r="ED139" s="270">
        <f t="shared" si="869"/>
        <v>0</v>
      </c>
      <c r="EE139" s="270">
        <f t="shared" si="869"/>
        <v>0</v>
      </c>
      <c r="EF139" s="270">
        <f t="shared" si="869"/>
        <v>0</v>
      </c>
      <c r="EG139" s="270">
        <f t="shared" si="869"/>
        <v>0</v>
      </c>
      <c r="EH139" s="270">
        <f t="shared" si="869"/>
        <v>0</v>
      </c>
      <c r="EI139" s="270">
        <f t="shared" si="869"/>
        <v>0</v>
      </c>
      <c r="EJ139" s="270">
        <f t="shared" si="869"/>
        <v>0</v>
      </c>
      <c r="EK139" s="270">
        <f t="shared" si="869"/>
        <v>0</v>
      </c>
      <c r="EL139" s="270">
        <f t="shared" si="869"/>
        <v>0</v>
      </c>
      <c r="EM139" s="270">
        <f t="shared" si="869"/>
        <v>0</v>
      </c>
      <c r="EN139" s="270">
        <f t="shared" si="869"/>
        <v>0</v>
      </c>
      <c r="EO139" s="270">
        <f t="shared" si="869"/>
        <v>0</v>
      </c>
      <c r="EP139" s="270">
        <f t="shared" si="869"/>
        <v>0</v>
      </c>
      <c r="EQ139" s="270">
        <f t="shared" si="869"/>
        <v>0</v>
      </c>
      <c r="ER139" s="270">
        <f t="shared" si="869"/>
        <v>0</v>
      </c>
      <c r="ES139" s="270">
        <f t="shared" si="869"/>
        <v>0</v>
      </c>
      <c r="ET139" s="270">
        <f t="shared" si="869"/>
        <v>0</v>
      </c>
      <c r="EU139" s="270">
        <f t="shared" si="869"/>
        <v>0</v>
      </c>
      <c r="EV139" s="270">
        <f t="shared" si="869"/>
        <v>0</v>
      </c>
      <c r="EW139" s="270">
        <f t="shared" si="869"/>
        <v>0</v>
      </c>
      <c r="EX139" s="270">
        <f t="shared" si="869"/>
        <v>0</v>
      </c>
      <c r="EY139" s="270">
        <f t="shared" si="869"/>
        <v>0</v>
      </c>
      <c r="EZ139" s="270">
        <f t="shared" si="869"/>
        <v>0</v>
      </c>
      <c r="FA139" s="270">
        <f t="shared" si="869"/>
        <v>0</v>
      </c>
      <c r="FB139" s="270">
        <f t="shared" si="869"/>
        <v>0</v>
      </c>
      <c r="FC139" s="270">
        <f t="shared" si="869"/>
        <v>0</v>
      </c>
      <c r="FD139" s="271"/>
      <c r="FE139" s="271"/>
      <c r="FF139" s="271"/>
      <c r="FG139" s="215"/>
      <c r="FH139" s="215"/>
    </row>
    <row r="140" ht="11.25" customHeight="1">
      <c r="A140" s="215" t="str">
        <f t="shared" si="19"/>
        <v/>
      </c>
      <c r="B140" s="241" t="str">
        <f t="shared" si="600"/>
        <v>#N/A</v>
      </c>
      <c r="C140" s="271" t="str">
        <f>IF(A140="","",IF(Calculator!snowball,IF(($E$5-DY140)&lt;0,0,$E$5-DY140),0)+D140)</f>
        <v/>
      </c>
      <c r="D140" s="271"/>
      <c r="E140" s="270">
        <f t="shared" si="40"/>
        <v>0</v>
      </c>
      <c r="F140" s="270">
        <f t="shared" ref="F140:AG140" si="870">CU140+EB141</f>
        <v>0</v>
      </c>
      <c r="G140" s="270">
        <f t="shared" si="870"/>
        <v>0</v>
      </c>
      <c r="H140" s="270">
        <f t="shared" si="870"/>
        <v>0</v>
      </c>
      <c r="I140" s="270">
        <f t="shared" si="870"/>
        <v>0</v>
      </c>
      <c r="J140" s="270">
        <f t="shared" si="870"/>
        <v>0</v>
      </c>
      <c r="K140" s="270">
        <f t="shared" si="870"/>
        <v>0</v>
      </c>
      <c r="L140" s="270">
        <f t="shared" si="870"/>
        <v>0</v>
      </c>
      <c r="M140" s="270">
        <f t="shared" si="870"/>
        <v>0</v>
      </c>
      <c r="N140" s="270">
        <f t="shared" si="870"/>
        <v>0</v>
      </c>
      <c r="O140" s="270">
        <f t="shared" si="870"/>
        <v>0</v>
      </c>
      <c r="P140" s="272">
        <f t="shared" si="870"/>
        <v>0</v>
      </c>
      <c r="Q140" s="272">
        <f t="shared" si="870"/>
        <v>0</v>
      </c>
      <c r="R140" s="272">
        <f t="shared" si="870"/>
        <v>0</v>
      </c>
      <c r="S140" s="272">
        <f t="shared" si="870"/>
        <v>0</v>
      </c>
      <c r="T140" s="272">
        <f t="shared" si="870"/>
        <v>0</v>
      </c>
      <c r="U140" s="270">
        <f t="shared" si="870"/>
        <v>0</v>
      </c>
      <c r="V140" s="270">
        <f t="shared" si="870"/>
        <v>0</v>
      </c>
      <c r="W140" s="270">
        <f t="shared" si="870"/>
        <v>0</v>
      </c>
      <c r="X140" s="270">
        <f t="shared" si="870"/>
        <v>0</v>
      </c>
      <c r="Y140" s="270">
        <f t="shared" si="870"/>
        <v>0</v>
      </c>
      <c r="Z140" s="270">
        <f t="shared" si="870"/>
        <v>0</v>
      </c>
      <c r="AA140" s="270">
        <f t="shared" si="870"/>
        <v>0</v>
      </c>
      <c r="AB140" s="270">
        <f t="shared" si="870"/>
        <v>0</v>
      </c>
      <c r="AC140" s="270">
        <f t="shared" si="870"/>
        <v>0</v>
      </c>
      <c r="AD140" s="270">
        <f t="shared" si="870"/>
        <v>0</v>
      </c>
      <c r="AE140" s="270">
        <f t="shared" si="870"/>
        <v>0</v>
      </c>
      <c r="AF140" s="270">
        <f t="shared" si="870"/>
        <v>0</v>
      </c>
      <c r="AG140" s="270">
        <f t="shared" si="870"/>
        <v>0</v>
      </c>
      <c r="AH140" s="279">
        <f t="shared" si="602"/>
        <v>0</v>
      </c>
      <c r="AI140" s="270">
        <f t="shared" si="43"/>
        <v>0</v>
      </c>
      <c r="AJ140" s="270">
        <f t="shared" ref="AJ140:AO140" si="871">IF(F$8=0,0,ROUND(AJ139-(F140-BO140),2))</f>
        <v>0</v>
      </c>
      <c r="AK140" s="270">
        <f t="shared" si="871"/>
        <v>0</v>
      </c>
      <c r="AL140" s="270">
        <f t="shared" si="871"/>
        <v>0</v>
      </c>
      <c r="AM140" s="270">
        <f t="shared" si="871"/>
        <v>0</v>
      </c>
      <c r="AN140" s="270">
        <f t="shared" si="871"/>
        <v>0</v>
      </c>
      <c r="AO140" s="270">
        <f t="shared" si="871"/>
        <v>0</v>
      </c>
      <c r="AP140" s="270">
        <v>0.0</v>
      </c>
      <c r="AQ140" s="270">
        <f t="shared" ref="AQ140:AS140" si="872">IF(M$8=0,0,ROUND(AQ139-(M140-BV140),2))</f>
        <v>0</v>
      </c>
      <c r="AR140" s="270">
        <f t="shared" si="872"/>
        <v>0</v>
      </c>
      <c r="AS140" s="270">
        <f t="shared" si="872"/>
        <v>0</v>
      </c>
      <c r="AT140" s="270">
        <f t="shared" si="605"/>
        <v>-6.22</v>
      </c>
      <c r="AU140" s="270">
        <f t="shared" ref="AU140:BK140" si="873">IF(Q$8=0,0,ROUND(AU139-(Q140-BY140),2))</f>
        <v>-10.03</v>
      </c>
      <c r="AV140" s="270">
        <f t="shared" si="873"/>
        <v>0</v>
      </c>
      <c r="AW140" s="270">
        <f t="shared" si="873"/>
        <v>0</v>
      </c>
      <c r="AX140" s="270">
        <f t="shared" si="873"/>
        <v>0</v>
      </c>
      <c r="AY140" s="270">
        <f t="shared" si="873"/>
        <v>0</v>
      </c>
      <c r="AZ140" s="270">
        <f t="shared" si="873"/>
        <v>0</v>
      </c>
      <c r="BA140" s="270">
        <f t="shared" si="873"/>
        <v>0</v>
      </c>
      <c r="BB140" s="270">
        <f t="shared" si="873"/>
        <v>0</v>
      </c>
      <c r="BC140" s="270">
        <f t="shared" si="873"/>
        <v>0</v>
      </c>
      <c r="BD140" s="270">
        <f t="shared" si="873"/>
        <v>0</v>
      </c>
      <c r="BE140" s="270">
        <f t="shared" si="873"/>
        <v>0</v>
      </c>
      <c r="BF140" s="270">
        <f t="shared" si="873"/>
        <v>0</v>
      </c>
      <c r="BG140" s="270">
        <f t="shared" si="873"/>
        <v>0</v>
      </c>
      <c r="BH140" s="270">
        <f t="shared" si="873"/>
        <v>0</v>
      </c>
      <c r="BI140" s="270">
        <f t="shared" si="873"/>
        <v>0</v>
      </c>
      <c r="BJ140" s="270">
        <f t="shared" si="873"/>
        <v>0</v>
      </c>
      <c r="BK140" s="270">
        <f t="shared" si="873"/>
        <v>0</v>
      </c>
      <c r="BL140" s="265">
        <f t="shared" si="16"/>
        <v>-16.25</v>
      </c>
      <c r="BM140" s="215"/>
      <c r="BN140" s="270">
        <f t="shared" ref="BN140:CP140" si="874">ROUND(AI139*E$9/12,2)</f>
        <v>0</v>
      </c>
      <c r="BO140" s="270">
        <f t="shared" si="874"/>
        <v>0</v>
      </c>
      <c r="BP140" s="270">
        <f t="shared" si="874"/>
        <v>0</v>
      </c>
      <c r="BQ140" s="270">
        <f t="shared" si="874"/>
        <v>0</v>
      </c>
      <c r="BR140" s="270">
        <f t="shared" si="874"/>
        <v>0</v>
      </c>
      <c r="BS140" s="270">
        <f t="shared" si="874"/>
        <v>0</v>
      </c>
      <c r="BT140" s="270">
        <f t="shared" si="874"/>
        <v>0</v>
      </c>
      <c r="BU140" s="270">
        <f t="shared" si="874"/>
        <v>0</v>
      </c>
      <c r="BV140" s="270">
        <f t="shared" si="874"/>
        <v>0</v>
      </c>
      <c r="BW140" s="270">
        <f t="shared" si="874"/>
        <v>0</v>
      </c>
      <c r="BX140" s="270">
        <f t="shared" si="874"/>
        <v>0</v>
      </c>
      <c r="BY140" s="270">
        <f t="shared" si="874"/>
        <v>-0.05</v>
      </c>
      <c r="BZ140" s="270">
        <f t="shared" si="874"/>
        <v>-0.03</v>
      </c>
      <c r="CA140" s="270">
        <f t="shared" si="874"/>
        <v>0</v>
      </c>
      <c r="CB140" s="270">
        <f t="shared" si="874"/>
        <v>0</v>
      </c>
      <c r="CC140" s="270">
        <f t="shared" si="874"/>
        <v>0</v>
      </c>
      <c r="CD140" s="270">
        <f t="shared" si="874"/>
        <v>0</v>
      </c>
      <c r="CE140" s="270">
        <f t="shared" si="874"/>
        <v>0</v>
      </c>
      <c r="CF140" s="270">
        <f t="shared" si="874"/>
        <v>0</v>
      </c>
      <c r="CG140" s="270">
        <f t="shared" si="874"/>
        <v>0</v>
      </c>
      <c r="CH140" s="270">
        <f t="shared" si="874"/>
        <v>0</v>
      </c>
      <c r="CI140" s="270">
        <f t="shared" si="874"/>
        <v>0</v>
      </c>
      <c r="CJ140" s="270">
        <f t="shared" si="874"/>
        <v>0</v>
      </c>
      <c r="CK140" s="270">
        <f t="shared" si="874"/>
        <v>0</v>
      </c>
      <c r="CL140" s="270">
        <f t="shared" si="874"/>
        <v>0</v>
      </c>
      <c r="CM140" s="270">
        <f t="shared" si="874"/>
        <v>0</v>
      </c>
      <c r="CN140" s="270">
        <f t="shared" si="874"/>
        <v>0</v>
      </c>
      <c r="CO140" s="270">
        <f t="shared" si="874"/>
        <v>0</v>
      </c>
      <c r="CP140" s="270">
        <f t="shared" si="874"/>
        <v>0</v>
      </c>
      <c r="CQ140" s="215"/>
      <c r="CR140" s="270">
        <f t="shared" si="27"/>
        <v>-0.08</v>
      </c>
      <c r="CS140" s="215"/>
      <c r="CT140" s="270">
        <f t="shared" ref="CT140:DX140" si="875">IF(AI139&gt;0,IF((AI139+BN140)&lt;E$10,AI139+BN140,E$10),0)</f>
        <v>0</v>
      </c>
      <c r="CU140" s="270">
        <f t="shared" si="875"/>
        <v>0</v>
      </c>
      <c r="CV140" s="270">
        <f t="shared" si="875"/>
        <v>0</v>
      </c>
      <c r="CW140" s="270">
        <f t="shared" si="875"/>
        <v>0</v>
      </c>
      <c r="CX140" s="270">
        <f t="shared" si="875"/>
        <v>0</v>
      </c>
      <c r="CY140" s="270">
        <f t="shared" si="875"/>
        <v>0</v>
      </c>
      <c r="CZ140" s="270">
        <f t="shared" si="875"/>
        <v>0</v>
      </c>
      <c r="DA140" s="270">
        <f t="shared" si="875"/>
        <v>0</v>
      </c>
      <c r="DB140" s="270">
        <f t="shared" si="875"/>
        <v>0</v>
      </c>
      <c r="DC140" s="270">
        <f t="shared" si="875"/>
        <v>0</v>
      </c>
      <c r="DD140" s="270">
        <f t="shared" si="875"/>
        <v>0</v>
      </c>
      <c r="DE140" s="270">
        <f t="shared" si="875"/>
        <v>0</v>
      </c>
      <c r="DF140" s="270">
        <f t="shared" si="875"/>
        <v>0</v>
      </c>
      <c r="DG140" s="270">
        <f t="shared" si="875"/>
        <v>0</v>
      </c>
      <c r="DH140" s="270">
        <f t="shared" si="875"/>
        <v>0</v>
      </c>
      <c r="DI140" s="270">
        <f t="shared" si="875"/>
        <v>0</v>
      </c>
      <c r="DJ140" s="270">
        <f t="shared" si="875"/>
        <v>0</v>
      </c>
      <c r="DK140" s="270">
        <f t="shared" si="875"/>
        <v>0</v>
      </c>
      <c r="DL140" s="270">
        <f t="shared" si="875"/>
        <v>0</v>
      </c>
      <c r="DM140" s="270">
        <f t="shared" si="875"/>
        <v>0</v>
      </c>
      <c r="DN140" s="270">
        <f t="shared" si="875"/>
        <v>0</v>
      </c>
      <c r="DO140" s="270">
        <f t="shared" si="875"/>
        <v>0</v>
      </c>
      <c r="DP140" s="270">
        <f t="shared" si="875"/>
        <v>0</v>
      </c>
      <c r="DQ140" s="270">
        <f t="shared" si="875"/>
        <v>0</v>
      </c>
      <c r="DR140" s="270">
        <f t="shared" si="875"/>
        <v>0</v>
      </c>
      <c r="DS140" s="270">
        <f t="shared" si="875"/>
        <v>0</v>
      </c>
      <c r="DT140" s="270">
        <f t="shared" si="875"/>
        <v>0</v>
      </c>
      <c r="DU140" s="270">
        <f t="shared" si="875"/>
        <v>0</v>
      </c>
      <c r="DV140" s="270">
        <f t="shared" si="875"/>
        <v>0</v>
      </c>
      <c r="DW140" s="270">
        <f t="shared" si="875"/>
        <v>0</v>
      </c>
      <c r="DX140" s="270">
        <f t="shared" si="875"/>
        <v>0</v>
      </c>
      <c r="DY140" s="270">
        <f t="shared" si="29"/>
        <v>0</v>
      </c>
      <c r="DZ140" s="274"/>
      <c r="EA140" s="275">
        <f t="shared" si="38"/>
        <v>0</v>
      </c>
      <c r="EB140" s="270">
        <f t="shared" ref="EB140:FC140" si="876">IF(AJ138&lt;=0,0,IF($C139&lt;=SUM($EA140:EA140),0,IF(CU139+$C139-SUM($EA140:EA140)&gt;AJ138+BO139,AJ138+BO139-CU139,$C139-SUM($EA140:EA140))))</f>
        <v>0</v>
      </c>
      <c r="EC140" s="270">
        <f t="shared" si="876"/>
        <v>0</v>
      </c>
      <c r="ED140" s="270">
        <f t="shared" si="876"/>
        <v>0</v>
      </c>
      <c r="EE140" s="270">
        <f t="shared" si="876"/>
        <v>0</v>
      </c>
      <c r="EF140" s="270">
        <f t="shared" si="876"/>
        <v>0</v>
      </c>
      <c r="EG140" s="270">
        <f t="shared" si="876"/>
        <v>0</v>
      </c>
      <c r="EH140" s="270">
        <f t="shared" si="876"/>
        <v>0</v>
      </c>
      <c r="EI140" s="270">
        <f t="shared" si="876"/>
        <v>0</v>
      </c>
      <c r="EJ140" s="270">
        <f t="shared" si="876"/>
        <v>0</v>
      </c>
      <c r="EK140" s="270">
        <f t="shared" si="876"/>
        <v>0</v>
      </c>
      <c r="EL140" s="270">
        <f t="shared" si="876"/>
        <v>0</v>
      </c>
      <c r="EM140" s="270">
        <f t="shared" si="876"/>
        <v>0</v>
      </c>
      <c r="EN140" s="270">
        <f t="shared" si="876"/>
        <v>0</v>
      </c>
      <c r="EO140" s="270">
        <f t="shared" si="876"/>
        <v>0</v>
      </c>
      <c r="EP140" s="270">
        <f t="shared" si="876"/>
        <v>0</v>
      </c>
      <c r="EQ140" s="270">
        <f t="shared" si="876"/>
        <v>0</v>
      </c>
      <c r="ER140" s="270">
        <f t="shared" si="876"/>
        <v>0</v>
      </c>
      <c r="ES140" s="270">
        <f t="shared" si="876"/>
        <v>0</v>
      </c>
      <c r="ET140" s="270">
        <f t="shared" si="876"/>
        <v>0</v>
      </c>
      <c r="EU140" s="270">
        <f t="shared" si="876"/>
        <v>0</v>
      </c>
      <c r="EV140" s="270">
        <f t="shared" si="876"/>
        <v>0</v>
      </c>
      <c r="EW140" s="270">
        <f t="shared" si="876"/>
        <v>0</v>
      </c>
      <c r="EX140" s="270">
        <f t="shared" si="876"/>
        <v>0</v>
      </c>
      <c r="EY140" s="270">
        <f t="shared" si="876"/>
        <v>0</v>
      </c>
      <c r="EZ140" s="270">
        <f t="shared" si="876"/>
        <v>0</v>
      </c>
      <c r="FA140" s="270">
        <f t="shared" si="876"/>
        <v>0</v>
      </c>
      <c r="FB140" s="270">
        <f t="shared" si="876"/>
        <v>0</v>
      </c>
      <c r="FC140" s="270">
        <f t="shared" si="876"/>
        <v>0</v>
      </c>
      <c r="FD140" s="271"/>
      <c r="FE140" s="271"/>
      <c r="FF140" s="271"/>
      <c r="FG140" s="215"/>
      <c r="FH140" s="215"/>
    </row>
    <row r="141" ht="11.25" customHeight="1">
      <c r="A141" s="215" t="str">
        <f t="shared" si="19"/>
        <v/>
      </c>
      <c r="B141" s="241" t="str">
        <f t="shared" si="600"/>
        <v>#N/A</v>
      </c>
      <c r="C141" s="271" t="str">
        <f>IF(A141="","",IF(Calculator!snowball,IF(($E$5-DY141)&lt;0,0,$E$5-DY141),0)+D141)</f>
        <v/>
      </c>
      <c r="D141" s="271"/>
      <c r="E141" s="270">
        <f t="shared" si="40"/>
        <v>0</v>
      </c>
      <c r="F141" s="270">
        <f t="shared" ref="F141:AG141" si="877">CU141+EB142</f>
        <v>0</v>
      </c>
      <c r="G141" s="270">
        <f t="shared" si="877"/>
        <v>0</v>
      </c>
      <c r="H141" s="270">
        <f t="shared" si="877"/>
        <v>0</v>
      </c>
      <c r="I141" s="270">
        <f t="shared" si="877"/>
        <v>0</v>
      </c>
      <c r="J141" s="270">
        <f t="shared" si="877"/>
        <v>0</v>
      </c>
      <c r="K141" s="270">
        <f t="shared" si="877"/>
        <v>0</v>
      </c>
      <c r="L141" s="270">
        <f t="shared" si="877"/>
        <v>0</v>
      </c>
      <c r="M141" s="270">
        <f t="shared" si="877"/>
        <v>0</v>
      </c>
      <c r="N141" s="270">
        <f t="shared" si="877"/>
        <v>0</v>
      </c>
      <c r="O141" s="270">
        <f t="shared" si="877"/>
        <v>0</v>
      </c>
      <c r="P141" s="272">
        <f t="shared" si="877"/>
        <v>0</v>
      </c>
      <c r="Q141" s="272">
        <f t="shared" si="877"/>
        <v>0</v>
      </c>
      <c r="R141" s="272">
        <f t="shared" si="877"/>
        <v>0</v>
      </c>
      <c r="S141" s="272">
        <f t="shared" si="877"/>
        <v>0</v>
      </c>
      <c r="T141" s="272">
        <f t="shared" si="877"/>
        <v>0</v>
      </c>
      <c r="U141" s="270">
        <f t="shared" si="877"/>
        <v>0</v>
      </c>
      <c r="V141" s="270">
        <f t="shared" si="877"/>
        <v>0</v>
      </c>
      <c r="W141" s="270">
        <f t="shared" si="877"/>
        <v>0</v>
      </c>
      <c r="X141" s="270">
        <f t="shared" si="877"/>
        <v>0</v>
      </c>
      <c r="Y141" s="270">
        <f t="shared" si="877"/>
        <v>0</v>
      </c>
      <c r="Z141" s="270">
        <f t="shared" si="877"/>
        <v>0</v>
      </c>
      <c r="AA141" s="270">
        <f t="shared" si="877"/>
        <v>0</v>
      </c>
      <c r="AB141" s="270">
        <f t="shared" si="877"/>
        <v>0</v>
      </c>
      <c r="AC141" s="270">
        <f t="shared" si="877"/>
        <v>0</v>
      </c>
      <c r="AD141" s="270">
        <f t="shared" si="877"/>
        <v>0</v>
      </c>
      <c r="AE141" s="270">
        <f t="shared" si="877"/>
        <v>0</v>
      </c>
      <c r="AF141" s="270">
        <f t="shared" si="877"/>
        <v>0</v>
      </c>
      <c r="AG141" s="270">
        <f t="shared" si="877"/>
        <v>0</v>
      </c>
      <c r="AH141" s="279">
        <f t="shared" si="602"/>
        <v>0</v>
      </c>
      <c r="AI141" s="270">
        <f t="shared" si="43"/>
        <v>0</v>
      </c>
      <c r="AJ141" s="270">
        <f t="shared" ref="AJ141:AO141" si="878">IF(F$8=0,0,ROUND(AJ140-(F141-BO141),2))</f>
        <v>0</v>
      </c>
      <c r="AK141" s="270">
        <f t="shared" si="878"/>
        <v>0</v>
      </c>
      <c r="AL141" s="270">
        <f t="shared" si="878"/>
        <v>0</v>
      </c>
      <c r="AM141" s="270">
        <f t="shared" si="878"/>
        <v>0</v>
      </c>
      <c r="AN141" s="270">
        <f t="shared" si="878"/>
        <v>0</v>
      </c>
      <c r="AO141" s="270">
        <f t="shared" si="878"/>
        <v>0</v>
      </c>
      <c r="AP141" s="270">
        <v>0.0</v>
      </c>
      <c r="AQ141" s="270">
        <f t="shared" ref="AQ141:AS141" si="879">IF(M$8=0,0,ROUND(AQ140-(M141-BV141),2))</f>
        <v>0</v>
      </c>
      <c r="AR141" s="270">
        <f t="shared" si="879"/>
        <v>0</v>
      </c>
      <c r="AS141" s="270">
        <f t="shared" si="879"/>
        <v>0</v>
      </c>
      <c r="AT141" s="270">
        <f t="shared" si="605"/>
        <v>-6.22</v>
      </c>
      <c r="AU141" s="270">
        <f t="shared" ref="AU141:BK141" si="880">IF(Q$8=0,0,ROUND(AU140-(Q141-BY141),2))</f>
        <v>-10.08</v>
      </c>
      <c r="AV141" s="270">
        <f t="shared" si="880"/>
        <v>0</v>
      </c>
      <c r="AW141" s="270">
        <f t="shared" si="880"/>
        <v>0</v>
      </c>
      <c r="AX141" s="270">
        <f t="shared" si="880"/>
        <v>0</v>
      </c>
      <c r="AY141" s="270">
        <f t="shared" si="880"/>
        <v>0</v>
      </c>
      <c r="AZ141" s="270">
        <f t="shared" si="880"/>
        <v>0</v>
      </c>
      <c r="BA141" s="270">
        <f t="shared" si="880"/>
        <v>0</v>
      </c>
      <c r="BB141" s="270">
        <f t="shared" si="880"/>
        <v>0</v>
      </c>
      <c r="BC141" s="270">
        <f t="shared" si="880"/>
        <v>0</v>
      </c>
      <c r="BD141" s="270">
        <f t="shared" si="880"/>
        <v>0</v>
      </c>
      <c r="BE141" s="270">
        <f t="shared" si="880"/>
        <v>0</v>
      </c>
      <c r="BF141" s="270">
        <f t="shared" si="880"/>
        <v>0</v>
      </c>
      <c r="BG141" s="270">
        <f t="shared" si="880"/>
        <v>0</v>
      </c>
      <c r="BH141" s="270">
        <f t="shared" si="880"/>
        <v>0</v>
      </c>
      <c r="BI141" s="270">
        <f t="shared" si="880"/>
        <v>0</v>
      </c>
      <c r="BJ141" s="270">
        <f t="shared" si="880"/>
        <v>0</v>
      </c>
      <c r="BK141" s="270">
        <f t="shared" si="880"/>
        <v>0</v>
      </c>
      <c r="BL141" s="265">
        <f t="shared" si="16"/>
        <v>-16.3</v>
      </c>
      <c r="BM141" s="215"/>
      <c r="BN141" s="270">
        <f t="shared" ref="BN141:CP141" si="881">ROUND(AI140*E$9/12,2)</f>
        <v>0</v>
      </c>
      <c r="BO141" s="270">
        <f t="shared" si="881"/>
        <v>0</v>
      </c>
      <c r="BP141" s="270">
        <f t="shared" si="881"/>
        <v>0</v>
      </c>
      <c r="BQ141" s="270">
        <f t="shared" si="881"/>
        <v>0</v>
      </c>
      <c r="BR141" s="270">
        <f t="shared" si="881"/>
        <v>0</v>
      </c>
      <c r="BS141" s="270">
        <f t="shared" si="881"/>
        <v>0</v>
      </c>
      <c r="BT141" s="270">
        <f t="shared" si="881"/>
        <v>0</v>
      </c>
      <c r="BU141" s="270">
        <f t="shared" si="881"/>
        <v>0</v>
      </c>
      <c r="BV141" s="270">
        <f t="shared" si="881"/>
        <v>0</v>
      </c>
      <c r="BW141" s="270">
        <f t="shared" si="881"/>
        <v>0</v>
      </c>
      <c r="BX141" s="270">
        <f t="shared" si="881"/>
        <v>0</v>
      </c>
      <c r="BY141" s="270">
        <f t="shared" si="881"/>
        <v>-0.05</v>
      </c>
      <c r="BZ141" s="270">
        <f t="shared" si="881"/>
        <v>-0.03</v>
      </c>
      <c r="CA141" s="270">
        <f t="shared" si="881"/>
        <v>0</v>
      </c>
      <c r="CB141" s="270">
        <f t="shared" si="881"/>
        <v>0</v>
      </c>
      <c r="CC141" s="270">
        <f t="shared" si="881"/>
        <v>0</v>
      </c>
      <c r="CD141" s="270">
        <f t="shared" si="881"/>
        <v>0</v>
      </c>
      <c r="CE141" s="270">
        <f t="shared" si="881"/>
        <v>0</v>
      </c>
      <c r="CF141" s="270">
        <f t="shared" si="881"/>
        <v>0</v>
      </c>
      <c r="CG141" s="270">
        <f t="shared" si="881"/>
        <v>0</v>
      </c>
      <c r="CH141" s="270">
        <f t="shared" si="881"/>
        <v>0</v>
      </c>
      <c r="CI141" s="270">
        <f t="shared" si="881"/>
        <v>0</v>
      </c>
      <c r="CJ141" s="270">
        <f t="shared" si="881"/>
        <v>0</v>
      </c>
      <c r="CK141" s="270">
        <f t="shared" si="881"/>
        <v>0</v>
      </c>
      <c r="CL141" s="270">
        <f t="shared" si="881"/>
        <v>0</v>
      </c>
      <c r="CM141" s="270">
        <f t="shared" si="881"/>
        <v>0</v>
      </c>
      <c r="CN141" s="270">
        <f t="shared" si="881"/>
        <v>0</v>
      </c>
      <c r="CO141" s="270">
        <f t="shared" si="881"/>
        <v>0</v>
      </c>
      <c r="CP141" s="270">
        <f t="shared" si="881"/>
        <v>0</v>
      </c>
      <c r="CQ141" s="215"/>
      <c r="CR141" s="270">
        <f t="shared" si="27"/>
        <v>-0.08</v>
      </c>
      <c r="CS141" s="215"/>
      <c r="CT141" s="270">
        <f t="shared" ref="CT141:DX141" si="882">IF(AI140&gt;0,IF((AI140+BN141)&lt;E$10,AI140+BN141,E$10),0)</f>
        <v>0</v>
      </c>
      <c r="CU141" s="270">
        <f t="shared" si="882"/>
        <v>0</v>
      </c>
      <c r="CV141" s="270">
        <f t="shared" si="882"/>
        <v>0</v>
      </c>
      <c r="CW141" s="270">
        <f t="shared" si="882"/>
        <v>0</v>
      </c>
      <c r="CX141" s="270">
        <f t="shared" si="882"/>
        <v>0</v>
      </c>
      <c r="CY141" s="270">
        <f t="shared" si="882"/>
        <v>0</v>
      </c>
      <c r="CZ141" s="270">
        <f t="shared" si="882"/>
        <v>0</v>
      </c>
      <c r="DA141" s="270">
        <f t="shared" si="882"/>
        <v>0</v>
      </c>
      <c r="DB141" s="270">
        <f t="shared" si="882"/>
        <v>0</v>
      </c>
      <c r="DC141" s="270">
        <f t="shared" si="882"/>
        <v>0</v>
      </c>
      <c r="DD141" s="270">
        <f t="shared" si="882"/>
        <v>0</v>
      </c>
      <c r="DE141" s="270">
        <f t="shared" si="882"/>
        <v>0</v>
      </c>
      <c r="DF141" s="270">
        <f t="shared" si="882"/>
        <v>0</v>
      </c>
      <c r="DG141" s="270">
        <f t="shared" si="882"/>
        <v>0</v>
      </c>
      <c r="DH141" s="270">
        <f t="shared" si="882"/>
        <v>0</v>
      </c>
      <c r="DI141" s="270">
        <f t="shared" si="882"/>
        <v>0</v>
      </c>
      <c r="DJ141" s="270">
        <f t="shared" si="882"/>
        <v>0</v>
      </c>
      <c r="DK141" s="270">
        <f t="shared" si="882"/>
        <v>0</v>
      </c>
      <c r="DL141" s="270">
        <f t="shared" si="882"/>
        <v>0</v>
      </c>
      <c r="DM141" s="270">
        <f t="shared" si="882"/>
        <v>0</v>
      </c>
      <c r="DN141" s="270">
        <f t="shared" si="882"/>
        <v>0</v>
      </c>
      <c r="DO141" s="270">
        <f t="shared" si="882"/>
        <v>0</v>
      </c>
      <c r="DP141" s="270">
        <f t="shared" si="882"/>
        <v>0</v>
      </c>
      <c r="DQ141" s="270">
        <f t="shared" si="882"/>
        <v>0</v>
      </c>
      <c r="DR141" s="270">
        <f t="shared" si="882"/>
        <v>0</v>
      </c>
      <c r="DS141" s="270">
        <f t="shared" si="882"/>
        <v>0</v>
      </c>
      <c r="DT141" s="270">
        <f t="shared" si="882"/>
        <v>0</v>
      </c>
      <c r="DU141" s="270">
        <f t="shared" si="882"/>
        <v>0</v>
      </c>
      <c r="DV141" s="270">
        <f t="shared" si="882"/>
        <v>0</v>
      </c>
      <c r="DW141" s="270">
        <f t="shared" si="882"/>
        <v>0</v>
      </c>
      <c r="DX141" s="270">
        <f t="shared" si="882"/>
        <v>0</v>
      </c>
      <c r="DY141" s="270">
        <f t="shared" si="29"/>
        <v>0</v>
      </c>
      <c r="DZ141" s="274"/>
      <c r="EA141" s="275">
        <f t="shared" si="38"/>
        <v>0</v>
      </c>
      <c r="EB141" s="270">
        <f t="shared" ref="EB141:FC141" si="883">IF(AJ139&lt;=0,0,IF($C140&lt;=SUM($EA141:EA141),0,IF(CU140+$C140-SUM($EA141:EA141)&gt;AJ139+BO140,AJ139+BO140-CU140,$C140-SUM($EA141:EA141))))</f>
        <v>0</v>
      </c>
      <c r="EC141" s="270">
        <f t="shared" si="883"/>
        <v>0</v>
      </c>
      <c r="ED141" s="270">
        <f t="shared" si="883"/>
        <v>0</v>
      </c>
      <c r="EE141" s="270">
        <f t="shared" si="883"/>
        <v>0</v>
      </c>
      <c r="EF141" s="270">
        <f t="shared" si="883"/>
        <v>0</v>
      </c>
      <c r="EG141" s="270">
        <f t="shared" si="883"/>
        <v>0</v>
      </c>
      <c r="EH141" s="270">
        <f t="shared" si="883"/>
        <v>0</v>
      </c>
      <c r="EI141" s="270">
        <f t="shared" si="883"/>
        <v>0</v>
      </c>
      <c r="EJ141" s="270">
        <f t="shared" si="883"/>
        <v>0</v>
      </c>
      <c r="EK141" s="270">
        <f t="shared" si="883"/>
        <v>0</v>
      </c>
      <c r="EL141" s="270">
        <f t="shared" si="883"/>
        <v>0</v>
      </c>
      <c r="EM141" s="270">
        <f t="shared" si="883"/>
        <v>0</v>
      </c>
      <c r="EN141" s="270">
        <f t="shared" si="883"/>
        <v>0</v>
      </c>
      <c r="EO141" s="270">
        <f t="shared" si="883"/>
        <v>0</v>
      </c>
      <c r="EP141" s="270">
        <f t="shared" si="883"/>
        <v>0</v>
      </c>
      <c r="EQ141" s="270">
        <f t="shared" si="883"/>
        <v>0</v>
      </c>
      <c r="ER141" s="270">
        <f t="shared" si="883"/>
        <v>0</v>
      </c>
      <c r="ES141" s="270">
        <f t="shared" si="883"/>
        <v>0</v>
      </c>
      <c r="ET141" s="270">
        <f t="shared" si="883"/>
        <v>0</v>
      </c>
      <c r="EU141" s="270">
        <f t="shared" si="883"/>
        <v>0</v>
      </c>
      <c r="EV141" s="270">
        <f t="shared" si="883"/>
        <v>0</v>
      </c>
      <c r="EW141" s="270">
        <f t="shared" si="883"/>
        <v>0</v>
      </c>
      <c r="EX141" s="270">
        <f t="shared" si="883"/>
        <v>0</v>
      </c>
      <c r="EY141" s="270">
        <f t="shared" si="883"/>
        <v>0</v>
      </c>
      <c r="EZ141" s="270">
        <f t="shared" si="883"/>
        <v>0</v>
      </c>
      <c r="FA141" s="270">
        <f t="shared" si="883"/>
        <v>0</v>
      </c>
      <c r="FB141" s="270">
        <f t="shared" si="883"/>
        <v>0</v>
      </c>
      <c r="FC141" s="270">
        <f t="shared" si="883"/>
        <v>0</v>
      </c>
      <c r="FD141" s="271"/>
      <c r="FE141" s="271"/>
      <c r="FF141" s="271"/>
      <c r="FG141" s="215"/>
      <c r="FH141" s="215"/>
    </row>
    <row r="142" ht="11.25" customHeight="1">
      <c r="A142" s="215" t="str">
        <f t="shared" si="19"/>
        <v/>
      </c>
      <c r="B142" s="241" t="str">
        <f t="shared" si="600"/>
        <v>#N/A</v>
      </c>
      <c r="C142" s="271" t="str">
        <f>IF(A142="","",IF(Calculator!snowball,IF(($E$5-DY142)&lt;0,0,$E$5-DY142),0)+D142)</f>
        <v/>
      </c>
      <c r="D142" s="271"/>
      <c r="E142" s="270">
        <f t="shared" si="40"/>
        <v>0</v>
      </c>
      <c r="F142" s="270">
        <f t="shared" ref="F142:AG142" si="884">CU142+EB143</f>
        <v>0</v>
      </c>
      <c r="G142" s="270">
        <f t="shared" si="884"/>
        <v>0</v>
      </c>
      <c r="H142" s="270">
        <f t="shared" si="884"/>
        <v>0</v>
      </c>
      <c r="I142" s="270">
        <f t="shared" si="884"/>
        <v>0</v>
      </c>
      <c r="J142" s="270">
        <f t="shared" si="884"/>
        <v>0</v>
      </c>
      <c r="K142" s="270">
        <f t="shared" si="884"/>
        <v>0</v>
      </c>
      <c r="L142" s="270">
        <f t="shared" si="884"/>
        <v>0</v>
      </c>
      <c r="M142" s="270">
        <f t="shared" si="884"/>
        <v>0</v>
      </c>
      <c r="N142" s="270">
        <f t="shared" si="884"/>
        <v>0</v>
      </c>
      <c r="O142" s="270">
        <f t="shared" si="884"/>
        <v>0</v>
      </c>
      <c r="P142" s="272">
        <f t="shared" si="884"/>
        <v>0</v>
      </c>
      <c r="Q142" s="272">
        <f t="shared" si="884"/>
        <v>0</v>
      </c>
      <c r="R142" s="272">
        <f t="shared" si="884"/>
        <v>0</v>
      </c>
      <c r="S142" s="272">
        <f t="shared" si="884"/>
        <v>0</v>
      </c>
      <c r="T142" s="272">
        <f t="shared" si="884"/>
        <v>0</v>
      </c>
      <c r="U142" s="270">
        <f t="shared" si="884"/>
        <v>0</v>
      </c>
      <c r="V142" s="270">
        <f t="shared" si="884"/>
        <v>0</v>
      </c>
      <c r="W142" s="270">
        <f t="shared" si="884"/>
        <v>0</v>
      </c>
      <c r="X142" s="270">
        <f t="shared" si="884"/>
        <v>0</v>
      </c>
      <c r="Y142" s="270">
        <f t="shared" si="884"/>
        <v>0</v>
      </c>
      <c r="Z142" s="270">
        <f t="shared" si="884"/>
        <v>0</v>
      </c>
      <c r="AA142" s="270">
        <f t="shared" si="884"/>
        <v>0</v>
      </c>
      <c r="AB142" s="270">
        <f t="shared" si="884"/>
        <v>0</v>
      </c>
      <c r="AC142" s="270">
        <f t="shared" si="884"/>
        <v>0</v>
      </c>
      <c r="AD142" s="270">
        <f t="shared" si="884"/>
        <v>0</v>
      </c>
      <c r="AE142" s="270">
        <f t="shared" si="884"/>
        <v>0</v>
      </c>
      <c r="AF142" s="270">
        <f t="shared" si="884"/>
        <v>0</v>
      </c>
      <c r="AG142" s="270">
        <f t="shared" si="884"/>
        <v>0</v>
      </c>
      <c r="AH142" s="279">
        <f t="shared" si="602"/>
        <v>0</v>
      </c>
      <c r="AI142" s="270">
        <f t="shared" si="43"/>
        <v>0</v>
      </c>
      <c r="AJ142" s="270">
        <f t="shared" ref="AJ142:AO142" si="885">IF(F$8=0,0,ROUND(AJ141-(F142-BO142),2))</f>
        <v>0</v>
      </c>
      <c r="AK142" s="270">
        <f t="shared" si="885"/>
        <v>0</v>
      </c>
      <c r="AL142" s="270">
        <f t="shared" si="885"/>
        <v>0</v>
      </c>
      <c r="AM142" s="270">
        <f t="shared" si="885"/>
        <v>0</v>
      </c>
      <c r="AN142" s="270">
        <f t="shared" si="885"/>
        <v>0</v>
      </c>
      <c r="AO142" s="270">
        <f t="shared" si="885"/>
        <v>0</v>
      </c>
      <c r="AP142" s="270">
        <v>0.0</v>
      </c>
      <c r="AQ142" s="270">
        <f t="shared" ref="AQ142:AS142" si="886">IF(M$8=0,0,ROUND(AQ141-(M142-BV142),2))</f>
        <v>0</v>
      </c>
      <c r="AR142" s="270">
        <f t="shared" si="886"/>
        <v>0</v>
      </c>
      <c r="AS142" s="270">
        <f t="shared" si="886"/>
        <v>0</v>
      </c>
      <c r="AT142" s="270">
        <f t="shared" si="605"/>
        <v>-6.22</v>
      </c>
      <c r="AU142" s="270">
        <f t="shared" ref="AU142:BK142" si="887">IF(Q$8=0,0,ROUND(AU141-(Q142-BY142),2))</f>
        <v>-10.13</v>
      </c>
      <c r="AV142" s="270">
        <f t="shared" si="887"/>
        <v>0</v>
      </c>
      <c r="AW142" s="270">
        <f t="shared" si="887"/>
        <v>0</v>
      </c>
      <c r="AX142" s="270">
        <f t="shared" si="887"/>
        <v>0</v>
      </c>
      <c r="AY142" s="270">
        <f t="shared" si="887"/>
        <v>0</v>
      </c>
      <c r="AZ142" s="270">
        <f t="shared" si="887"/>
        <v>0</v>
      </c>
      <c r="BA142" s="270">
        <f t="shared" si="887"/>
        <v>0</v>
      </c>
      <c r="BB142" s="270">
        <f t="shared" si="887"/>
        <v>0</v>
      </c>
      <c r="BC142" s="270">
        <f t="shared" si="887"/>
        <v>0</v>
      </c>
      <c r="BD142" s="270">
        <f t="shared" si="887"/>
        <v>0</v>
      </c>
      <c r="BE142" s="270">
        <f t="shared" si="887"/>
        <v>0</v>
      </c>
      <c r="BF142" s="270">
        <f t="shared" si="887"/>
        <v>0</v>
      </c>
      <c r="BG142" s="270">
        <f t="shared" si="887"/>
        <v>0</v>
      </c>
      <c r="BH142" s="270">
        <f t="shared" si="887"/>
        <v>0</v>
      </c>
      <c r="BI142" s="270">
        <f t="shared" si="887"/>
        <v>0</v>
      </c>
      <c r="BJ142" s="270">
        <f t="shared" si="887"/>
        <v>0</v>
      </c>
      <c r="BK142" s="270">
        <f t="shared" si="887"/>
        <v>0</v>
      </c>
      <c r="BL142" s="265">
        <f t="shared" si="16"/>
        <v>-16.35</v>
      </c>
      <c r="BM142" s="215"/>
      <c r="BN142" s="270">
        <f t="shared" ref="BN142:CP142" si="888">ROUND(AI141*E$9/12,2)</f>
        <v>0</v>
      </c>
      <c r="BO142" s="270">
        <f t="shared" si="888"/>
        <v>0</v>
      </c>
      <c r="BP142" s="270">
        <f t="shared" si="888"/>
        <v>0</v>
      </c>
      <c r="BQ142" s="270">
        <f t="shared" si="888"/>
        <v>0</v>
      </c>
      <c r="BR142" s="270">
        <f t="shared" si="888"/>
        <v>0</v>
      </c>
      <c r="BS142" s="270">
        <f t="shared" si="888"/>
        <v>0</v>
      </c>
      <c r="BT142" s="270">
        <f t="shared" si="888"/>
        <v>0</v>
      </c>
      <c r="BU142" s="270">
        <f t="shared" si="888"/>
        <v>0</v>
      </c>
      <c r="BV142" s="270">
        <f t="shared" si="888"/>
        <v>0</v>
      </c>
      <c r="BW142" s="270">
        <f t="shared" si="888"/>
        <v>0</v>
      </c>
      <c r="BX142" s="270">
        <f t="shared" si="888"/>
        <v>0</v>
      </c>
      <c r="BY142" s="270">
        <f t="shared" si="888"/>
        <v>-0.05</v>
      </c>
      <c r="BZ142" s="270">
        <f t="shared" si="888"/>
        <v>-0.03</v>
      </c>
      <c r="CA142" s="270">
        <f t="shared" si="888"/>
        <v>0</v>
      </c>
      <c r="CB142" s="270">
        <f t="shared" si="888"/>
        <v>0</v>
      </c>
      <c r="CC142" s="270">
        <f t="shared" si="888"/>
        <v>0</v>
      </c>
      <c r="CD142" s="270">
        <f t="shared" si="888"/>
        <v>0</v>
      </c>
      <c r="CE142" s="270">
        <f t="shared" si="888"/>
        <v>0</v>
      </c>
      <c r="CF142" s="270">
        <f t="shared" si="888"/>
        <v>0</v>
      </c>
      <c r="CG142" s="270">
        <f t="shared" si="888"/>
        <v>0</v>
      </c>
      <c r="CH142" s="270">
        <f t="shared" si="888"/>
        <v>0</v>
      </c>
      <c r="CI142" s="270">
        <f t="shared" si="888"/>
        <v>0</v>
      </c>
      <c r="CJ142" s="270">
        <f t="shared" si="888"/>
        <v>0</v>
      </c>
      <c r="CK142" s="270">
        <f t="shared" si="888"/>
        <v>0</v>
      </c>
      <c r="CL142" s="270">
        <f t="shared" si="888"/>
        <v>0</v>
      </c>
      <c r="CM142" s="270">
        <f t="shared" si="888"/>
        <v>0</v>
      </c>
      <c r="CN142" s="270">
        <f t="shared" si="888"/>
        <v>0</v>
      </c>
      <c r="CO142" s="270">
        <f t="shared" si="888"/>
        <v>0</v>
      </c>
      <c r="CP142" s="270">
        <f t="shared" si="888"/>
        <v>0</v>
      </c>
      <c r="CQ142" s="215"/>
      <c r="CR142" s="270">
        <f t="shared" si="27"/>
        <v>-0.08</v>
      </c>
      <c r="CS142" s="215"/>
      <c r="CT142" s="270">
        <f t="shared" ref="CT142:DX142" si="889">IF(AI141&gt;0,IF((AI141+BN142)&lt;E$10,AI141+BN142,E$10),0)</f>
        <v>0</v>
      </c>
      <c r="CU142" s="270">
        <f t="shared" si="889"/>
        <v>0</v>
      </c>
      <c r="CV142" s="270">
        <f t="shared" si="889"/>
        <v>0</v>
      </c>
      <c r="CW142" s="270">
        <f t="shared" si="889"/>
        <v>0</v>
      </c>
      <c r="CX142" s="270">
        <f t="shared" si="889"/>
        <v>0</v>
      </c>
      <c r="CY142" s="270">
        <f t="shared" si="889"/>
        <v>0</v>
      </c>
      <c r="CZ142" s="270">
        <f t="shared" si="889"/>
        <v>0</v>
      </c>
      <c r="DA142" s="270">
        <f t="shared" si="889"/>
        <v>0</v>
      </c>
      <c r="DB142" s="270">
        <f t="shared" si="889"/>
        <v>0</v>
      </c>
      <c r="DC142" s="270">
        <f t="shared" si="889"/>
        <v>0</v>
      </c>
      <c r="DD142" s="270">
        <f t="shared" si="889"/>
        <v>0</v>
      </c>
      <c r="DE142" s="270">
        <f t="shared" si="889"/>
        <v>0</v>
      </c>
      <c r="DF142" s="270">
        <f t="shared" si="889"/>
        <v>0</v>
      </c>
      <c r="DG142" s="270">
        <f t="shared" si="889"/>
        <v>0</v>
      </c>
      <c r="DH142" s="270">
        <f t="shared" si="889"/>
        <v>0</v>
      </c>
      <c r="DI142" s="270">
        <f t="shared" si="889"/>
        <v>0</v>
      </c>
      <c r="DJ142" s="270">
        <f t="shared" si="889"/>
        <v>0</v>
      </c>
      <c r="DK142" s="270">
        <f t="shared" si="889"/>
        <v>0</v>
      </c>
      <c r="DL142" s="270">
        <f t="shared" si="889"/>
        <v>0</v>
      </c>
      <c r="DM142" s="270">
        <f t="shared" si="889"/>
        <v>0</v>
      </c>
      <c r="DN142" s="270">
        <f t="shared" si="889"/>
        <v>0</v>
      </c>
      <c r="DO142" s="270">
        <f t="shared" si="889"/>
        <v>0</v>
      </c>
      <c r="DP142" s="270">
        <f t="shared" si="889"/>
        <v>0</v>
      </c>
      <c r="DQ142" s="270">
        <f t="shared" si="889"/>
        <v>0</v>
      </c>
      <c r="DR142" s="270">
        <f t="shared" si="889"/>
        <v>0</v>
      </c>
      <c r="DS142" s="270">
        <f t="shared" si="889"/>
        <v>0</v>
      </c>
      <c r="DT142" s="270">
        <f t="shared" si="889"/>
        <v>0</v>
      </c>
      <c r="DU142" s="270">
        <f t="shared" si="889"/>
        <v>0</v>
      </c>
      <c r="DV142" s="270">
        <f t="shared" si="889"/>
        <v>0</v>
      </c>
      <c r="DW142" s="270">
        <f t="shared" si="889"/>
        <v>0</v>
      </c>
      <c r="DX142" s="270">
        <f t="shared" si="889"/>
        <v>0</v>
      </c>
      <c r="DY142" s="270">
        <f t="shared" si="29"/>
        <v>0</v>
      </c>
      <c r="DZ142" s="274"/>
      <c r="EA142" s="275">
        <f t="shared" si="38"/>
        <v>0</v>
      </c>
      <c r="EB142" s="270">
        <f t="shared" ref="EB142:FC142" si="890">IF(AJ140&lt;=0,0,IF($C141&lt;=SUM($EA142:EA142),0,IF(CU141+$C141-SUM($EA142:EA142)&gt;AJ140+BO141,AJ140+BO141-CU141,$C141-SUM($EA142:EA142))))</f>
        <v>0</v>
      </c>
      <c r="EC142" s="270">
        <f t="shared" si="890"/>
        <v>0</v>
      </c>
      <c r="ED142" s="270">
        <f t="shared" si="890"/>
        <v>0</v>
      </c>
      <c r="EE142" s="270">
        <f t="shared" si="890"/>
        <v>0</v>
      </c>
      <c r="EF142" s="270">
        <f t="shared" si="890"/>
        <v>0</v>
      </c>
      <c r="EG142" s="270">
        <f t="shared" si="890"/>
        <v>0</v>
      </c>
      <c r="EH142" s="270">
        <f t="shared" si="890"/>
        <v>0</v>
      </c>
      <c r="EI142" s="270">
        <f t="shared" si="890"/>
        <v>0</v>
      </c>
      <c r="EJ142" s="270">
        <f t="shared" si="890"/>
        <v>0</v>
      </c>
      <c r="EK142" s="270">
        <f t="shared" si="890"/>
        <v>0</v>
      </c>
      <c r="EL142" s="270">
        <f t="shared" si="890"/>
        <v>0</v>
      </c>
      <c r="EM142" s="270">
        <f t="shared" si="890"/>
        <v>0</v>
      </c>
      <c r="EN142" s="270">
        <f t="shared" si="890"/>
        <v>0</v>
      </c>
      <c r="EO142" s="270">
        <f t="shared" si="890"/>
        <v>0</v>
      </c>
      <c r="EP142" s="270">
        <f t="shared" si="890"/>
        <v>0</v>
      </c>
      <c r="EQ142" s="270">
        <f t="shared" si="890"/>
        <v>0</v>
      </c>
      <c r="ER142" s="270">
        <f t="shared" si="890"/>
        <v>0</v>
      </c>
      <c r="ES142" s="270">
        <f t="shared" si="890"/>
        <v>0</v>
      </c>
      <c r="ET142" s="270">
        <f t="shared" si="890"/>
        <v>0</v>
      </c>
      <c r="EU142" s="270">
        <f t="shared" si="890"/>
        <v>0</v>
      </c>
      <c r="EV142" s="270">
        <f t="shared" si="890"/>
        <v>0</v>
      </c>
      <c r="EW142" s="270">
        <f t="shared" si="890"/>
        <v>0</v>
      </c>
      <c r="EX142" s="270">
        <f t="shared" si="890"/>
        <v>0</v>
      </c>
      <c r="EY142" s="270">
        <f t="shared" si="890"/>
        <v>0</v>
      </c>
      <c r="EZ142" s="270">
        <f t="shared" si="890"/>
        <v>0</v>
      </c>
      <c r="FA142" s="270">
        <f t="shared" si="890"/>
        <v>0</v>
      </c>
      <c r="FB142" s="270">
        <f t="shared" si="890"/>
        <v>0</v>
      </c>
      <c r="FC142" s="270">
        <f t="shared" si="890"/>
        <v>0</v>
      </c>
      <c r="FD142" s="271"/>
      <c r="FE142" s="271"/>
      <c r="FF142" s="271"/>
      <c r="FG142" s="215"/>
      <c r="FH142" s="215"/>
    </row>
    <row r="143" ht="11.25" customHeight="1">
      <c r="A143" s="215" t="str">
        <f t="shared" si="19"/>
        <v/>
      </c>
      <c r="B143" s="241" t="str">
        <f t="shared" si="600"/>
        <v>#N/A</v>
      </c>
      <c r="C143" s="271" t="str">
        <f>IF(A143="","",IF(Calculator!snowball,IF(($E$5-DY143)&lt;0,0,$E$5-DY143),0)+D143)</f>
        <v/>
      </c>
      <c r="D143" s="271"/>
      <c r="E143" s="270">
        <f t="shared" si="40"/>
        <v>0</v>
      </c>
      <c r="F143" s="270">
        <f t="shared" ref="F143:AG143" si="891">CU143+EB144</f>
        <v>0</v>
      </c>
      <c r="G143" s="270">
        <f t="shared" si="891"/>
        <v>0</v>
      </c>
      <c r="H143" s="270">
        <f t="shared" si="891"/>
        <v>0</v>
      </c>
      <c r="I143" s="270">
        <f t="shared" si="891"/>
        <v>0</v>
      </c>
      <c r="J143" s="270">
        <f t="shared" si="891"/>
        <v>0</v>
      </c>
      <c r="K143" s="270">
        <f t="shared" si="891"/>
        <v>0</v>
      </c>
      <c r="L143" s="270">
        <f t="shared" si="891"/>
        <v>0</v>
      </c>
      <c r="M143" s="270">
        <f t="shared" si="891"/>
        <v>0</v>
      </c>
      <c r="N143" s="270">
        <f t="shared" si="891"/>
        <v>0</v>
      </c>
      <c r="O143" s="270">
        <f t="shared" si="891"/>
        <v>0</v>
      </c>
      <c r="P143" s="272">
        <f t="shared" si="891"/>
        <v>0</v>
      </c>
      <c r="Q143" s="272">
        <f t="shared" si="891"/>
        <v>0</v>
      </c>
      <c r="R143" s="272">
        <f t="shared" si="891"/>
        <v>0</v>
      </c>
      <c r="S143" s="272">
        <f t="shared" si="891"/>
        <v>0</v>
      </c>
      <c r="T143" s="272">
        <f t="shared" si="891"/>
        <v>0</v>
      </c>
      <c r="U143" s="270">
        <f t="shared" si="891"/>
        <v>0</v>
      </c>
      <c r="V143" s="270">
        <f t="shared" si="891"/>
        <v>0</v>
      </c>
      <c r="W143" s="270">
        <f t="shared" si="891"/>
        <v>0</v>
      </c>
      <c r="X143" s="270">
        <f t="shared" si="891"/>
        <v>0</v>
      </c>
      <c r="Y143" s="270">
        <f t="shared" si="891"/>
        <v>0</v>
      </c>
      <c r="Z143" s="270">
        <f t="shared" si="891"/>
        <v>0</v>
      </c>
      <c r="AA143" s="270">
        <f t="shared" si="891"/>
        <v>0</v>
      </c>
      <c r="AB143" s="270">
        <f t="shared" si="891"/>
        <v>0</v>
      </c>
      <c r="AC143" s="270">
        <f t="shared" si="891"/>
        <v>0</v>
      </c>
      <c r="AD143" s="270">
        <f t="shared" si="891"/>
        <v>0</v>
      </c>
      <c r="AE143" s="270">
        <f t="shared" si="891"/>
        <v>0</v>
      </c>
      <c r="AF143" s="270">
        <f t="shared" si="891"/>
        <v>0</v>
      </c>
      <c r="AG143" s="270">
        <f t="shared" si="891"/>
        <v>0</v>
      </c>
      <c r="AH143" s="279">
        <f t="shared" si="602"/>
        <v>0</v>
      </c>
      <c r="AI143" s="270">
        <f t="shared" si="43"/>
        <v>0</v>
      </c>
      <c r="AJ143" s="270">
        <f t="shared" ref="AJ143:AO143" si="892">IF(F$8=0,0,ROUND(AJ142-(F143-BO143),2))</f>
        <v>0</v>
      </c>
      <c r="AK143" s="270">
        <f t="shared" si="892"/>
        <v>0</v>
      </c>
      <c r="AL143" s="270">
        <f t="shared" si="892"/>
        <v>0</v>
      </c>
      <c r="AM143" s="270">
        <f t="shared" si="892"/>
        <v>0</v>
      </c>
      <c r="AN143" s="270">
        <f t="shared" si="892"/>
        <v>0</v>
      </c>
      <c r="AO143" s="270">
        <f t="shared" si="892"/>
        <v>0</v>
      </c>
      <c r="AP143" s="270">
        <v>0.0</v>
      </c>
      <c r="AQ143" s="270">
        <f t="shared" ref="AQ143:AS143" si="893">IF(M$8=0,0,ROUND(AQ142-(M143-BV143),2))</f>
        <v>0</v>
      </c>
      <c r="AR143" s="270">
        <f t="shared" si="893"/>
        <v>0</v>
      </c>
      <c r="AS143" s="270">
        <f t="shared" si="893"/>
        <v>0</v>
      </c>
      <c r="AT143" s="270">
        <f t="shared" si="605"/>
        <v>-6.22</v>
      </c>
      <c r="AU143" s="270">
        <f t="shared" ref="AU143:BK143" si="894">IF(Q$8=0,0,ROUND(AU142-(Q143-BY143),2))</f>
        <v>-10.18</v>
      </c>
      <c r="AV143" s="270">
        <f t="shared" si="894"/>
        <v>0</v>
      </c>
      <c r="AW143" s="270">
        <f t="shared" si="894"/>
        <v>0</v>
      </c>
      <c r="AX143" s="270">
        <f t="shared" si="894"/>
        <v>0</v>
      </c>
      <c r="AY143" s="270">
        <f t="shared" si="894"/>
        <v>0</v>
      </c>
      <c r="AZ143" s="270">
        <f t="shared" si="894"/>
        <v>0</v>
      </c>
      <c r="BA143" s="270">
        <f t="shared" si="894"/>
        <v>0</v>
      </c>
      <c r="BB143" s="270">
        <f t="shared" si="894"/>
        <v>0</v>
      </c>
      <c r="BC143" s="270">
        <f t="shared" si="894"/>
        <v>0</v>
      </c>
      <c r="BD143" s="270">
        <f t="shared" si="894"/>
        <v>0</v>
      </c>
      <c r="BE143" s="270">
        <f t="shared" si="894"/>
        <v>0</v>
      </c>
      <c r="BF143" s="270">
        <f t="shared" si="894"/>
        <v>0</v>
      </c>
      <c r="BG143" s="270">
        <f t="shared" si="894"/>
        <v>0</v>
      </c>
      <c r="BH143" s="270">
        <f t="shared" si="894"/>
        <v>0</v>
      </c>
      <c r="BI143" s="270">
        <f t="shared" si="894"/>
        <v>0</v>
      </c>
      <c r="BJ143" s="270">
        <f t="shared" si="894"/>
        <v>0</v>
      </c>
      <c r="BK143" s="270">
        <f t="shared" si="894"/>
        <v>0</v>
      </c>
      <c r="BL143" s="265">
        <f t="shared" si="16"/>
        <v>-16.4</v>
      </c>
      <c r="BM143" s="215"/>
      <c r="BN143" s="270">
        <f t="shared" ref="BN143:CP143" si="895">ROUND(AI142*E$9/12,2)</f>
        <v>0</v>
      </c>
      <c r="BO143" s="270">
        <f t="shared" si="895"/>
        <v>0</v>
      </c>
      <c r="BP143" s="270">
        <f t="shared" si="895"/>
        <v>0</v>
      </c>
      <c r="BQ143" s="270">
        <f t="shared" si="895"/>
        <v>0</v>
      </c>
      <c r="BR143" s="270">
        <f t="shared" si="895"/>
        <v>0</v>
      </c>
      <c r="BS143" s="270">
        <f t="shared" si="895"/>
        <v>0</v>
      </c>
      <c r="BT143" s="270">
        <f t="shared" si="895"/>
        <v>0</v>
      </c>
      <c r="BU143" s="270">
        <f t="shared" si="895"/>
        <v>0</v>
      </c>
      <c r="BV143" s="270">
        <f t="shared" si="895"/>
        <v>0</v>
      </c>
      <c r="BW143" s="270">
        <f t="shared" si="895"/>
        <v>0</v>
      </c>
      <c r="BX143" s="270">
        <f t="shared" si="895"/>
        <v>0</v>
      </c>
      <c r="BY143" s="270">
        <f t="shared" si="895"/>
        <v>-0.05</v>
      </c>
      <c r="BZ143" s="270">
        <f t="shared" si="895"/>
        <v>-0.03</v>
      </c>
      <c r="CA143" s="270">
        <f t="shared" si="895"/>
        <v>0</v>
      </c>
      <c r="CB143" s="270">
        <f t="shared" si="895"/>
        <v>0</v>
      </c>
      <c r="CC143" s="270">
        <f t="shared" si="895"/>
        <v>0</v>
      </c>
      <c r="CD143" s="270">
        <f t="shared" si="895"/>
        <v>0</v>
      </c>
      <c r="CE143" s="270">
        <f t="shared" si="895"/>
        <v>0</v>
      </c>
      <c r="CF143" s="270">
        <f t="shared" si="895"/>
        <v>0</v>
      </c>
      <c r="CG143" s="270">
        <f t="shared" si="895"/>
        <v>0</v>
      </c>
      <c r="CH143" s="270">
        <f t="shared" si="895"/>
        <v>0</v>
      </c>
      <c r="CI143" s="270">
        <f t="shared" si="895"/>
        <v>0</v>
      </c>
      <c r="CJ143" s="270">
        <f t="shared" si="895"/>
        <v>0</v>
      </c>
      <c r="CK143" s="270">
        <f t="shared" si="895"/>
        <v>0</v>
      </c>
      <c r="CL143" s="270">
        <f t="shared" si="895"/>
        <v>0</v>
      </c>
      <c r="CM143" s="270">
        <f t="shared" si="895"/>
        <v>0</v>
      </c>
      <c r="CN143" s="270">
        <f t="shared" si="895"/>
        <v>0</v>
      </c>
      <c r="CO143" s="270">
        <f t="shared" si="895"/>
        <v>0</v>
      </c>
      <c r="CP143" s="270">
        <f t="shared" si="895"/>
        <v>0</v>
      </c>
      <c r="CQ143" s="215"/>
      <c r="CR143" s="270">
        <f t="shared" si="27"/>
        <v>-0.08</v>
      </c>
      <c r="CS143" s="215"/>
      <c r="CT143" s="270">
        <f t="shared" ref="CT143:DX143" si="896">IF(AI142&gt;0,IF((AI142+BN143)&lt;E$10,AI142+BN143,E$10),0)</f>
        <v>0</v>
      </c>
      <c r="CU143" s="270">
        <f t="shared" si="896"/>
        <v>0</v>
      </c>
      <c r="CV143" s="270">
        <f t="shared" si="896"/>
        <v>0</v>
      </c>
      <c r="CW143" s="270">
        <f t="shared" si="896"/>
        <v>0</v>
      </c>
      <c r="CX143" s="270">
        <f t="shared" si="896"/>
        <v>0</v>
      </c>
      <c r="CY143" s="270">
        <f t="shared" si="896"/>
        <v>0</v>
      </c>
      <c r="CZ143" s="270">
        <f t="shared" si="896"/>
        <v>0</v>
      </c>
      <c r="DA143" s="270">
        <f t="shared" si="896"/>
        <v>0</v>
      </c>
      <c r="DB143" s="270">
        <f t="shared" si="896"/>
        <v>0</v>
      </c>
      <c r="DC143" s="270">
        <f t="shared" si="896"/>
        <v>0</v>
      </c>
      <c r="DD143" s="270">
        <f t="shared" si="896"/>
        <v>0</v>
      </c>
      <c r="DE143" s="270">
        <f t="shared" si="896"/>
        <v>0</v>
      </c>
      <c r="DF143" s="270">
        <f t="shared" si="896"/>
        <v>0</v>
      </c>
      <c r="DG143" s="270">
        <f t="shared" si="896"/>
        <v>0</v>
      </c>
      <c r="DH143" s="270">
        <f t="shared" si="896"/>
        <v>0</v>
      </c>
      <c r="DI143" s="270">
        <f t="shared" si="896"/>
        <v>0</v>
      </c>
      <c r="DJ143" s="270">
        <f t="shared" si="896"/>
        <v>0</v>
      </c>
      <c r="DK143" s="270">
        <f t="shared" si="896"/>
        <v>0</v>
      </c>
      <c r="DL143" s="270">
        <f t="shared" si="896"/>
        <v>0</v>
      </c>
      <c r="DM143" s="270">
        <f t="shared" si="896"/>
        <v>0</v>
      </c>
      <c r="DN143" s="270">
        <f t="shared" si="896"/>
        <v>0</v>
      </c>
      <c r="DO143" s="270">
        <f t="shared" si="896"/>
        <v>0</v>
      </c>
      <c r="DP143" s="270">
        <f t="shared" si="896"/>
        <v>0</v>
      </c>
      <c r="DQ143" s="270">
        <f t="shared" si="896"/>
        <v>0</v>
      </c>
      <c r="DR143" s="270">
        <f t="shared" si="896"/>
        <v>0</v>
      </c>
      <c r="DS143" s="270">
        <f t="shared" si="896"/>
        <v>0</v>
      </c>
      <c r="DT143" s="270">
        <f t="shared" si="896"/>
        <v>0</v>
      </c>
      <c r="DU143" s="270">
        <f t="shared" si="896"/>
        <v>0</v>
      </c>
      <c r="DV143" s="270">
        <f t="shared" si="896"/>
        <v>0</v>
      </c>
      <c r="DW143" s="270">
        <f t="shared" si="896"/>
        <v>0</v>
      </c>
      <c r="DX143" s="270">
        <f t="shared" si="896"/>
        <v>0</v>
      </c>
      <c r="DY143" s="270">
        <f t="shared" si="29"/>
        <v>0</v>
      </c>
      <c r="DZ143" s="274"/>
      <c r="EA143" s="275">
        <f t="shared" si="38"/>
        <v>0</v>
      </c>
      <c r="EB143" s="270">
        <f t="shared" ref="EB143:FC143" si="897">IF(AJ141&lt;=0,0,IF($C142&lt;=SUM($EA143:EA143),0,IF(CU142+$C142-SUM($EA143:EA143)&gt;AJ141+BO142,AJ141+BO142-CU142,$C142-SUM($EA143:EA143))))</f>
        <v>0</v>
      </c>
      <c r="EC143" s="270">
        <f t="shared" si="897"/>
        <v>0</v>
      </c>
      <c r="ED143" s="270">
        <f t="shared" si="897"/>
        <v>0</v>
      </c>
      <c r="EE143" s="270">
        <f t="shared" si="897"/>
        <v>0</v>
      </c>
      <c r="EF143" s="270">
        <f t="shared" si="897"/>
        <v>0</v>
      </c>
      <c r="EG143" s="270">
        <f t="shared" si="897"/>
        <v>0</v>
      </c>
      <c r="EH143" s="270">
        <f t="shared" si="897"/>
        <v>0</v>
      </c>
      <c r="EI143" s="270">
        <f t="shared" si="897"/>
        <v>0</v>
      </c>
      <c r="EJ143" s="270">
        <f t="shared" si="897"/>
        <v>0</v>
      </c>
      <c r="EK143" s="270">
        <f t="shared" si="897"/>
        <v>0</v>
      </c>
      <c r="EL143" s="270">
        <f t="shared" si="897"/>
        <v>0</v>
      </c>
      <c r="EM143" s="270">
        <f t="shared" si="897"/>
        <v>0</v>
      </c>
      <c r="EN143" s="270">
        <f t="shared" si="897"/>
        <v>0</v>
      </c>
      <c r="EO143" s="270">
        <f t="shared" si="897"/>
        <v>0</v>
      </c>
      <c r="EP143" s="270">
        <f t="shared" si="897"/>
        <v>0</v>
      </c>
      <c r="EQ143" s="270">
        <f t="shared" si="897"/>
        <v>0</v>
      </c>
      <c r="ER143" s="270">
        <f t="shared" si="897"/>
        <v>0</v>
      </c>
      <c r="ES143" s="270">
        <f t="shared" si="897"/>
        <v>0</v>
      </c>
      <c r="ET143" s="270">
        <f t="shared" si="897"/>
        <v>0</v>
      </c>
      <c r="EU143" s="270">
        <f t="shared" si="897"/>
        <v>0</v>
      </c>
      <c r="EV143" s="270">
        <f t="shared" si="897"/>
        <v>0</v>
      </c>
      <c r="EW143" s="270">
        <f t="shared" si="897"/>
        <v>0</v>
      </c>
      <c r="EX143" s="270">
        <f t="shared" si="897"/>
        <v>0</v>
      </c>
      <c r="EY143" s="270">
        <f t="shared" si="897"/>
        <v>0</v>
      </c>
      <c r="EZ143" s="270">
        <f t="shared" si="897"/>
        <v>0</v>
      </c>
      <c r="FA143" s="270">
        <f t="shared" si="897"/>
        <v>0</v>
      </c>
      <c r="FB143" s="270">
        <f t="shared" si="897"/>
        <v>0</v>
      </c>
      <c r="FC143" s="270">
        <f t="shared" si="897"/>
        <v>0</v>
      </c>
      <c r="FD143" s="271"/>
      <c r="FE143" s="271"/>
      <c r="FF143" s="271"/>
      <c r="FG143" s="215"/>
      <c r="FH143" s="215"/>
    </row>
    <row r="144" ht="11.25" customHeight="1">
      <c r="A144" s="215" t="str">
        <f t="shared" si="19"/>
        <v/>
      </c>
      <c r="B144" s="241" t="str">
        <f t="shared" si="600"/>
        <v>#N/A</v>
      </c>
      <c r="C144" s="271" t="str">
        <f>IF(A144="","",IF(Calculator!snowball,IF(($E$5-DY144)&lt;0,0,$E$5-DY144),0)+D144)</f>
        <v/>
      </c>
      <c r="D144" s="271"/>
      <c r="E144" s="270">
        <f t="shared" si="40"/>
        <v>0</v>
      </c>
      <c r="F144" s="270">
        <f t="shared" ref="F144:AG144" si="898">CU144+EB145</f>
        <v>0</v>
      </c>
      <c r="G144" s="270">
        <f t="shared" si="898"/>
        <v>0</v>
      </c>
      <c r="H144" s="270">
        <f t="shared" si="898"/>
        <v>0</v>
      </c>
      <c r="I144" s="270">
        <f t="shared" si="898"/>
        <v>0</v>
      </c>
      <c r="J144" s="270">
        <f t="shared" si="898"/>
        <v>0</v>
      </c>
      <c r="K144" s="270">
        <f t="shared" si="898"/>
        <v>0</v>
      </c>
      <c r="L144" s="270">
        <f t="shared" si="898"/>
        <v>0</v>
      </c>
      <c r="M144" s="270">
        <f t="shared" si="898"/>
        <v>0</v>
      </c>
      <c r="N144" s="270">
        <f t="shared" si="898"/>
        <v>0</v>
      </c>
      <c r="O144" s="270">
        <f t="shared" si="898"/>
        <v>0</v>
      </c>
      <c r="P144" s="272">
        <f t="shared" si="898"/>
        <v>0</v>
      </c>
      <c r="Q144" s="272">
        <f t="shared" si="898"/>
        <v>0</v>
      </c>
      <c r="R144" s="272">
        <f t="shared" si="898"/>
        <v>0</v>
      </c>
      <c r="S144" s="272">
        <f t="shared" si="898"/>
        <v>0</v>
      </c>
      <c r="T144" s="272">
        <f t="shared" si="898"/>
        <v>0</v>
      </c>
      <c r="U144" s="270">
        <f t="shared" si="898"/>
        <v>0</v>
      </c>
      <c r="V144" s="270">
        <f t="shared" si="898"/>
        <v>0</v>
      </c>
      <c r="W144" s="270">
        <f t="shared" si="898"/>
        <v>0</v>
      </c>
      <c r="X144" s="270">
        <f t="shared" si="898"/>
        <v>0</v>
      </c>
      <c r="Y144" s="270">
        <f t="shared" si="898"/>
        <v>0</v>
      </c>
      <c r="Z144" s="270">
        <f t="shared" si="898"/>
        <v>0</v>
      </c>
      <c r="AA144" s="270">
        <f t="shared" si="898"/>
        <v>0</v>
      </c>
      <c r="AB144" s="270">
        <f t="shared" si="898"/>
        <v>0</v>
      </c>
      <c r="AC144" s="270">
        <f t="shared" si="898"/>
        <v>0</v>
      </c>
      <c r="AD144" s="270">
        <f t="shared" si="898"/>
        <v>0</v>
      </c>
      <c r="AE144" s="270">
        <f t="shared" si="898"/>
        <v>0</v>
      </c>
      <c r="AF144" s="270">
        <f t="shared" si="898"/>
        <v>0</v>
      </c>
      <c r="AG144" s="270">
        <f t="shared" si="898"/>
        <v>0</v>
      </c>
      <c r="AH144" s="279">
        <f t="shared" si="602"/>
        <v>0</v>
      </c>
      <c r="AI144" s="270">
        <f t="shared" si="43"/>
        <v>0</v>
      </c>
      <c r="AJ144" s="270">
        <f t="shared" ref="AJ144:AO144" si="899">IF(F$8=0,0,ROUND(AJ143-(F144-BO144),2))</f>
        <v>0</v>
      </c>
      <c r="AK144" s="270">
        <f t="shared" si="899"/>
        <v>0</v>
      </c>
      <c r="AL144" s="270">
        <f t="shared" si="899"/>
        <v>0</v>
      </c>
      <c r="AM144" s="270">
        <f t="shared" si="899"/>
        <v>0</v>
      </c>
      <c r="AN144" s="270">
        <f t="shared" si="899"/>
        <v>0</v>
      </c>
      <c r="AO144" s="270">
        <f t="shared" si="899"/>
        <v>0</v>
      </c>
      <c r="AP144" s="270">
        <v>0.0</v>
      </c>
      <c r="AQ144" s="270">
        <f t="shared" ref="AQ144:AS144" si="900">IF(M$8=0,0,ROUND(AQ143-(M144-BV144),2))</f>
        <v>0</v>
      </c>
      <c r="AR144" s="270">
        <f t="shared" si="900"/>
        <v>0</v>
      </c>
      <c r="AS144" s="270">
        <f t="shared" si="900"/>
        <v>0</v>
      </c>
      <c r="AT144" s="270">
        <f t="shared" si="605"/>
        <v>-6.22</v>
      </c>
      <c r="AU144" s="270">
        <f t="shared" ref="AU144:BK144" si="901">IF(Q$8=0,0,ROUND(AU143-(Q144-BY144),2))</f>
        <v>-10.23</v>
      </c>
      <c r="AV144" s="270">
        <f t="shared" si="901"/>
        <v>0</v>
      </c>
      <c r="AW144" s="270">
        <f t="shared" si="901"/>
        <v>0</v>
      </c>
      <c r="AX144" s="270">
        <f t="shared" si="901"/>
        <v>0</v>
      </c>
      <c r="AY144" s="270">
        <f t="shared" si="901"/>
        <v>0</v>
      </c>
      <c r="AZ144" s="270">
        <f t="shared" si="901"/>
        <v>0</v>
      </c>
      <c r="BA144" s="270">
        <f t="shared" si="901"/>
        <v>0</v>
      </c>
      <c r="BB144" s="270">
        <f t="shared" si="901"/>
        <v>0</v>
      </c>
      <c r="BC144" s="270">
        <f t="shared" si="901"/>
        <v>0</v>
      </c>
      <c r="BD144" s="270">
        <f t="shared" si="901"/>
        <v>0</v>
      </c>
      <c r="BE144" s="270">
        <f t="shared" si="901"/>
        <v>0</v>
      </c>
      <c r="BF144" s="270">
        <f t="shared" si="901"/>
        <v>0</v>
      </c>
      <c r="BG144" s="270">
        <f t="shared" si="901"/>
        <v>0</v>
      </c>
      <c r="BH144" s="270">
        <f t="shared" si="901"/>
        <v>0</v>
      </c>
      <c r="BI144" s="270">
        <f t="shared" si="901"/>
        <v>0</v>
      </c>
      <c r="BJ144" s="270">
        <f t="shared" si="901"/>
        <v>0</v>
      </c>
      <c r="BK144" s="270">
        <f t="shared" si="901"/>
        <v>0</v>
      </c>
      <c r="BL144" s="265">
        <f t="shared" si="16"/>
        <v>-16.45</v>
      </c>
      <c r="BM144" s="215"/>
      <c r="BN144" s="270">
        <f t="shared" ref="BN144:CP144" si="902">ROUND(AI143*E$9/12,2)</f>
        <v>0</v>
      </c>
      <c r="BO144" s="270">
        <f t="shared" si="902"/>
        <v>0</v>
      </c>
      <c r="BP144" s="270">
        <f t="shared" si="902"/>
        <v>0</v>
      </c>
      <c r="BQ144" s="270">
        <f t="shared" si="902"/>
        <v>0</v>
      </c>
      <c r="BR144" s="270">
        <f t="shared" si="902"/>
        <v>0</v>
      </c>
      <c r="BS144" s="270">
        <f t="shared" si="902"/>
        <v>0</v>
      </c>
      <c r="BT144" s="270">
        <f t="shared" si="902"/>
        <v>0</v>
      </c>
      <c r="BU144" s="270">
        <f t="shared" si="902"/>
        <v>0</v>
      </c>
      <c r="BV144" s="270">
        <f t="shared" si="902"/>
        <v>0</v>
      </c>
      <c r="BW144" s="270">
        <f t="shared" si="902"/>
        <v>0</v>
      </c>
      <c r="BX144" s="270">
        <f t="shared" si="902"/>
        <v>0</v>
      </c>
      <c r="BY144" s="270">
        <f t="shared" si="902"/>
        <v>-0.05</v>
      </c>
      <c r="BZ144" s="270">
        <f t="shared" si="902"/>
        <v>-0.03</v>
      </c>
      <c r="CA144" s="270">
        <f t="shared" si="902"/>
        <v>0</v>
      </c>
      <c r="CB144" s="270">
        <f t="shared" si="902"/>
        <v>0</v>
      </c>
      <c r="CC144" s="270">
        <f t="shared" si="902"/>
        <v>0</v>
      </c>
      <c r="CD144" s="270">
        <f t="shared" si="902"/>
        <v>0</v>
      </c>
      <c r="CE144" s="270">
        <f t="shared" si="902"/>
        <v>0</v>
      </c>
      <c r="CF144" s="270">
        <f t="shared" si="902"/>
        <v>0</v>
      </c>
      <c r="CG144" s="270">
        <f t="shared" si="902"/>
        <v>0</v>
      </c>
      <c r="CH144" s="270">
        <f t="shared" si="902"/>
        <v>0</v>
      </c>
      <c r="CI144" s="270">
        <f t="shared" si="902"/>
        <v>0</v>
      </c>
      <c r="CJ144" s="270">
        <f t="shared" si="902"/>
        <v>0</v>
      </c>
      <c r="CK144" s="270">
        <f t="shared" si="902"/>
        <v>0</v>
      </c>
      <c r="CL144" s="270">
        <f t="shared" si="902"/>
        <v>0</v>
      </c>
      <c r="CM144" s="270">
        <f t="shared" si="902"/>
        <v>0</v>
      </c>
      <c r="CN144" s="270">
        <f t="shared" si="902"/>
        <v>0</v>
      </c>
      <c r="CO144" s="270">
        <f t="shared" si="902"/>
        <v>0</v>
      </c>
      <c r="CP144" s="270">
        <f t="shared" si="902"/>
        <v>0</v>
      </c>
      <c r="CQ144" s="215"/>
      <c r="CR144" s="270">
        <f t="shared" si="27"/>
        <v>-0.08</v>
      </c>
      <c r="CS144" s="215"/>
      <c r="CT144" s="270">
        <f t="shared" ref="CT144:DX144" si="903">IF(AI143&gt;0,IF((AI143+BN144)&lt;E$10,AI143+BN144,E$10),0)</f>
        <v>0</v>
      </c>
      <c r="CU144" s="270">
        <f t="shared" si="903"/>
        <v>0</v>
      </c>
      <c r="CV144" s="270">
        <f t="shared" si="903"/>
        <v>0</v>
      </c>
      <c r="CW144" s="270">
        <f t="shared" si="903"/>
        <v>0</v>
      </c>
      <c r="CX144" s="270">
        <f t="shared" si="903"/>
        <v>0</v>
      </c>
      <c r="CY144" s="270">
        <f t="shared" si="903"/>
        <v>0</v>
      </c>
      <c r="CZ144" s="270">
        <f t="shared" si="903"/>
        <v>0</v>
      </c>
      <c r="DA144" s="270">
        <f t="shared" si="903"/>
        <v>0</v>
      </c>
      <c r="DB144" s="270">
        <f t="shared" si="903"/>
        <v>0</v>
      </c>
      <c r="DC144" s="270">
        <f t="shared" si="903"/>
        <v>0</v>
      </c>
      <c r="DD144" s="270">
        <f t="shared" si="903"/>
        <v>0</v>
      </c>
      <c r="DE144" s="270">
        <f t="shared" si="903"/>
        <v>0</v>
      </c>
      <c r="DF144" s="270">
        <f t="shared" si="903"/>
        <v>0</v>
      </c>
      <c r="DG144" s="270">
        <f t="shared" si="903"/>
        <v>0</v>
      </c>
      <c r="DH144" s="270">
        <f t="shared" si="903"/>
        <v>0</v>
      </c>
      <c r="DI144" s="270">
        <f t="shared" si="903"/>
        <v>0</v>
      </c>
      <c r="DJ144" s="270">
        <f t="shared" si="903"/>
        <v>0</v>
      </c>
      <c r="DK144" s="270">
        <f t="shared" si="903"/>
        <v>0</v>
      </c>
      <c r="DL144" s="270">
        <f t="shared" si="903"/>
        <v>0</v>
      </c>
      <c r="DM144" s="270">
        <f t="shared" si="903"/>
        <v>0</v>
      </c>
      <c r="DN144" s="270">
        <f t="shared" si="903"/>
        <v>0</v>
      </c>
      <c r="DO144" s="270">
        <f t="shared" si="903"/>
        <v>0</v>
      </c>
      <c r="DP144" s="270">
        <f t="shared" si="903"/>
        <v>0</v>
      </c>
      <c r="DQ144" s="270">
        <f t="shared" si="903"/>
        <v>0</v>
      </c>
      <c r="DR144" s="270">
        <f t="shared" si="903"/>
        <v>0</v>
      </c>
      <c r="DS144" s="270">
        <f t="shared" si="903"/>
        <v>0</v>
      </c>
      <c r="DT144" s="270">
        <f t="shared" si="903"/>
        <v>0</v>
      </c>
      <c r="DU144" s="270">
        <f t="shared" si="903"/>
        <v>0</v>
      </c>
      <c r="DV144" s="270">
        <f t="shared" si="903"/>
        <v>0</v>
      </c>
      <c r="DW144" s="270">
        <f t="shared" si="903"/>
        <v>0</v>
      </c>
      <c r="DX144" s="270">
        <f t="shared" si="903"/>
        <v>0</v>
      </c>
      <c r="DY144" s="270">
        <f t="shared" si="29"/>
        <v>0</v>
      </c>
      <c r="DZ144" s="274"/>
      <c r="EA144" s="275">
        <f t="shared" si="38"/>
        <v>0</v>
      </c>
      <c r="EB144" s="270">
        <f t="shared" ref="EB144:FC144" si="904">IF(AJ142&lt;=0,0,IF($C143&lt;=SUM($EA144:EA144),0,IF(CU143+$C143-SUM($EA144:EA144)&gt;AJ142+BO143,AJ142+BO143-CU143,$C143-SUM($EA144:EA144))))</f>
        <v>0</v>
      </c>
      <c r="EC144" s="270">
        <f t="shared" si="904"/>
        <v>0</v>
      </c>
      <c r="ED144" s="270">
        <f t="shared" si="904"/>
        <v>0</v>
      </c>
      <c r="EE144" s="270">
        <f t="shared" si="904"/>
        <v>0</v>
      </c>
      <c r="EF144" s="270">
        <f t="shared" si="904"/>
        <v>0</v>
      </c>
      <c r="EG144" s="270">
        <f t="shared" si="904"/>
        <v>0</v>
      </c>
      <c r="EH144" s="270">
        <f t="shared" si="904"/>
        <v>0</v>
      </c>
      <c r="EI144" s="270">
        <f t="shared" si="904"/>
        <v>0</v>
      </c>
      <c r="EJ144" s="270">
        <f t="shared" si="904"/>
        <v>0</v>
      </c>
      <c r="EK144" s="270">
        <f t="shared" si="904"/>
        <v>0</v>
      </c>
      <c r="EL144" s="270">
        <f t="shared" si="904"/>
        <v>0</v>
      </c>
      <c r="EM144" s="270">
        <f t="shared" si="904"/>
        <v>0</v>
      </c>
      <c r="EN144" s="270">
        <f t="shared" si="904"/>
        <v>0</v>
      </c>
      <c r="EO144" s="270">
        <f t="shared" si="904"/>
        <v>0</v>
      </c>
      <c r="EP144" s="270">
        <f t="shared" si="904"/>
        <v>0</v>
      </c>
      <c r="EQ144" s="270">
        <f t="shared" si="904"/>
        <v>0</v>
      </c>
      <c r="ER144" s="270">
        <f t="shared" si="904"/>
        <v>0</v>
      </c>
      <c r="ES144" s="270">
        <f t="shared" si="904"/>
        <v>0</v>
      </c>
      <c r="ET144" s="270">
        <f t="shared" si="904"/>
        <v>0</v>
      </c>
      <c r="EU144" s="270">
        <f t="shared" si="904"/>
        <v>0</v>
      </c>
      <c r="EV144" s="270">
        <f t="shared" si="904"/>
        <v>0</v>
      </c>
      <c r="EW144" s="270">
        <f t="shared" si="904"/>
        <v>0</v>
      </c>
      <c r="EX144" s="270">
        <f t="shared" si="904"/>
        <v>0</v>
      </c>
      <c r="EY144" s="270">
        <f t="shared" si="904"/>
        <v>0</v>
      </c>
      <c r="EZ144" s="270">
        <f t="shared" si="904"/>
        <v>0</v>
      </c>
      <c r="FA144" s="270">
        <f t="shared" si="904"/>
        <v>0</v>
      </c>
      <c r="FB144" s="270">
        <f t="shared" si="904"/>
        <v>0</v>
      </c>
      <c r="FC144" s="270">
        <f t="shared" si="904"/>
        <v>0</v>
      </c>
      <c r="FD144" s="271"/>
      <c r="FE144" s="271"/>
      <c r="FF144" s="271"/>
      <c r="FG144" s="215"/>
      <c r="FH144" s="215"/>
    </row>
    <row r="145" ht="11.25" customHeight="1">
      <c r="A145" s="215" t="str">
        <f t="shared" si="19"/>
        <v/>
      </c>
      <c r="B145" s="241" t="str">
        <f t="shared" si="600"/>
        <v>#N/A</v>
      </c>
      <c r="C145" s="271" t="str">
        <f>IF(A145="","",IF(Calculator!snowball,IF(($E$5-DY145)&lt;0,0,$E$5-DY145),0)+D145)</f>
        <v/>
      </c>
      <c r="D145" s="271"/>
      <c r="E145" s="270">
        <f t="shared" si="40"/>
        <v>0</v>
      </c>
      <c r="F145" s="270">
        <f t="shared" ref="F145:AG145" si="905">CU145+EB146</f>
        <v>0</v>
      </c>
      <c r="G145" s="270">
        <f t="shared" si="905"/>
        <v>0</v>
      </c>
      <c r="H145" s="270">
        <f t="shared" si="905"/>
        <v>0</v>
      </c>
      <c r="I145" s="270">
        <f t="shared" si="905"/>
        <v>0</v>
      </c>
      <c r="J145" s="270">
        <f t="shared" si="905"/>
        <v>0</v>
      </c>
      <c r="K145" s="270">
        <f t="shared" si="905"/>
        <v>0</v>
      </c>
      <c r="L145" s="270">
        <f t="shared" si="905"/>
        <v>0</v>
      </c>
      <c r="M145" s="270">
        <f t="shared" si="905"/>
        <v>0</v>
      </c>
      <c r="N145" s="270">
        <f t="shared" si="905"/>
        <v>0</v>
      </c>
      <c r="O145" s="270">
        <f t="shared" si="905"/>
        <v>0</v>
      </c>
      <c r="P145" s="272">
        <f t="shared" si="905"/>
        <v>0</v>
      </c>
      <c r="Q145" s="272">
        <f t="shared" si="905"/>
        <v>0</v>
      </c>
      <c r="R145" s="272">
        <f t="shared" si="905"/>
        <v>0</v>
      </c>
      <c r="S145" s="272">
        <f t="shared" si="905"/>
        <v>0</v>
      </c>
      <c r="T145" s="272">
        <f t="shared" si="905"/>
        <v>0</v>
      </c>
      <c r="U145" s="270">
        <f t="shared" si="905"/>
        <v>0</v>
      </c>
      <c r="V145" s="270">
        <f t="shared" si="905"/>
        <v>0</v>
      </c>
      <c r="W145" s="270">
        <f t="shared" si="905"/>
        <v>0</v>
      </c>
      <c r="X145" s="270">
        <f t="shared" si="905"/>
        <v>0</v>
      </c>
      <c r="Y145" s="270">
        <f t="shared" si="905"/>
        <v>0</v>
      </c>
      <c r="Z145" s="270">
        <f t="shared" si="905"/>
        <v>0</v>
      </c>
      <c r="AA145" s="270">
        <f t="shared" si="905"/>
        <v>0</v>
      </c>
      <c r="AB145" s="270">
        <f t="shared" si="905"/>
        <v>0</v>
      </c>
      <c r="AC145" s="270">
        <f t="shared" si="905"/>
        <v>0</v>
      </c>
      <c r="AD145" s="270">
        <f t="shared" si="905"/>
        <v>0</v>
      </c>
      <c r="AE145" s="270">
        <f t="shared" si="905"/>
        <v>0</v>
      </c>
      <c r="AF145" s="270">
        <f t="shared" si="905"/>
        <v>0</v>
      </c>
      <c r="AG145" s="270">
        <f t="shared" si="905"/>
        <v>0</v>
      </c>
      <c r="AH145" s="279">
        <f t="shared" si="602"/>
        <v>0</v>
      </c>
      <c r="AI145" s="270">
        <f t="shared" si="43"/>
        <v>0</v>
      </c>
      <c r="AJ145" s="270">
        <f t="shared" ref="AJ145:AO145" si="906">IF(F$8=0,0,ROUND(AJ144-(F145-BO145),2))</f>
        <v>0</v>
      </c>
      <c r="AK145" s="270">
        <f t="shared" si="906"/>
        <v>0</v>
      </c>
      <c r="AL145" s="270">
        <f t="shared" si="906"/>
        <v>0</v>
      </c>
      <c r="AM145" s="270">
        <f t="shared" si="906"/>
        <v>0</v>
      </c>
      <c r="AN145" s="270">
        <f t="shared" si="906"/>
        <v>0</v>
      </c>
      <c r="AO145" s="270">
        <f t="shared" si="906"/>
        <v>0</v>
      </c>
      <c r="AP145" s="270">
        <v>0.0</v>
      </c>
      <c r="AQ145" s="270">
        <f t="shared" ref="AQ145:AS145" si="907">IF(M$8=0,0,ROUND(AQ144-(M145-BV145),2))</f>
        <v>0</v>
      </c>
      <c r="AR145" s="270">
        <f t="shared" si="907"/>
        <v>0</v>
      </c>
      <c r="AS145" s="270">
        <f t="shared" si="907"/>
        <v>0</v>
      </c>
      <c r="AT145" s="270">
        <f t="shared" si="605"/>
        <v>-6.22</v>
      </c>
      <c r="AU145" s="270">
        <f t="shared" ref="AU145:BK145" si="908">IF(Q$8=0,0,ROUND(AU144-(Q145-BY145),2))</f>
        <v>-10.28</v>
      </c>
      <c r="AV145" s="270">
        <f t="shared" si="908"/>
        <v>0</v>
      </c>
      <c r="AW145" s="270">
        <f t="shared" si="908"/>
        <v>0</v>
      </c>
      <c r="AX145" s="270">
        <f t="shared" si="908"/>
        <v>0</v>
      </c>
      <c r="AY145" s="270">
        <f t="shared" si="908"/>
        <v>0</v>
      </c>
      <c r="AZ145" s="270">
        <f t="shared" si="908"/>
        <v>0</v>
      </c>
      <c r="BA145" s="270">
        <f t="shared" si="908"/>
        <v>0</v>
      </c>
      <c r="BB145" s="270">
        <f t="shared" si="908"/>
        <v>0</v>
      </c>
      <c r="BC145" s="270">
        <f t="shared" si="908"/>
        <v>0</v>
      </c>
      <c r="BD145" s="270">
        <f t="shared" si="908"/>
        <v>0</v>
      </c>
      <c r="BE145" s="270">
        <f t="shared" si="908"/>
        <v>0</v>
      </c>
      <c r="BF145" s="270">
        <f t="shared" si="908"/>
        <v>0</v>
      </c>
      <c r="BG145" s="270">
        <f t="shared" si="908"/>
        <v>0</v>
      </c>
      <c r="BH145" s="270">
        <f t="shared" si="908"/>
        <v>0</v>
      </c>
      <c r="BI145" s="270">
        <f t="shared" si="908"/>
        <v>0</v>
      </c>
      <c r="BJ145" s="270">
        <f t="shared" si="908"/>
        <v>0</v>
      </c>
      <c r="BK145" s="270">
        <f t="shared" si="908"/>
        <v>0</v>
      </c>
      <c r="BL145" s="265">
        <f t="shared" si="16"/>
        <v>-16.5</v>
      </c>
      <c r="BM145" s="215"/>
      <c r="BN145" s="270">
        <f t="shared" ref="BN145:CP145" si="909">ROUND(AI144*E$9/12,2)</f>
        <v>0</v>
      </c>
      <c r="BO145" s="270">
        <f t="shared" si="909"/>
        <v>0</v>
      </c>
      <c r="BP145" s="270">
        <f t="shared" si="909"/>
        <v>0</v>
      </c>
      <c r="BQ145" s="270">
        <f t="shared" si="909"/>
        <v>0</v>
      </c>
      <c r="BR145" s="270">
        <f t="shared" si="909"/>
        <v>0</v>
      </c>
      <c r="BS145" s="270">
        <f t="shared" si="909"/>
        <v>0</v>
      </c>
      <c r="BT145" s="270">
        <f t="shared" si="909"/>
        <v>0</v>
      </c>
      <c r="BU145" s="270">
        <f t="shared" si="909"/>
        <v>0</v>
      </c>
      <c r="BV145" s="270">
        <f t="shared" si="909"/>
        <v>0</v>
      </c>
      <c r="BW145" s="270">
        <f t="shared" si="909"/>
        <v>0</v>
      </c>
      <c r="BX145" s="270">
        <f t="shared" si="909"/>
        <v>0</v>
      </c>
      <c r="BY145" s="270">
        <f t="shared" si="909"/>
        <v>-0.05</v>
      </c>
      <c r="BZ145" s="270">
        <f t="shared" si="909"/>
        <v>-0.03</v>
      </c>
      <c r="CA145" s="270">
        <f t="shared" si="909"/>
        <v>0</v>
      </c>
      <c r="CB145" s="270">
        <f t="shared" si="909"/>
        <v>0</v>
      </c>
      <c r="CC145" s="270">
        <f t="shared" si="909"/>
        <v>0</v>
      </c>
      <c r="CD145" s="270">
        <f t="shared" si="909"/>
        <v>0</v>
      </c>
      <c r="CE145" s="270">
        <f t="shared" si="909"/>
        <v>0</v>
      </c>
      <c r="CF145" s="270">
        <f t="shared" si="909"/>
        <v>0</v>
      </c>
      <c r="CG145" s="270">
        <f t="shared" si="909"/>
        <v>0</v>
      </c>
      <c r="CH145" s="270">
        <f t="shared" si="909"/>
        <v>0</v>
      </c>
      <c r="CI145" s="270">
        <f t="shared" si="909"/>
        <v>0</v>
      </c>
      <c r="CJ145" s="270">
        <f t="shared" si="909"/>
        <v>0</v>
      </c>
      <c r="CK145" s="270">
        <f t="shared" si="909"/>
        <v>0</v>
      </c>
      <c r="CL145" s="270">
        <f t="shared" si="909"/>
        <v>0</v>
      </c>
      <c r="CM145" s="270">
        <f t="shared" si="909"/>
        <v>0</v>
      </c>
      <c r="CN145" s="270">
        <f t="shared" si="909"/>
        <v>0</v>
      </c>
      <c r="CO145" s="270">
        <f t="shared" si="909"/>
        <v>0</v>
      </c>
      <c r="CP145" s="270">
        <f t="shared" si="909"/>
        <v>0</v>
      </c>
      <c r="CQ145" s="215"/>
      <c r="CR145" s="270">
        <f t="shared" si="27"/>
        <v>-0.08</v>
      </c>
      <c r="CS145" s="215"/>
      <c r="CT145" s="270">
        <f t="shared" ref="CT145:DX145" si="910">IF(AI144&gt;0,IF((AI144+BN145)&lt;E$10,AI144+BN145,E$10),0)</f>
        <v>0</v>
      </c>
      <c r="CU145" s="270">
        <f t="shared" si="910"/>
        <v>0</v>
      </c>
      <c r="CV145" s="270">
        <f t="shared" si="910"/>
        <v>0</v>
      </c>
      <c r="CW145" s="270">
        <f t="shared" si="910"/>
        <v>0</v>
      </c>
      <c r="CX145" s="270">
        <f t="shared" si="910"/>
        <v>0</v>
      </c>
      <c r="CY145" s="270">
        <f t="shared" si="910"/>
        <v>0</v>
      </c>
      <c r="CZ145" s="270">
        <f t="shared" si="910"/>
        <v>0</v>
      </c>
      <c r="DA145" s="270">
        <f t="shared" si="910"/>
        <v>0</v>
      </c>
      <c r="DB145" s="270">
        <f t="shared" si="910"/>
        <v>0</v>
      </c>
      <c r="DC145" s="270">
        <f t="shared" si="910"/>
        <v>0</v>
      </c>
      <c r="DD145" s="270">
        <f t="shared" si="910"/>
        <v>0</v>
      </c>
      <c r="DE145" s="270">
        <f t="shared" si="910"/>
        <v>0</v>
      </c>
      <c r="DF145" s="270">
        <f t="shared" si="910"/>
        <v>0</v>
      </c>
      <c r="DG145" s="270">
        <f t="shared" si="910"/>
        <v>0</v>
      </c>
      <c r="DH145" s="270">
        <f t="shared" si="910"/>
        <v>0</v>
      </c>
      <c r="DI145" s="270">
        <f t="shared" si="910"/>
        <v>0</v>
      </c>
      <c r="DJ145" s="270">
        <f t="shared" si="910"/>
        <v>0</v>
      </c>
      <c r="DK145" s="270">
        <f t="shared" si="910"/>
        <v>0</v>
      </c>
      <c r="DL145" s="270">
        <f t="shared" si="910"/>
        <v>0</v>
      </c>
      <c r="DM145" s="270">
        <f t="shared" si="910"/>
        <v>0</v>
      </c>
      <c r="DN145" s="270">
        <f t="shared" si="910"/>
        <v>0</v>
      </c>
      <c r="DO145" s="270">
        <f t="shared" si="910"/>
        <v>0</v>
      </c>
      <c r="DP145" s="270">
        <f t="shared" si="910"/>
        <v>0</v>
      </c>
      <c r="DQ145" s="270">
        <f t="shared" si="910"/>
        <v>0</v>
      </c>
      <c r="DR145" s="270">
        <f t="shared" si="910"/>
        <v>0</v>
      </c>
      <c r="DS145" s="270">
        <f t="shared" si="910"/>
        <v>0</v>
      </c>
      <c r="DT145" s="270">
        <f t="shared" si="910"/>
        <v>0</v>
      </c>
      <c r="DU145" s="270">
        <f t="shared" si="910"/>
        <v>0</v>
      </c>
      <c r="DV145" s="270">
        <f t="shared" si="910"/>
        <v>0</v>
      </c>
      <c r="DW145" s="270">
        <f t="shared" si="910"/>
        <v>0</v>
      </c>
      <c r="DX145" s="270">
        <f t="shared" si="910"/>
        <v>0</v>
      </c>
      <c r="DY145" s="270">
        <f t="shared" si="29"/>
        <v>0</v>
      </c>
      <c r="DZ145" s="274"/>
      <c r="EA145" s="275">
        <f t="shared" si="38"/>
        <v>0</v>
      </c>
      <c r="EB145" s="270">
        <f t="shared" ref="EB145:FC145" si="911">IF(AJ143&lt;=0,0,IF($C144&lt;=SUM($EA145:EA145),0,IF(CU144+$C144-SUM($EA145:EA145)&gt;AJ143+BO144,AJ143+BO144-CU144,$C144-SUM($EA145:EA145))))</f>
        <v>0</v>
      </c>
      <c r="EC145" s="270">
        <f t="shared" si="911"/>
        <v>0</v>
      </c>
      <c r="ED145" s="270">
        <f t="shared" si="911"/>
        <v>0</v>
      </c>
      <c r="EE145" s="270">
        <f t="shared" si="911"/>
        <v>0</v>
      </c>
      <c r="EF145" s="270">
        <f t="shared" si="911"/>
        <v>0</v>
      </c>
      <c r="EG145" s="270">
        <f t="shared" si="911"/>
        <v>0</v>
      </c>
      <c r="EH145" s="270">
        <f t="shared" si="911"/>
        <v>0</v>
      </c>
      <c r="EI145" s="270">
        <f t="shared" si="911"/>
        <v>0</v>
      </c>
      <c r="EJ145" s="270">
        <f t="shared" si="911"/>
        <v>0</v>
      </c>
      <c r="EK145" s="270">
        <f t="shared" si="911"/>
        <v>0</v>
      </c>
      <c r="EL145" s="270">
        <f t="shared" si="911"/>
        <v>0</v>
      </c>
      <c r="EM145" s="270">
        <f t="shared" si="911"/>
        <v>0</v>
      </c>
      <c r="EN145" s="270">
        <f t="shared" si="911"/>
        <v>0</v>
      </c>
      <c r="EO145" s="270">
        <f t="shared" si="911"/>
        <v>0</v>
      </c>
      <c r="EP145" s="270">
        <f t="shared" si="911"/>
        <v>0</v>
      </c>
      <c r="EQ145" s="270">
        <f t="shared" si="911"/>
        <v>0</v>
      </c>
      <c r="ER145" s="270">
        <f t="shared" si="911"/>
        <v>0</v>
      </c>
      <c r="ES145" s="270">
        <f t="shared" si="911"/>
        <v>0</v>
      </c>
      <c r="ET145" s="270">
        <f t="shared" si="911"/>
        <v>0</v>
      </c>
      <c r="EU145" s="270">
        <f t="shared" si="911"/>
        <v>0</v>
      </c>
      <c r="EV145" s="270">
        <f t="shared" si="911"/>
        <v>0</v>
      </c>
      <c r="EW145" s="270">
        <f t="shared" si="911"/>
        <v>0</v>
      </c>
      <c r="EX145" s="270">
        <f t="shared" si="911"/>
        <v>0</v>
      </c>
      <c r="EY145" s="270">
        <f t="shared" si="911"/>
        <v>0</v>
      </c>
      <c r="EZ145" s="270">
        <f t="shared" si="911"/>
        <v>0</v>
      </c>
      <c r="FA145" s="270">
        <f t="shared" si="911"/>
        <v>0</v>
      </c>
      <c r="FB145" s="270">
        <f t="shared" si="911"/>
        <v>0</v>
      </c>
      <c r="FC145" s="270">
        <f t="shared" si="911"/>
        <v>0</v>
      </c>
      <c r="FD145" s="271"/>
      <c r="FE145" s="271"/>
      <c r="FF145" s="271"/>
      <c r="FG145" s="215"/>
      <c r="FH145" s="215"/>
    </row>
    <row r="146" ht="11.25" customHeight="1">
      <c r="A146" s="215" t="str">
        <f t="shared" si="19"/>
        <v/>
      </c>
      <c r="B146" s="241" t="str">
        <f t="shared" si="600"/>
        <v>#N/A</v>
      </c>
      <c r="C146" s="271" t="str">
        <f>IF(A146="","",IF(Calculator!snowball,IF(($E$5-DY146)&lt;0,0,$E$5-DY146),0)+D146)</f>
        <v/>
      </c>
      <c r="D146" s="271"/>
      <c r="E146" s="270">
        <f t="shared" si="40"/>
        <v>0</v>
      </c>
      <c r="F146" s="270">
        <f t="shared" ref="F146:AG146" si="912">CU146+EB147</f>
        <v>0</v>
      </c>
      <c r="G146" s="270">
        <f t="shared" si="912"/>
        <v>0</v>
      </c>
      <c r="H146" s="270">
        <f t="shared" si="912"/>
        <v>0</v>
      </c>
      <c r="I146" s="270">
        <f t="shared" si="912"/>
        <v>0</v>
      </c>
      <c r="J146" s="270">
        <f t="shared" si="912"/>
        <v>0</v>
      </c>
      <c r="K146" s="270">
        <f t="shared" si="912"/>
        <v>0</v>
      </c>
      <c r="L146" s="270">
        <f t="shared" si="912"/>
        <v>0</v>
      </c>
      <c r="M146" s="270">
        <f t="shared" si="912"/>
        <v>0</v>
      </c>
      <c r="N146" s="270">
        <f t="shared" si="912"/>
        <v>0</v>
      </c>
      <c r="O146" s="270">
        <f t="shared" si="912"/>
        <v>0</v>
      </c>
      <c r="P146" s="272">
        <f t="shared" si="912"/>
        <v>0</v>
      </c>
      <c r="Q146" s="272">
        <f t="shared" si="912"/>
        <v>0</v>
      </c>
      <c r="R146" s="272">
        <f t="shared" si="912"/>
        <v>0</v>
      </c>
      <c r="S146" s="272">
        <f t="shared" si="912"/>
        <v>0</v>
      </c>
      <c r="T146" s="272">
        <f t="shared" si="912"/>
        <v>0</v>
      </c>
      <c r="U146" s="270">
        <f t="shared" si="912"/>
        <v>0</v>
      </c>
      <c r="V146" s="270">
        <f t="shared" si="912"/>
        <v>0</v>
      </c>
      <c r="W146" s="270">
        <f t="shared" si="912"/>
        <v>0</v>
      </c>
      <c r="X146" s="270">
        <f t="shared" si="912"/>
        <v>0</v>
      </c>
      <c r="Y146" s="270">
        <f t="shared" si="912"/>
        <v>0</v>
      </c>
      <c r="Z146" s="270">
        <f t="shared" si="912"/>
        <v>0</v>
      </c>
      <c r="AA146" s="270">
        <f t="shared" si="912"/>
        <v>0</v>
      </c>
      <c r="AB146" s="270">
        <f t="shared" si="912"/>
        <v>0</v>
      </c>
      <c r="AC146" s="270">
        <f t="shared" si="912"/>
        <v>0</v>
      </c>
      <c r="AD146" s="270">
        <f t="shared" si="912"/>
        <v>0</v>
      </c>
      <c r="AE146" s="270">
        <f t="shared" si="912"/>
        <v>0</v>
      </c>
      <c r="AF146" s="270">
        <f t="shared" si="912"/>
        <v>0</v>
      </c>
      <c r="AG146" s="270">
        <f t="shared" si="912"/>
        <v>0</v>
      </c>
      <c r="AH146" s="279">
        <f t="shared" si="602"/>
        <v>0</v>
      </c>
      <c r="AI146" s="270">
        <f t="shared" si="43"/>
        <v>0</v>
      </c>
      <c r="AJ146" s="270">
        <f t="shared" ref="AJ146:AO146" si="913">IF(F$8=0,0,ROUND(AJ145-(F146-BO146),2))</f>
        <v>0</v>
      </c>
      <c r="AK146" s="270">
        <f t="shared" si="913"/>
        <v>0</v>
      </c>
      <c r="AL146" s="270">
        <f t="shared" si="913"/>
        <v>0</v>
      </c>
      <c r="AM146" s="270">
        <f t="shared" si="913"/>
        <v>0</v>
      </c>
      <c r="AN146" s="270">
        <f t="shared" si="913"/>
        <v>0</v>
      </c>
      <c r="AO146" s="270">
        <f t="shared" si="913"/>
        <v>0</v>
      </c>
      <c r="AP146" s="270">
        <v>0.0</v>
      </c>
      <c r="AQ146" s="270">
        <f t="shared" ref="AQ146:AS146" si="914">IF(M$8=0,0,ROUND(AQ145-(M146-BV146),2))</f>
        <v>0</v>
      </c>
      <c r="AR146" s="270">
        <f t="shared" si="914"/>
        <v>0</v>
      </c>
      <c r="AS146" s="270">
        <f t="shared" si="914"/>
        <v>0</v>
      </c>
      <c r="AT146" s="270">
        <f t="shared" si="605"/>
        <v>-6.22</v>
      </c>
      <c r="AU146" s="270">
        <f t="shared" ref="AU146:BK146" si="915">IF(Q$8=0,0,ROUND(AU145-(Q146-BY146),2))</f>
        <v>-10.33</v>
      </c>
      <c r="AV146" s="270">
        <f t="shared" si="915"/>
        <v>0</v>
      </c>
      <c r="AW146" s="270">
        <f t="shared" si="915"/>
        <v>0</v>
      </c>
      <c r="AX146" s="270">
        <f t="shared" si="915"/>
        <v>0</v>
      </c>
      <c r="AY146" s="270">
        <f t="shared" si="915"/>
        <v>0</v>
      </c>
      <c r="AZ146" s="270">
        <f t="shared" si="915"/>
        <v>0</v>
      </c>
      <c r="BA146" s="270">
        <f t="shared" si="915"/>
        <v>0</v>
      </c>
      <c r="BB146" s="270">
        <f t="shared" si="915"/>
        <v>0</v>
      </c>
      <c r="BC146" s="270">
        <f t="shared" si="915"/>
        <v>0</v>
      </c>
      <c r="BD146" s="270">
        <f t="shared" si="915"/>
        <v>0</v>
      </c>
      <c r="BE146" s="270">
        <f t="shared" si="915"/>
        <v>0</v>
      </c>
      <c r="BF146" s="270">
        <f t="shared" si="915"/>
        <v>0</v>
      </c>
      <c r="BG146" s="270">
        <f t="shared" si="915"/>
        <v>0</v>
      </c>
      <c r="BH146" s="270">
        <f t="shared" si="915"/>
        <v>0</v>
      </c>
      <c r="BI146" s="270">
        <f t="shared" si="915"/>
        <v>0</v>
      </c>
      <c r="BJ146" s="270">
        <f t="shared" si="915"/>
        <v>0</v>
      </c>
      <c r="BK146" s="270">
        <f t="shared" si="915"/>
        <v>0</v>
      </c>
      <c r="BL146" s="265">
        <f t="shared" si="16"/>
        <v>-16.55</v>
      </c>
      <c r="BM146" s="215"/>
      <c r="BN146" s="270">
        <f t="shared" ref="BN146:CP146" si="916">ROUND(AI145*E$9/12,2)</f>
        <v>0</v>
      </c>
      <c r="BO146" s="270">
        <f t="shared" si="916"/>
        <v>0</v>
      </c>
      <c r="BP146" s="270">
        <f t="shared" si="916"/>
        <v>0</v>
      </c>
      <c r="BQ146" s="270">
        <f t="shared" si="916"/>
        <v>0</v>
      </c>
      <c r="BR146" s="270">
        <f t="shared" si="916"/>
        <v>0</v>
      </c>
      <c r="BS146" s="270">
        <f t="shared" si="916"/>
        <v>0</v>
      </c>
      <c r="BT146" s="270">
        <f t="shared" si="916"/>
        <v>0</v>
      </c>
      <c r="BU146" s="270">
        <f t="shared" si="916"/>
        <v>0</v>
      </c>
      <c r="BV146" s="270">
        <f t="shared" si="916"/>
        <v>0</v>
      </c>
      <c r="BW146" s="270">
        <f t="shared" si="916"/>
        <v>0</v>
      </c>
      <c r="BX146" s="270">
        <f t="shared" si="916"/>
        <v>0</v>
      </c>
      <c r="BY146" s="270">
        <f t="shared" si="916"/>
        <v>-0.05</v>
      </c>
      <c r="BZ146" s="270">
        <f t="shared" si="916"/>
        <v>-0.03</v>
      </c>
      <c r="CA146" s="270">
        <f t="shared" si="916"/>
        <v>0</v>
      </c>
      <c r="CB146" s="270">
        <f t="shared" si="916"/>
        <v>0</v>
      </c>
      <c r="CC146" s="270">
        <f t="shared" si="916"/>
        <v>0</v>
      </c>
      <c r="CD146" s="270">
        <f t="shared" si="916"/>
        <v>0</v>
      </c>
      <c r="CE146" s="270">
        <f t="shared" si="916"/>
        <v>0</v>
      </c>
      <c r="CF146" s="270">
        <f t="shared" si="916"/>
        <v>0</v>
      </c>
      <c r="CG146" s="270">
        <f t="shared" si="916"/>
        <v>0</v>
      </c>
      <c r="CH146" s="270">
        <f t="shared" si="916"/>
        <v>0</v>
      </c>
      <c r="CI146" s="270">
        <f t="shared" si="916"/>
        <v>0</v>
      </c>
      <c r="CJ146" s="270">
        <f t="shared" si="916"/>
        <v>0</v>
      </c>
      <c r="CK146" s="270">
        <f t="shared" si="916"/>
        <v>0</v>
      </c>
      <c r="CL146" s="270">
        <f t="shared" si="916"/>
        <v>0</v>
      </c>
      <c r="CM146" s="270">
        <f t="shared" si="916"/>
        <v>0</v>
      </c>
      <c r="CN146" s="270">
        <f t="shared" si="916"/>
        <v>0</v>
      </c>
      <c r="CO146" s="270">
        <f t="shared" si="916"/>
        <v>0</v>
      </c>
      <c r="CP146" s="270">
        <f t="shared" si="916"/>
        <v>0</v>
      </c>
      <c r="CQ146" s="215"/>
      <c r="CR146" s="270">
        <f t="shared" si="27"/>
        <v>-0.08</v>
      </c>
      <c r="CS146" s="215"/>
      <c r="CT146" s="270">
        <f t="shared" ref="CT146:DX146" si="917">IF(AI145&gt;0,IF((AI145+BN146)&lt;E$10,AI145+BN146,E$10),0)</f>
        <v>0</v>
      </c>
      <c r="CU146" s="270">
        <f t="shared" si="917"/>
        <v>0</v>
      </c>
      <c r="CV146" s="270">
        <f t="shared" si="917"/>
        <v>0</v>
      </c>
      <c r="CW146" s="270">
        <f t="shared" si="917"/>
        <v>0</v>
      </c>
      <c r="CX146" s="270">
        <f t="shared" si="917"/>
        <v>0</v>
      </c>
      <c r="CY146" s="270">
        <f t="shared" si="917"/>
        <v>0</v>
      </c>
      <c r="CZ146" s="270">
        <f t="shared" si="917"/>
        <v>0</v>
      </c>
      <c r="DA146" s="270">
        <f t="shared" si="917"/>
        <v>0</v>
      </c>
      <c r="DB146" s="270">
        <f t="shared" si="917"/>
        <v>0</v>
      </c>
      <c r="DC146" s="270">
        <f t="shared" si="917"/>
        <v>0</v>
      </c>
      <c r="DD146" s="270">
        <f t="shared" si="917"/>
        <v>0</v>
      </c>
      <c r="DE146" s="270">
        <f t="shared" si="917"/>
        <v>0</v>
      </c>
      <c r="DF146" s="270">
        <f t="shared" si="917"/>
        <v>0</v>
      </c>
      <c r="DG146" s="270">
        <f t="shared" si="917"/>
        <v>0</v>
      </c>
      <c r="DH146" s="270">
        <f t="shared" si="917"/>
        <v>0</v>
      </c>
      <c r="DI146" s="270">
        <f t="shared" si="917"/>
        <v>0</v>
      </c>
      <c r="DJ146" s="270">
        <f t="shared" si="917"/>
        <v>0</v>
      </c>
      <c r="DK146" s="270">
        <f t="shared" si="917"/>
        <v>0</v>
      </c>
      <c r="DL146" s="270">
        <f t="shared" si="917"/>
        <v>0</v>
      </c>
      <c r="DM146" s="270">
        <f t="shared" si="917"/>
        <v>0</v>
      </c>
      <c r="DN146" s="270">
        <f t="shared" si="917"/>
        <v>0</v>
      </c>
      <c r="DO146" s="270">
        <f t="shared" si="917"/>
        <v>0</v>
      </c>
      <c r="DP146" s="270">
        <f t="shared" si="917"/>
        <v>0</v>
      </c>
      <c r="DQ146" s="270">
        <f t="shared" si="917"/>
        <v>0</v>
      </c>
      <c r="DR146" s="270">
        <f t="shared" si="917"/>
        <v>0</v>
      </c>
      <c r="DS146" s="270">
        <f t="shared" si="917"/>
        <v>0</v>
      </c>
      <c r="DT146" s="270">
        <f t="shared" si="917"/>
        <v>0</v>
      </c>
      <c r="DU146" s="270">
        <f t="shared" si="917"/>
        <v>0</v>
      </c>
      <c r="DV146" s="270">
        <f t="shared" si="917"/>
        <v>0</v>
      </c>
      <c r="DW146" s="270">
        <f t="shared" si="917"/>
        <v>0</v>
      </c>
      <c r="DX146" s="270">
        <f t="shared" si="917"/>
        <v>0</v>
      </c>
      <c r="DY146" s="270">
        <f t="shared" si="29"/>
        <v>0</v>
      </c>
      <c r="DZ146" s="274"/>
      <c r="EA146" s="275">
        <f t="shared" si="38"/>
        <v>0</v>
      </c>
      <c r="EB146" s="270">
        <f t="shared" ref="EB146:FC146" si="918">IF(AJ144&lt;=0,0,IF($C145&lt;=SUM($EA146:EA146),0,IF(CU145+$C145-SUM($EA146:EA146)&gt;AJ144+BO145,AJ144+BO145-CU145,$C145-SUM($EA146:EA146))))</f>
        <v>0</v>
      </c>
      <c r="EC146" s="270">
        <f t="shared" si="918"/>
        <v>0</v>
      </c>
      <c r="ED146" s="270">
        <f t="shared" si="918"/>
        <v>0</v>
      </c>
      <c r="EE146" s="270">
        <f t="shared" si="918"/>
        <v>0</v>
      </c>
      <c r="EF146" s="270">
        <f t="shared" si="918"/>
        <v>0</v>
      </c>
      <c r="EG146" s="270">
        <f t="shared" si="918"/>
        <v>0</v>
      </c>
      <c r="EH146" s="270">
        <f t="shared" si="918"/>
        <v>0</v>
      </c>
      <c r="EI146" s="270">
        <f t="shared" si="918"/>
        <v>0</v>
      </c>
      <c r="EJ146" s="270">
        <f t="shared" si="918"/>
        <v>0</v>
      </c>
      <c r="EK146" s="270">
        <f t="shared" si="918"/>
        <v>0</v>
      </c>
      <c r="EL146" s="270">
        <f t="shared" si="918"/>
        <v>0</v>
      </c>
      <c r="EM146" s="270">
        <f t="shared" si="918"/>
        <v>0</v>
      </c>
      <c r="EN146" s="270">
        <f t="shared" si="918"/>
        <v>0</v>
      </c>
      <c r="EO146" s="270">
        <f t="shared" si="918"/>
        <v>0</v>
      </c>
      <c r="EP146" s="270">
        <f t="shared" si="918"/>
        <v>0</v>
      </c>
      <c r="EQ146" s="270">
        <f t="shared" si="918"/>
        <v>0</v>
      </c>
      <c r="ER146" s="270">
        <f t="shared" si="918"/>
        <v>0</v>
      </c>
      <c r="ES146" s="270">
        <f t="shared" si="918"/>
        <v>0</v>
      </c>
      <c r="ET146" s="270">
        <f t="shared" si="918"/>
        <v>0</v>
      </c>
      <c r="EU146" s="270">
        <f t="shared" si="918"/>
        <v>0</v>
      </c>
      <c r="EV146" s="270">
        <f t="shared" si="918"/>
        <v>0</v>
      </c>
      <c r="EW146" s="270">
        <f t="shared" si="918"/>
        <v>0</v>
      </c>
      <c r="EX146" s="270">
        <f t="shared" si="918"/>
        <v>0</v>
      </c>
      <c r="EY146" s="270">
        <f t="shared" si="918"/>
        <v>0</v>
      </c>
      <c r="EZ146" s="270">
        <f t="shared" si="918"/>
        <v>0</v>
      </c>
      <c r="FA146" s="270">
        <f t="shared" si="918"/>
        <v>0</v>
      </c>
      <c r="FB146" s="270">
        <f t="shared" si="918"/>
        <v>0</v>
      </c>
      <c r="FC146" s="270">
        <f t="shared" si="918"/>
        <v>0</v>
      </c>
      <c r="FD146" s="271"/>
      <c r="FE146" s="271"/>
      <c r="FF146" s="271"/>
      <c r="FG146" s="215"/>
      <c r="FH146" s="215"/>
    </row>
    <row r="147" ht="11.25" customHeight="1">
      <c r="A147" s="215" t="str">
        <f t="shared" si="19"/>
        <v/>
      </c>
      <c r="B147" s="241" t="str">
        <f t="shared" si="600"/>
        <v>#N/A</v>
      </c>
      <c r="C147" s="271" t="str">
        <f>IF(A147="","",IF(Calculator!snowball,IF(($E$5-DY147)&lt;0,0,$E$5-DY147),0)+D147)</f>
        <v/>
      </c>
      <c r="D147" s="271"/>
      <c r="E147" s="270">
        <f t="shared" si="40"/>
        <v>0</v>
      </c>
      <c r="F147" s="270">
        <f t="shared" ref="F147:AG147" si="919">CU147+EB148</f>
        <v>0</v>
      </c>
      <c r="G147" s="270">
        <f t="shared" si="919"/>
        <v>0</v>
      </c>
      <c r="H147" s="270">
        <f t="shared" si="919"/>
        <v>0</v>
      </c>
      <c r="I147" s="270">
        <f t="shared" si="919"/>
        <v>0</v>
      </c>
      <c r="J147" s="270">
        <f t="shared" si="919"/>
        <v>0</v>
      </c>
      <c r="K147" s="270">
        <f t="shared" si="919"/>
        <v>0</v>
      </c>
      <c r="L147" s="270">
        <f t="shared" si="919"/>
        <v>0</v>
      </c>
      <c r="M147" s="270">
        <f t="shared" si="919"/>
        <v>0</v>
      </c>
      <c r="N147" s="270">
        <f t="shared" si="919"/>
        <v>0</v>
      </c>
      <c r="O147" s="270">
        <f t="shared" si="919"/>
        <v>0</v>
      </c>
      <c r="P147" s="272">
        <f t="shared" si="919"/>
        <v>0</v>
      </c>
      <c r="Q147" s="272">
        <f t="shared" si="919"/>
        <v>0</v>
      </c>
      <c r="R147" s="272">
        <f t="shared" si="919"/>
        <v>0</v>
      </c>
      <c r="S147" s="272">
        <f t="shared" si="919"/>
        <v>0</v>
      </c>
      <c r="T147" s="272">
        <f t="shared" si="919"/>
        <v>0</v>
      </c>
      <c r="U147" s="270">
        <f t="shared" si="919"/>
        <v>0</v>
      </c>
      <c r="V147" s="270">
        <f t="shared" si="919"/>
        <v>0</v>
      </c>
      <c r="W147" s="270">
        <f t="shared" si="919"/>
        <v>0</v>
      </c>
      <c r="X147" s="270">
        <f t="shared" si="919"/>
        <v>0</v>
      </c>
      <c r="Y147" s="270">
        <f t="shared" si="919"/>
        <v>0</v>
      </c>
      <c r="Z147" s="270">
        <f t="shared" si="919"/>
        <v>0</v>
      </c>
      <c r="AA147" s="270">
        <f t="shared" si="919"/>
        <v>0</v>
      </c>
      <c r="AB147" s="270">
        <f t="shared" si="919"/>
        <v>0</v>
      </c>
      <c r="AC147" s="270">
        <f t="shared" si="919"/>
        <v>0</v>
      </c>
      <c r="AD147" s="270">
        <f t="shared" si="919"/>
        <v>0</v>
      </c>
      <c r="AE147" s="270">
        <f t="shared" si="919"/>
        <v>0</v>
      </c>
      <c r="AF147" s="270">
        <f t="shared" si="919"/>
        <v>0</v>
      </c>
      <c r="AG147" s="270">
        <f t="shared" si="919"/>
        <v>0</v>
      </c>
      <c r="AH147" s="279">
        <f t="shared" si="602"/>
        <v>0</v>
      </c>
      <c r="AI147" s="270">
        <f t="shared" si="43"/>
        <v>0</v>
      </c>
      <c r="AJ147" s="270">
        <f t="shared" ref="AJ147:AO147" si="920">IF(F$8=0,0,ROUND(AJ146-(F147-BO147),2))</f>
        <v>0</v>
      </c>
      <c r="AK147" s="270">
        <f t="shared" si="920"/>
        <v>0</v>
      </c>
      <c r="AL147" s="270">
        <f t="shared" si="920"/>
        <v>0</v>
      </c>
      <c r="AM147" s="270">
        <f t="shared" si="920"/>
        <v>0</v>
      </c>
      <c r="AN147" s="270">
        <f t="shared" si="920"/>
        <v>0</v>
      </c>
      <c r="AO147" s="270">
        <f t="shared" si="920"/>
        <v>0</v>
      </c>
      <c r="AP147" s="270">
        <v>0.0</v>
      </c>
      <c r="AQ147" s="270">
        <f t="shared" ref="AQ147:AS147" si="921">IF(M$8=0,0,ROUND(AQ146-(M147-BV147),2))</f>
        <v>0</v>
      </c>
      <c r="AR147" s="270">
        <f t="shared" si="921"/>
        <v>0</v>
      </c>
      <c r="AS147" s="270">
        <f t="shared" si="921"/>
        <v>0</v>
      </c>
      <c r="AT147" s="270">
        <f t="shared" si="605"/>
        <v>-6.22</v>
      </c>
      <c r="AU147" s="270">
        <f t="shared" ref="AU147:BK147" si="922">IF(Q$8=0,0,ROUND(AU146-(Q147-BY147),2))</f>
        <v>-10.38</v>
      </c>
      <c r="AV147" s="270">
        <f t="shared" si="922"/>
        <v>0</v>
      </c>
      <c r="AW147" s="270">
        <f t="shared" si="922"/>
        <v>0</v>
      </c>
      <c r="AX147" s="270">
        <f t="shared" si="922"/>
        <v>0</v>
      </c>
      <c r="AY147" s="270">
        <f t="shared" si="922"/>
        <v>0</v>
      </c>
      <c r="AZ147" s="270">
        <f t="shared" si="922"/>
        <v>0</v>
      </c>
      <c r="BA147" s="270">
        <f t="shared" si="922"/>
        <v>0</v>
      </c>
      <c r="BB147" s="270">
        <f t="shared" si="922"/>
        <v>0</v>
      </c>
      <c r="BC147" s="270">
        <f t="shared" si="922"/>
        <v>0</v>
      </c>
      <c r="BD147" s="270">
        <f t="shared" si="922"/>
        <v>0</v>
      </c>
      <c r="BE147" s="270">
        <f t="shared" si="922"/>
        <v>0</v>
      </c>
      <c r="BF147" s="270">
        <f t="shared" si="922"/>
        <v>0</v>
      </c>
      <c r="BG147" s="270">
        <f t="shared" si="922"/>
        <v>0</v>
      </c>
      <c r="BH147" s="270">
        <f t="shared" si="922"/>
        <v>0</v>
      </c>
      <c r="BI147" s="270">
        <f t="shared" si="922"/>
        <v>0</v>
      </c>
      <c r="BJ147" s="270">
        <f t="shared" si="922"/>
        <v>0</v>
      </c>
      <c r="BK147" s="270">
        <f t="shared" si="922"/>
        <v>0</v>
      </c>
      <c r="BL147" s="265">
        <f t="shared" si="16"/>
        <v>-16.6</v>
      </c>
      <c r="BM147" s="215"/>
      <c r="BN147" s="270">
        <f t="shared" ref="BN147:CP147" si="923">ROUND(AI146*E$9/12,2)</f>
        <v>0</v>
      </c>
      <c r="BO147" s="270">
        <f t="shared" si="923"/>
        <v>0</v>
      </c>
      <c r="BP147" s="270">
        <f t="shared" si="923"/>
        <v>0</v>
      </c>
      <c r="BQ147" s="270">
        <f t="shared" si="923"/>
        <v>0</v>
      </c>
      <c r="BR147" s="270">
        <f t="shared" si="923"/>
        <v>0</v>
      </c>
      <c r="BS147" s="270">
        <f t="shared" si="923"/>
        <v>0</v>
      </c>
      <c r="BT147" s="270">
        <f t="shared" si="923"/>
        <v>0</v>
      </c>
      <c r="BU147" s="270">
        <f t="shared" si="923"/>
        <v>0</v>
      </c>
      <c r="BV147" s="270">
        <f t="shared" si="923"/>
        <v>0</v>
      </c>
      <c r="BW147" s="270">
        <f t="shared" si="923"/>
        <v>0</v>
      </c>
      <c r="BX147" s="270">
        <f t="shared" si="923"/>
        <v>0</v>
      </c>
      <c r="BY147" s="270">
        <f t="shared" si="923"/>
        <v>-0.05</v>
      </c>
      <c r="BZ147" s="270">
        <f t="shared" si="923"/>
        <v>-0.03</v>
      </c>
      <c r="CA147" s="270">
        <f t="shared" si="923"/>
        <v>0</v>
      </c>
      <c r="CB147" s="270">
        <f t="shared" si="923"/>
        <v>0</v>
      </c>
      <c r="CC147" s="270">
        <f t="shared" si="923"/>
        <v>0</v>
      </c>
      <c r="CD147" s="270">
        <f t="shared" si="923"/>
        <v>0</v>
      </c>
      <c r="CE147" s="270">
        <f t="shared" si="923"/>
        <v>0</v>
      </c>
      <c r="CF147" s="270">
        <f t="shared" si="923"/>
        <v>0</v>
      </c>
      <c r="CG147" s="270">
        <f t="shared" si="923"/>
        <v>0</v>
      </c>
      <c r="CH147" s="270">
        <f t="shared" si="923"/>
        <v>0</v>
      </c>
      <c r="CI147" s="270">
        <f t="shared" si="923"/>
        <v>0</v>
      </c>
      <c r="CJ147" s="270">
        <f t="shared" si="923"/>
        <v>0</v>
      </c>
      <c r="CK147" s="270">
        <f t="shared" si="923"/>
        <v>0</v>
      </c>
      <c r="CL147" s="270">
        <f t="shared" si="923"/>
        <v>0</v>
      </c>
      <c r="CM147" s="270">
        <f t="shared" si="923"/>
        <v>0</v>
      </c>
      <c r="CN147" s="270">
        <f t="shared" si="923"/>
        <v>0</v>
      </c>
      <c r="CO147" s="270">
        <f t="shared" si="923"/>
        <v>0</v>
      </c>
      <c r="CP147" s="270">
        <f t="shared" si="923"/>
        <v>0</v>
      </c>
      <c r="CQ147" s="215"/>
      <c r="CR147" s="270">
        <f t="shared" si="27"/>
        <v>-0.08</v>
      </c>
      <c r="CS147" s="215"/>
      <c r="CT147" s="270">
        <f t="shared" ref="CT147:DX147" si="924">IF(AI146&gt;0,IF((AI146+BN147)&lt;E$10,AI146+BN147,E$10),0)</f>
        <v>0</v>
      </c>
      <c r="CU147" s="270">
        <f t="shared" si="924"/>
        <v>0</v>
      </c>
      <c r="CV147" s="270">
        <f t="shared" si="924"/>
        <v>0</v>
      </c>
      <c r="CW147" s="270">
        <f t="shared" si="924"/>
        <v>0</v>
      </c>
      <c r="CX147" s="270">
        <f t="shared" si="924"/>
        <v>0</v>
      </c>
      <c r="CY147" s="270">
        <f t="shared" si="924"/>
        <v>0</v>
      </c>
      <c r="CZ147" s="270">
        <f t="shared" si="924"/>
        <v>0</v>
      </c>
      <c r="DA147" s="270">
        <f t="shared" si="924"/>
        <v>0</v>
      </c>
      <c r="DB147" s="270">
        <f t="shared" si="924"/>
        <v>0</v>
      </c>
      <c r="DC147" s="270">
        <f t="shared" si="924"/>
        <v>0</v>
      </c>
      <c r="DD147" s="270">
        <f t="shared" si="924"/>
        <v>0</v>
      </c>
      <c r="DE147" s="270">
        <f t="shared" si="924"/>
        <v>0</v>
      </c>
      <c r="DF147" s="270">
        <f t="shared" si="924"/>
        <v>0</v>
      </c>
      <c r="DG147" s="270">
        <f t="shared" si="924"/>
        <v>0</v>
      </c>
      <c r="DH147" s="270">
        <f t="shared" si="924"/>
        <v>0</v>
      </c>
      <c r="DI147" s="270">
        <f t="shared" si="924"/>
        <v>0</v>
      </c>
      <c r="DJ147" s="270">
        <f t="shared" si="924"/>
        <v>0</v>
      </c>
      <c r="DK147" s="270">
        <f t="shared" si="924"/>
        <v>0</v>
      </c>
      <c r="DL147" s="270">
        <f t="shared" si="924"/>
        <v>0</v>
      </c>
      <c r="DM147" s="270">
        <f t="shared" si="924"/>
        <v>0</v>
      </c>
      <c r="DN147" s="270">
        <f t="shared" si="924"/>
        <v>0</v>
      </c>
      <c r="DO147" s="270">
        <f t="shared" si="924"/>
        <v>0</v>
      </c>
      <c r="DP147" s="270">
        <f t="shared" si="924"/>
        <v>0</v>
      </c>
      <c r="DQ147" s="270">
        <f t="shared" si="924"/>
        <v>0</v>
      </c>
      <c r="DR147" s="270">
        <f t="shared" si="924"/>
        <v>0</v>
      </c>
      <c r="DS147" s="270">
        <f t="shared" si="924"/>
        <v>0</v>
      </c>
      <c r="DT147" s="270">
        <f t="shared" si="924"/>
        <v>0</v>
      </c>
      <c r="DU147" s="270">
        <f t="shared" si="924"/>
        <v>0</v>
      </c>
      <c r="DV147" s="270">
        <f t="shared" si="924"/>
        <v>0</v>
      </c>
      <c r="DW147" s="270">
        <f t="shared" si="924"/>
        <v>0</v>
      </c>
      <c r="DX147" s="270">
        <f t="shared" si="924"/>
        <v>0</v>
      </c>
      <c r="DY147" s="270">
        <f t="shared" si="29"/>
        <v>0</v>
      </c>
      <c r="DZ147" s="274"/>
      <c r="EA147" s="275">
        <f t="shared" si="38"/>
        <v>0</v>
      </c>
      <c r="EB147" s="270">
        <f t="shared" ref="EB147:FC147" si="925">IF(AJ145&lt;=0,0,IF($C146&lt;=SUM($EA147:EA147),0,IF(CU146+$C146-SUM($EA147:EA147)&gt;AJ145+BO146,AJ145+BO146-CU146,$C146-SUM($EA147:EA147))))</f>
        <v>0</v>
      </c>
      <c r="EC147" s="270">
        <f t="shared" si="925"/>
        <v>0</v>
      </c>
      <c r="ED147" s="270">
        <f t="shared" si="925"/>
        <v>0</v>
      </c>
      <c r="EE147" s="270">
        <f t="shared" si="925"/>
        <v>0</v>
      </c>
      <c r="EF147" s="270">
        <f t="shared" si="925"/>
        <v>0</v>
      </c>
      <c r="EG147" s="270">
        <f t="shared" si="925"/>
        <v>0</v>
      </c>
      <c r="EH147" s="270">
        <f t="shared" si="925"/>
        <v>0</v>
      </c>
      <c r="EI147" s="270">
        <f t="shared" si="925"/>
        <v>0</v>
      </c>
      <c r="EJ147" s="270">
        <f t="shared" si="925"/>
        <v>0</v>
      </c>
      <c r="EK147" s="270">
        <f t="shared" si="925"/>
        <v>0</v>
      </c>
      <c r="EL147" s="270">
        <f t="shared" si="925"/>
        <v>0</v>
      </c>
      <c r="EM147" s="270">
        <f t="shared" si="925"/>
        <v>0</v>
      </c>
      <c r="EN147" s="270">
        <f t="shared" si="925"/>
        <v>0</v>
      </c>
      <c r="EO147" s="270">
        <f t="shared" si="925"/>
        <v>0</v>
      </c>
      <c r="EP147" s="270">
        <f t="shared" si="925"/>
        <v>0</v>
      </c>
      <c r="EQ147" s="270">
        <f t="shared" si="925"/>
        <v>0</v>
      </c>
      <c r="ER147" s="270">
        <f t="shared" si="925"/>
        <v>0</v>
      </c>
      <c r="ES147" s="270">
        <f t="shared" si="925"/>
        <v>0</v>
      </c>
      <c r="ET147" s="270">
        <f t="shared" si="925"/>
        <v>0</v>
      </c>
      <c r="EU147" s="270">
        <f t="shared" si="925"/>
        <v>0</v>
      </c>
      <c r="EV147" s="270">
        <f t="shared" si="925"/>
        <v>0</v>
      </c>
      <c r="EW147" s="270">
        <f t="shared" si="925"/>
        <v>0</v>
      </c>
      <c r="EX147" s="270">
        <f t="shared" si="925"/>
        <v>0</v>
      </c>
      <c r="EY147" s="270">
        <f t="shared" si="925"/>
        <v>0</v>
      </c>
      <c r="EZ147" s="270">
        <f t="shared" si="925"/>
        <v>0</v>
      </c>
      <c r="FA147" s="270">
        <f t="shared" si="925"/>
        <v>0</v>
      </c>
      <c r="FB147" s="270">
        <f t="shared" si="925"/>
        <v>0</v>
      </c>
      <c r="FC147" s="270">
        <f t="shared" si="925"/>
        <v>0</v>
      </c>
      <c r="FD147" s="271"/>
      <c r="FE147" s="271"/>
      <c r="FF147" s="271"/>
      <c r="FG147" s="215"/>
      <c r="FH147" s="215"/>
    </row>
    <row r="148" ht="11.25" customHeight="1">
      <c r="A148" s="215" t="str">
        <f t="shared" si="19"/>
        <v/>
      </c>
      <c r="B148" s="241" t="str">
        <f t="shared" si="600"/>
        <v>#N/A</v>
      </c>
      <c r="C148" s="271" t="str">
        <f>IF(A148="","",IF(Calculator!snowball,IF(($E$5-DY148)&lt;0,0,$E$5-DY148),0)+D148)</f>
        <v/>
      </c>
      <c r="D148" s="271"/>
      <c r="E148" s="270">
        <f t="shared" si="40"/>
        <v>0</v>
      </c>
      <c r="F148" s="270">
        <f t="shared" ref="F148:AG148" si="926">CU148+EB149</f>
        <v>0</v>
      </c>
      <c r="G148" s="270">
        <f t="shared" si="926"/>
        <v>0</v>
      </c>
      <c r="H148" s="270">
        <f t="shared" si="926"/>
        <v>0</v>
      </c>
      <c r="I148" s="270">
        <f t="shared" si="926"/>
        <v>0</v>
      </c>
      <c r="J148" s="270">
        <f t="shared" si="926"/>
        <v>0</v>
      </c>
      <c r="K148" s="270">
        <f t="shared" si="926"/>
        <v>0</v>
      </c>
      <c r="L148" s="270">
        <f t="shared" si="926"/>
        <v>0</v>
      </c>
      <c r="M148" s="270">
        <f t="shared" si="926"/>
        <v>0</v>
      </c>
      <c r="N148" s="270">
        <f t="shared" si="926"/>
        <v>0</v>
      </c>
      <c r="O148" s="270">
        <f t="shared" si="926"/>
        <v>0</v>
      </c>
      <c r="P148" s="272">
        <f t="shared" si="926"/>
        <v>0</v>
      </c>
      <c r="Q148" s="272">
        <f t="shared" si="926"/>
        <v>0</v>
      </c>
      <c r="R148" s="272">
        <f t="shared" si="926"/>
        <v>0</v>
      </c>
      <c r="S148" s="272">
        <f t="shared" si="926"/>
        <v>0</v>
      </c>
      <c r="T148" s="272">
        <f t="shared" si="926"/>
        <v>0</v>
      </c>
      <c r="U148" s="270">
        <f t="shared" si="926"/>
        <v>0</v>
      </c>
      <c r="V148" s="270">
        <f t="shared" si="926"/>
        <v>0</v>
      </c>
      <c r="W148" s="270">
        <f t="shared" si="926"/>
        <v>0</v>
      </c>
      <c r="X148" s="270">
        <f t="shared" si="926"/>
        <v>0</v>
      </c>
      <c r="Y148" s="270">
        <f t="shared" si="926"/>
        <v>0</v>
      </c>
      <c r="Z148" s="270">
        <f t="shared" si="926"/>
        <v>0</v>
      </c>
      <c r="AA148" s="270">
        <f t="shared" si="926"/>
        <v>0</v>
      </c>
      <c r="AB148" s="270">
        <f t="shared" si="926"/>
        <v>0</v>
      </c>
      <c r="AC148" s="270">
        <f t="shared" si="926"/>
        <v>0</v>
      </c>
      <c r="AD148" s="270">
        <f t="shared" si="926"/>
        <v>0</v>
      </c>
      <c r="AE148" s="270">
        <f t="shared" si="926"/>
        <v>0</v>
      </c>
      <c r="AF148" s="270">
        <f t="shared" si="926"/>
        <v>0</v>
      </c>
      <c r="AG148" s="270">
        <f t="shared" si="926"/>
        <v>0</v>
      </c>
      <c r="AH148" s="279">
        <f t="shared" si="602"/>
        <v>0</v>
      </c>
      <c r="AI148" s="270">
        <f t="shared" si="43"/>
        <v>0</v>
      </c>
      <c r="AJ148" s="270">
        <f t="shared" ref="AJ148:AO148" si="927">IF(F$8=0,0,ROUND(AJ147-(F148-BO148),2))</f>
        <v>0</v>
      </c>
      <c r="AK148" s="270">
        <f t="shared" si="927"/>
        <v>0</v>
      </c>
      <c r="AL148" s="270">
        <f t="shared" si="927"/>
        <v>0</v>
      </c>
      <c r="AM148" s="270">
        <f t="shared" si="927"/>
        <v>0</v>
      </c>
      <c r="AN148" s="270">
        <f t="shared" si="927"/>
        <v>0</v>
      </c>
      <c r="AO148" s="270">
        <f t="shared" si="927"/>
        <v>0</v>
      </c>
      <c r="AP148" s="270">
        <v>0.0</v>
      </c>
      <c r="AQ148" s="270">
        <f t="shared" ref="AQ148:AS148" si="928">IF(M$8=0,0,ROUND(AQ147-(M148-BV148),2))</f>
        <v>0</v>
      </c>
      <c r="AR148" s="270">
        <f t="shared" si="928"/>
        <v>0</v>
      </c>
      <c r="AS148" s="270">
        <f t="shared" si="928"/>
        <v>0</v>
      </c>
      <c r="AT148" s="270">
        <f t="shared" si="605"/>
        <v>-6.22</v>
      </c>
      <c r="AU148" s="270">
        <f t="shared" ref="AU148:BK148" si="929">IF(Q$8=0,0,ROUND(AU147-(Q148-BY148),2))</f>
        <v>-10.43</v>
      </c>
      <c r="AV148" s="270">
        <f t="shared" si="929"/>
        <v>0</v>
      </c>
      <c r="AW148" s="270">
        <f t="shared" si="929"/>
        <v>0</v>
      </c>
      <c r="AX148" s="270">
        <f t="shared" si="929"/>
        <v>0</v>
      </c>
      <c r="AY148" s="270">
        <f t="shared" si="929"/>
        <v>0</v>
      </c>
      <c r="AZ148" s="270">
        <f t="shared" si="929"/>
        <v>0</v>
      </c>
      <c r="BA148" s="270">
        <f t="shared" si="929"/>
        <v>0</v>
      </c>
      <c r="BB148" s="270">
        <f t="shared" si="929"/>
        <v>0</v>
      </c>
      <c r="BC148" s="270">
        <f t="shared" si="929"/>
        <v>0</v>
      </c>
      <c r="BD148" s="270">
        <f t="shared" si="929"/>
        <v>0</v>
      </c>
      <c r="BE148" s="270">
        <f t="shared" si="929"/>
        <v>0</v>
      </c>
      <c r="BF148" s="270">
        <f t="shared" si="929"/>
        <v>0</v>
      </c>
      <c r="BG148" s="270">
        <f t="shared" si="929"/>
        <v>0</v>
      </c>
      <c r="BH148" s="270">
        <f t="shared" si="929"/>
        <v>0</v>
      </c>
      <c r="BI148" s="270">
        <f t="shared" si="929"/>
        <v>0</v>
      </c>
      <c r="BJ148" s="270">
        <f t="shared" si="929"/>
        <v>0</v>
      </c>
      <c r="BK148" s="270">
        <f t="shared" si="929"/>
        <v>0</v>
      </c>
      <c r="BL148" s="265">
        <f t="shared" si="16"/>
        <v>-16.65</v>
      </c>
      <c r="BM148" s="215"/>
      <c r="BN148" s="270">
        <f t="shared" ref="BN148:CP148" si="930">ROUND(AI147*E$9/12,2)</f>
        <v>0</v>
      </c>
      <c r="BO148" s="270">
        <f t="shared" si="930"/>
        <v>0</v>
      </c>
      <c r="BP148" s="270">
        <f t="shared" si="930"/>
        <v>0</v>
      </c>
      <c r="BQ148" s="270">
        <f t="shared" si="930"/>
        <v>0</v>
      </c>
      <c r="BR148" s="270">
        <f t="shared" si="930"/>
        <v>0</v>
      </c>
      <c r="BS148" s="270">
        <f t="shared" si="930"/>
        <v>0</v>
      </c>
      <c r="BT148" s="270">
        <f t="shared" si="930"/>
        <v>0</v>
      </c>
      <c r="BU148" s="270">
        <f t="shared" si="930"/>
        <v>0</v>
      </c>
      <c r="BV148" s="270">
        <f t="shared" si="930"/>
        <v>0</v>
      </c>
      <c r="BW148" s="270">
        <f t="shared" si="930"/>
        <v>0</v>
      </c>
      <c r="BX148" s="270">
        <f t="shared" si="930"/>
        <v>0</v>
      </c>
      <c r="BY148" s="270">
        <f t="shared" si="930"/>
        <v>-0.05</v>
      </c>
      <c r="BZ148" s="270">
        <f t="shared" si="930"/>
        <v>-0.03</v>
      </c>
      <c r="CA148" s="270">
        <f t="shared" si="930"/>
        <v>0</v>
      </c>
      <c r="CB148" s="270">
        <f t="shared" si="930"/>
        <v>0</v>
      </c>
      <c r="CC148" s="270">
        <f t="shared" si="930"/>
        <v>0</v>
      </c>
      <c r="CD148" s="270">
        <f t="shared" si="930"/>
        <v>0</v>
      </c>
      <c r="CE148" s="270">
        <f t="shared" si="930"/>
        <v>0</v>
      </c>
      <c r="CF148" s="270">
        <f t="shared" si="930"/>
        <v>0</v>
      </c>
      <c r="CG148" s="270">
        <f t="shared" si="930"/>
        <v>0</v>
      </c>
      <c r="CH148" s="270">
        <f t="shared" si="930"/>
        <v>0</v>
      </c>
      <c r="CI148" s="270">
        <f t="shared" si="930"/>
        <v>0</v>
      </c>
      <c r="CJ148" s="270">
        <f t="shared" si="930"/>
        <v>0</v>
      </c>
      <c r="CK148" s="270">
        <f t="shared" si="930"/>
        <v>0</v>
      </c>
      <c r="CL148" s="270">
        <f t="shared" si="930"/>
        <v>0</v>
      </c>
      <c r="CM148" s="270">
        <f t="shared" si="930"/>
        <v>0</v>
      </c>
      <c r="CN148" s="270">
        <f t="shared" si="930"/>
        <v>0</v>
      </c>
      <c r="CO148" s="270">
        <f t="shared" si="930"/>
        <v>0</v>
      </c>
      <c r="CP148" s="270">
        <f t="shared" si="930"/>
        <v>0</v>
      </c>
      <c r="CQ148" s="215"/>
      <c r="CR148" s="270">
        <f t="shared" si="27"/>
        <v>-0.08</v>
      </c>
      <c r="CS148" s="215"/>
      <c r="CT148" s="270">
        <f t="shared" ref="CT148:DX148" si="931">IF(AI147&gt;0,IF((AI147+BN148)&lt;E$10,AI147+BN148,E$10),0)</f>
        <v>0</v>
      </c>
      <c r="CU148" s="270">
        <f t="shared" si="931"/>
        <v>0</v>
      </c>
      <c r="CV148" s="270">
        <f t="shared" si="931"/>
        <v>0</v>
      </c>
      <c r="CW148" s="270">
        <f t="shared" si="931"/>
        <v>0</v>
      </c>
      <c r="CX148" s="270">
        <f t="shared" si="931"/>
        <v>0</v>
      </c>
      <c r="CY148" s="270">
        <f t="shared" si="931"/>
        <v>0</v>
      </c>
      <c r="CZ148" s="270">
        <f t="shared" si="931"/>
        <v>0</v>
      </c>
      <c r="DA148" s="270">
        <f t="shared" si="931"/>
        <v>0</v>
      </c>
      <c r="DB148" s="270">
        <f t="shared" si="931"/>
        <v>0</v>
      </c>
      <c r="DC148" s="270">
        <f t="shared" si="931"/>
        <v>0</v>
      </c>
      <c r="DD148" s="270">
        <f t="shared" si="931"/>
        <v>0</v>
      </c>
      <c r="DE148" s="270">
        <f t="shared" si="931"/>
        <v>0</v>
      </c>
      <c r="DF148" s="270">
        <f t="shared" si="931"/>
        <v>0</v>
      </c>
      <c r="DG148" s="270">
        <f t="shared" si="931"/>
        <v>0</v>
      </c>
      <c r="DH148" s="270">
        <f t="shared" si="931"/>
        <v>0</v>
      </c>
      <c r="DI148" s="270">
        <f t="shared" si="931"/>
        <v>0</v>
      </c>
      <c r="DJ148" s="270">
        <f t="shared" si="931"/>
        <v>0</v>
      </c>
      <c r="DK148" s="270">
        <f t="shared" si="931"/>
        <v>0</v>
      </c>
      <c r="DL148" s="270">
        <f t="shared" si="931"/>
        <v>0</v>
      </c>
      <c r="DM148" s="270">
        <f t="shared" si="931"/>
        <v>0</v>
      </c>
      <c r="DN148" s="270">
        <f t="shared" si="931"/>
        <v>0</v>
      </c>
      <c r="DO148" s="270">
        <f t="shared" si="931"/>
        <v>0</v>
      </c>
      <c r="DP148" s="270">
        <f t="shared" si="931"/>
        <v>0</v>
      </c>
      <c r="DQ148" s="270">
        <f t="shared" si="931"/>
        <v>0</v>
      </c>
      <c r="DR148" s="270">
        <f t="shared" si="931"/>
        <v>0</v>
      </c>
      <c r="DS148" s="270">
        <f t="shared" si="931"/>
        <v>0</v>
      </c>
      <c r="DT148" s="270">
        <f t="shared" si="931"/>
        <v>0</v>
      </c>
      <c r="DU148" s="270">
        <f t="shared" si="931"/>
        <v>0</v>
      </c>
      <c r="DV148" s="270">
        <f t="shared" si="931"/>
        <v>0</v>
      </c>
      <c r="DW148" s="270">
        <f t="shared" si="931"/>
        <v>0</v>
      </c>
      <c r="DX148" s="270">
        <f t="shared" si="931"/>
        <v>0</v>
      </c>
      <c r="DY148" s="270">
        <f t="shared" si="29"/>
        <v>0</v>
      </c>
      <c r="DZ148" s="274"/>
      <c r="EA148" s="275">
        <f t="shared" si="38"/>
        <v>0</v>
      </c>
      <c r="EB148" s="270">
        <f t="shared" ref="EB148:FC148" si="932">IF(AJ146&lt;=0,0,IF($C147&lt;=SUM($EA148:EA148),0,IF(CU147+$C147-SUM($EA148:EA148)&gt;AJ146+BO147,AJ146+BO147-CU147,$C147-SUM($EA148:EA148))))</f>
        <v>0</v>
      </c>
      <c r="EC148" s="270">
        <f t="shared" si="932"/>
        <v>0</v>
      </c>
      <c r="ED148" s="270">
        <f t="shared" si="932"/>
        <v>0</v>
      </c>
      <c r="EE148" s="270">
        <f t="shared" si="932"/>
        <v>0</v>
      </c>
      <c r="EF148" s="270">
        <f t="shared" si="932"/>
        <v>0</v>
      </c>
      <c r="EG148" s="270">
        <f t="shared" si="932"/>
        <v>0</v>
      </c>
      <c r="EH148" s="270">
        <f t="shared" si="932"/>
        <v>0</v>
      </c>
      <c r="EI148" s="270">
        <f t="shared" si="932"/>
        <v>0</v>
      </c>
      <c r="EJ148" s="270">
        <f t="shared" si="932"/>
        <v>0</v>
      </c>
      <c r="EK148" s="270">
        <f t="shared" si="932"/>
        <v>0</v>
      </c>
      <c r="EL148" s="270">
        <f t="shared" si="932"/>
        <v>0</v>
      </c>
      <c r="EM148" s="270">
        <f t="shared" si="932"/>
        <v>0</v>
      </c>
      <c r="EN148" s="270">
        <f t="shared" si="932"/>
        <v>0</v>
      </c>
      <c r="EO148" s="270">
        <f t="shared" si="932"/>
        <v>0</v>
      </c>
      <c r="EP148" s="270">
        <f t="shared" si="932"/>
        <v>0</v>
      </c>
      <c r="EQ148" s="270">
        <f t="shared" si="932"/>
        <v>0</v>
      </c>
      <c r="ER148" s="270">
        <f t="shared" si="932"/>
        <v>0</v>
      </c>
      <c r="ES148" s="270">
        <f t="shared" si="932"/>
        <v>0</v>
      </c>
      <c r="ET148" s="270">
        <f t="shared" si="932"/>
        <v>0</v>
      </c>
      <c r="EU148" s="270">
        <f t="shared" si="932"/>
        <v>0</v>
      </c>
      <c r="EV148" s="270">
        <f t="shared" si="932"/>
        <v>0</v>
      </c>
      <c r="EW148" s="270">
        <f t="shared" si="932"/>
        <v>0</v>
      </c>
      <c r="EX148" s="270">
        <f t="shared" si="932"/>
        <v>0</v>
      </c>
      <c r="EY148" s="270">
        <f t="shared" si="932"/>
        <v>0</v>
      </c>
      <c r="EZ148" s="270">
        <f t="shared" si="932"/>
        <v>0</v>
      </c>
      <c r="FA148" s="270">
        <f t="shared" si="932"/>
        <v>0</v>
      </c>
      <c r="FB148" s="270">
        <f t="shared" si="932"/>
        <v>0</v>
      </c>
      <c r="FC148" s="270">
        <f t="shared" si="932"/>
        <v>0</v>
      </c>
      <c r="FD148" s="271"/>
      <c r="FE148" s="271"/>
      <c r="FF148" s="271"/>
      <c r="FG148" s="215"/>
      <c r="FH148" s="215"/>
    </row>
    <row r="149" ht="11.25" customHeight="1">
      <c r="A149" s="215" t="str">
        <f t="shared" si="19"/>
        <v/>
      </c>
      <c r="B149" s="241" t="str">
        <f t="shared" si="600"/>
        <v>#N/A</v>
      </c>
      <c r="C149" s="271" t="str">
        <f>IF(A149="","",IF(Calculator!snowball,IF(($E$5-DY149)&lt;0,0,$E$5-DY149),0)+D149)</f>
        <v/>
      </c>
      <c r="D149" s="271"/>
      <c r="E149" s="270">
        <f t="shared" si="40"/>
        <v>0</v>
      </c>
      <c r="F149" s="270">
        <f t="shared" ref="F149:AG149" si="933">CU149+EB150</f>
        <v>0</v>
      </c>
      <c r="G149" s="270">
        <f t="shared" si="933"/>
        <v>0</v>
      </c>
      <c r="H149" s="270">
        <f t="shared" si="933"/>
        <v>0</v>
      </c>
      <c r="I149" s="270">
        <f t="shared" si="933"/>
        <v>0</v>
      </c>
      <c r="J149" s="270">
        <f t="shared" si="933"/>
        <v>0</v>
      </c>
      <c r="K149" s="270">
        <f t="shared" si="933"/>
        <v>0</v>
      </c>
      <c r="L149" s="270">
        <f t="shared" si="933"/>
        <v>0</v>
      </c>
      <c r="M149" s="270">
        <f t="shared" si="933"/>
        <v>0</v>
      </c>
      <c r="N149" s="270">
        <f t="shared" si="933"/>
        <v>0</v>
      </c>
      <c r="O149" s="270">
        <f t="shared" si="933"/>
        <v>0</v>
      </c>
      <c r="P149" s="272">
        <f t="shared" si="933"/>
        <v>0</v>
      </c>
      <c r="Q149" s="272">
        <f t="shared" si="933"/>
        <v>0</v>
      </c>
      <c r="R149" s="272">
        <f t="shared" si="933"/>
        <v>0</v>
      </c>
      <c r="S149" s="272">
        <f t="shared" si="933"/>
        <v>0</v>
      </c>
      <c r="T149" s="272">
        <f t="shared" si="933"/>
        <v>0</v>
      </c>
      <c r="U149" s="270">
        <f t="shared" si="933"/>
        <v>0</v>
      </c>
      <c r="V149" s="270">
        <f t="shared" si="933"/>
        <v>0</v>
      </c>
      <c r="W149" s="270">
        <f t="shared" si="933"/>
        <v>0</v>
      </c>
      <c r="X149" s="270">
        <f t="shared" si="933"/>
        <v>0</v>
      </c>
      <c r="Y149" s="270">
        <f t="shared" si="933"/>
        <v>0</v>
      </c>
      <c r="Z149" s="270">
        <f t="shared" si="933"/>
        <v>0</v>
      </c>
      <c r="AA149" s="270">
        <f t="shared" si="933"/>
        <v>0</v>
      </c>
      <c r="AB149" s="270">
        <f t="shared" si="933"/>
        <v>0</v>
      </c>
      <c r="AC149" s="270">
        <f t="shared" si="933"/>
        <v>0</v>
      </c>
      <c r="AD149" s="270">
        <f t="shared" si="933"/>
        <v>0</v>
      </c>
      <c r="AE149" s="270">
        <f t="shared" si="933"/>
        <v>0</v>
      </c>
      <c r="AF149" s="270">
        <f t="shared" si="933"/>
        <v>0</v>
      </c>
      <c r="AG149" s="270">
        <f t="shared" si="933"/>
        <v>0</v>
      </c>
      <c r="AH149" s="279">
        <f t="shared" si="602"/>
        <v>0</v>
      </c>
      <c r="AI149" s="270">
        <f t="shared" si="43"/>
        <v>0</v>
      </c>
      <c r="AJ149" s="270">
        <f t="shared" ref="AJ149:AO149" si="934">IF(F$8=0,0,ROUND(AJ148-(F149-BO149),2))</f>
        <v>0</v>
      </c>
      <c r="AK149" s="270">
        <f t="shared" si="934"/>
        <v>0</v>
      </c>
      <c r="AL149" s="270">
        <f t="shared" si="934"/>
        <v>0</v>
      </c>
      <c r="AM149" s="270">
        <f t="shared" si="934"/>
        <v>0</v>
      </c>
      <c r="AN149" s="270">
        <f t="shared" si="934"/>
        <v>0</v>
      </c>
      <c r="AO149" s="270">
        <f t="shared" si="934"/>
        <v>0</v>
      </c>
      <c r="AP149" s="270">
        <v>0.0</v>
      </c>
      <c r="AQ149" s="270">
        <f t="shared" ref="AQ149:AS149" si="935">IF(M$8=0,0,ROUND(AQ148-(M149-BV149),2))</f>
        <v>0</v>
      </c>
      <c r="AR149" s="270">
        <f t="shared" si="935"/>
        <v>0</v>
      </c>
      <c r="AS149" s="270">
        <f t="shared" si="935"/>
        <v>0</v>
      </c>
      <c r="AT149" s="270">
        <f t="shared" si="605"/>
        <v>-6.22</v>
      </c>
      <c r="AU149" s="270">
        <f t="shared" ref="AU149:BK149" si="936">IF(Q$8=0,0,ROUND(AU148-(Q149-BY149),2))</f>
        <v>-10.48</v>
      </c>
      <c r="AV149" s="270">
        <f t="shared" si="936"/>
        <v>0</v>
      </c>
      <c r="AW149" s="270">
        <f t="shared" si="936"/>
        <v>0</v>
      </c>
      <c r="AX149" s="270">
        <f t="shared" si="936"/>
        <v>0</v>
      </c>
      <c r="AY149" s="270">
        <f t="shared" si="936"/>
        <v>0</v>
      </c>
      <c r="AZ149" s="270">
        <f t="shared" si="936"/>
        <v>0</v>
      </c>
      <c r="BA149" s="270">
        <f t="shared" si="936"/>
        <v>0</v>
      </c>
      <c r="BB149" s="270">
        <f t="shared" si="936"/>
        <v>0</v>
      </c>
      <c r="BC149" s="270">
        <f t="shared" si="936"/>
        <v>0</v>
      </c>
      <c r="BD149" s="270">
        <f t="shared" si="936"/>
        <v>0</v>
      </c>
      <c r="BE149" s="270">
        <f t="shared" si="936"/>
        <v>0</v>
      </c>
      <c r="BF149" s="270">
        <f t="shared" si="936"/>
        <v>0</v>
      </c>
      <c r="BG149" s="270">
        <f t="shared" si="936"/>
        <v>0</v>
      </c>
      <c r="BH149" s="270">
        <f t="shared" si="936"/>
        <v>0</v>
      </c>
      <c r="BI149" s="270">
        <f t="shared" si="936"/>
        <v>0</v>
      </c>
      <c r="BJ149" s="270">
        <f t="shared" si="936"/>
        <v>0</v>
      </c>
      <c r="BK149" s="270">
        <f t="shared" si="936"/>
        <v>0</v>
      </c>
      <c r="BL149" s="265">
        <f t="shared" si="16"/>
        <v>-16.7</v>
      </c>
      <c r="BM149" s="215"/>
      <c r="BN149" s="270">
        <f t="shared" ref="BN149:CP149" si="937">ROUND(AI148*E$9/12,2)</f>
        <v>0</v>
      </c>
      <c r="BO149" s="270">
        <f t="shared" si="937"/>
        <v>0</v>
      </c>
      <c r="BP149" s="270">
        <f t="shared" si="937"/>
        <v>0</v>
      </c>
      <c r="BQ149" s="270">
        <f t="shared" si="937"/>
        <v>0</v>
      </c>
      <c r="BR149" s="270">
        <f t="shared" si="937"/>
        <v>0</v>
      </c>
      <c r="BS149" s="270">
        <f t="shared" si="937"/>
        <v>0</v>
      </c>
      <c r="BT149" s="270">
        <f t="shared" si="937"/>
        <v>0</v>
      </c>
      <c r="BU149" s="270">
        <f t="shared" si="937"/>
        <v>0</v>
      </c>
      <c r="BV149" s="270">
        <f t="shared" si="937"/>
        <v>0</v>
      </c>
      <c r="BW149" s="270">
        <f t="shared" si="937"/>
        <v>0</v>
      </c>
      <c r="BX149" s="270">
        <f t="shared" si="937"/>
        <v>0</v>
      </c>
      <c r="BY149" s="270">
        <f t="shared" si="937"/>
        <v>-0.05</v>
      </c>
      <c r="BZ149" s="270">
        <f t="shared" si="937"/>
        <v>-0.03</v>
      </c>
      <c r="CA149" s="270">
        <f t="shared" si="937"/>
        <v>0</v>
      </c>
      <c r="CB149" s="270">
        <f t="shared" si="937"/>
        <v>0</v>
      </c>
      <c r="CC149" s="270">
        <f t="shared" si="937"/>
        <v>0</v>
      </c>
      <c r="CD149" s="270">
        <f t="shared" si="937"/>
        <v>0</v>
      </c>
      <c r="CE149" s="270">
        <f t="shared" si="937"/>
        <v>0</v>
      </c>
      <c r="CF149" s="270">
        <f t="shared" si="937"/>
        <v>0</v>
      </c>
      <c r="CG149" s="270">
        <f t="shared" si="937"/>
        <v>0</v>
      </c>
      <c r="CH149" s="270">
        <f t="shared" si="937"/>
        <v>0</v>
      </c>
      <c r="CI149" s="270">
        <f t="shared" si="937"/>
        <v>0</v>
      </c>
      <c r="CJ149" s="270">
        <f t="shared" si="937"/>
        <v>0</v>
      </c>
      <c r="CK149" s="270">
        <f t="shared" si="937"/>
        <v>0</v>
      </c>
      <c r="CL149" s="270">
        <f t="shared" si="937"/>
        <v>0</v>
      </c>
      <c r="CM149" s="270">
        <f t="shared" si="937"/>
        <v>0</v>
      </c>
      <c r="CN149" s="270">
        <f t="shared" si="937"/>
        <v>0</v>
      </c>
      <c r="CO149" s="270">
        <f t="shared" si="937"/>
        <v>0</v>
      </c>
      <c r="CP149" s="270">
        <f t="shared" si="937"/>
        <v>0</v>
      </c>
      <c r="CQ149" s="215"/>
      <c r="CR149" s="270">
        <f t="shared" si="27"/>
        <v>-0.08</v>
      </c>
      <c r="CS149" s="215"/>
      <c r="CT149" s="270">
        <f t="shared" ref="CT149:DX149" si="938">IF(AI148&gt;0,IF((AI148+BN149)&lt;E$10,AI148+BN149,E$10),0)</f>
        <v>0</v>
      </c>
      <c r="CU149" s="270">
        <f t="shared" si="938"/>
        <v>0</v>
      </c>
      <c r="CV149" s="270">
        <f t="shared" si="938"/>
        <v>0</v>
      </c>
      <c r="CW149" s="270">
        <f t="shared" si="938"/>
        <v>0</v>
      </c>
      <c r="CX149" s="270">
        <f t="shared" si="938"/>
        <v>0</v>
      </c>
      <c r="CY149" s="270">
        <f t="shared" si="938"/>
        <v>0</v>
      </c>
      <c r="CZ149" s="270">
        <f t="shared" si="938"/>
        <v>0</v>
      </c>
      <c r="DA149" s="270">
        <f t="shared" si="938"/>
        <v>0</v>
      </c>
      <c r="DB149" s="270">
        <f t="shared" si="938"/>
        <v>0</v>
      </c>
      <c r="DC149" s="270">
        <f t="shared" si="938"/>
        <v>0</v>
      </c>
      <c r="DD149" s="270">
        <f t="shared" si="938"/>
        <v>0</v>
      </c>
      <c r="DE149" s="270">
        <f t="shared" si="938"/>
        <v>0</v>
      </c>
      <c r="DF149" s="270">
        <f t="shared" si="938"/>
        <v>0</v>
      </c>
      <c r="DG149" s="270">
        <f t="shared" si="938"/>
        <v>0</v>
      </c>
      <c r="DH149" s="270">
        <f t="shared" si="938"/>
        <v>0</v>
      </c>
      <c r="DI149" s="270">
        <f t="shared" si="938"/>
        <v>0</v>
      </c>
      <c r="DJ149" s="270">
        <f t="shared" si="938"/>
        <v>0</v>
      </c>
      <c r="DK149" s="270">
        <f t="shared" si="938"/>
        <v>0</v>
      </c>
      <c r="DL149" s="270">
        <f t="shared" si="938"/>
        <v>0</v>
      </c>
      <c r="DM149" s="270">
        <f t="shared" si="938"/>
        <v>0</v>
      </c>
      <c r="DN149" s="270">
        <f t="shared" si="938"/>
        <v>0</v>
      </c>
      <c r="DO149" s="270">
        <f t="shared" si="938"/>
        <v>0</v>
      </c>
      <c r="DP149" s="270">
        <f t="shared" si="938"/>
        <v>0</v>
      </c>
      <c r="DQ149" s="270">
        <f t="shared" si="938"/>
        <v>0</v>
      </c>
      <c r="DR149" s="270">
        <f t="shared" si="938"/>
        <v>0</v>
      </c>
      <c r="DS149" s="270">
        <f t="shared" si="938"/>
        <v>0</v>
      </c>
      <c r="DT149" s="270">
        <f t="shared" si="938"/>
        <v>0</v>
      </c>
      <c r="DU149" s="270">
        <f t="shared" si="938"/>
        <v>0</v>
      </c>
      <c r="DV149" s="270">
        <f t="shared" si="938"/>
        <v>0</v>
      </c>
      <c r="DW149" s="270">
        <f t="shared" si="938"/>
        <v>0</v>
      </c>
      <c r="DX149" s="270">
        <f t="shared" si="938"/>
        <v>0</v>
      </c>
      <c r="DY149" s="270">
        <f t="shared" si="29"/>
        <v>0</v>
      </c>
      <c r="DZ149" s="274"/>
      <c r="EA149" s="275">
        <f t="shared" si="38"/>
        <v>0</v>
      </c>
      <c r="EB149" s="270">
        <f t="shared" ref="EB149:FC149" si="939">IF(AJ147&lt;=0,0,IF($C148&lt;=SUM($EA149:EA149),0,IF(CU148+$C148-SUM($EA149:EA149)&gt;AJ147+BO148,AJ147+BO148-CU148,$C148-SUM($EA149:EA149))))</f>
        <v>0</v>
      </c>
      <c r="EC149" s="270">
        <f t="shared" si="939"/>
        <v>0</v>
      </c>
      <c r="ED149" s="270">
        <f t="shared" si="939"/>
        <v>0</v>
      </c>
      <c r="EE149" s="270">
        <f t="shared" si="939"/>
        <v>0</v>
      </c>
      <c r="EF149" s="270">
        <f t="shared" si="939"/>
        <v>0</v>
      </c>
      <c r="EG149" s="270">
        <f t="shared" si="939"/>
        <v>0</v>
      </c>
      <c r="EH149" s="270">
        <f t="shared" si="939"/>
        <v>0</v>
      </c>
      <c r="EI149" s="270">
        <f t="shared" si="939"/>
        <v>0</v>
      </c>
      <c r="EJ149" s="270">
        <f t="shared" si="939"/>
        <v>0</v>
      </c>
      <c r="EK149" s="270">
        <f t="shared" si="939"/>
        <v>0</v>
      </c>
      <c r="EL149" s="270">
        <f t="shared" si="939"/>
        <v>0</v>
      </c>
      <c r="EM149" s="270">
        <f t="shared" si="939"/>
        <v>0</v>
      </c>
      <c r="EN149" s="270">
        <f t="shared" si="939"/>
        <v>0</v>
      </c>
      <c r="EO149" s="270">
        <f t="shared" si="939"/>
        <v>0</v>
      </c>
      <c r="EP149" s="270">
        <f t="shared" si="939"/>
        <v>0</v>
      </c>
      <c r="EQ149" s="270">
        <f t="shared" si="939"/>
        <v>0</v>
      </c>
      <c r="ER149" s="270">
        <f t="shared" si="939"/>
        <v>0</v>
      </c>
      <c r="ES149" s="270">
        <f t="shared" si="939"/>
        <v>0</v>
      </c>
      <c r="ET149" s="270">
        <f t="shared" si="939"/>
        <v>0</v>
      </c>
      <c r="EU149" s="270">
        <f t="shared" si="939"/>
        <v>0</v>
      </c>
      <c r="EV149" s="270">
        <f t="shared" si="939"/>
        <v>0</v>
      </c>
      <c r="EW149" s="270">
        <f t="shared" si="939"/>
        <v>0</v>
      </c>
      <c r="EX149" s="270">
        <f t="shared" si="939"/>
        <v>0</v>
      </c>
      <c r="EY149" s="270">
        <f t="shared" si="939"/>
        <v>0</v>
      </c>
      <c r="EZ149" s="270">
        <f t="shared" si="939"/>
        <v>0</v>
      </c>
      <c r="FA149" s="270">
        <f t="shared" si="939"/>
        <v>0</v>
      </c>
      <c r="FB149" s="270">
        <f t="shared" si="939"/>
        <v>0</v>
      </c>
      <c r="FC149" s="270">
        <f t="shared" si="939"/>
        <v>0</v>
      </c>
      <c r="FD149" s="271"/>
      <c r="FE149" s="271"/>
      <c r="FF149" s="271"/>
      <c r="FG149" s="215"/>
      <c r="FH149" s="215"/>
    </row>
    <row r="150" ht="11.25" customHeight="1">
      <c r="A150" s="215" t="str">
        <f t="shared" si="19"/>
        <v/>
      </c>
      <c r="B150" s="241" t="str">
        <f t="shared" si="600"/>
        <v>#N/A</v>
      </c>
      <c r="C150" s="271" t="str">
        <f>IF(A150="","",IF(Calculator!snowball,IF(($E$5-DY150)&lt;0,0,$E$5-DY150),0)+D150)</f>
        <v/>
      </c>
      <c r="D150" s="271"/>
      <c r="E150" s="270">
        <f t="shared" si="40"/>
        <v>0</v>
      </c>
      <c r="F150" s="270">
        <f t="shared" ref="F150:AG150" si="940">CU150+EB151</f>
        <v>0</v>
      </c>
      <c r="G150" s="270">
        <f t="shared" si="940"/>
        <v>0</v>
      </c>
      <c r="H150" s="270">
        <f t="shared" si="940"/>
        <v>0</v>
      </c>
      <c r="I150" s="270">
        <f t="shared" si="940"/>
        <v>0</v>
      </c>
      <c r="J150" s="270">
        <f t="shared" si="940"/>
        <v>0</v>
      </c>
      <c r="K150" s="270">
        <f t="shared" si="940"/>
        <v>0</v>
      </c>
      <c r="L150" s="270">
        <f t="shared" si="940"/>
        <v>0</v>
      </c>
      <c r="M150" s="270">
        <f t="shared" si="940"/>
        <v>0</v>
      </c>
      <c r="N150" s="270">
        <f t="shared" si="940"/>
        <v>0</v>
      </c>
      <c r="O150" s="270">
        <f t="shared" si="940"/>
        <v>0</v>
      </c>
      <c r="P150" s="272">
        <f t="shared" si="940"/>
        <v>0</v>
      </c>
      <c r="Q150" s="272">
        <f t="shared" si="940"/>
        <v>0</v>
      </c>
      <c r="R150" s="272">
        <f t="shared" si="940"/>
        <v>0</v>
      </c>
      <c r="S150" s="272">
        <f t="shared" si="940"/>
        <v>0</v>
      </c>
      <c r="T150" s="272">
        <f t="shared" si="940"/>
        <v>0</v>
      </c>
      <c r="U150" s="270">
        <f t="shared" si="940"/>
        <v>0</v>
      </c>
      <c r="V150" s="270">
        <f t="shared" si="940"/>
        <v>0</v>
      </c>
      <c r="W150" s="270">
        <f t="shared" si="940"/>
        <v>0</v>
      </c>
      <c r="X150" s="270">
        <f t="shared" si="940"/>
        <v>0</v>
      </c>
      <c r="Y150" s="270">
        <f t="shared" si="940"/>
        <v>0</v>
      </c>
      <c r="Z150" s="270">
        <f t="shared" si="940"/>
        <v>0</v>
      </c>
      <c r="AA150" s="270">
        <f t="shared" si="940"/>
        <v>0</v>
      </c>
      <c r="AB150" s="270">
        <f t="shared" si="940"/>
        <v>0</v>
      </c>
      <c r="AC150" s="270">
        <f t="shared" si="940"/>
        <v>0</v>
      </c>
      <c r="AD150" s="270">
        <f t="shared" si="940"/>
        <v>0</v>
      </c>
      <c r="AE150" s="270">
        <f t="shared" si="940"/>
        <v>0</v>
      </c>
      <c r="AF150" s="270">
        <f t="shared" si="940"/>
        <v>0</v>
      </c>
      <c r="AG150" s="270">
        <f t="shared" si="940"/>
        <v>0</v>
      </c>
      <c r="AH150" s="279">
        <f t="shared" si="602"/>
        <v>0</v>
      </c>
      <c r="AI150" s="270">
        <f t="shared" si="43"/>
        <v>0</v>
      </c>
      <c r="AJ150" s="270">
        <f t="shared" ref="AJ150:AO150" si="941">IF(F$8=0,0,ROUND(AJ149-(F150-BO150),2))</f>
        <v>0</v>
      </c>
      <c r="AK150" s="270">
        <f t="shared" si="941"/>
        <v>0</v>
      </c>
      <c r="AL150" s="270">
        <f t="shared" si="941"/>
        <v>0</v>
      </c>
      <c r="AM150" s="270">
        <f t="shared" si="941"/>
        <v>0</v>
      </c>
      <c r="AN150" s="270">
        <f t="shared" si="941"/>
        <v>0</v>
      </c>
      <c r="AO150" s="270">
        <f t="shared" si="941"/>
        <v>0</v>
      </c>
      <c r="AP150" s="270">
        <v>0.0</v>
      </c>
      <c r="AQ150" s="270">
        <f t="shared" ref="AQ150:AS150" si="942">IF(M$8=0,0,ROUND(AQ149-(M150-BV150),2))</f>
        <v>0</v>
      </c>
      <c r="AR150" s="270">
        <f t="shared" si="942"/>
        <v>0</v>
      </c>
      <c r="AS150" s="270">
        <f t="shared" si="942"/>
        <v>0</v>
      </c>
      <c r="AT150" s="270">
        <f t="shared" si="605"/>
        <v>-6.22</v>
      </c>
      <c r="AU150" s="270">
        <f t="shared" ref="AU150:BK150" si="943">IF(Q$8=0,0,ROUND(AU149-(Q150-BY150),2))</f>
        <v>-10.53</v>
      </c>
      <c r="AV150" s="270">
        <f t="shared" si="943"/>
        <v>0</v>
      </c>
      <c r="AW150" s="270">
        <f t="shared" si="943"/>
        <v>0</v>
      </c>
      <c r="AX150" s="270">
        <f t="shared" si="943"/>
        <v>0</v>
      </c>
      <c r="AY150" s="270">
        <f t="shared" si="943"/>
        <v>0</v>
      </c>
      <c r="AZ150" s="270">
        <f t="shared" si="943"/>
        <v>0</v>
      </c>
      <c r="BA150" s="270">
        <f t="shared" si="943"/>
        <v>0</v>
      </c>
      <c r="BB150" s="270">
        <f t="shared" si="943"/>
        <v>0</v>
      </c>
      <c r="BC150" s="270">
        <f t="shared" si="943"/>
        <v>0</v>
      </c>
      <c r="BD150" s="270">
        <f t="shared" si="943"/>
        <v>0</v>
      </c>
      <c r="BE150" s="270">
        <f t="shared" si="943"/>
        <v>0</v>
      </c>
      <c r="BF150" s="270">
        <f t="shared" si="943"/>
        <v>0</v>
      </c>
      <c r="BG150" s="270">
        <f t="shared" si="943"/>
        <v>0</v>
      </c>
      <c r="BH150" s="270">
        <f t="shared" si="943"/>
        <v>0</v>
      </c>
      <c r="BI150" s="270">
        <f t="shared" si="943"/>
        <v>0</v>
      </c>
      <c r="BJ150" s="270">
        <f t="shared" si="943"/>
        <v>0</v>
      </c>
      <c r="BK150" s="270">
        <f t="shared" si="943"/>
        <v>0</v>
      </c>
      <c r="BL150" s="265">
        <f t="shared" si="16"/>
        <v>-16.75</v>
      </c>
      <c r="BM150" s="215"/>
      <c r="BN150" s="270">
        <f t="shared" ref="BN150:CP150" si="944">ROUND(AI149*E$9/12,2)</f>
        <v>0</v>
      </c>
      <c r="BO150" s="270">
        <f t="shared" si="944"/>
        <v>0</v>
      </c>
      <c r="BP150" s="270">
        <f t="shared" si="944"/>
        <v>0</v>
      </c>
      <c r="BQ150" s="270">
        <f t="shared" si="944"/>
        <v>0</v>
      </c>
      <c r="BR150" s="270">
        <f t="shared" si="944"/>
        <v>0</v>
      </c>
      <c r="BS150" s="270">
        <f t="shared" si="944"/>
        <v>0</v>
      </c>
      <c r="BT150" s="270">
        <f t="shared" si="944"/>
        <v>0</v>
      </c>
      <c r="BU150" s="270">
        <f t="shared" si="944"/>
        <v>0</v>
      </c>
      <c r="BV150" s="270">
        <f t="shared" si="944"/>
        <v>0</v>
      </c>
      <c r="BW150" s="270">
        <f t="shared" si="944"/>
        <v>0</v>
      </c>
      <c r="BX150" s="270">
        <f t="shared" si="944"/>
        <v>0</v>
      </c>
      <c r="BY150" s="270">
        <f t="shared" si="944"/>
        <v>-0.05</v>
      </c>
      <c r="BZ150" s="270">
        <f t="shared" si="944"/>
        <v>-0.03</v>
      </c>
      <c r="CA150" s="270">
        <f t="shared" si="944"/>
        <v>0</v>
      </c>
      <c r="CB150" s="270">
        <f t="shared" si="944"/>
        <v>0</v>
      </c>
      <c r="CC150" s="270">
        <f t="shared" si="944"/>
        <v>0</v>
      </c>
      <c r="CD150" s="270">
        <f t="shared" si="944"/>
        <v>0</v>
      </c>
      <c r="CE150" s="270">
        <f t="shared" si="944"/>
        <v>0</v>
      </c>
      <c r="CF150" s="270">
        <f t="shared" si="944"/>
        <v>0</v>
      </c>
      <c r="CG150" s="270">
        <f t="shared" si="944"/>
        <v>0</v>
      </c>
      <c r="CH150" s="270">
        <f t="shared" si="944"/>
        <v>0</v>
      </c>
      <c r="CI150" s="270">
        <f t="shared" si="944"/>
        <v>0</v>
      </c>
      <c r="CJ150" s="270">
        <f t="shared" si="944"/>
        <v>0</v>
      </c>
      <c r="CK150" s="270">
        <f t="shared" si="944"/>
        <v>0</v>
      </c>
      <c r="CL150" s="270">
        <f t="shared" si="944"/>
        <v>0</v>
      </c>
      <c r="CM150" s="270">
        <f t="shared" si="944"/>
        <v>0</v>
      </c>
      <c r="CN150" s="270">
        <f t="shared" si="944"/>
        <v>0</v>
      </c>
      <c r="CO150" s="270">
        <f t="shared" si="944"/>
        <v>0</v>
      </c>
      <c r="CP150" s="270">
        <f t="shared" si="944"/>
        <v>0</v>
      </c>
      <c r="CQ150" s="215"/>
      <c r="CR150" s="270">
        <f t="shared" si="27"/>
        <v>-0.08</v>
      </c>
      <c r="CS150" s="215"/>
      <c r="CT150" s="270">
        <f t="shared" ref="CT150:DX150" si="945">IF(AI149&gt;0,IF((AI149+BN150)&lt;E$10,AI149+BN150,E$10),0)</f>
        <v>0</v>
      </c>
      <c r="CU150" s="270">
        <f t="shared" si="945"/>
        <v>0</v>
      </c>
      <c r="CV150" s="270">
        <f t="shared" si="945"/>
        <v>0</v>
      </c>
      <c r="CW150" s="270">
        <f t="shared" si="945"/>
        <v>0</v>
      </c>
      <c r="CX150" s="270">
        <f t="shared" si="945"/>
        <v>0</v>
      </c>
      <c r="CY150" s="270">
        <f t="shared" si="945"/>
        <v>0</v>
      </c>
      <c r="CZ150" s="270">
        <f t="shared" si="945"/>
        <v>0</v>
      </c>
      <c r="DA150" s="270">
        <f t="shared" si="945"/>
        <v>0</v>
      </c>
      <c r="DB150" s="270">
        <f t="shared" si="945"/>
        <v>0</v>
      </c>
      <c r="DC150" s="270">
        <f t="shared" si="945"/>
        <v>0</v>
      </c>
      <c r="DD150" s="270">
        <f t="shared" si="945"/>
        <v>0</v>
      </c>
      <c r="DE150" s="270">
        <f t="shared" si="945"/>
        <v>0</v>
      </c>
      <c r="DF150" s="270">
        <f t="shared" si="945"/>
        <v>0</v>
      </c>
      <c r="DG150" s="270">
        <f t="shared" si="945"/>
        <v>0</v>
      </c>
      <c r="DH150" s="270">
        <f t="shared" si="945"/>
        <v>0</v>
      </c>
      <c r="DI150" s="270">
        <f t="shared" si="945"/>
        <v>0</v>
      </c>
      <c r="DJ150" s="270">
        <f t="shared" si="945"/>
        <v>0</v>
      </c>
      <c r="DK150" s="270">
        <f t="shared" si="945"/>
        <v>0</v>
      </c>
      <c r="DL150" s="270">
        <f t="shared" si="945"/>
        <v>0</v>
      </c>
      <c r="DM150" s="270">
        <f t="shared" si="945"/>
        <v>0</v>
      </c>
      <c r="DN150" s="270">
        <f t="shared" si="945"/>
        <v>0</v>
      </c>
      <c r="DO150" s="270">
        <f t="shared" si="945"/>
        <v>0</v>
      </c>
      <c r="DP150" s="270">
        <f t="shared" si="945"/>
        <v>0</v>
      </c>
      <c r="DQ150" s="270">
        <f t="shared" si="945"/>
        <v>0</v>
      </c>
      <c r="DR150" s="270">
        <f t="shared" si="945"/>
        <v>0</v>
      </c>
      <c r="DS150" s="270">
        <f t="shared" si="945"/>
        <v>0</v>
      </c>
      <c r="DT150" s="270">
        <f t="shared" si="945"/>
        <v>0</v>
      </c>
      <c r="DU150" s="270">
        <f t="shared" si="945"/>
        <v>0</v>
      </c>
      <c r="DV150" s="270">
        <f t="shared" si="945"/>
        <v>0</v>
      </c>
      <c r="DW150" s="270">
        <f t="shared" si="945"/>
        <v>0</v>
      </c>
      <c r="DX150" s="270">
        <f t="shared" si="945"/>
        <v>0</v>
      </c>
      <c r="DY150" s="270">
        <f t="shared" si="29"/>
        <v>0</v>
      </c>
      <c r="DZ150" s="274"/>
      <c r="EA150" s="275">
        <f t="shared" si="38"/>
        <v>0</v>
      </c>
      <c r="EB150" s="270">
        <f t="shared" ref="EB150:FC150" si="946">IF(AJ148&lt;=0,0,IF($C149&lt;=SUM($EA150:EA150),0,IF(CU149+$C149-SUM($EA150:EA150)&gt;AJ148+BO149,AJ148+BO149-CU149,$C149-SUM($EA150:EA150))))</f>
        <v>0</v>
      </c>
      <c r="EC150" s="270">
        <f t="shared" si="946"/>
        <v>0</v>
      </c>
      <c r="ED150" s="270">
        <f t="shared" si="946"/>
        <v>0</v>
      </c>
      <c r="EE150" s="270">
        <f t="shared" si="946"/>
        <v>0</v>
      </c>
      <c r="EF150" s="270">
        <f t="shared" si="946"/>
        <v>0</v>
      </c>
      <c r="EG150" s="270">
        <f t="shared" si="946"/>
        <v>0</v>
      </c>
      <c r="EH150" s="270">
        <f t="shared" si="946"/>
        <v>0</v>
      </c>
      <c r="EI150" s="270">
        <f t="shared" si="946"/>
        <v>0</v>
      </c>
      <c r="EJ150" s="270">
        <f t="shared" si="946"/>
        <v>0</v>
      </c>
      <c r="EK150" s="270">
        <f t="shared" si="946"/>
        <v>0</v>
      </c>
      <c r="EL150" s="270">
        <f t="shared" si="946"/>
        <v>0</v>
      </c>
      <c r="EM150" s="270">
        <f t="shared" si="946"/>
        <v>0</v>
      </c>
      <c r="EN150" s="270">
        <f t="shared" si="946"/>
        <v>0</v>
      </c>
      <c r="EO150" s="270">
        <f t="shared" si="946"/>
        <v>0</v>
      </c>
      <c r="EP150" s="270">
        <f t="shared" si="946"/>
        <v>0</v>
      </c>
      <c r="EQ150" s="270">
        <f t="shared" si="946"/>
        <v>0</v>
      </c>
      <c r="ER150" s="270">
        <f t="shared" si="946"/>
        <v>0</v>
      </c>
      <c r="ES150" s="270">
        <f t="shared" si="946"/>
        <v>0</v>
      </c>
      <c r="ET150" s="270">
        <f t="shared" si="946"/>
        <v>0</v>
      </c>
      <c r="EU150" s="270">
        <f t="shared" si="946"/>
        <v>0</v>
      </c>
      <c r="EV150" s="270">
        <f t="shared" si="946"/>
        <v>0</v>
      </c>
      <c r="EW150" s="270">
        <f t="shared" si="946"/>
        <v>0</v>
      </c>
      <c r="EX150" s="270">
        <f t="shared" si="946"/>
        <v>0</v>
      </c>
      <c r="EY150" s="270">
        <f t="shared" si="946"/>
        <v>0</v>
      </c>
      <c r="EZ150" s="270">
        <f t="shared" si="946"/>
        <v>0</v>
      </c>
      <c r="FA150" s="270">
        <f t="shared" si="946"/>
        <v>0</v>
      </c>
      <c r="FB150" s="270">
        <f t="shared" si="946"/>
        <v>0</v>
      </c>
      <c r="FC150" s="270">
        <f t="shared" si="946"/>
        <v>0</v>
      </c>
      <c r="FD150" s="271"/>
      <c r="FE150" s="271"/>
      <c r="FF150" s="271"/>
      <c r="FG150" s="215"/>
      <c r="FH150" s="215"/>
    </row>
    <row r="151" ht="11.25" customHeight="1">
      <c r="A151" s="215" t="str">
        <f t="shared" si="19"/>
        <v/>
      </c>
      <c r="B151" s="241" t="str">
        <f t="shared" si="600"/>
        <v>#N/A</v>
      </c>
      <c r="C151" s="271" t="str">
        <f>IF(A151="","",IF(Calculator!snowball,IF(($E$5-DY151)&lt;0,0,$E$5-DY151),0)+D151)</f>
        <v/>
      </c>
      <c r="D151" s="271"/>
      <c r="E151" s="270">
        <f t="shared" si="40"/>
        <v>0</v>
      </c>
      <c r="F151" s="270">
        <f t="shared" ref="F151:AG151" si="947">CU151+EB152</f>
        <v>0</v>
      </c>
      <c r="G151" s="270">
        <f t="shared" si="947"/>
        <v>0</v>
      </c>
      <c r="H151" s="270">
        <f t="shared" si="947"/>
        <v>0</v>
      </c>
      <c r="I151" s="270">
        <f t="shared" si="947"/>
        <v>0</v>
      </c>
      <c r="J151" s="270">
        <f t="shared" si="947"/>
        <v>0</v>
      </c>
      <c r="K151" s="270">
        <f t="shared" si="947"/>
        <v>0</v>
      </c>
      <c r="L151" s="270">
        <f t="shared" si="947"/>
        <v>0</v>
      </c>
      <c r="M151" s="270">
        <f t="shared" si="947"/>
        <v>0</v>
      </c>
      <c r="N151" s="270">
        <f t="shared" si="947"/>
        <v>0</v>
      </c>
      <c r="O151" s="270">
        <f t="shared" si="947"/>
        <v>0</v>
      </c>
      <c r="P151" s="272">
        <f t="shared" si="947"/>
        <v>0</v>
      </c>
      <c r="Q151" s="272">
        <f t="shared" si="947"/>
        <v>0</v>
      </c>
      <c r="R151" s="272">
        <f t="shared" si="947"/>
        <v>0</v>
      </c>
      <c r="S151" s="272">
        <f t="shared" si="947"/>
        <v>0</v>
      </c>
      <c r="T151" s="272">
        <f t="shared" si="947"/>
        <v>0</v>
      </c>
      <c r="U151" s="270">
        <f t="shared" si="947"/>
        <v>0</v>
      </c>
      <c r="V151" s="270">
        <f t="shared" si="947"/>
        <v>0</v>
      </c>
      <c r="W151" s="270">
        <f t="shared" si="947"/>
        <v>0</v>
      </c>
      <c r="X151" s="270">
        <f t="shared" si="947"/>
        <v>0</v>
      </c>
      <c r="Y151" s="270">
        <f t="shared" si="947"/>
        <v>0</v>
      </c>
      <c r="Z151" s="270">
        <f t="shared" si="947"/>
        <v>0</v>
      </c>
      <c r="AA151" s="270">
        <f t="shared" si="947"/>
        <v>0</v>
      </c>
      <c r="AB151" s="270">
        <f t="shared" si="947"/>
        <v>0</v>
      </c>
      <c r="AC151" s="270">
        <f t="shared" si="947"/>
        <v>0</v>
      </c>
      <c r="AD151" s="270">
        <f t="shared" si="947"/>
        <v>0</v>
      </c>
      <c r="AE151" s="270">
        <f t="shared" si="947"/>
        <v>0</v>
      </c>
      <c r="AF151" s="270">
        <f t="shared" si="947"/>
        <v>0</v>
      </c>
      <c r="AG151" s="270">
        <f t="shared" si="947"/>
        <v>0</v>
      </c>
      <c r="AH151" s="279">
        <f t="shared" si="602"/>
        <v>0</v>
      </c>
      <c r="AI151" s="270">
        <f t="shared" si="43"/>
        <v>0</v>
      </c>
      <c r="AJ151" s="270">
        <f t="shared" ref="AJ151:AO151" si="948">IF(F$8=0,0,ROUND(AJ150-(F151-BO151),2))</f>
        <v>0</v>
      </c>
      <c r="AK151" s="270">
        <f t="shared" si="948"/>
        <v>0</v>
      </c>
      <c r="AL151" s="270">
        <f t="shared" si="948"/>
        <v>0</v>
      </c>
      <c r="AM151" s="270">
        <f t="shared" si="948"/>
        <v>0</v>
      </c>
      <c r="AN151" s="270">
        <f t="shared" si="948"/>
        <v>0</v>
      </c>
      <c r="AO151" s="270">
        <f t="shared" si="948"/>
        <v>0</v>
      </c>
      <c r="AP151" s="270">
        <v>0.0</v>
      </c>
      <c r="AQ151" s="270">
        <f t="shared" ref="AQ151:AS151" si="949">IF(M$8=0,0,ROUND(AQ150-(M151-BV151),2))</f>
        <v>0</v>
      </c>
      <c r="AR151" s="270">
        <f t="shared" si="949"/>
        <v>0</v>
      </c>
      <c r="AS151" s="270">
        <f t="shared" si="949"/>
        <v>0</v>
      </c>
      <c r="AT151" s="270">
        <f t="shared" si="605"/>
        <v>-6.22</v>
      </c>
      <c r="AU151" s="270">
        <f t="shared" ref="AU151:BK151" si="950">IF(Q$8=0,0,ROUND(AU150-(Q151-BY151),2))</f>
        <v>-10.58</v>
      </c>
      <c r="AV151" s="270">
        <f t="shared" si="950"/>
        <v>0</v>
      </c>
      <c r="AW151" s="270">
        <f t="shared" si="950"/>
        <v>0</v>
      </c>
      <c r="AX151" s="270">
        <f t="shared" si="950"/>
        <v>0</v>
      </c>
      <c r="AY151" s="270">
        <f t="shared" si="950"/>
        <v>0</v>
      </c>
      <c r="AZ151" s="270">
        <f t="shared" si="950"/>
        <v>0</v>
      </c>
      <c r="BA151" s="270">
        <f t="shared" si="950"/>
        <v>0</v>
      </c>
      <c r="BB151" s="270">
        <f t="shared" si="950"/>
        <v>0</v>
      </c>
      <c r="BC151" s="270">
        <f t="shared" si="950"/>
        <v>0</v>
      </c>
      <c r="BD151" s="270">
        <f t="shared" si="950"/>
        <v>0</v>
      </c>
      <c r="BE151" s="270">
        <f t="shared" si="950"/>
        <v>0</v>
      </c>
      <c r="BF151" s="270">
        <f t="shared" si="950"/>
        <v>0</v>
      </c>
      <c r="BG151" s="270">
        <f t="shared" si="950"/>
        <v>0</v>
      </c>
      <c r="BH151" s="270">
        <f t="shared" si="950"/>
        <v>0</v>
      </c>
      <c r="BI151" s="270">
        <f t="shared" si="950"/>
        <v>0</v>
      </c>
      <c r="BJ151" s="270">
        <f t="shared" si="950"/>
        <v>0</v>
      </c>
      <c r="BK151" s="270">
        <f t="shared" si="950"/>
        <v>0</v>
      </c>
      <c r="BL151" s="265">
        <f t="shared" si="16"/>
        <v>-16.8</v>
      </c>
      <c r="BM151" s="215"/>
      <c r="BN151" s="270">
        <f t="shared" ref="BN151:CP151" si="951">ROUND(AI150*E$9/12,2)</f>
        <v>0</v>
      </c>
      <c r="BO151" s="270">
        <f t="shared" si="951"/>
        <v>0</v>
      </c>
      <c r="BP151" s="270">
        <f t="shared" si="951"/>
        <v>0</v>
      </c>
      <c r="BQ151" s="270">
        <f t="shared" si="951"/>
        <v>0</v>
      </c>
      <c r="BR151" s="270">
        <f t="shared" si="951"/>
        <v>0</v>
      </c>
      <c r="BS151" s="270">
        <f t="shared" si="951"/>
        <v>0</v>
      </c>
      <c r="BT151" s="270">
        <f t="shared" si="951"/>
        <v>0</v>
      </c>
      <c r="BU151" s="270">
        <f t="shared" si="951"/>
        <v>0</v>
      </c>
      <c r="BV151" s="270">
        <f t="shared" si="951"/>
        <v>0</v>
      </c>
      <c r="BW151" s="270">
        <f t="shared" si="951"/>
        <v>0</v>
      </c>
      <c r="BX151" s="270">
        <f t="shared" si="951"/>
        <v>0</v>
      </c>
      <c r="BY151" s="270">
        <f t="shared" si="951"/>
        <v>-0.05</v>
      </c>
      <c r="BZ151" s="270">
        <f t="shared" si="951"/>
        <v>-0.03</v>
      </c>
      <c r="CA151" s="270">
        <f t="shared" si="951"/>
        <v>0</v>
      </c>
      <c r="CB151" s="270">
        <f t="shared" si="951"/>
        <v>0</v>
      </c>
      <c r="CC151" s="270">
        <f t="shared" si="951"/>
        <v>0</v>
      </c>
      <c r="CD151" s="270">
        <f t="shared" si="951"/>
        <v>0</v>
      </c>
      <c r="CE151" s="270">
        <f t="shared" si="951"/>
        <v>0</v>
      </c>
      <c r="CF151" s="270">
        <f t="shared" si="951"/>
        <v>0</v>
      </c>
      <c r="CG151" s="270">
        <f t="shared" si="951"/>
        <v>0</v>
      </c>
      <c r="CH151" s="270">
        <f t="shared" si="951"/>
        <v>0</v>
      </c>
      <c r="CI151" s="270">
        <f t="shared" si="951"/>
        <v>0</v>
      </c>
      <c r="CJ151" s="270">
        <f t="shared" si="951"/>
        <v>0</v>
      </c>
      <c r="CK151" s="270">
        <f t="shared" si="951"/>
        <v>0</v>
      </c>
      <c r="CL151" s="270">
        <f t="shared" si="951"/>
        <v>0</v>
      </c>
      <c r="CM151" s="270">
        <f t="shared" si="951"/>
        <v>0</v>
      </c>
      <c r="CN151" s="270">
        <f t="shared" si="951"/>
        <v>0</v>
      </c>
      <c r="CO151" s="270">
        <f t="shared" si="951"/>
        <v>0</v>
      </c>
      <c r="CP151" s="270">
        <f t="shared" si="951"/>
        <v>0</v>
      </c>
      <c r="CQ151" s="215"/>
      <c r="CR151" s="270">
        <f t="shared" si="27"/>
        <v>-0.08</v>
      </c>
      <c r="CS151" s="215"/>
      <c r="CT151" s="270">
        <f t="shared" ref="CT151:DX151" si="952">IF(AI150&gt;0,IF((AI150+BN151)&lt;E$10,AI150+BN151,E$10),0)</f>
        <v>0</v>
      </c>
      <c r="CU151" s="270">
        <f t="shared" si="952"/>
        <v>0</v>
      </c>
      <c r="CV151" s="270">
        <f t="shared" si="952"/>
        <v>0</v>
      </c>
      <c r="CW151" s="270">
        <f t="shared" si="952"/>
        <v>0</v>
      </c>
      <c r="CX151" s="270">
        <f t="shared" si="952"/>
        <v>0</v>
      </c>
      <c r="CY151" s="270">
        <f t="shared" si="952"/>
        <v>0</v>
      </c>
      <c r="CZ151" s="270">
        <f t="shared" si="952"/>
        <v>0</v>
      </c>
      <c r="DA151" s="270">
        <f t="shared" si="952"/>
        <v>0</v>
      </c>
      <c r="DB151" s="270">
        <f t="shared" si="952"/>
        <v>0</v>
      </c>
      <c r="DC151" s="270">
        <f t="shared" si="952"/>
        <v>0</v>
      </c>
      <c r="DD151" s="270">
        <f t="shared" si="952"/>
        <v>0</v>
      </c>
      <c r="DE151" s="270">
        <f t="shared" si="952"/>
        <v>0</v>
      </c>
      <c r="DF151" s="270">
        <f t="shared" si="952"/>
        <v>0</v>
      </c>
      <c r="DG151" s="270">
        <f t="shared" si="952"/>
        <v>0</v>
      </c>
      <c r="DH151" s="270">
        <f t="shared" si="952"/>
        <v>0</v>
      </c>
      <c r="DI151" s="270">
        <f t="shared" si="952"/>
        <v>0</v>
      </c>
      <c r="DJ151" s="270">
        <f t="shared" si="952"/>
        <v>0</v>
      </c>
      <c r="DK151" s="270">
        <f t="shared" si="952"/>
        <v>0</v>
      </c>
      <c r="DL151" s="270">
        <f t="shared" si="952"/>
        <v>0</v>
      </c>
      <c r="DM151" s="270">
        <f t="shared" si="952"/>
        <v>0</v>
      </c>
      <c r="DN151" s="270">
        <f t="shared" si="952"/>
        <v>0</v>
      </c>
      <c r="DO151" s="270">
        <f t="shared" si="952"/>
        <v>0</v>
      </c>
      <c r="DP151" s="270">
        <f t="shared" si="952"/>
        <v>0</v>
      </c>
      <c r="DQ151" s="270">
        <f t="shared" si="952"/>
        <v>0</v>
      </c>
      <c r="DR151" s="270">
        <f t="shared" si="952"/>
        <v>0</v>
      </c>
      <c r="DS151" s="270">
        <f t="shared" si="952"/>
        <v>0</v>
      </c>
      <c r="DT151" s="270">
        <f t="shared" si="952"/>
        <v>0</v>
      </c>
      <c r="DU151" s="270">
        <f t="shared" si="952"/>
        <v>0</v>
      </c>
      <c r="DV151" s="270">
        <f t="shared" si="952"/>
        <v>0</v>
      </c>
      <c r="DW151" s="270">
        <f t="shared" si="952"/>
        <v>0</v>
      </c>
      <c r="DX151" s="270">
        <f t="shared" si="952"/>
        <v>0</v>
      </c>
      <c r="DY151" s="270">
        <f t="shared" si="29"/>
        <v>0</v>
      </c>
      <c r="DZ151" s="274"/>
      <c r="EA151" s="275">
        <f t="shared" si="38"/>
        <v>0</v>
      </c>
      <c r="EB151" s="270">
        <f t="shared" ref="EB151:FC151" si="953">IF(AJ149&lt;=0,0,IF($C150&lt;=SUM($EA151:EA151),0,IF(CU150+$C150-SUM($EA151:EA151)&gt;AJ149+BO150,AJ149+BO150-CU150,$C150-SUM($EA151:EA151))))</f>
        <v>0</v>
      </c>
      <c r="EC151" s="270">
        <f t="shared" si="953"/>
        <v>0</v>
      </c>
      <c r="ED151" s="270">
        <f t="shared" si="953"/>
        <v>0</v>
      </c>
      <c r="EE151" s="270">
        <f t="shared" si="953"/>
        <v>0</v>
      </c>
      <c r="EF151" s="270">
        <f t="shared" si="953"/>
        <v>0</v>
      </c>
      <c r="EG151" s="270">
        <f t="shared" si="953"/>
        <v>0</v>
      </c>
      <c r="EH151" s="270">
        <f t="shared" si="953"/>
        <v>0</v>
      </c>
      <c r="EI151" s="270">
        <f t="shared" si="953"/>
        <v>0</v>
      </c>
      <c r="EJ151" s="270">
        <f t="shared" si="953"/>
        <v>0</v>
      </c>
      <c r="EK151" s="270">
        <f t="shared" si="953"/>
        <v>0</v>
      </c>
      <c r="EL151" s="270">
        <f t="shared" si="953"/>
        <v>0</v>
      </c>
      <c r="EM151" s="270">
        <f t="shared" si="953"/>
        <v>0</v>
      </c>
      <c r="EN151" s="270">
        <f t="shared" si="953"/>
        <v>0</v>
      </c>
      <c r="EO151" s="270">
        <f t="shared" si="953"/>
        <v>0</v>
      </c>
      <c r="EP151" s="270">
        <f t="shared" si="953"/>
        <v>0</v>
      </c>
      <c r="EQ151" s="270">
        <f t="shared" si="953"/>
        <v>0</v>
      </c>
      <c r="ER151" s="270">
        <f t="shared" si="953"/>
        <v>0</v>
      </c>
      <c r="ES151" s="270">
        <f t="shared" si="953"/>
        <v>0</v>
      </c>
      <c r="ET151" s="270">
        <f t="shared" si="953"/>
        <v>0</v>
      </c>
      <c r="EU151" s="270">
        <f t="shared" si="953"/>
        <v>0</v>
      </c>
      <c r="EV151" s="270">
        <f t="shared" si="953"/>
        <v>0</v>
      </c>
      <c r="EW151" s="270">
        <f t="shared" si="953"/>
        <v>0</v>
      </c>
      <c r="EX151" s="270">
        <f t="shared" si="953"/>
        <v>0</v>
      </c>
      <c r="EY151" s="270">
        <f t="shared" si="953"/>
        <v>0</v>
      </c>
      <c r="EZ151" s="270">
        <f t="shared" si="953"/>
        <v>0</v>
      </c>
      <c r="FA151" s="270">
        <f t="shared" si="953"/>
        <v>0</v>
      </c>
      <c r="FB151" s="270">
        <f t="shared" si="953"/>
        <v>0</v>
      </c>
      <c r="FC151" s="270">
        <f t="shared" si="953"/>
        <v>0</v>
      </c>
      <c r="FD151" s="271"/>
      <c r="FE151" s="271"/>
      <c r="FF151" s="271"/>
      <c r="FG151" s="215"/>
      <c r="FH151" s="215"/>
    </row>
    <row r="152" ht="11.25" customHeight="1">
      <c r="A152" s="215" t="str">
        <f t="shared" si="19"/>
        <v/>
      </c>
      <c r="B152" s="241" t="str">
        <f t="shared" si="600"/>
        <v>#N/A</v>
      </c>
      <c r="C152" s="271" t="str">
        <f>IF(A152="","",IF(Calculator!snowball,IF(($E$5-DY152)&lt;0,0,$E$5-DY152),0)+D152)</f>
        <v/>
      </c>
      <c r="D152" s="271"/>
      <c r="E152" s="270">
        <f t="shared" si="40"/>
        <v>0</v>
      </c>
      <c r="F152" s="270">
        <f t="shared" ref="F152:AG152" si="954">CU152+EB153</f>
        <v>0</v>
      </c>
      <c r="G152" s="270">
        <f t="shared" si="954"/>
        <v>0</v>
      </c>
      <c r="H152" s="270">
        <f t="shared" si="954"/>
        <v>0</v>
      </c>
      <c r="I152" s="270">
        <f t="shared" si="954"/>
        <v>0</v>
      </c>
      <c r="J152" s="270">
        <f t="shared" si="954"/>
        <v>0</v>
      </c>
      <c r="K152" s="270">
        <f t="shared" si="954"/>
        <v>0</v>
      </c>
      <c r="L152" s="270">
        <f t="shared" si="954"/>
        <v>0</v>
      </c>
      <c r="M152" s="270">
        <f t="shared" si="954"/>
        <v>0</v>
      </c>
      <c r="N152" s="270">
        <f t="shared" si="954"/>
        <v>0</v>
      </c>
      <c r="O152" s="270">
        <f t="shared" si="954"/>
        <v>0</v>
      </c>
      <c r="P152" s="272">
        <f t="shared" si="954"/>
        <v>0</v>
      </c>
      <c r="Q152" s="272">
        <f t="shared" si="954"/>
        <v>0</v>
      </c>
      <c r="R152" s="272">
        <f t="shared" si="954"/>
        <v>0</v>
      </c>
      <c r="S152" s="272">
        <f t="shared" si="954"/>
        <v>0</v>
      </c>
      <c r="T152" s="272">
        <f t="shared" si="954"/>
        <v>0</v>
      </c>
      <c r="U152" s="270">
        <f t="shared" si="954"/>
        <v>0</v>
      </c>
      <c r="V152" s="270">
        <f t="shared" si="954"/>
        <v>0</v>
      </c>
      <c r="W152" s="270">
        <f t="shared" si="954"/>
        <v>0</v>
      </c>
      <c r="X152" s="270">
        <f t="shared" si="954"/>
        <v>0</v>
      </c>
      <c r="Y152" s="270">
        <f t="shared" si="954"/>
        <v>0</v>
      </c>
      <c r="Z152" s="270">
        <f t="shared" si="954"/>
        <v>0</v>
      </c>
      <c r="AA152" s="270">
        <f t="shared" si="954"/>
        <v>0</v>
      </c>
      <c r="AB152" s="270">
        <f t="shared" si="954"/>
        <v>0</v>
      </c>
      <c r="AC152" s="270">
        <f t="shared" si="954"/>
        <v>0</v>
      </c>
      <c r="AD152" s="270">
        <f t="shared" si="954"/>
        <v>0</v>
      </c>
      <c r="AE152" s="270">
        <f t="shared" si="954"/>
        <v>0</v>
      </c>
      <c r="AF152" s="270">
        <f t="shared" si="954"/>
        <v>0</v>
      </c>
      <c r="AG152" s="270">
        <f t="shared" si="954"/>
        <v>0</v>
      </c>
      <c r="AH152" s="279">
        <f t="shared" si="602"/>
        <v>0</v>
      </c>
      <c r="AI152" s="270">
        <f t="shared" si="43"/>
        <v>0</v>
      </c>
      <c r="AJ152" s="270">
        <f t="shared" ref="AJ152:AO152" si="955">IF(F$8=0,0,ROUND(AJ151-(F152-BO152),2))</f>
        <v>0</v>
      </c>
      <c r="AK152" s="270">
        <f t="shared" si="955"/>
        <v>0</v>
      </c>
      <c r="AL152" s="270">
        <f t="shared" si="955"/>
        <v>0</v>
      </c>
      <c r="AM152" s="270">
        <f t="shared" si="955"/>
        <v>0</v>
      </c>
      <c r="AN152" s="270">
        <f t="shared" si="955"/>
        <v>0</v>
      </c>
      <c r="AO152" s="270">
        <f t="shared" si="955"/>
        <v>0</v>
      </c>
      <c r="AP152" s="270">
        <v>0.0</v>
      </c>
      <c r="AQ152" s="270">
        <f t="shared" ref="AQ152:AS152" si="956">IF(M$8=0,0,ROUND(AQ151-(M152-BV152),2))</f>
        <v>0</v>
      </c>
      <c r="AR152" s="270">
        <f t="shared" si="956"/>
        <v>0</v>
      </c>
      <c r="AS152" s="270">
        <f t="shared" si="956"/>
        <v>0</v>
      </c>
      <c r="AT152" s="270">
        <f t="shared" si="605"/>
        <v>-6.22</v>
      </c>
      <c r="AU152" s="270">
        <f t="shared" ref="AU152:BK152" si="957">IF(Q$8=0,0,ROUND(AU151-(Q152-BY152),2))</f>
        <v>-10.63</v>
      </c>
      <c r="AV152" s="270">
        <f t="shared" si="957"/>
        <v>0</v>
      </c>
      <c r="AW152" s="270">
        <f t="shared" si="957"/>
        <v>0</v>
      </c>
      <c r="AX152" s="270">
        <f t="shared" si="957"/>
        <v>0</v>
      </c>
      <c r="AY152" s="270">
        <f t="shared" si="957"/>
        <v>0</v>
      </c>
      <c r="AZ152" s="270">
        <f t="shared" si="957"/>
        <v>0</v>
      </c>
      <c r="BA152" s="270">
        <f t="shared" si="957"/>
        <v>0</v>
      </c>
      <c r="BB152" s="270">
        <f t="shared" si="957"/>
        <v>0</v>
      </c>
      <c r="BC152" s="270">
        <f t="shared" si="957"/>
        <v>0</v>
      </c>
      <c r="BD152" s="270">
        <f t="shared" si="957"/>
        <v>0</v>
      </c>
      <c r="BE152" s="270">
        <f t="shared" si="957"/>
        <v>0</v>
      </c>
      <c r="BF152" s="270">
        <f t="shared" si="957"/>
        <v>0</v>
      </c>
      <c r="BG152" s="270">
        <f t="shared" si="957"/>
        <v>0</v>
      </c>
      <c r="BH152" s="270">
        <f t="shared" si="957"/>
        <v>0</v>
      </c>
      <c r="BI152" s="270">
        <f t="shared" si="957"/>
        <v>0</v>
      </c>
      <c r="BJ152" s="270">
        <f t="shared" si="957"/>
        <v>0</v>
      </c>
      <c r="BK152" s="270">
        <f t="shared" si="957"/>
        <v>0</v>
      </c>
      <c r="BL152" s="265">
        <f t="shared" si="16"/>
        <v>-16.85</v>
      </c>
      <c r="BM152" s="215"/>
      <c r="BN152" s="270">
        <f t="shared" ref="BN152:CP152" si="958">ROUND(AI151*E$9/12,2)</f>
        <v>0</v>
      </c>
      <c r="BO152" s="270">
        <f t="shared" si="958"/>
        <v>0</v>
      </c>
      <c r="BP152" s="270">
        <f t="shared" si="958"/>
        <v>0</v>
      </c>
      <c r="BQ152" s="270">
        <f t="shared" si="958"/>
        <v>0</v>
      </c>
      <c r="BR152" s="270">
        <f t="shared" si="958"/>
        <v>0</v>
      </c>
      <c r="BS152" s="270">
        <f t="shared" si="958"/>
        <v>0</v>
      </c>
      <c r="BT152" s="270">
        <f t="shared" si="958"/>
        <v>0</v>
      </c>
      <c r="BU152" s="270">
        <f t="shared" si="958"/>
        <v>0</v>
      </c>
      <c r="BV152" s="270">
        <f t="shared" si="958"/>
        <v>0</v>
      </c>
      <c r="BW152" s="270">
        <f t="shared" si="958"/>
        <v>0</v>
      </c>
      <c r="BX152" s="270">
        <f t="shared" si="958"/>
        <v>0</v>
      </c>
      <c r="BY152" s="270">
        <f t="shared" si="958"/>
        <v>-0.05</v>
      </c>
      <c r="BZ152" s="270">
        <f t="shared" si="958"/>
        <v>-0.03</v>
      </c>
      <c r="CA152" s="270">
        <f t="shared" si="958"/>
        <v>0</v>
      </c>
      <c r="CB152" s="270">
        <f t="shared" si="958"/>
        <v>0</v>
      </c>
      <c r="CC152" s="270">
        <f t="shared" si="958"/>
        <v>0</v>
      </c>
      <c r="CD152" s="270">
        <f t="shared" si="958"/>
        <v>0</v>
      </c>
      <c r="CE152" s="270">
        <f t="shared" si="958"/>
        <v>0</v>
      </c>
      <c r="CF152" s="270">
        <f t="shared" si="958"/>
        <v>0</v>
      </c>
      <c r="CG152" s="270">
        <f t="shared" si="958"/>
        <v>0</v>
      </c>
      <c r="CH152" s="270">
        <f t="shared" si="958"/>
        <v>0</v>
      </c>
      <c r="CI152" s="270">
        <f t="shared" si="958"/>
        <v>0</v>
      </c>
      <c r="CJ152" s="270">
        <f t="shared" si="958"/>
        <v>0</v>
      </c>
      <c r="CK152" s="270">
        <f t="shared" si="958"/>
        <v>0</v>
      </c>
      <c r="CL152" s="270">
        <f t="shared" si="958"/>
        <v>0</v>
      </c>
      <c r="CM152" s="270">
        <f t="shared" si="958"/>
        <v>0</v>
      </c>
      <c r="CN152" s="270">
        <f t="shared" si="958"/>
        <v>0</v>
      </c>
      <c r="CO152" s="270">
        <f t="shared" si="958"/>
        <v>0</v>
      </c>
      <c r="CP152" s="270">
        <f t="shared" si="958"/>
        <v>0</v>
      </c>
      <c r="CQ152" s="215"/>
      <c r="CR152" s="270">
        <f t="shared" si="27"/>
        <v>-0.08</v>
      </c>
      <c r="CS152" s="215"/>
      <c r="CT152" s="270">
        <f t="shared" ref="CT152:DX152" si="959">IF(AI151&gt;0,IF((AI151+BN152)&lt;E$10,AI151+BN152,E$10),0)</f>
        <v>0</v>
      </c>
      <c r="CU152" s="270">
        <f t="shared" si="959"/>
        <v>0</v>
      </c>
      <c r="CV152" s="270">
        <f t="shared" si="959"/>
        <v>0</v>
      </c>
      <c r="CW152" s="270">
        <f t="shared" si="959"/>
        <v>0</v>
      </c>
      <c r="CX152" s="270">
        <f t="shared" si="959"/>
        <v>0</v>
      </c>
      <c r="CY152" s="270">
        <f t="shared" si="959"/>
        <v>0</v>
      </c>
      <c r="CZ152" s="270">
        <f t="shared" si="959"/>
        <v>0</v>
      </c>
      <c r="DA152" s="270">
        <f t="shared" si="959"/>
        <v>0</v>
      </c>
      <c r="DB152" s="270">
        <f t="shared" si="959"/>
        <v>0</v>
      </c>
      <c r="DC152" s="270">
        <f t="shared" si="959"/>
        <v>0</v>
      </c>
      <c r="DD152" s="270">
        <f t="shared" si="959"/>
        <v>0</v>
      </c>
      <c r="DE152" s="270">
        <f t="shared" si="959"/>
        <v>0</v>
      </c>
      <c r="DF152" s="270">
        <f t="shared" si="959"/>
        <v>0</v>
      </c>
      <c r="DG152" s="270">
        <f t="shared" si="959"/>
        <v>0</v>
      </c>
      <c r="DH152" s="270">
        <f t="shared" si="959"/>
        <v>0</v>
      </c>
      <c r="DI152" s="270">
        <f t="shared" si="959"/>
        <v>0</v>
      </c>
      <c r="DJ152" s="270">
        <f t="shared" si="959"/>
        <v>0</v>
      </c>
      <c r="DK152" s="270">
        <f t="shared" si="959"/>
        <v>0</v>
      </c>
      <c r="DL152" s="270">
        <f t="shared" si="959"/>
        <v>0</v>
      </c>
      <c r="DM152" s="270">
        <f t="shared" si="959"/>
        <v>0</v>
      </c>
      <c r="DN152" s="270">
        <f t="shared" si="959"/>
        <v>0</v>
      </c>
      <c r="DO152" s="270">
        <f t="shared" si="959"/>
        <v>0</v>
      </c>
      <c r="DP152" s="270">
        <f t="shared" si="959"/>
        <v>0</v>
      </c>
      <c r="DQ152" s="270">
        <f t="shared" si="959"/>
        <v>0</v>
      </c>
      <c r="DR152" s="270">
        <f t="shared" si="959"/>
        <v>0</v>
      </c>
      <c r="DS152" s="270">
        <f t="shared" si="959"/>
        <v>0</v>
      </c>
      <c r="DT152" s="270">
        <f t="shared" si="959"/>
        <v>0</v>
      </c>
      <c r="DU152" s="270">
        <f t="shared" si="959"/>
        <v>0</v>
      </c>
      <c r="DV152" s="270">
        <f t="shared" si="959"/>
        <v>0</v>
      </c>
      <c r="DW152" s="270">
        <f t="shared" si="959"/>
        <v>0</v>
      </c>
      <c r="DX152" s="270">
        <f t="shared" si="959"/>
        <v>0</v>
      </c>
      <c r="DY152" s="270">
        <f t="shared" si="29"/>
        <v>0</v>
      </c>
      <c r="DZ152" s="274"/>
      <c r="EA152" s="275">
        <f t="shared" si="38"/>
        <v>0</v>
      </c>
      <c r="EB152" s="270">
        <f t="shared" ref="EB152:FC152" si="960">IF(AJ150&lt;=0,0,IF($C151&lt;=SUM($EA152:EA152),0,IF(CU151+$C151-SUM($EA152:EA152)&gt;AJ150+BO151,AJ150+BO151-CU151,$C151-SUM($EA152:EA152))))</f>
        <v>0</v>
      </c>
      <c r="EC152" s="270">
        <f t="shared" si="960"/>
        <v>0</v>
      </c>
      <c r="ED152" s="270">
        <f t="shared" si="960"/>
        <v>0</v>
      </c>
      <c r="EE152" s="270">
        <f t="shared" si="960"/>
        <v>0</v>
      </c>
      <c r="EF152" s="270">
        <f t="shared" si="960"/>
        <v>0</v>
      </c>
      <c r="EG152" s="270">
        <f t="shared" si="960"/>
        <v>0</v>
      </c>
      <c r="EH152" s="270">
        <f t="shared" si="960"/>
        <v>0</v>
      </c>
      <c r="EI152" s="270">
        <f t="shared" si="960"/>
        <v>0</v>
      </c>
      <c r="EJ152" s="270">
        <f t="shared" si="960"/>
        <v>0</v>
      </c>
      <c r="EK152" s="270">
        <f t="shared" si="960"/>
        <v>0</v>
      </c>
      <c r="EL152" s="270">
        <f t="shared" si="960"/>
        <v>0</v>
      </c>
      <c r="EM152" s="270">
        <f t="shared" si="960"/>
        <v>0</v>
      </c>
      <c r="EN152" s="270">
        <f t="shared" si="960"/>
        <v>0</v>
      </c>
      <c r="EO152" s="270">
        <f t="shared" si="960"/>
        <v>0</v>
      </c>
      <c r="EP152" s="270">
        <f t="shared" si="960"/>
        <v>0</v>
      </c>
      <c r="EQ152" s="270">
        <f t="shared" si="960"/>
        <v>0</v>
      </c>
      <c r="ER152" s="270">
        <f t="shared" si="960"/>
        <v>0</v>
      </c>
      <c r="ES152" s="270">
        <f t="shared" si="960"/>
        <v>0</v>
      </c>
      <c r="ET152" s="270">
        <f t="shared" si="960"/>
        <v>0</v>
      </c>
      <c r="EU152" s="270">
        <f t="shared" si="960"/>
        <v>0</v>
      </c>
      <c r="EV152" s="270">
        <f t="shared" si="960"/>
        <v>0</v>
      </c>
      <c r="EW152" s="270">
        <f t="shared" si="960"/>
        <v>0</v>
      </c>
      <c r="EX152" s="270">
        <f t="shared" si="960"/>
        <v>0</v>
      </c>
      <c r="EY152" s="270">
        <f t="shared" si="960"/>
        <v>0</v>
      </c>
      <c r="EZ152" s="270">
        <f t="shared" si="960"/>
        <v>0</v>
      </c>
      <c r="FA152" s="270">
        <f t="shared" si="960"/>
        <v>0</v>
      </c>
      <c r="FB152" s="270">
        <f t="shared" si="960"/>
        <v>0</v>
      </c>
      <c r="FC152" s="270">
        <f t="shared" si="960"/>
        <v>0</v>
      </c>
      <c r="FD152" s="271"/>
      <c r="FE152" s="271"/>
      <c r="FF152" s="271"/>
      <c r="FG152" s="215"/>
      <c r="FH152" s="215"/>
    </row>
    <row r="153" ht="11.25" customHeight="1">
      <c r="A153" s="215" t="str">
        <f t="shared" si="19"/>
        <v/>
      </c>
      <c r="B153" s="241" t="str">
        <f t="shared" si="600"/>
        <v>#N/A</v>
      </c>
      <c r="C153" s="271" t="str">
        <f>IF(A153="","",IF(Calculator!snowball,IF(($E$5-DY153)&lt;0,0,$E$5-DY153),0)+D153)</f>
        <v/>
      </c>
      <c r="D153" s="271"/>
      <c r="E153" s="270">
        <f t="shared" si="40"/>
        <v>0</v>
      </c>
      <c r="F153" s="270">
        <f t="shared" ref="F153:AG153" si="961">CU153+EB154</f>
        <v>0</v>
      </c>
      <c r="G153" s="270">
        <f t="shared" si="961"/>
        <v>0</v>
      </c>
      <c r="H153" s="270">
        <f t="shared" si="961"/>
        <v>0</v>
      </c>
      <c r="I153" s="270">
        <f t="shared" si="961"/>
        <v>0</v>
      </c>
      <c r="J153" s="270">
        <f t="shared" si="961"/>
        <v>0</v>
      </c>
      <c r="K153" s="270">
        <f t="shared" si="961"/>
        <v>0</v>
      </c>
      <c r="L153" s="270">
        <f t="shared" si="961"/>
        <v>0</v>
      </c>
      <c r="M153" s="270">
        <f t="shared" si="961"/>
        <v>0</v>
      </c>
      <c r="N153" s="270">
        <f t="shared" si="961"/>
        <v>0</v>
      </c>
      <c r="O153" s="270">
        <f t="shared" si="961"/>
        <v>0</v>
      </c>
      <c r="P153" s="272">
        <f t="shared" si="961"/>
        <v>0</v>
      </c>
      <c r="Q153" s="272">
        <f t="shared" si="961"/>
        <v>0</v>
      </c>
      <c r="R153" s="272">
        <f t="shared" si="961"/>
        <v>0</v>
      </c>
      <c r="S153" s="272">
        <f t="shared" si="961"/>
        <v>0</v>
      </c>
      <c r="T153" s="272">
        <f t="shared" si="961"/>
        <v>0</v>
      </c>
      <c r="U153" s="270">
        <f t="shared" si="961"/>
        <v>0</v>
      </c>
      <c r="V153" s="270">
        <f t="shared" si="961"/>
        <v>0</v>
      </c>
      <c r="W153" s="270">
        <f t="shared" si="961"/>
        <v>0</v>
      </c>
      <c r="X153" s="270">
        <f t="shared" si="961"/>
        <v>0</v>
      </c>
      <c r="Y153" s="270">
        <f t="shared" si="961"/>
        <v>0</v>
      </c>
      <c r="Z153" s="270">
        <f t="shared" si="961"/>
        <v>0</v>
      </c>
      <c r="AA153" s="270">
        <f t="shared" si="961"/>
        <v>0</v>
      </c>
      <c r="AB153" s="270">
        <f t="shared" si="961"/>
        <v>0</v>
      </c>
      <c r="AC153" s="270">
        <f t="shared" si="961"/>
        <v>0</v>
      </c>
      <c r="AD153" s="270">
        <f t="shared" si="961"/>
        <v>0</v>
      </c>
      <c r="AE153" s="270">
        <f t="shared" si="961"/>
        <v>0</v>
      </c>
      <c r="AF153" s="270">
        <f t="shared" si="961"/>
        <v>0</v>
      </c>
      <c r="AG153" s="270">
        <f t="shared" si="961"/>
        <v>0</v>
      </c>
      <c r="AH153" s="279">
        <f t="shared" si="602"/>
        <v>0</v>
      </c>
      <c r="AI153" s="270">
        <f t="shared" si="43"/>
        <v>0</v>
      </c>
      <c r="AJ153" s="270">
        <f t="shared" ref="AJ153:AO153" si="962">IF(F$8=0,0,ROUND(AJ152-(F153-BO153),2))</f>
        <v>0</v>
      </c>
      <c r="AK153" s="270">
        <f t="shared" si="962"/>
        <v>0</v>
      </c>
      <c r="AL153" s="270">
        <f t="shared" si="962"/>
        <v>0</v>
      </c>
      <c r="AM153" s="270">
        <f t="shared" si="962"/>
        <v>0</v>
      </c>
      <c r="AN153" s="270">
        <f t="shared" si="962"/>
        <v>0</v>
      </c>
      <c r="AO153" s="270">
        <f t="shared" si="962"/>
        <v>0</v>
      </c>
      <c r="AP153" s="270">
        <v>0.0</v>
      </c>
      <c r="AQ153" s="270">
        <f t="shared" ref="AQ153:AS153" si="963">IF(M$8=0,0,ROUND(AQ152-(M153-BV153),2))</f>
        <v>0</v>
      </c>
      <c r="AR153" s="270">
        <f t="shared" si="963"/>
        <v>0</v>
      </c>
      <c r="AS153" s="270">
        <f t="shared" si="963"/>
        <v>0</v>
      </c>
      <c r="AT153" s="270">
        <f t="shared" si="605"/>
        <v>-6.22</v>
      </c>
      <c r="AU153" s="270">
        <f t="shared" ref="AU153:BK153" si="964">IF(Q$8=0,0,ROUND(AU152-(Q153-BY153),2))</f>
        <v>-10.68</v>
      </c>
      <c r="AV153" s="270">
        <f t="shared" si="964"/>
        <v>0</v>
      </c>
      <c r="AW153" s="270">
        <f t="shared" si="964"/>
        <v>0</v>
      </c>
      <c r="AX153" s="270">
        <f t="shared" si="964"/>
        <v>0</v>
      </c>
      <c r="AY153" s="270">
        <f t="shared" si="964"/>
        <v>0</v>
      </c>
      <c r="AZ153" s="270">
        <f t="shared" si="964"/>
        <v>0</v>
      </c>
      <c r="BA153" s="270">
        <f t="shared" si="964"/>
        <v>0</v>
      </c>
      <c r="BB153" s="270">
        <f t="shared" si="964"/>
        <v>0</v>
      </c>
      <c r="BC153" s="270">
        <f t="shared" si="964"/>
        <v>0</v>
      </c>
      <c r="BD153" s="270">
        <f t="shared" si="964"/>
        <v>0</v>
      </c>
      <c r="BE153" s="270">
        <f t="shared" si="964"/>
        <v>0</v>
      </c>
      <c r="BF153" s="270">
        <f t="shared" si="964"/>
        <v>0</v>
      </c>
      <c r="BG153" s="270">
        <f t="shared" si="964"/>
        <v>0</v>
      </c>
      <c r="BH153" s="270">
        <f t="shared" si="964"/>
        <v>0</v>
      </c>
      <c r="BI153" s="270">
        <f t="shared" si="964"/>
        <v>0</v>
      </c>
      <c r="BJ153" s="270">
        <f t="shared" si="964"/>
        <v>0</v>
      </c>
      <c r="BK153" s="270">
        <f t="shared" si="964"/>
        <v>0</v>
      </c>
      <c r="BL153" s="265">
        <f t="shared" si="16"/>
        <v>-16.9</v>
      </c>
      <c r="BM153" s="215"/>
      <c r="BN153" s="270">
        <f t="shared" ref="BN153:CP153" si="965">ROUND(AI152*E$9/12,2)</f>
        <v>0</v>
      </c>
      <c r="BO153" s="270">
        <f t="shared" si="965"/>
        <v>0</v>
      </c>
      <c r="BP153" s="270">
        <f t="shared" si="965"/>
        <v>0</v>
      </c>
      <c r="BQ153" s="270">
        <f t="shared" si="965"/>
        <v>0</v>
      </c>
      <c r="BR153" s="270">
        <f t="shared" si="965"/>
        <v>0</v>
      </c>
      <c r="BS153" s="270">
        <f t="shared" si="965"/>
        <v>0</v>
      </c>
      <c r="BT153" s="270">
        <f t="shared" si="965"/>
        <v>0</v>
      </c>
      <c r="BU153" s="270">
        <f t="shared" si="965"/>
        <v>0</v>
      </c>
      <c r="BV153" s="270">
        <f t="shared" si="965"/>
        <v>0</v>
      </c>
      <c r="BW153" s="270">
        <f t="shared" si="965"/>
        <v>0</v>
      </c>
      <c r="BX153" s="270">
        <f t="shared" si="965"/>
        <v>0</v>
      </c>
      <c r="BY153" s="270">
        <f t="shared" si="965"/>
        <v>-0.05</v>
      </c>
      <c r="BZ153" s="270">
        <f t="shared" si="965"/>
        <v>-0.03</v>
      </c>
      <c r="CA153" s="270">
        <f t="shared" si="965"/>
        <v>0</v>
      </c>
      <c r="CB153" s="270">
        <f t="shared" si="965"/>
        <v>0</v>
      </c>
      <c r="CC153" s="270">
        <f t="shared" si="965"/>
        <v>0</v>
      </c>
      <c r="CD153" s="270">
        <f t="shared" si="965"/>
        <v>0</v>
      </c>
      <c r="CE153" s="270">
        <f t="shared" si="965"/>
        <v>0</v>
      </c>
      <c r="CF153" s="270">
        <f t="shared" si="965"/>
        <v>0</v>
      </c>
      <c r="CG153" s="270">
        <f t="shared" si="965"/>
        <v>0</v>
      </c>
      <c r="CH153" s="270">
        <f t="shared" si="965"/>
        <v>0</v>
      </c>
      <c r="CI153" s="270">
        <f t="shared" si="965"/>
        <v>0</v>
      </c>
      <c r="CJ153" s="270">
        <f t="shared" si="965"/>
        <v>0</v>
      </c>
      <c r="CK153" s="270">
        <f t="shared" si="965"/>
        <v>0</v>
      </c>
      <c r="CL153" s="270">
        <f t="shared" si="965"/>
        <v>0</v>
      </c>
      <c r="CM153" s="270">
        <f t="shared" si="965"/>
        <v>0</v>
      </c>
      <c r="CN153" s="270">
        <f t="shared" si="965"/>
        <v>0</v>
      </c>
      <c r="CO153" s="270">
        <f t="shared" si="965"/>
        <v>0</v>
      </c>
      <c r="CP153" s="270">
        <f t="shared" si="965"/>
        <v>0</v>
      </c>
      <c r="CQ153" s="215"/>
      <c r="CR153" s="270">
        <f t="shared" si="27"/>
        <v>-0.08</v>
      </c>
      <c r="CS153" s="215"/>
      <c r="CT153" s="270">
        <f t="shared" ref="CT153:DX153" si="966">IF(AI152&gt;0,IF((AI152+BN153)&lt;E$10,AI152+BN153,E$10),0)</f>
        <v>0</v>
      </c>
      <c r="CU153" s="270">
        <f t="shared" si="966"/>
        <v>0</v>
      </c>
      <c r="CV153" s="270">
        <f t="shared" si="966"/>
        <v>0</v>
      </c>
      <c r="CW153" s="270">
        <f t="shared" si="966"/>
        <v>0</v>
      </c>
      <c r="CX153" s="270">
        <f t="shared" si="966"/>
        <v>0</v>
      </c>
      <c r="CY153" s="270">
        <f t="shared" si="966"/>
        <v>0</v>
      </c>
      <c r="CZ153" s="270">
        <f t="shared" si="966"/>
        <v>0</v>
      </c>
      <c r="DA153" s="270">
        <f t="shared" si="966"/>
        <v>0</v>
      </c>
      <c r="DB153" s="270">
        <f t="shared" si="966"/>
        <v>0</v>
      </c>
      <c r="DC153" s="270">
        <f t="shared" si="966"/>
        <v>0</v>
      </c>
      <c r="DD153" s="270">
        <f t="shared" si="966"/>
        <v>0</v>
      </c>
      <c r="DE153" s="270">
        <f t="shared" si="966"/>
        <v>0</v>
      </c>
      <c r="DF153" s="270">
        <f t="shared" si="966"/>
        <v>0</v>
      </c>
      <c r="DG153" s="270">
        <f t="shared" si="966"/>
        <v>0</v>
      </c>
      <c r="DH153" s="270">
        <f t="shared" si="966"/>
        <v>0</v>
      </c>
      <c r="DI153" s="270">
        <f t="shared" si="966"/>
        <v>0</v>
      </c>
      <c r="DJ153" s="270">
        <f t="shared" si="966"/>
        <v>0</v>
      </c>
      <c r="DK153" s="270">
        <f t="shared" si="966"/>
        <v>0</v>
      </c>
      <c r="DL153" s="270">
        <f t="shared" si="966"/>
        <v>0</v>
      </c>
      <c r="DM153" s="270">
        <f t="shared" si="966"/>
        <v>0</v>
      </c>
      <c r="DN153" s="270">
        <f t="shared" si="966"/>
        <v>0</v>
      </c>
      <c r="DO153" s="270">
        <f t="shared" si="966"/>
        <v>0</v>
      </c>
      <c r="DP153" s="270">
        <f t="shared" si="966"/>
        <v>0</v>
      </c>
      <c r="DQ153" s="270">
        <f t="shared" si="966"/>
        <v>0</v>
      </c>
      <c r="DR153" s="270">
        <f t="shared" si="966"/>
        <v>0</v>
      </c>
      <c r="DS153" s="270">
        <f t="shared" si="966"/>
        <v>0</v>
      </c>
      <c r="DT153" s="270">
        <f t="shared" si="966"/>
        <v>0</v>
      </c>
      <c r="DU153" s="270">
        <f t="shared" si="966"/>
        <v>0</v>
      </c>
      <c r="DV153" s="270">
        <f t="shared" si="966"/>
        <v>0</v>
      </c>
      <c r="DW153" s="270">
        <f t="shared" si="966"/>
        <v>0</v>
      </c>
      <c r="DX153" s="270">
        <f t="shared" si="966"/>
        <v>0</v>
      </c>
      <c r="DY153" s="270">
        <f t="shared" si="29"/>
        <v>0</v>
      </c>
      <c r="DZ153" s="274"/>
      <c r="EA153" s="275">
        <f t="shared" si="38"/>
        <v>0</v>
      </c>
      <c r="EB153" s="270">
        <f t="shared" ref="EB153:FC153" si="967">IF(AJ151&lt;=0,0,IF($C152&lt;=SUM($EA153:EA153),0,IF(CU152+$C152-SUM($EA153:EA153)&gt;AJ151+BO152,AJ151+BO152-CU152,$C152-SUM($EA153:EA153))))</f>
        <v>0</v>
      </c>
      <c r="EC153" s="270">
        <f t="shared" si="967"/>
        <v>0</v>
      </c>
      <c r="ED153" s="270">
        <f t="shared" si="967"/>
        <v>0</v>
      </c>
      <c r="EE153" s="270">
        <f t="shared" si="967"/>
        <v>0</v>
      </c>
      <c r="EF153" s="270">
        <f t="shared" si="967"/>
        <v>0</v>
      </c>
      <c r="EG153" s="270">
        <f t="shared" si="967"/>
        <v>0</v>
      </c>
      <c r="EH153" s="270">
        <f t="shared" si="967"/>
        <v>0</v>
      </c>
      <c r="EI153" s="270">
        <f t="shared" si="967"/>
        <v>0</v>
      </c>
      <c r="EJ153" s="270">
        <f t="shared" si="967"/>
        <v>0</v>
      </c>
      <c r="EK153" s="270">
        <f t="shared" si="967"/>
        <v>0</v>
      </c>
      <c r="EL153" s="270">
        <f t="shared" si="967"/>
        <v>0</v>
      </c>
      <c r="EM153" s="270">
        <f t="shared" si="967"/>
        <v>0</v>
      </c>
      <c r="EN153" s="270">
        <f t="shared" si="967"/>
        <v>0</v>
      </c>
      <c r="EO153" s="270">
        <f t="shared" si="967"/>
        <v>0</v>
      </c>
      <c r="EP153" s="270">
        <f t="shared" si="967"/>
        <v>0</v>
      </c>
      <c r="EQ153" s="270">
        <f t="shared" si="967"/>
        <v>0</v>
      </c>
      <c r="ER153" s="270">
        <f t="shared" si="967"/>
        <v>0</v>
      </c>
      <c r="ES153" s="270">
        <f t="shared" si="967"/>
        <v>0</v>
      </c>
      <c r="ET153" s="270">
        <f t="shared" si="967"/>
        <v>0</v>
      </c>
      <c r="EU153" s="270">
        <f t="shared" si="967"/>
        <v>0</v>
      </c>
      <c r="EV153" s="270">
        <f t="shared" si="967"/>
        <v>0</v>
      </c>
      <c r="EW153" s="270">
        <f t="shared" si="967"/>
        <v>0</v>
      </c>
      <c r="EX153" s="270">
        <f t="shared" si="967"/>
        <v>0</v>
      </c>
      <c r="EY153" s="270">
        <f t="shared" si="967"/>
        <v>0</v>
      </c>
      <c r="EZ153" s="270">
        <f t="shared" si="967"/>
        <v>0</v>
      </c>
      <c r="FA153" s="270">
        <f t="shared" si="967"/>
        <v>0</v>
      </c>
      <c r="FB153" s="270">
        <f t="shared" si="967"/>
        <v>0</v>
      </c>
      <c r="FC153" s="270">
        <f t="shared" si="967"/>
        <v>0</v>
      </c>
      <c r="FD153" s="271"/>
      <c r="FE153" s="271"/>
      <c r="FF153" s="271"/>
      <c r="FG153" s="215"/>
      <c r="FH153" s="215"/>
    </row>
    <row r="154" ht="11.25" customHeight="1">
      <c r="A154" s="215" t="str">
        <f t="shared" si="19"/>
        <v/>
      </c>
      <c r="B154" s="241" t="str">
        <f t="shared" si="600"/>
        <v>#N/A</v>
      </c>
      <c r="C154" s="271" t="str">
        <f>IF(A154="","",IF(Calculator!snowball,IF(($E$5-DY154)&lt;0,0,$E$5-DY154),0)+D154)</f>
        <v/>
      </c>
      <c r="D154" s="271"/>
      <c r="E154" s="270">
        <f t="shared" si="40"/>
        <v>0</v>
      </c>
      <c r="F154" s="270">
        <f t="shared" ref="F154:AG154" si="968">CU154+EB155</f>
        <v>0</v>
      </c>
      <c r="G154" s="270">
        <f t="shared" si="968"/>
        <v>0</v>
      </c>
      <c r="H154" s="270">
        <f t="shared" si="968"/>
        <v>0</v>
      </c>
      <c r="I154" s="270">
        <f t="shared" si="968"/>
        <v>0</v>
      </c>
      <c r="J154" s="270">
        <f t="shared" si="968"/>
        <v>0</v>
      </c>
      <c r="K154" s="270">
        <f t="shared" si="968"/>
        <v>0</v>
      </c>
      <c r="L154" s="270">
        <f t="shared" si="968"/>
        <v>0</v>
      </c>
      <c r="M154" s="270">
        <f t="shared" si="968"/>
        <v>0</v>
      </c>
      <c r="N154" s="270">
        <f t="shared" si="968"/>
        <v>0</v>
      </c>
      <c r="O154" s="270">
        <f t="shared" si="968"/>
        <v>0</v>
      </c>
      <c r="P154" s="272">
        <f t="shared" si="968"/>
        <v>0</v>
      </c>
      <c r="Q154" s="272">
        <f t="shared" si="968"/>
        <v>0</v>
      </c>
      <c r="R154" s="272">
        <f t="shared" si="968"/>
        <v>0</v>
      </c>
      <c r="S154" s="272">
        <f t="shared" si="968"/>
        <v>0</v>
      </c>
      <c r="T154" s="272">
        <f t="shared" si="968"/>
        <v>0</v>
      </c>
      <c r="U154" s="270">
        <f t="shared" si="968"/>
        <v>0</v>
      </c>
      <c r="V154" s="270">
        <f t="shared" si="968"/>
        <v>0</v>
      </c>
      <c r="W154" s="270">
        <f t="shared" si="968"/>
        <v>0</v>
      </c>
      <c r="X154" s="270">
        <f t="shared" si="968"/>
        <v>0</v>
      </c>
      <c r="Y154" s="270">
        <f t="shared" si="968"/>
        <v>0</v>
      </c>
      <c r="Z154" s="270">
        <f t="shared" si="968"/>
        <v>0</v>
      </c>
      <c r="AA154" s="270">
        <f t="shared" si="968"/>
        <v>0</v>
      </c>
      <c r="AB154" s="270">
        <f t="shared" si="968"/>
        <v>0</v>
      </c>
      <c r="AC154" s="270">
        <f t="shared" si="968"/>
        <v>0</v>
      </c>
      <c r="AD154" s="270">
        <f t="shared" si="968"/>
        <v>0</v>
      </c>
      <c r="AE154" s="270">
        <f t="shared" si="968"/>
        <v>0</v>
      </c>
      <c r="AF154" s="270">
        <f t="shared" si="968"/>
        <v>0</v>
      </c>
      <c r="AG154" s="270">
        <f t="shared" si="968"/>
        <v>0</v>
      </c>
      <c r="AH154" s="279">
        <f t="shared" si="602"/>
        <v>0</v>
      </c>
      <c r="AI154" s="270">
        <f t="shared" si="43"/>
        <v>0</v>
      </c>
      <c r="AJ154" s="270">
        <f t="shared" ref="AJ154:AO154" si="969">IF(F$8=0,0,ROUND(AJ153-(F154-BO154),2))</f>
        <v>0</v>
      </c>
      <c r="AK154" s="270">
        <f t="shared" si="969"/>
        <v>0</v>
      </c>
      <c r="AL154" s="270">
        <f t="shared" si="969"/>
        <v>0</v>
      </c>
      <c r="AM154" s="270">
        <f t="shared" si="969"/>
        <v>0</v>
      </c>
      <c r="AN154" s="270">
        <f t="shared" si="969"/>
        <v>0</v>
      </c>
      <c r="AO154" s="270">
        <f t="shared" si="969"/>
        <v>0</v>
      </c>
      <c r="AP154" s="270">
        <v>0.0</v>
      </c>
      <c r="AQ154" s="270">
        <f t="shared" ref="AQ154:AS154" si="970">IF(M$8=0,0,ROUND(AQ153-(M154-BV154),2))</f>
        <v>0</v>
      </c>
      <c r="AR154" s="270">
        <f t="shared" si="970"/>
        <v>0</v>
      </c>
      <c r="AS154" s="270">
        <f t="shared" si="970"/>
        <v>0</v>
      </c>
      <c r="AT154" s="270">
        <f t="shared" si="605"/>
        <v>-6.22</v>
      </c>
      <c r="AU154" s="270">
        <f t="shared" ref="AU154:BK154" si="971">IF(Q$8=0,0,ROUND(AU153-(Q154-BY154),2))</f>
        <v>-10.73</v>
      </c>
      <c r="AV154" s="270">
        <f t="shared" si="971"/>
        <v>0</v>
      </c>
      <c r="AW154" s="270">
        <f t="shared" si="971"/>
        <v>0</v>
      </c>
      <c r="AX154" s="270">
        <f t="shared" si="971"/>
        <v>0</v>
      </c>
      <c r="AY154" s="270">
        <f t="shared" si="971"/>
        <v>0</v>
      </c>
      <c r="AZ154" s="270">
        <f t="shared" si="971"/>
        <v>0</v>
      </c>
      <c r="BA154" s="270">
        <f t="shared" si="971"/>
        <v>0</v>
      </c>
      <c r="BB154" s="270">
        <f t="shared" si="971"/>
        <v>0</v>
      </c>
      <c r="BC154" s="270">
        <f t="shared" si="971"/>
        <v>0</v>
      </c>
      <c r="BD154" s="270">
        <f t="shared" si="971"/>
        <v>0</v>
      </c>
      <c r="BE154" s="270">
        <f t="shared" si="971"/>
        <v>0</v>
      </c>
      <c r="BF154" s="270">
        <f t="shared" si="971"/>
        <v>0</v>
      </c>
      <c r="BG154" s="270">
        <f t="shared" si="971"/>
        <v>0</v>
      </c>
      <c r="BH154" s="270">
        <f t="shared" si="971"/>
        <v>0</v>
      </c>
      <c r="BI154" s="270">
        <f t="shared" si="971"/>
        <v>0</v>
      </c>
      <c r="BJ154" s="270">
        <f t="shared" si="971"/>
        <v>0</v>
      </c>
      <c r="BK154" s="270">
        <f t="shared" si="971"/>
        <v>0</v>
      </c>
      <c r="BL154" s="265">
        <f t="shared" si="16"/>
        <v>-16.95</v>
      </c>
      <c r="BM154" s="215"/>
      <c r="BN154" s="270">
        <f t="shared" ref="BN154:CP154" si="972">ROUND(AI153*E$9/12,2)</f>
        <v>0</v>
      </c>
      <c r="BO154" s="270">
        <f t="shared" si="972"/>
        <v>0</v>
      </c>
      <c r="BP154" s="270">
        <f t="shared" si="972"/>
        <v>0</v>
      </c>
      <c r="BQ154" s="270">
        <f t="shared" si="972"/>
        <v>0</v>
      </c>
      <c r="BR154" s="270">
        <f t="shared" si="972"/>
        <v>0</v>
      </c>
      <c r="BS154" s="270">
        <f t="shared" si="972"/>
        <v>0</v>
      </c>
      <c r="BT154" s="270">
        <f t="shared" si="972"/>
        <v>0</v>
      </c>
      <c r="BU154" s="270">
        <f t="shared" si="972"/>
        <v>0</v>
      </c>
      <c r="BV154" s="270">
        <f t="shared" si="972"/>
        <v>0</v>
      </c>
      <c r="BW154" s="270">
        <f t="shared" si="972"/>
        <v>0</v>
      </c>
      <c r="BX154" s="270">
        <f t="shared" si="972"/>
        <v>0</v>
      </c>
      <c r="BY154" s="270">
        <f t="shared" si="972"/>
        <v>-0.05</v>
      </c>
      <c r="BZ154" s="270">
        <f t="shared" si="972"/>
        <v>-0.03</v>
      </c>
      <c r="CA154" s="270">
        <f t="shared" si="972"/>
        <v>0</v>
      </c>
      <c r="CB154" s="270">
        <f t="shared" si="972"/>
        <v>0</v>
      </c>
      <c r="CC154" s="270">
        <f t="shared" si="972"/>
        <v>0</v>
      </c>
      <c r="CD154" s="270">
        <f t="shared" si="972"/>
        <v>0</v>
      </c>
      <c r="CE154" s="270">
        <f t="shared" si="972"/>
        <v>0</v>
      </c>
      <c r="CF154" s="270">
        <f t="shared" si="972"/>
        <v>0</v>
      </c>
      <c r="CG154" s="270">
        <f t="shared" si="972"/>
        <v>0</v>
      </c>
      <c r="CH154" s="270">
        <f t="shared" si="972"/>
        <v>0</v>
      </c>
      <c r="CI154" s="270">
        <f t="shared" si="972"/>
        <v>0</v>
      </c>
      <c r="CJ154" s="270">
        <f t="shared" si="972"/>
        <v>0</v>
      </c>
      <c r="CK154" s="270">
        <f t="shared" si="972"/>
        <v>0</v>
      </c>
      <c r="CL154" s="270">
        <f t="shared" si="972"/>
        <v>0</v>
      </c>
      <c r="CM154" s="270">
        <f t="shared" si="972"/>
        <v>0</v>
      </c>
      <c r="CN154" s="270">
        <f t="shared" si="972"/>
        <v>0</v>
      </c>
      <c r="CO154" s="270">
        <f t="shared" si="972"/>
        <v>0</v>
      </c>
      <c r="CP154" s="270">
        <f t="shared" si="972"/>
        <v>0</v>
      </c>
      <c r="CQ154" s="215"/>
      <c r="CR154" s="270">
        <f t="shared" si="27"/>
        <v>-0.08</v>
      </c>
      <c r="CS154" s="215"/>
      <c r="CT154" s="270">
        <f t="shared" ref="CT154:DX154" si="973">IF(AI153&gt;0,IF((AI153+BN154)&lt;E$10,AI153+BN154,E$10),0)</f>
        <v>0</v>
      </c>
      <c r="CU154" s="270">
        <f t="shared" si="973"/>
        <v>0</v>
      </c>
      <c r="CV154" s="270">
        <f t="shared" si="973"/>
        <v>0</v>
      </c>
      <c r="CW154" s="270">
        <f t="shared" si="973"/>
        <v>0</v>
      </c>
      <c r="CX154" s="270">
        <f t="shared" si="973"/>
        <v>0</v>
      </c>
      <c r="CY154" s="270">
        <f t="shared" si="973"/>
        <v>0</v>
      </c>
      <c r="CZ154" s="270">
        <f t="shared" si="973"/>
        <v>0</v>
      </c>
      <c r="DA154" s="270">
        <f t="shared" si="973"/>
        <v>0</v>
      </c>
      <c r="DB154" s="270">
        <f t="shared" si="973"/>
        <v>0</v>
      </c>
      <c r="DC154" s="270">
        <f t="shared" si="973"/>
        <v>0</v>
      </c>
      <c r="DD154" s="270">
        <f t="shared" si="973"/>
        <v>0</v>
      </c>
      <c r="DE154" s="270">
        <f t="shared" si="973"/>
        <v>0</v>
      </c>
      <c r="DF154" s="270">
        <f t="shared" si="973"/>
        <v>0</v>
      </c>
      <c r="DG154" s="270">
        <f t="shared" si="973"/>
        <v>0</v>
      </c>
      <c r="DH154" s="270">
        <f t="shared" si="973"/>
        <v>0</v>
      </c>
      <c r="DI154" s="270">
        <f t="shared" si="973"/>
        <v>0</v>
      </c>
      <c r="DJ154" s="270">
        <f t="shared" si="973"/>
        <v>0</v>
      </c>
      <c r="DK154" s="270">
        <f t="shared" si="973"/>
        <v>0</v>
      </c>
      <c r="DL154" s="270">
        <f t="shared" si="973"/>
        <v>0</v>
      </c>
      <c r="DM154" s="270">
        <f t="shared" si="973"/>
        <v>0</v>
      </c>
      <c r="DN154" s="270">
        <f t="shared" si="973"/>
        <v>0</v>
      </c>
      <c r="DO154" s="270">
        <f t="shared" si="973"/>
        <v>0</v>
      </c>
      <c r="DP154" s="270">
        <f t="shared" si="973"/>
        <v>0</v>
      </c>
      <c r="DQ154" s="270">
        <f t="shared" si="973"/>
        <v>0</v>
      </c>
      <c r="DR154" s="270">
        <f t="shared" si="973"/>
        <v>0</v>
      </c>
      <c r="DS154" s="270">
        <f t="shared" si="973"/>
        <v>0</v>
      </c>
      <c r="DT154" s="270">
        <f t="shared" si="973"/>
        <v>0</v>
      </c>
      <c r="DU154" s="270">
        <f t="shared" si="973"/>
        <v>0</v>
      </c>
      <c r="DV154" s="270">
        <f t="shared" si="973"/>
        <v>0</v>
      </c>
      <c r="DW154" s="270">
        <f t="shared" si="973"/>
        <v>0</v>
      </c>
      <c r="DX154" s="270">
        <f t="shared" si="973"/>
        <v>0</v>
      </c>
      <c r="DY154" s="270">
        <f t="shared" si="29"/>
        <v>0</v>
      </c>
      <c r="DZ154" s="274"/>
      <c r="EA154" s="275">
        <f t="shared" si="38"/>
        <v>0</v>
      </c>
      <c r="EB154" s="270">
        <f t="shared" ref="EB154:FC154" si="974">IF(AJ152&lt;=0,0,IF($C153&lt;=SUM($EA154:EA154),0,IF(CU153+$C153-SUM($EA154:EA154)&gt;AJ152+BO153,AJ152+BO153-CU153,$C153-SUM($EA154:EA154))))</f>
        <v>0</v>
      </c>
      <c r="EC154" s="270">
        <f t="shared" si="974"/>
        <v>0</v>
      </c>
      <c r="ED154" s="270">
        <f t="shared" si="974"/>
        <v>0</v>
      </c>
      <c r="EE154" s="270">
        <f t="shared" si="974"/>
        <v>0</v>
      </c>
      <c r="EF154" s="270">
        <f t="shared" si="974"/>
        <v>0</v>
      </c>
      <c r="EG154" s="270">
        <f t="shared" si="974"/>
        <v>0</v>
      </c>
      <c r="EH154" s="270">
        <f t="shared" si="974"/>
        <v>0</v>
      </c>
      <c r="EI154" s="270">
        <f t="shared" si="974"/>
        <v>0</v>
      </c>
      <c r="EJ154" s="270">
        <f t="shared" si="974"/>
        <v>0</v>
      </c>
      <c r="EK154" s="270">
        <f t="shared" si="974"/>
        <v>0</v>
      </c>
      <c r="EL154" s="270">
        <f t="shared" si="974"/>
        <v>0</v>
      </c>
      <c r="EM154" s="270">
        <f t="shared" si="974"/>
        <v>0</v>
      </c>
      <c r="EN154" s="270">
        <f t="shared" si="974"/>
        <v>0</v>
      </c>
      <c r="EO154" s="270">
        <f t="shared" si="974"/>
        <v>0</v>
      </c>
      <c r="EP154" s="270">
        <f t="shared" si="974"/>
        <v>0</v>
      </c>
      <c r="EQ154" s="270">
        <f t="shared" si="974"/>
        <v>0</v>
      </c>
      <c r="ER154" s="270">
        <f t="shared" si="974"/>
        <v>0</v>
      </c>
      <c r="ES154" s="270">
        <f t="shared" si="974"/>
        <v>0</v>
      </c>
      <c r="ET154" s="270">
        <f t="shared" si="974"/>
        <v>0</v>
      </c>
      <c r="EU154" s="270">
        <f t="shared" si="974"/>
        <v>0</v>
      </c>
      <c r="EV154" s="270">
        <f t="shared" si="974"/>
        <v>0</v>
      </c>
      <c r="EW154" s="270">
        <f t="shared" si="974"/>
        <v>0</v>
      </c>
      <c r="EX154" s="270">
        <f t="shared" si="974"/>
        <v>0</v>
      </c>
      <c r="EY154" s="270">
        <f t="shared" si="974"/>
        <v>0</v>
      </c>
      <c r="EZ154" s="270">
        <f t="shared" si="974"/>
        <v>0</v>
      </c>
      <c r="FA154" s="270">
        <f t="shared" si="974"/>
        <v>0</v>
      </c>
      <c r="FB154" s="270">
        <f t="shared" si="974"/>
        <v>0</v>
      </c>
      <c r="FC154" s="270">
        <f t="shared" si="974"/>
        <v>0</v>
      </c>
      <c r="FD154" s="271"/>
      <c r="FE154" s="271"/>
      <c r="FF154" s="271"/>
      <c r="FG154" s="215"/>
      <c r="FH154" s="215"/>
    </row>
    <row r="155" ht="11.25" customHeight="1">
      <c r="A155" s="215" t="str">
        <f t="shared" si="19"/>
        <v/>
      </c>
      <c r="B155" s="241" t="str">
        <f t="shared" si="600"/>
        <v>#N/A</v>
      </c>
      <c r="C155" s="271" t="str">
        <f>IF(A155="","",IF(Calculator!snowball,IF(($E$5-DY155)&lt;0,0,$E$5-DY155),0)+D155)</f>
        <v/>
      </c>
      <c r="D155" s="271"/>
      <c r="E155" s="270">
        <f t="shared" si="40"/>
        <v>0</v>
      </c>
      <c r="F155" s="270">
        <f t="shared" ref="F155:AG155" si="975">CU155+EB156</f>
        <v>0</v>
      </c>
      <c r="G155" s="270">
        <f t="shared" si="975"/>
        <v>0</v>
      </c>
      <c r="H155" s="270">
        <f t="shared" si="975"/>
        <v>0</v>
      </c>
      <c r="I155" s="270">
        <f t="shared" si="975"/>
        <v>0</v>
      </c>
      <c r="J155" s="270">
        <f t="shared" si="975"/>
        <v>0</v>
      </c>
      <c r="K155" s="270">
        <f t="shared" si="975"/>
        <v>0</v>
      </c>
      <c r="L155" s="270">
        <f t="shared" si="975"/>
        <v>0</v>
      </c>
      <c r="M155" s="270">
        <f t="shared" si="975"/>
        <v>0</v>
      </c>
      <c r="N155" s="270">
        <f t="shared" si="975"/>
        <v>0</v>
      </c>
      <c r="O155" s="270">
        <f t="shared" si="975"/>
        <v>0</v>
      </c>
      <c r="P155" s="272">
        <f t="shared" si="975"/>
        <v>0</v>
      </c>
      <c r="Q155" s="272">
        <f t="shared" si="975"/>
        <v>0</v>
      </c>
      <c r="R155" s="272">
        <f t="shared" si="975"/>
        <v>0</v>
      </c>
      <c r="S155" s="272">
        <f t="shared" si="975"/>
        <v>0</v>
      </c>
      <c r="T155" s="272">
        <f t="shared" si="975"/>
        <v>0</v>
      </c>
      <c r="U155" s="270">
        <f t="shared" si="975"/>
        <v>0</v>
      </c>
      <c r="V155" s="270">
        <f t="shared" si="975"/>
        <v>0</v>
      </c>
      <c r="W155" s="270">
        <f t="shared" si="975"/>
        <v>0</v>
      </c>
      <c r="X155" s="270">
        <f t="shared" si="975"/>
        <v>0</v>
      </c>
      <c r="Y155" s="270">
        <f t="shared" si="975"/>
        <v>0</v>
      </c>
      <c r="Z155" s="270">
        <f t="shared" si="975"/>
        <v>0</v>
      </c>
      <c r="AA155" s="270">
        <f t="shared" si="975"/>
        <v>0</v>
      </c>
      <c r="AB155" s="270">
        <f t="shared" si="975"/>
        <v>0</v>
      </c>
      <c r="AC155" s="270">
        <f t="shared" si="975"/>
        <v>0</v>
      </c>
      <c r="AD155" s="270">
        <f t="shared" si="975"/>
        <v>0</v>
      </c>
      <c r="AE155" s="270">
        <f t="shared" si="975"/>
        <v>0</v>
      </c>
      <c r="AF155" s="270">
        <f t="shared" si="975"/>
        <v>0</v>
      </c>
      <c r="AG155" s="270">
        <f t="shared" si="975"/>
        <v>0</v>
      </c>
      <c r="AH155" s="279">
        <f t="shared" si="602"/>
        <v>0</v>
      </c>
      <c r="AI155" s="270">
        <f t="shared" si="43"/>
        <v>0</v>
      </c>
      <c r="AJ155" s="270">
        <f t="shared" ref="AJ155:AO155" si="976">IF(F$8=0,0,ROUND(AJ154-(F155-BO155),2))</f>
        <v>0</v>
      </c>
      <c r="AK155" s="270">
        <f t="shared" si="976"/>
        <v>0</v>
      </c>
      <c r="AL155" s="270">
        <f t="shared" si="976"/>
        <v>0</v>
      </c>
      <c r="AM155" s="270">
        <f t="shared" si="976"/>
        <v>0</v>
      </c>
      <c r="AN155" s="270">
        <f t="shared" si="976"/>
        <v>0</v>
      </c>
      <c r="AO155" s="270">
        <f t="shared" si="976"/>
        <v>0</v>
      </c>
      <c r="AP155" s="270">
        <v>0.0</v>
      </c>
      <c r="AQ155" s="270">
        <f t="shared" ref="AQ155:AS155" si="977">IF(M$8=0,0,ROUND(AQ154-(M155-BV155),2))</f>
        <v>0</v>
      </c>
      <c r="AR155" s="270">
        <f t="shared" si="977"/>
        <v>0</v>
      </c>
      <c r="AS155" s="270">
        <f t="shared" si="977"/>
        <v>0</v>
      </c>
      <c r="AT155" s="270">
        <f t="shared" si="605"/>
        <v>-6.22</v>
      </c>
      <c r="AU155" s="270">
        <f t="shared" ref="AU155:BK155" si="978">IF(Q$8=0,0,ROUND(AU154-(Q155-BY155),2))</f>
        <v>-10.78</v>
      </c>
      <c r="AV155" s="270">
        <f t="shared" si="978"/>
        <v>0</v>
      </c>
      <c r="AW155" s="270">
        <f t="shared" si="978"/>
        <v>0</v>
      </c>
      <c r="AX155" s="270">
        <f t="shared" si="978"/>
        <v>0</v>
      </c>
      <c r="AY155" s="270">
        <f t="shared" si="978"/>
        <v>0</v>
      </c>
      <c r="AZ155" s="270">
        <f t="shared" si="978"/>
        <v>0</v>
      </c>
      <c r="BA155" s="270">
        <f t="shared" si="978"/>
        <v>0</v>
      </c>
      <c r="BB155" s="270">
        <f t="shared" si="978"/>
        <v>0</v>
      </c>
      <c r="BC155" s="270">
        <f t="shared" si="978"/>
        <v>0</v>
      </c>
      <c r="BD155" s="270">
        <f t="shared" si="978"/>
        <v>0</v>
      </c>
      <c r="BE155" s="270">
        <f t="shared" si="978"/>
        <v>0</v>
      </c>
      <c r="BF155" s="270">
        <f t="shared" si="978"/>
        <v>0</v>
      </c>
      <c r="BG155" s="270">
        <f t="shared" si="978"/>
        <v>0</v>
      </c>
      <c r="BH155" s="270">
        <f t="shared" si="978"/>
        <v>0</v>
      </c>
      <c r="BI155" s="270">
        <f t="shared" si="978"/>
        <v>0</v>
      </c>
      <c r="BJ155" s="270">
        <f t="shared" si="978"/>
        <v>0</v>
      </c>
      <c r="BK155" s="270">
        <f t="shared" si="978"/>
        <v>0</v>
      </c>
      <c r="BL155" s="265">
        <f t="shared" si="16"/>
        <v>-17</v>
      </c>
      <c r="BM155" s="215"/>
      <c r="BN155" s="270">
        <f t="shared" ref="BN155:CP155" si="979">ROUND(AI154*E$9/12,2)</f>
        <v>0</v>
      </c>
      <c r="BO155" s="270">
        <f t="shared" si="979"/>
        <v>0</v>
      </c>
      <c r="BP155" s="270">
        <f t="shared" si="979"/>
        <v>0</v>
      </c>
      <c r="BQ155" s="270">
        <f t="shared" si="979"/>
        <v>0</v>
      </c>
      <c r="BR155" s="270">
        <f t="shared" si="979"/>
        <v>0</v>
      </c>
      <c r="BS155" s="270">
        <f t="shared" si="979"/>
        <v>0</v>
      </c>
      <c r="BT155" s="270">
        <f t="shared" si="979"/>
        <v>0</v>
      </c>
      <c r="BU155" s="270">
        <f t="shared" si="979"/>
        <v>0</v>
      </c>
      <c r="BV155" s="270">
        <f t="shared" si="979"/>
        <v>0</v>
      </c>
      <c r="BW155" s="270">
        <f t="shared" si="979"/>
        <v>0</v>
      </c>
      <c r="BX155" s="270">
        <f t="shared" si="979"/>
        <v>0</v>
      </c>
      <c r="BY155" s="270">
        <f t="shared" si="979"/>
        <v>-0.05</v>
      </c>
      <c r="BZ155" s="270">
        <f t="shared" si="979"/>
        <v>-0.03</v>
      </c>
      <c r="CA155" s="270">
        <f t="shared" si="979"/>
        <v>0</v>
      </c>
      <c r="CB155" s="270">
        <f t="shared" si="979"/>
        <v>0</v>
      </c>
      <c r="CC155" s="270">
        <f t="shared" si="979"/>
        <v>0</v>
      </c>
      <c r="CD155" s="270">
        <f t="shared" si="979"/>
        <v>0</v>
      </c>
      <c r="CE155" s="270">
        <f t="shared" si="979"/>
        <v>0</v>
      </c>
      <c r="CF155" s="270">
        <f t="shared" si="979"/>
        <v>0</v>
      </c>
      <c r="CG155" s="270">
        <f t="shared" si="979"/>
        <v>0</v>
      </c>
      <c r="CH155" s="270">
        <f t="shared" si="979"/>
        <v>0</v>
      </c>
      <c r="CI155" s="270">
        <f t="shared" si="979"/>
        <v>0</v>
      </c>
      <c r="CJ155" s="270">
        <f t="shared" si="979"/>
        <v>0</v>
      </c>
      <c r="CK155" s="270">
        <f t="shared" si="979"/>
        <v>0</v>
      </c>
      <c r="CL155" s="270">
        <f t="shared" si="979"/>
        <v>0</v>
      </c>
      <c r="CM155" s="270">
        <f t="shared" si="979"/>
        <v>0</v>
      </c>
      <c r="CN155" s="270">
        <f t="shared" si="979"/>
        <v>0</v>
      </c>
      <c r="CO155" s="270">
        <f t="shared" si="979"/>
        <v>0</v>
      </c>
      <c r="CP155" s="270">
        <f t="shared" si="979"/>
        <v>0</v>
      </c>
      <c r="CQ155" s="215"/>
      <c r="CR155" s="270">
        <f t="shared" si="27"/>
        <v>-0.08</v>
      </c>
      <c r="CS155" s="215"/>
      <c r="CT155" s="270">
        <f t="shared" ref="CT155:DX155" si="980">IF(AI154&gt;0,IF((AI154+BN155)&lt;E$10,AI154+BN155,E$10),0)</f>
        <v>0</v>
      </c>
      <c r="CU155" s="270">
        <f t="shared" si="980"/>
        <v>0</v>
      </c>
      <c r="CV155" s="270">
        <f t="shared" si="980"/>
        <v>0</v>
      </c>
      <c r="CW155" s="270">
        <f t="shared" si="980"/>
        <v>0</v>
      </c>
      <c r="CX155" s="270">
        <f t="shared" si="980"/>
        <v>0</v>
      </c>
      <c r="CY155" s="270">
        <f t="shared" si="980"/>
        <v>0</v>
      </c>
      <c r="CZ155" s="270">
        <f t="shared" si="980"/>
        <v>0</v>
      </c>
      <c r="DA155" s="270">
        <f t="shared" si="980"/>
        <v>0</v>
      </c>
      <c r="DB155" s="270">
        <f t="shared" si="980"/>
        <v>0</v>
      </c>
      <c r="DC155" s="270">
        <f t="shared" si="980"/>
        <v>0</v>
      </c>
      <c r="DD155" s="270">
        <f t="shared" si="980"/>
        <v>0</v>
      </c>
      <c r="DE155" s="270">
        <f t="shared" si="980"/>
        <v>0</v>
      </c>
      <c r="DF155" s="270">
        <f t="shared" si="980"/>
        <v>0</v>
      </c>
      <c r="DG155" s="270">
        <f t="shared" si="980"/>
        <v>0</v>
      </c>
      <c r="DH155" s="270">
        <f t="shared" si="980"/>
        <v>0</v>
      </c>
      <c r="DI155" s="270">
        <f t="shared" si="980"/>
        <v>0</v>
      </c>
      <c r="DJ155" s="270">
        <f t="shared" si="980"/>
        <v>0</v>
      </c>
      <c r="DK155" s="270">
        <f t="shared" si="980"/>
        <v>0</v>
      </c>
      <c r="DL155" s="270">
        <f t="shared" si="980"/>
        <v>0</v>
      </c>
      <c r="DM155" s="270">
        <f t="shared" si="980"/>
        <v>0</v>
      </c>
      <c r="DN155" s="270">
        <f t="shared" si="980"/>
        <v>0</v>
      </c>
      <c r="DO155" s="270">
        <f t="shared" si="980"/>
        <v>0</v>
      </c>
      <c r="DP155" s="270">
        <f t="shared" si="980"/>
        <v>0</v>
      </c>
      <c r="DQ155" s="270">
        <f t="shared" si="980"/>
        <v>0</v>
      </c>
      <c r="DR155" s="270">
        <f t="shared" si="980"/>
        <v>0</v>
      </c>
      <c r="DS155" s="270">
        <f t="shared" si="980"/>
        <v>0</v>
      </c>
      <c r="DT155" s="270">
        <f t="shared" si="980"/>
        <v>0</v>
      </c>
      <c r="DU155" s="270">
        <f t="shared" si="980"/>
        <v>0</v>
      </c>
      <c r="DV155" s="270">
        <f t="shared" si="980"/>
        <v>0</v>
      </c>
      <c r="DW155" s="270">
        <f t="shared" si="980"/>
        <v>0</v>
      </c>
      <c r="DX155" s="270">
        <f t="shared" si="980"/>
        <v>0</v>
      </c>
      <c r="DY155" s="270">
        <f t="shared" si="29"/>
        <v>0</v>
      </c>
      <c r="DZ155" s="274"/>
      <c r="EA155" s="275">
        <f t="shared" si="38"/>
        <v>0</v>
      </c>
      <c r="EB155" s="270">
        <f t="shared" ref="EB155:FC155" si="981">IF(AJ153&lt;=0,0,IF($C154&lt;=SUM($EA155:EA155),0,IF(CU154+$C154-SUM($EA155:EA155)&gt;AJ153+BO154,AJ153+BO154-CU154,$C154-SUM($EA155:EA155))))</f>
        <v>0</v>
      </c>
      <c r="EC155" s="270">
        <f t="shared" si="981"/>
        <v>0</v>
      </c>
      <c r="ED155" s="270">
        <f t="shared" si="981"/>
        <v>0</v>
      </c>
      <c r="EE155" s="270">
        <f t="shared" si="981"/>
        <v>0</v>
      </c>
      <c r="EF155" s="270">
        <f t="shared" si="981"/>
        <v>0</v>
      </c>
      <c r="EG155" s="270">
        <f t="shared" si="981"/>
        <v>0</v>
      </c>
      <c r="EH155" s="270">
        <f t="shared" si="981"/>
        <v>0</v>
      </c>
      <c r="EI155" s="270">
        <f t="shared" si="981"/>
        <v>0</v>
      </c>
      <c r="EJ155" s="270">
        <f t="shared" si="981"/>
        <v>0</v>
      </c>
      <c r="EK155" s="270">
        <f t="shared" si="981"/>
        <v>0</v>
      </c>
      <c r="EL155" s="270">
        <f t="shared" si="981"/>
        <v>0</v>
      </c>
      <c r="EM155" s="270">
        <f t="shared" si="981"/>
        <v>0</v>
      </c>
      <c r="EN155" s="270">
        <f t="shared" si="981"/>
        <v>0</v>
      </c>
      <c r="EO155" s="270">
        <f t="shared" si="981"/>
        <v>0</v>
      </c>
      <c r="EP155" s="270">
        <f t="shared" si="981"/>
        <v>0</v>
      </c>
      <c r="EQ155" s="270">
        <f t="shared" si="981"/>
        <v>0</v>
      </c>
      <c r="ER155" s="270">
        <f t="shared" si="981"/>
        <v>0</v>
      </c>
      <c r="ES155" s="270">
        <f t="shared" si="981"/>
        <v>0</v>
      </c>
      <c r="ET155" s="270">
        <f t="shared" si="981"/>
        <v>0</v>
      </c>
      <c r="EU155" s="270">
        <f t="shared" si="981"/>
        <v>0</v>
      </c>
      <c r="EV155" s="270">
        <f t="shared" si="981"/>
        <v>0</v>
      </c>
      <c r="EW155" s="270">
        <f t="shared" si="981"/>
        <v>0</v>
      </c>
      <c r="EX155" s="270">
        <f t="shared" si="981"/>
        <v>0</v>
      </c>
      <c r="EY155" s="270">
        <f t="shared" si="981"/>
        <v>0</v>
      </c>
      <c r="EZ155" s="270">
        <f t="shared" si="981"/>
        <v>0</v>
      </c>
      <c r="FA155" s="270">
        <f t="shared" si="981"/>
        <v>0</v>
      </c>
      <c r="FB155" s="270">
        <f t="shared" si="981"/>
        <v>0</v>
      </c>
      <c r="FC155" s="270">
        <f t="shared" si="981"/>
        <v>0</v>
      </c>
      <c r="FD155" s="271"/>
      <c r="FE155" s="271"/>
      <c r="FF155" s="271"/>
      <c r="FG155" s="215"/>
      <c r="FH155" s="215"/>
    </row>
    <row r="156" ht="11.25" customHeight="1">
      <c r="A156" s="215" t="str">
        <f t="shared" si="19"/>
        <v/>
      </c>
      <c r="B156" s="241" t="str">
        <f t="shared" si="600"/>
        <v>#N/A</v>
      </c>
      <c r="C156" s="271" t="str">
        <f>IF(A156="","",IF(Calculator!snowball,IF(($E$5-DY156)&lt;0,0,$E$5-DY156),0)+D156)</f>
        <v/>
      </c>
      <c r="D156" s="271"/>
      <c r="E156" s="270">
        <f t="shared" si="40"/>
        <v>0</v>
      </c>
      <c r="F156" s="270">
        <f t="shared" ref="F156:AG156" si="982">CU156+EB157</f>
        <v>0</v>
      </c>
      <c r="G156" s="270">
        <f t="shared" si="982"/>
        <v>0</v>
      </c>
      <c r="H156" s="270">
        <f t="shared" si="982"/>
        <v>0</v>
      </c>
      <c r="I156" s="270">
        <f t="shared" si="982"/>
        <v>0</v>
      </c>
      <c r="J156" s="270">
        <f t="shared" si="982"/>
        <v>0</v>
      </c>
      <c r="K156" s="270">
        <f t="shared" si="982"/>
        <v>0</v>
      </c>
      <c r="L156" s="270">
        <f t="shared" si="982"/>
        <v>0</v>
      </c>
      <c r="M156" s="270">
        <f t="shared" si="982"/>
        <v>0</v>
      </c>
      <c r="N156" s="270">
        <f t="shared" si="982"/>
        <v>0</v>
      </c>
      <c r="O156" s="270">
        <f t="shared" si="982"/>
        <v>0</v>
      </c>
      <c r="P156" s="272">
        <f t="shared" si="982"/>
        <v>0</v>
      </c>
      <c r="Q156" s="272">
        <f t="shared" si="982"/>
        <v>0</v>
      </c>
      <c r="R156" s="272">
        <f t="shared" si="982"/>
        <v>0</v>
      </c>
      <c r="S156" s="272">
        <f t="shared" si="982"/>
        <v>0</v>
      </c>
      <c r="T156" s="272">
        <f t="shared" si="982"/>
        <v>0</v>
      </c>
      <c r="U156" s="270">
        <f t="shared" si="982"/>
        <v>0</v>
      </c>
      <c r="V156" s="270">
        <f t="shared" si="982"/>
        <v>0</v>
      </c>
      <c r="W156" s="270">
        <f t="shared" si="982"/>
        <v>0</v>
      </c>
      <c r="X156" s="270">
        <f t="shared" si="982"/>
        <v>0</v>
      </c>
      <c r="Y156" s="270">
        <f t="shared" si="982"/>
        <v>0</v>
      </c>
      <c r="Z156" s="270">
        <f t="shared" si="982"/>
        <v>0</v>
      </c>
      <c r="AA156" s="270">
        <f t="shared" si="982"/>
        <v>0</v>
      </c>
      <c r="AB156" s="270">
        <f t="shared" si="982"/>
        <v>0</v>
      </c>
      <c r="AC156" s="270">
        <f t="shared" si="982"/>
        <v>0</v>
      </c>
      <c r="AD156" s="270">
        <f t="shared" si="982"/>
        <v>0</v>
      </c>
      <c r="AE156" s="270">
        <f t="shared" si="982"/>
        <v>0</v>
      </c>
      <c r="AF156" s="270">
        <f t="shared" si="982"/>
        <v>0</v>
      </c>
      <c r="AG156" s="270">
        <f t="shared" si="982"/>
        <v>0</v>
      </c>
      <c r="AH156" s="279">
        <f t="shared" si="602"/>
        <v>0</v>
      </c>
      <c r="AI156" s="270">
        <f t="shared" si="43"/>
        <v>0</v>
      </c>
      <c r="AJ156" s="270">
        <f t="shared" ref="AJ156:AO156" si="983">IF(F$8=0,0,ROUND(AJ155-(F156-BO156),2))</f>
        <v>0</v>
      </c>
      <c r="AK156" s="270">
        <f t="shared" si="983"/>
        <v>0</v>
      </c>
      <c r="AL156" s="270">
        <f t="shared" si="983"/>
        <v>0</v>
      </c>
      <c r="AM156" s="270">
        <f t="shared" si="983"/>
        <v>0</v>
      </c>
      <c r="AN156" s="270">
        <f t="shared" si="983"/>
        <v>0</v>
      </c>
      <c r="AO156" s="270">
        <f t="shared" si="983"/>
        <v>0</v>
      </c>
      <c r="AP156" s="270">
        <v>0.0</v>
      </c>
      <c r="AQ156" s="270">
        <f t="shared" ref="AQ156:AS156" si="984">IF(M$8=0,0,ROUND(AQ155-(M156-BV156),2))</f>
        <v>0</v>
      </c>
      <c r="AR156" s="270">
        <f t="shared" si="984"/>
        <v>0</v>
      </c>
      <c r="AS156" s="270">
        <f t="shared" si="984"/>
        <v>0</v>
      </c>
      <c r="AT156" s="270">
        <f t="shared" si="605"/>
        <v>-6.22</v>
      </c>
      <c r="AU156" s="270">
        <f t="shared" ref="AU156:BK156" si="985">IF(Q$8=0,0,ROUND(AU155-(Q156-BY156),2))</f>
        <v>-10.83</v>
      </c>
      <c r="AV156" s="270">
        <f t="shared" si="985"/>
        <v>0</v>
      </c>
      <c r="AW156" s="270">
        <f t="shared" si="985"/>
        <v>0</v>
      </c>
      <c r="AX156" s="270">
        <f t="shared" si="985"/>
        <v>0</v>
      </c>
      <c r="AY156" s="270">
        <f t="shared" si="985"/>
        <v>0</v>
      </c>
      <c r="AZ156" s="270">
        <f t="shared" si="985"/>
        <v>0</v>
      </c>
      <c r="BA156" s="270">
        <f t="shared" si="985"/>
        <v>0</v>
      </c>
      <c r="BB156" s="270">
        <f t="shared" si="985"/>
        <v>0</v>
      </c>
      <c r="BC156" s="270">
        <f t="shared" si="985"/>
        <v>0</v>
      </c>
      <c r="BD156" s="270">
        <f t="shared" si="985"/>
        <v>0</v>
      </c>
      <c r="BE156" s="270">
        <f t="shared" si="985"/>
        <v>0</v>
      </c>
      <c r="BF156" s="270">
        <f t="shared" si="985"/>
        <v>0</v>
      </c>
      <c r="BG156" s="270">
        <f t="shared" si="985"/>
        <v>0</v>
      </c>
      <c r="BH156" s="270">
        <f t="shared" si="985"/>
        <v>0</v>
      </c>
      <c r="BI156" s="270">
        <f t="shared" si="985"/>
        <v>0</v>
      </c>
      <c r="BJ156" s="270">
        <f t="shared" si="985"/>
        <v>0</v>
      </c>
      <c r="BK156" s="270">
        <f t="shared" si="985"/>
        <v>0</v>
      </c>
      <c r="BL156" s="265">
        <f t="shared" si="16"/>
        <v>-17.05</v>
      </c>
      <c r="BM156" s="215"/>
      <c r="BN156" s="270">
        <f t="shared" ref="BN156:CP156" si="986">ROUND(AI155*E$9/12,2)</f>
        <v>0</v>
      </c>
      <c r="BO156" s="270">
        <f t="shared" si="986"/>
        <v>0</v>
      </c>
      <c r="BP156" s="270">
        <f t="shared" si="986"/>
        <v>0</v>
      </c>
      <c r="BQ156" s="270">
        <f t="shared" si="986"/>
        <v>0</v>
      </c>
      <c r="BR156" s="270">
        <f t="shared" si="986"/>
        <v>0</v>
      </c>
      <c r="BS156" s="270">
        <f t="shared" si="986"/>
        <v>0</v>
      </c>
      <c r="BT156" s="270">
        <f t="shared" si="986"/>
        <v>0</v>
      </c>
      <c r="BU156" s="270">
        <f t="shared" si="986"/>
        <v>0</v>
      </c>
      <c r="BV156" s="270">
        <f t="shared" si="986"/>
        <v>0</v>
      </c>
      <c r="BW156" s="270">
        <f t="shared" si="986"/>
        <v>0</v>
      </c>
      <c r="BX156" s="270">
        <f t="shared" si="986"/>
        <v>0</v>
      </c>
      <c r="BY156" s="270">
        <f t="shared" si="986"/>
        <v>-0.05</v>
      </c>
      <c r="BZ156" s="270">
        <f t="shared" si="986"/>
        <v>-0.03</v>
      </c>
      <c r="CA156" s="270">
        <f t="shared" si="986"/>
        <v>0</v>
      </c>
      <c r="CB156" s="270">
        <f t="shared" si="986"/>
        <v>0</v>
      </c>
      <c r="CC156" s="270">
        <f t="shared" si="986"/>
        <v>0</v>
      </c>
      <c r="CD156" s="270">
        <f t="shared" si="986"/>
        <v>0</v>
      </c>
      <c r="CE156" s="270">
        <f t="shared" si="986"/>
        <v>0</v>
      </c>
      <c r="CF156" s="270">
        <f t="shared" si="986"/>
        <v>0</v>
      </c>
      <c r="CG156" s="270">
        <f t="shared" si="986"/>
        <v>0</v>
      </c>
      <c r="CH156" s="270">
        <f t="shared" si="986"/>
        <v>0</v>
      </c>
      <c r="CI156" s="270">
        <f t="shared" si="986"/>
        <v>0</v>
      </c>
      <c r="CJ156" s="270">
        <f t="shared" si="986"/>
        <v>0</v>
      </c>
      <c r="CK156" s="270">
        <f t="shared" si="986"/>
        <v>0</v>
      </c>
      <c r="CL156" s="270">
        <f t="shared" si="986"/>
        <v>0</v>
      </c>
      <c r="CM156" s="270">
        <f t="shared" si="986"/>
        <v>0</v>
      </c>
      <c r="CN156" s="270">
        <f t="shared" si="986"/>
        <v>0</v>
      </c>
      <c r="CO156" s="270">
        <f t="shared" si="986"/>
        <v>0</v>
      </c>
      <c r="CP156" s="270">
        <f t="shared" si="986"/>
        <v>0</v>
      </c>
      <c r="CQ156" s="215"/>
      <c r="CR156" s="270">
        <f t="shared" si="27"/>
        <v>-0.08</v>
      </c>
      <c r="CS156" s="215"/>
      <c r="CT156" s="270">
        <f t="shared" ref="CT156:DX156" si="987">IF(AI155&gt;0,IF((AI155+BN156)&lt;E$10,AI155+BN156,E$10),0)</f>
        <v>0</v>
      </c>
      <c r="CU156" s="270">
        <f t="shared" si="987"/>
        <v>0</v>
      </c>
      <c r="CV156" s="270">
        <f t="shared" si="987"/>
        <v>0</v>
      </c>
      <c r="CW156" s="270">
        <f t="shared" si="987"/>
        <v>0</v>
      </c>
      <c r="CX156" s="270">
        <f t="shared" si="987"/>
        <v>0</v>
      </c>
      <c r="CY156" s="270">
        <f t="shared" si="987"/>
        <v>0</v>
      </c>
      <c r="CZ156" s="270">
        <f t="shared" si="987"/>
        <v>0</v>
      </c>
      <c r="DA156" s="270">
        <f t="shared" si="987"/>
        <v>0</v>
      </c>
      <c r="DB156" s="270">
        <f t="shared" si="987"/>
        <v>0</v>
      </c>
      <c r="DC156" s="270">
        <f t="shared" si="987"/>
        <v>0</v>
      </c>
      <c r="DD156" s="270">
        <f t="shared" si="987"/>
        <v>0</v>
      </c>
      <c r="DE156" s="270">
        <f t="shared" si="987"/>
        <v>0</v>
      </c>
      <c r="DF156" s="270">
        <f t="shared" si="987"/>
        <v>0</v>
      </c>
      <c r="DG156" s="270">
        <f t="shared" si="987"/>
        <v>0</v>
      </c>
      <c r="DH156" s="270">
        <f t="shared" si="987"/>
        <v>0</v>
      </c>
      <c r="DI156" s="270">
        <f t="shared" si="987"/>
        <v>0</v>
      </c>
      <c r="DJ156" s="270">
        <f t="shared" si="987"/>
        <v>0</v>
      </c>
      <c r="DK156" s="270">
        <f t="shared" si="987"/>
        <v>0</v>
      </c>
      <c r="DL156" s="270">
        <f t="shared" si="987"/>
        <v>0</v>
      </c>
      <c r="DM156" s="270">
        <f t="shared" si="987"/>
        <v>0</v>
      </c>
      <c r="DN156" s="270">
        <f t="shared" si="987"/>
        <v>0</v>
      </c>
      <c r="DO156" s="270">
        <f t="shared" si="987"/>
        <v>0</v>
      </c>
      <c r="DP156" s="270">
        <f t="shared" si="987"/>
        <v>0</v>
      </c>
      <c r="DQ156" s="270">
        <f t="shared" si="987"/>
        <v>0</v>
      </c>
      <c r="DR156" s="270">
        <f t="shared" si="987"/>
        <v>0</v>
      </c>
      <c r="DS156" s="270">
        <f t="shared" si="987"/>
        <v>0</v>
      </c>
      <c r="DT156" s="270">
        <f t="shared" si="987"/>
        <v>0</v>
      </c>
      <c r="DU156" s="270">
        <f t="shared" si="987"/>
        <v>0</v>
      </c>
      <c r="DV156" s="270">
        <f t="shared" si="987"/>
        <v>0</v>
      </c>
      <c r="DW156" s="270">
        <f t="shared" si="987"/>
        <v>0</v>
      </c>
      <c r="DX156" s="270">
        <f t="shared" si="987"/>
        <v>0</v>
      </c>
      <c r="DY156" s="270">
        <f t="shared" si="29"/>
        <v>0</v>
      </c>
      <c r="DZ156" s="274"/>
      <c r="EA156" s="275">
        <f t="shared" si="38"/>
        <v>0</v>
      </c>
      <c r="EB156" s="270">
        <f t="shared" ref="EB156:FC156" si="988">IF(AJ154&lt;=0,0,IF($C155&lt;=SUM($EA156:EA156),0,IF(CU155+$C155-SUM($EA156:EA156)&gt;AJ154+BO155,AJ154+BO155-CU155,$C155-SUM($EA156:EA156))))</f>
        <v>0</v>
      </c>
      <c r="EC156" s="270">
        <f t="shared" si="988"/>
        <v>0</v>
      </c>
      <c r="ED156" s="270">
        <f t="shared" si="988"/>
        <v>0</v>
      </c>
      <c r="EE156" s="270">
        <f t="shared" si="988"/>
        <v>0</v>
      </c>
      <c r="EF156" s="270">
        <f t="shared" si="988"/>
        <v>0</v>
      </c>
      <c r="EG156" s="270">
        <f t="shared" si="988"/>
        <v>0</v>
      </c>
      <c r="EH156" s="270">
        <f t="shared" si="988"/>
        <v>0</v>
      </c>
      <c r="EI156" s="270">
        <f t="shared" si="988"/>
        <v>0</v>
      </c>
      <c r="EJ156" s="270">
        <f t="shared" si="988"/>
        <v>0</v>
      </c>
      <c r="EK156" s="270">
        <f t="shared" si="988"/>
        <v>0</v>
      </c>
      <c r="EL156" s="270">
        <f t="shared" si="988"/>
        <v>0</v>
      </c>
      <c r="EM156" s="270">
        <f t="shared" si="988"/>
        <v>0</v>
      </c>
      <c r="EN156" s="270">
        <f t="shared" si="988"/>
        <v>0</v>
      </c>
      <c r="EO156" s="270">
        <f t="shared" si="988"/>
        <v>0</v>
      </c>
      <c r="EP156" s="270">
        <f t="shared" si="988"/>
        <v>0</v>
      </c>
      <c r="EQ156" s="270">
        <f t="shared" si="988"/>
        <v>0</v>
      </c>
      <c r="ER156" s="270">
        <f t="shared" si="988"/>
        <v>0</v>
      </c>
      <c r="ES156" s="270">
        <f t="shared" si="988"/>
        <v>0</v>
      </c>
      <c r="ET156" s="270">
        <f t="shared" si="988"/>
        <v>0</v>
      </c>
      <c r="EU156" s="270">
        <f t="shared" si="988"/>
        <v>0</v>
      </c>
      <c r="EV156" s="270">
        <f t="shared" si="988"/>
        <v>0</v>
      </c>
      <c r="EW156" s="270">
        <f t="shared" si="988"/>
        <v>0</v>
      </c>
      <c r="EX156" s="270">
        <f t="shared" si="988"/>
        <v>0</v>
      </c>
      <c r="EY156" s="270">
        <f t="shared" si="988"/>
        <v>0</v>
      </c>
      <c r="EZ156" s="270">
        <f t="shared" si="988"/>
        <v>0</v>
      </c>
      <c r="FA156" s="270">
        <f t="shared" si="988"/>
        <v>0</v>
      </c>
      <c r="FB156" s="270">
        <f t="shared" si="988"/>
        <v>0</v>
      </c>
      <c r="FC156" s="270">
        <f t="shared" si="988"/>
        <v>0</v>
      </c>
      <c r="FD156" s="271"/>
      <c r="FE156" s="271"/>
      <c r="FF156" s="271"/>
      <c r="FG156" s="215"/>
      <c r="FH156" s="215"/>
    </row>
    <row r="157" ht="11.25" customHeight="1">
      <c r="A157" s="215" t="str">
        <f t="shared" si="19"/>
        <v/>
      </c>
      <c r="B157" s="241" t="str">
        <f t="shared" si="600"/>
        <v>#N/A</v>
      </c>
      <c r="C157" s="271" t="str">
        <f>IF(A157="","",IF(Calculator!snowball,IF(($E$5-DY157)&lt;0,0,$E$5-DY157),0)+D157)</f>
        <v/>
      </c>
      <c r="D157" s="271"/>
      <c r="E157" s="270">
        <f t="shared" si="40"/>
        <v>0</v>
      </c>
      <c r="F157" s="270">
        <f t="shared" ref="F157:AG157" si="989">CU157+EB158</f>
        <v>0</v>
      </c>
      <c r="G157" s="270">
        <f t="shared" si="989"/>
        <v>0</v>
      </c>
      <c r="H157" s="270">
        <f t="shared" si="989"/>
        <v>0</v>
      </c>
      <c r="I157" s="270">
        <f t="shared" si="989"/>
        <v>0</v>
      </c>
      <c r="J157" s="270">
        <f t="shared" si="989"/>
        <v>0</v>
      </c>
      <c r="K157" s="270">
        <f t="shared" si="989"/>
        <v>0</v>
      </c>
      <c r="L157" s="270">
        <f t="shared" si="989"/>
        <v>0</v>
      </c>
      <c r="M157" s="270">
        <f t="shared" si="989"/>
        <v>0</v>
      </c>
      <c r="N157" s="270">
        <f t="shared" si="989"/>
        <v>0</v>
      </c>
      <c r="O157" s="270">
        <f t="shared" si="989"/>
        <v>0</v>
      </c>
      <c r="P157" s="272">
        <f t="shared" si="989"/>
        <v>0</v>
      </c>
      <c r="Q157" s="272">
        <f t="shared" si="989"/>
        <v>0</v>
      </c>
      <c r="R157" s="272">
        <f t="shared" si="989"/>
        <v>0</v>
      </c>
      <c r="S157" s="272">
        <f t="shared" si="989"/>
        <v>0</v>
      </c>
      <c r="T157" s="272">
        <f t="shared" si="989"/>
        <v>0</v>
      </c>
      <c r="U157" s="270">
        <f t="shared" si="989"/>
        <v>0</v>
      </c>
      <c r="V157" s="270">
        <f t="shared" si="989"/>
        <v>0</v>
      </c>
      <c r="W157" s="270">
        <f t="shared" si="989"/>
        <v>0</v>
      </c>
      <c r="X157" s="270">
        <f t="shared" si="989"/>
        <v>0</v>
      </c>
      <c r="Y157" s="270">
        <f t="shared" si="989"/>
        <v>0</v>
      </c>
      <c r="Z157" s="270">
        <f t="shared" si="989"/>
        <v>0</v>
      </c>
      <c r="AA157" s="270">
        <f t="shared" si="989"/>
        <v>0</v>
      </c>
      <c r="AB157" s="270">
        <f t="shared" si="989"/>
        <v>0</v>
      </c>
      <c r="AC157" s="270">
        <f t="shared" si="989"/>
        <v>0</v>
      </c>
      <c r="AD157" s="270">
        <f t="shared" si="989"/>
        <v>0</v>
      </c>
      <c r="AE157" s="270">
        <f t="shared" si="989"/>
        <v>0</v>
      </c>
      <c r="AF157" s="270">
        <f t="shared" si="989"/>
        <v>0</v>
      </c>
      <c r="AG157" s="270">
        <f t="shared" si="989"/>
        <v>0</v>
      </c>
      <c r="AH157" s="279">
        <f t="shared" si="602"/>
        <v>0</v>
      </c>
      <c r="AI157" s="270">
        <f t="shared" si="43"/>
        <v>0</v>
      </c>
      <c r="AJ157" s="270">
        <f t="shared" ref="AJ157:AO157" si="990">IF(F$8=0,0,ROUND(AJ156-(F157-BO157),2))</f>
        <v>0</v>
      </c>
      <c r="AK157" s="270">
        <f t="shared" si="990"/>
        <v>0</v>
      </c>
      <c r="AL157" s="270">
        <f t="shared" si="990"/>
        <v>0</v>
      </c>
      <c r="AM157" s="270">
        <f t="shared" si="990"/>
        <v>0</v>
      </c>
      <c r="AN157" s="270">
        <f t="shared" si="990"/>
        <v>0</v>
      </c>
      <c r="AO157" s="270">
        <f t="shared" si="990"/>
        <v>0</v>
      </c>
      <c r="AP157" s="270">
        <v>0.0</v>
      </c>
      <c r="AQ157" s="270">
        <f t="shared" ref="AQ157:AS157" si="991">IF(M$8=0,0,ROUND(AQ156-(M157-BV157),2))</f>
        <v>0</v>
      </c>
      <c r="AR157" s="270">
        <f t="shared" si="991"/>
        <v>0</v>
      </c>
      <c r="AS157" s="270">
        <f t="shared" si="991"/>
        <v>0</v>
      </c>
      <c r="AT157" s="270">
        <f t="shared" si="605"/>
        <v>-6.22</v>
      </c>
      <c r="AU157" s="270">
        <f t="shared" ref="AU157:BK157" si="992">IF(Q$8=0,0,ROUND(AU156-(Q157-BY157),2))</f>
        <v>-10.88</v>
      </c>
      <c r="AV157" s="270">
        <f t="shared" si="992"/>
        <v>0</v>
      </c>
      <c r="AW157" s="270">
        <f t="shared" si="992"/>
        <v>0</v>
      </c>
      <c r="AX157" s="270">
        <f t="shared" si="992"/>
        <v>0</v>
      </c>
      <c r="AY157" s="270">
        <f t="shared" si="992"/>
        <v>0</v>
      </c>
      <c r="AZ157" s="270">
        <f t="shared" si="992"/>
        <v>0</v>
      </c>
      <c r="BA157" s="270">
        <f t="shared" si="992"/>
        <v>0</v>
      </c>
      <c r="BB157" s="270">
        <f t="shared" si="992"/>
        <v>0</v>
      </c>
      <c r="BC157" s="270">
        <f t="shared" si="992"/>
        <v>0</v>
      </c>
      <c r="BD157" s="270">
        <f t="shared" si="992"/>
        <v>0</v>
      </c>
      <c r="BE157" s="270">
        <f t="shared" si="992"/>
        <v>0</v>
      </c>
      <c r="BF157" s="270">
        <f t="shared" si="992"/>
        <v>0</v>
      </c>
      <c r="BG157" s="270">
        <f t="shared" si="992"/>
        <v>0</v>
      </c>
      <c r="BH157" s="270">
        <f t="shared" si="992"/>
        <v>0</v>
      </c>
      <c r="BI157" s="270">
        <f t="shared" si="992"/>
        <v>0</v>
      </c>
      <c r="BJ157" s="270">
        <f t="shared" si="992"/>
        <v>0</v>
      </c>
      <c r="BK157" s="270">
        <f t="shared" si="992"/>
        <v>0</v>
      </c>
      <c r="BL157" s="265">
        <f t="shared" si="16"/>
        <v>-17.1</v>
      </c>
      <c r="BM157" s="215"/>
      <c r="BN157" s="270">
        <f t="shared" ref="BN157:CP157" si="993">ROUND(AI156*E$9/12,2)</f>
        <v>0</v>
      </c>
      <c r="BO157" s="270">
        <f t="shared" si="993"/>
        <v>0</v>
      </c>
      <c r="BP157" s="270">
        <f t="shared" si="993"/>
        <v>0</v>
      </c>
      <c r="BQ157" s="270">
        <f t="shared" si="993"/>
        <v>0</v>
      </c>
      <c r="BR157" s="270">
        <f t="shared" si="993"/>
        <v>0</v>
      </c>
      <c r="BS157" s="270">
        <f t="shared" si="993"/>
        <v>0</v>
      </c>
      <c r="BT157" s="270">
        <f t="shared" si="993"/>
        <v>0</v>
      </c>
      <c r="BU157" s="270">
        <f t="shared" si="993"/>
        <v>0</v>
      </c>
      <c r="BV157" s="270">
        <f t="shared" si="993"/>
        <v>0</v>
      </c>
      <c r="BW157" s="270">
        <f t="shared" si="993"/>
        <v>0</v>
      </c>
      <c r="BX157" s="270">
        <f t="shared" si="993"/>
        <v>0</v>
      </c>
      <c r="BY157" s="270">
        <f t="shared" si="993"/>
        <v>-0.05</v>
      </c>
      <c r="BZ157" s="270">
        <f t="shared" si="993"/>
        <v>-0.03</v>
      </c>
      <c r="CA157" s="270">
        <f t="shared" si="993"/>
        <v>0</v>
      </c>
      <c r="CB157" s="270">
        <f t="shared" si="993"/>
        <v>0</v>
      </c>
      <c r="CC157" s="270">
        <f t="shared" si="993"/>
        <v>0</v>
      </c>
      <c r="CD157" s="270">
        <f t="shared" si="993"/>
        <v>0</v>
      </c>
      <c r="CE157" s="270">
        <f t="shared" si="993"/>
        <v>0</v>
      </c>
      <c r="CF157" s="270">
        <f t="shared" si="993"/>
        <v>0</v>
      </c>
      <c r="CG157" s="270">
        <f t="shared" si="993"/>
        <v>0</v>
      </c>
      <c r="CH157" s="270">
        <f t="shared" si="993"/>
        <v>0</v>
      </c>
      <c r="CI157" s="270">
        <f t="shared" si="993"/>
        <v>0</v>
      </c>
      <c r="CJ157" s="270">
        <f t="shared" si="993"/>
        <v>0</v>
      </c>
      <c r="CK157" s="270">
        <f t="shared" si="993"/>
        <v>0</v>
      </c>
      <c r="CL157" s="270">
        <f t="shared" si="993"/>
        <v>0</v>
      </c>
      <c r="CM157" s="270">
        <f t="shared" si="993"/>
        <v>0</v>
      </c>
      <c r="CN157" s="270">
        <f t="shared" si="993"/>
        <v>0</v>
      </c>
      <c r="CO157" s="270">
        <f t="shared" si="993"/>
        <v>0</v>
      </c>
      <c r="CP157" s="270">
        <f t="shared" si="993"/>
        <v>0</v>
      </c>
      <c r="CQ157" s="215"/>
      <c r="CR157" s="270">
        <f t="shared" si="27"/>
        <v>-0.08</v>
      </c>
      <c r="CS157" s="215"/>
      <c r="CT157" s="270">
        <f t="shared" ref="CT157:DX157" si="994">IF(AI156&gt;0,IF((AI156+BN157)&lt;E$10,AI156+BN157,E$10),0)</f>
        <v>0</v>
      </c>
      <c r="CU157" s="270">
        <f t="shared" si="994"/>
        <v>0</v>
      </c>
      <c r="CV157" s="270">
        <f t="shared" si="994"/>
        <v>0</v>
      </c>
      <c r="CW157" s="270">
        <f t="shared" si="994"/>
        <v>0</v>
      </c>
      <c r="CX157" s="270">
        <f t="shared" si="994"/>
        <v>0</v>
      </c>
      <c r="CY157" s="270">
        <f t="shared" si="994"/>
        <v>0</v>
      </c>
      <c r="CZ157" s="270">
        <f t="shared" si="994"/>
        <v>0</v>
      </c>
      <c r="DA157" s="270">
        <f t="shared" si="994"/>
        <v>0</v>
      </c>
      <c r="DB157" s="270">
        <f t="shared" si="994"/>
        <v>0</v>
      </c>
      <c r="DC157" s="270">
        <f t="shared" si="994"/>
        <v>0</v>
      </c>
      <c r="DD157" s="270">
        <f t="shared" si="994"/>
        <v>0</v>
      </c>
      <c r="DE157" s="270">
        <f t="shared" si="994"/>
        <v>0</v>
      </c>
      <c r="DF157" s="270">
        <f t="shared" si="994"/>
        <v>0</v>
      </c>
      <c r="DG157" s="270">
        <f t="shared" si="994"/>
        <v>0</v>
      </c>
      <c r="DH157" s="270">
        <f t="shared" si="994"/>
        <v>0</v>
      </c>
      <c r="DI157" s="270">
        <f t="shared" si="994"/>
        <v>0</v>
      </c>
      <c r="DJ157" s="270">
        <f t="shared" si="994"/>
        <v>0</v>
      </c>
      <c r="DK157" s="270">
        <f t="shared" si="994"/>
        <v>0</v>
      </c>
      <c r="DL157" s="270">
        <f t="shared" si="994"/>
        <v>0</v>
      </c>
      <c r="DM157" s="270">
        <f t="shared" si="994"/>
        <v>0</v>
      </c>
      <c r="DN157" s="270">
        <f t="shared" si="994"/>
        <v>0</v>
      </c>
      <c r="DO157" s="270">
        <f t="shared" si="994"/>
        <v>0</v>
      </c>
      <c r="DP157" s="270">
        <f t="shared" si="994"/>
        <v>0</v>
      </c>
      <c r="DQ157" s="270">
        <f t="shared" si="994"/>
        <v>0</v>
      </c>
      <c r="DR157" s="270">
        <f t="shared" si="994"/>
        <v>0</v>
      </c>
      <c r="DS157" s="270">
        <f t="shared" si="994"/>
        <v>0</v>
      </c>
      <c r="DT157" s="270">
        <f t="shared" si="994"/>
        <v>0</v>
      </c>
      <c r="DU157" s="270">
        <f t="shared" si="994"/>
        <v>0</v>
      </c>
      <c r="DV157" s="270">
        <f t="shared" si="994"/>
        <v>0</v>
      </c>
      <c r="DW157" s="270">
        <f t="shared" si="994"/>
        <v>0</v>
      </c>
      <c r="DX157" s="270">
        <f t="shared" si="994"/>
        <v>0</v>
      </c>
      <c r="DY157" s="270">
        <f t="shared" si="29"/>
        <v>0</v>
      </c>
      <c r="DZ157" s="274"/>
      <c r="EA157" s="275">
        <f t="shared" si="38"/>
        <v>0</v>
      </c>
      <c r="EB157" s="270">
        <f t="shared" ref="EB157:FC157" si="995">IF(AJ155&lt;=0,0,IF($C156&lt;=SUM($EA157:EA157),0,IF(CU156+$C156-SUM($EA157:EA157)&gt;AJ155+BO156,AJ155+BO156-CU156,$C156-SUM($EA157:EA157))))</f>
        <v>0</v>
      </c>
      <c r="EC157" s="270">
        <f t="shared" si="995"/>
        <v>0</v>
      </c>
      <c r="ED157" s="270">
        <f t="shared" si="995"/>
        <v>0</v>
      </c>
      <c r="EE157" s="270">
        <f t="shared" si="995"/>
        <v>0</v>
      </c>
      <c r="EF157" s="270">
        <f t="shared" si="995"/>
        <v>0</v>
      </c>
      <c r="EG157" s="270">
        <f t="shared" si="995"/>
        <v>0</v>
      </c>
      <c r="EH157" s="270">
        <f t="shared" si="995"/>
        <v>0</v>
      </c>
      <c r="EI157" s="270">
        <f t="shared" si="995"/>
        <v>0</v>
      </c>
      <c r="EJ157" s="270">
        <f t="shared" si="995"/>
        <v>0</v>
      </c>
      <c r="EK157" s="270">
        <f t="shared" si="995"/>
        <v>0</v>
      </c>
      <c r="EL157" s="270">
        <f t="shared" si="995"/>
        <v>0</v>
      </c>
      <c r="EM157" s="270">
        <f t="shared" si="995"/>
        <v>0</v>
      </c>
      <c r="EN157" s="270">
        <f t="shared" si="995"/>
        <v>0</v>
      </c>
      <c r="EO157" s="270">
        <f t="shared" si="995"/>
        <v>0</v>
      </c>
      <c r="EP157" s="270">
        <f t="shared" si="995"/>
        <v>0</v>
      </c>
      <c r="EQ157" s="270">
        <f t="shared" si="995"/>
        <v>0</v>
      </c>
      <c r="ER157" s="270">
        <f t="shared" si="995"/>
        <v>0</v>
      </c>
      <c r="ES157" s="270">
        <f t="shared" si="995"/>
        <v>0</v>
      </c>
      <c r="ET157" s="270">
        <f t="shared" si="995"/>
        <v>0</v>
      </c>
      <c r="EU157" s="270">
        <f t="shared" si="995"/>
        <v>0</v>
      </c>
      <c r="EV157" s="270">
        <f t="shared" si="995"/>
        <v>0</v>
      </c>
      <c r="EW157" s="270">
        <f t="shared" si="995"/>
        <v>0</v>
      </c>
      <c r="EX157" s="270">
        <f t="shared" si="995"/>
        <v>0</v>
      </c>
      <c r="EY157" s="270">
        <f t="shared" si="995"/>
        <v>0</v>
      </c>
      <c r="EZ157" s="270">
        <f t="shared" si="995"/>
        <v>0</v>
      </c>
      <c r="FA157" s="270">
        <f t="shared" si="995"/>
        <v>0</v>
      </c>
      <c r="FB157" s="270">
        <f t="shared" si="995"/>
        <v>0</v>
      </c>
      <c r="FC157" s="270">
        <f t="shared" si="995"/>
        <v>0</v>
      </c>
      <c r="FD157" s="271"/>
      <c r="FE157" s="271"/>
      <c r="FF157" s="271"/>
      <c r="FG157" s="215"/>
      <c r="FH157" s="215"/>
    </row>
    <row r="158" ht="11.25" customHeight="1">
      <c r="A158" s="215" t="str">
        <f t="shared" si="19"/>
        <v/>
      </c>
      <c r="B158" s="241" t="str">
        <f t="shared" si="600"/>
        <v>#N/A</v>
      </c>
      <c r="C158" s="271" t="str">
        <f>IF(A158="","",IF(Calculator!snowball,IF(($E$5-DY158)&lt;0,0,$E$5-DY158),0)+D158)</f>
        <v/>
      </c>
      <c r="D158" s="271"/>
      <c r="E158" s="270">
        <f t="shared" si="40"/>
        <v>0</v>
      </c>
      <c r="F158" s="270">
        <f t="shared" ref="F158:AG158" si="996">CU158+EB159</f>
        <v>0</v>
      </c>
      <c r="G158" s="270">
        <f t="shared" si="996"/>
        <v>0</v>
      </c>
      <c r="H158" s="270">
        <f t="shared" si="996"/>
        <v>0</v>
      </c>
      <c r="I158" s="270">
        <f t="shared" si="996"/>
        <v>0</v>
      </c>
      <c r="J158" s="270">
        <f t="shared" si="996"/>
        <v>0</v>
      </c>
      <c r="K158" s="270">
        <f t="shared" si="996"/>
        <v>0</v>
      </c>
      <c r="L158" s="270">
        <f t="shared" si="996"/>
        <v>0</v>
      </c>
      <c r="M158" s="270">
        <f t="shared" si="996"/>
        <v>0</v>
      </c>
      <c r="N158" s="270">
        <f t="shared" si="996"/>
        <v>0</v>
      </c>
      <c r="O158" s="270">
        <f t="shared" si="996"/>
        <v>0</v>
      </c>
      <c r="P158" s="272">
        <f t="shared" si="996"/>
        <v>0</v>
      </c>
      <c r="Q158" s="272">
        <f t="shared" si="996"/>
        <v>0</v>
      </c>
      <c r="R158" s="272">
        <f t="shared" si="996"/>
        <v>0</v>
      </c>
      <c r="S158" s="272">
        <f t="shared" si="996"/>
        <v>0</v>
      </c>
      <c r="T158" s="272">
        <f t="shared" si="996"/>
        <v>0</v>
      </c>
      <c r="U158" s="270">
        <f t="shared" si="996"/>
        <v>0</v>
      </c>
      <c r="V158" s="270">
        <f t="shared" si="996"/>
        <v>0</v>
      </c>
      <c r="W158" s="270">
        <f t="shared" si="996"/>
        <v>0</v>
      </c>
      <c r="X158" s="270">
        <f t="shared" si="996"/>
        <v>0</v>
      </c>
      <c r="Y158" s="270">
        <f t="shared" si="996"/>
        <v>0</v>
      </c>
      <c r="Z158" s="270">
        <f t="shared" si="996"/>
        <v>0</v>
      </c>
      <c r="AA158" s="270">
        <f t="shared" si="996"/>
        <v>0</v>
      </c>
      <c r="AB158" s="270">
        <f t="shared" si="996"/>
        <v>0</v>
      </c>
      <c r="AC158" s="270">
        <f t="shared" si="996"/>
        <v>0</v>
      </c>
      <c r="AD158" s="270">
        <f t="shared" si="996"/>
        <v>0</v>
      </c>
      <c r="AE158" s="270">
        <f t="shared" si="996"/>
        <v>0</v>
      </c>
      <c r="AF158" s="270">
        <f t="shared" si="996"/>
        <v>0</v>
      </c>
      <c r="AG158" s="270">
        <f t="shared" si="996"/>
        <v>0</v>
      </c>
      <c r="AH158" s="279">
        <f t="shared" si="602"/>
        <v>0</v>
      </c>
      <c r="AI158" s="270">
        <f t="shared" si="43"/>
        <v>0</v>
      </c>
      <c r="AJ158" s="270">
        <f t="shared" ref="AJ158:AO158" si="997">IF(F$8=0,0,ROUND(AJ157-(F158-BO158),2))</f>
        <v>0</v>
      </c>
      <c r="AK158" s="270">
        <f t="shared" si="997"/>
        <v>0</v>
      </c>
      <c r="AL158" s="270">
        <f t="shared" si="997"/>
        <v>0</v>
      </c>
      <c r="AM158" s="270">
        <f t="shared" si="997"/>
        <v>0</v>
      </c>
      <c r="AN158" s="270">
        <f t="shared" si="997"/>
        <v>0</v>
      </c>
      <c r="AO158" s="270">
        <f t="shared" si="997"/>
        <v>0</v>
      </c>
      <c r="AP158" s="270">
        <v>0.0</v>
      </c>
      <c r="AQ158" s="270">
        <f t="shared" ref="AQ158:AS158" si="998">IF(M$8=0,0,ROUND(AQ157-(M158-BV158),2))</f>
        <v>0</v>
      </c>
      <c r="AR158" s="270">
        <f t="shared" si="998"/>
        <v>0</v>
      </c>
      <c r="AS158" s="270">
        <f t="shared" si="998"/>
        <v>0</v>
      </c>
      <c r="AT158" s="270">
        <f t="shared" si="605"/>
        <v>-6.22</v>
      </c>
      <c r="AU158" s="270">
        <f t="shared" ref="AU158:BK158" si="999">IF(Q$8=0,0,ROUND(AU157-(Q158-BY158),2))</f>
        <v>-10.93</v>
      </c>
      <c r="AV158" s="270">
        <f t="shared" si="999"/>
        <v>0</v>
      </c>
      <c r="AW158" s="270">
        <f t="shared" si="999"/>
        <v>0</v>
      </c>
      <c r="AX158" s="270">
        <f t="shared" si="999"/>
        <v>0</v>
      </c>
      <c r="AY158" s="270">
        <f t="shared" si="999"/>
        <v>0</v>
      </c>
      <c r="AZ158" s="270">
        <f t="shared" si="999"/>
        <v>0</v>
      </c>
      <c r="BA158" s="270">
        <f t="shared" si="999"/>
        <v>0</v>
      </c>
      <c r="BB158" s="270">
        <f t="shared" si="999"/>
        <v>0</v>
      </c>
      <c r="BC158" s="270">
        <f t="shared" si="999"/>
        <v>0</v>
      </c>
      <c r="BD158" s="270">
        <f t="shared" si="999"/>
        <v>0</v>
      </c>
      <c r="BE158" s="270">
        <f t="shared" si="999"/>
        <v>0</v>
      </c>
      <c r="BF158" s="270">
        <f t="shared" si="999"/>
        <v>0</v>
      </c>
      <c r="BG158" s="270">
        <f t="shared" si="999"/>
        <v>0</v>
      </c>
      <c r="BH158" s="270">
        <f t="shared" si="999"/>
        <v>0</v>
      </c>
      <c r="BI158" s="270">
        <f t="shared" si="999"/>
        <v>0</v>
      </c>
      <c r="BJ158" s="270">
        <f t="shared" si="999"/>
        <v>0</v>
      </c>
      <c r="BK158" s="270">
        <f t="shared" si="999"/>
        <v>0</v>
      </c>
      <c r="BL158" s="265">
        <f t="shared" si="16"/>
        <v>-17.15</v>
      </c>
      <c r="BM158" s="215"/>
      <c r="BN158" s="270">
        <f t="shared" ref="BN158:CP158" si="1000">ROUND(AI157*E$9/12,2)</f>
        <v>0</v>
      </c>
      <c r="BO158" s="270">
        <f t="shared" si="1000"/>
        <v>0</v>
      </c>
      <c r="BP158" s="270">
        <f t="shared" si="1000"/>
        <v>0</v>
      </c>
      <c r="BQ158" s="270">
        <f t="shared" si="1000"/>
        <v>0</v>
      </c>
      <c r="BR158" s="270">
        <f t="shared" si="1000"/>
        <v>0</v>
      </c>
      <c r="BS158" s="270">
        <f t="shared" si="1000"/>
        <v>0</v>
      </c>
      <c r="BT158" s="270">
        <f t="shared" si="1000"/>
        <v>0</v>
      </c>
      <c r="BU158" s="270">
        <f t="shared" si="1000"/>
        <v>0</v>
      </c>
      <c r="BV158" s="270">
        <f t="shared" si="1000"/>
        <v>0</v>
      </c>
      <c r="BW158" s="270">
        <f t="shared" si="1000"/>
        <v>0</v>
      </c>
      <c r="BX158" s="270">
        <f t="shared" si="1000"/>
        <v>0</v>
      </c>
      <c r="BY158" s="270">
        <f t="shared" si="1000"/>
        <v>-0.05</v>
      </c>
      <c r="BZ158" s="270">
        <f t="shared" si="1000"/>
        <v>-0.03</v>
      </c>
      <c r="CA158" s="270">
        <f t="shared" si="1000"/>
        <v>0</v>
      </c>
      <c r="CB158" s="270">
        <f t="shared" si="1000"/>
        <v>0</v>
      </c>
      <c r="CC158" s="270">
        <f t="shared" si="1000"/>
        <v>0</v>
      </c>
      <c r="CD158" s="270">
        <f t="shared" si="1000"/>
        <v>0</v>
      </c>
      <c r="CE158" s="270">
        <f t="shared" si="1000"/>
        <v>0</v>
      </c>
      <c r="CF158" s="270">
        <f t="shared" si="1000"/>
        <v>0</v>
      </c>
      <c r="CG158" s="270">
        <f t="shared" si="1000"/>
        <v>0</v>
      </c>
      <c r="CH158" s="270">
        <f t="shared" si="1000"/>
        <v>0</v>
      </c>
      <c r="CI158" s="270">
        <f t="shared" si="1000"/>
        <v>0</v>
      </c>
      <c r="CJ158" s="270">
        <f t="shared" si="1000"/>
        <v>0</v>
      </c>
      <c r="CK158" s="270">
        <f t="shared" si="1000"/>
        <v>0</v>
      </c>
      <c r="CL158" s="270">
        <f t="shared" si="1000"/>
        <v>0</v>
      </c>
      <c r="CM158" s="270">
        <f t="shared" si="1000"/>
        <v>0</v>
      </c>
      <c r="CN158" s="270">
        <f t="shared" si="1000"/>
        <v>0</v>
      </c>
      <c r="CO158" s="270">
        <f t="shared" si="1000"/>
        <v>0</v>
      </c>
      <c r="CP158" s="270">
        <f t="shared" si="1000"/>
        <v>0</v>
      </c>
      <c r="CQ158" s="215"/>
      <c r="CR158" s="270">
        <f t="shared" si="27"/>
        <v>-0.08</v>
      </c>
      <c r="CS158" s="215"/>
      <c r="CT158" s="270">
        <f t="shared" ref="CT158:DX158" si="1001">IF(AI157&gt;0,IF((AI157+BN158)&lt;E$10,AI157+BN158,E$10),0)</f>
        <v>0</v>
      </c>
      <c r="CU158" s="270">
        <f t="shared" si="1001"/>
        <v>0</v>
      </c>
      <c r="CV158" s="270">
        <f t="shared" si="1001"/>
        <v>0</v>
      </c>
      <c r="CW158" s="270">
        <f t="shared" si="1001"/>
        <v>0</v>
      </c>
      <c r="CX158" s="270">
        <f t="shared" si="1001"/>
        <v>0</v>
      </c>
      <c r="CY158" s="270">
        <f t="shared" si="1001"/>
        <v>0</v>
      </c>
      <c r="CZ158" s="270">
        <f t="shared" si="1001"/>
        <v>0</v>
      </c>
      <c r="DA158" s="270">
        <f t="shared" si="1001"/>
        <v>0</v>
      </c>
      <c r="DB158" s="270">
        <f t="shared" si="1001"/>
        <v>0</v>
      </c>
      <c r="DC158" s="270">
        <f t="shared" si="1001"/>
        <v>0</v>
      </c>
      <c r="DD158" s="270">
        <f t="shared" si="1001"/>
        <v>0</v>
      </c>
      <c r="DE158" s="270">
        <f t="shared" si="1001"/>
        <v>0</v>
      </c>
      <c r="DF158" s="270">
        <f t="shared" si="1001"/>
        <v>0</v>
      </c>
      <c r="DG158" s="270">
        <f t="shared" si="1001"/>
        <v>0</v>
      </c>
      <c r="DH158" s="270">
        <f t="shared" si="1001"/>
        <v>0</v>
      </c>
      <c r="DI158" s="270">
        <f t="shared" si="1001"/>
        <v>0</v>
      </c>
      <c r="DJ158" s="270">
        <f t="shared" si="1001"/>
        <v>0</v>
      </c>
      <c r="DK158" s="270">
        <f t="shared" si="1001"/>
        <v>0</v>
      </c>
      <c r="DL158" s="270">
        <f t="shared" si="1001"/>
        <v>0</v>
      </c>
      <c r="DM158" s="270">
        <f t="shared" si="1001"/>
        <v>0</v>
      </c>
      <c r="DN158" s="270">
        <f t="shared" si="1001"/>
        <v>0</v>
      </c>
      <c r="DO158" s="270">
        <f t="shared" si="1001"/>
        <v>0</v>
      </c>
      <c r="DP158" s="270">
        <f t="shared" si="1001"/>
        <v>0</v>
      </c>
      <c r="DQ158" s="270">
        <f t="shared" si="1001"/>
        <v>0</v>
      </c>
      <c r="DR158" s="270">
        <f t="shared" si="1001"/>
        <v>0</v>
      </c>
      <c r="DS158" s="270">
        <f t="shared" si="1001"/>
        <v>0</v>
      </c>
      <c r="DT158" s="270">
        <f t="shared" si="1001"/>
        <v>0</v>
      </c>
      <c r="DU158" s="270">
        <f t="shared" si="1001"/>
        <v>0</v>
      </c>
      <c r="DV158" s="270">
        <f t="shared" si="1001"/>
        <v>0</v>
      </c>
      <c r="DW158" s="270">
        <f t="shared" si="1001"/>
        <v>0</v>
      </c>
      <c r="DX158" s="270">
        <f t="shared" si="1001"/>
        <v>0</v>
      </c>
      <c r="DY158" s="270">
        <f t="shared" si="29"/>
        <v>0</v>
      </c>
      <c r="DZ158" s="274"/>
      <c r="EA158" s="275">
        <f t="shared" si="38"/>
        <v>0</v>
      </c>
      <c r="EB158" s="270">
        <f t="shared" ref="EB158:FC158" si="1002">IF(AJ156&lt;=0,0,IF($C157&lt;=SUM($EA158:EA158),0,IF(CU157+$C157-SUM($EA158:EA158)&gt;AJ156+BO157,AJ156+BO157-CU157,$C157-SUM($EA158:EA158))))</f>
        <v>0</v>
      </c>
      <c r="EC158" s="270">
        <f t="shared" si="1002"/>
        <v>0</v>
      </c>
      <c r="ED158" s="270">
        <f t="shared" si="1002"/>
        <v>0</v>
      </c>
      <c r="EE158" s="270">
        <f t="shared" si="1002"/>
        <v>0</v>
      </c>
      <c r="EF158" s="270">
        <f t="shared" si="1002"/>
        <v>0</v>
      </c>
      <c r="EG158" s="270">
        <f t="shared" si="1002"/>
        <v>0</v>
      </c>
      <c r="EH158" s="270">
        <f t="shared" si="1002"/>
        <v>0</v>
      </c>
      <c r="EI158" s="270">
        <f t="shared" si="1002"/>
        <v>0</v>
      </c>
      <c r="EJ158" s="270">
        <f t="shared" si="1002"/>
        <v>0</v>
      </c>
      <c r="EK158" s="270">
        <f t="shared" si="1002"/>
        <v>0</v>
      </c>
      <c r="EL158" s="270">
        <f t="shared" si="1002"/>
        <v>0</v>
      </c>
      <c r="EM158" s="270">
        <f t="shared" si="1002"/>
        <v>0</v>
      </c>
      <c r="EN158" s="270">
        <f t="shared" si="1002"/>
        <v>0</v>
      </c>
      <c r="EO158" s="270">
        <f t="shared" si="1002"/>
        <v>0</v>
      </c>
      <c r="EP158" s="270">
        <f t="shared" si="1002"/>
        <v>0</v>
      </c>
      <c r="EQ158" s="270">
        <f t="shared" si="1002"/>
        <v>0</v>
      </c>
      <c r="ER158" s="270">
        <f t="shared" si="1002"/>
        <v>0</v>
      </c>
      <c r="ES158" s="270">
        <f t="shared" si="1002"/>
        <v>0</v>
      </c>
      <c r="ET158" s="270">
        <f t="shared" si="1002"/>
        <v>0</v>
      </c>
      <c r="EU158" s="270">
        <f t="shared" si="1002"/>
        <v>0</v>
      </c>
      <c r="EV158" s="270">
        <f t="shared" si="1002"/>
        <v>0</v>
      </c>
      <c r="EW158" s="270">
        <f t="shared" si="1002"/>
        <v>0</v>
      </c>
      <c r="EX158" s="270">
        <f t="shared" si="1002"/>
        <v>0</v>
      </c>
      <c r="EY158" s="270">
        <f t="shared" si="1002"/>
        <v>0</v>
      </c>
      <c r="EZ158" s="270">
        <f t="shared" si="1002"/>
        <v>0</v>
      </c>
      <c r="FA158" s="270">
        <f t="shared" si="1002"/>
        <v>0</v>
      </c>
      <c r="FB158" s="270">
        <f t="shared" si="1002"/>
        <v>0</v>
      </c>
      <c r="FC158" s="270">
        <f t="shared" si="1002"/>
        <v>0</v>
      </c>
      <c r="FD158" s="271"/>
      <c r="FE158" s="271"/>
      <c r="FF158" s="271"/>
      <c r="FG158" s="215"/>
      <c r="FH158" s="215"/>
    </row>
    <row r="159" ht="11.25" customHeight="1">
      <c r="A159" s="215" t="str">
        <f t="shared" si="19"/>
        <v/>
      </c>
      <c r="B159" s="241" t="str">
        <f t="shared" si="600"/>
        <v>#N/A</v>
      </c>
      <c r="C159" s="271" t="str">
        <f>IF(A159="","",IF(Calculator!snowball,IF(($E$5-DY159)&lt;0,0,$E$5-DY159),0)+D159)</f>
        <v/>
      </c>
      <c r="D159" s="271"/>
      <c r="E159" s="270">
        <f t="shared" si="40"/>
        <v>0</v>
      </c>
      <c r="F159" s="270">
        <f t="shared" ref="F159:AG159" si="1003">CU159+EB160</f>
        <v>0</v>
      </c>
      <c r="G159" s="270">
        <f t="shared" si="1003"/>
        <v>0</v>
      </c>
      <c r="H159" s="270">
        <f t="shared" si="1003"/>
        <v>0</v>
      </c>
      <c r="I159" s="270">
        <f t="shared" si="1003"/>
        <v>0</v>
      </c>
      <c r="J159" s="270">
        <f t="shared" si="1003"/>
        <v>0</v>
      </c>
      <c r="K159" s="270">
        <f t="shared" si="1003"/>
        <v>0</v>
      </c>
      <c r="L159" s="270">
        <f t="shared" si="1003"/>
        <v>0</v>
      </c>
      <c r="M159" s="270">
        <f t="shared" si="1003"/>
        <v>0</v>
      </c>
      <c r="N159" s="270">
        <f t="shared" si="1003"/>
        <v>0</v>
      </c>
      <c r="O159" s="270">
        <f t="shared" si="1003"/>
        <v>0</v>
      </c>
      <c r="P159" s="272">
        <f t="shared" si="1003"/>
        <v>0</v>
      </c>
      <c r="Q159" s="272">
        <f t="shared" si="1003"/>
        <v>0</v>
      </c>
      <c r="R159" s="272">
        <f t="shared" si="1003"/>
        <v>0</v>
      </c>
      <c r="S159" s="272">
        <f t="shared" si="1003"/>
        <v>0</v>
      </c>
      <c r="T159" s="272">
        <f t="shared" si="1003"/>
        <v>0</v>
      </c>
      <c r="U159" s="270">
        <f t="shared" si="1003"/>
        <v>0</v>
      </c>
      <c r="V159" s="270">
        <f t="shared" si="1003"/>
        <v>0</v>
      </c>
      <c r="W159" s="270">
        <f t="shared" si="1003"/>
        <v>0</v>
      </c>
      <c r="X159" s="270">
        <f t="shared" si="1003"/>
        <v>0</v>
      </c>
      <c r="Y159" s="270">
        <f t="shared" si="1003"/>
        <v>0</v>
      </c>
      <c r="Z159" s="270">
        <f t="shared" si="1003"/>
        <v>0</v>
      </c>
      <c r="AA159" s="270">
        <f t="shared" si="1003"/>
        <v>0</v>
      </c>
      <c r="AB159" s="270">
        <f t="shared" si="1003"/>
        <v>0</v>
      </c>
      <c r="AC159" s="270">
        <f t="shared" si="1003"/>
        <v>0</v>
      </c>
      <c r="AD159" s="270">
        <f t="shared" si="1003"/>
        <v>0</v>
      </c>
      <c r="AE159" s="270">
        <f t="shared" si="1003"/>
        <v>0</v>
      </c>
      <c r="AF159" s="270">
        <f t="shared" si="1003"/>
        <v>0</v>
      </c>
      <c r="AG159" s="270">
        <f t="shared" si="1003"/>
        <v>0</v>
      </c>
      <c r="AH159" s="279">
        <f t="shared" si="602"/>
        <v>0</v>
      </c>
      <c r="AI159" s="270">
        <f t="shared" si="43"/>
        <v>0</v>
      </c>
      <c r="AJ159" s="270">
        <f t="shared" ref="AJ159:AO159" si="1004">IF(F$8=0,0,ROUND(AJ158-(F159-BO159),2))</f>
        <v>0</v>
      </c>
      <c r="AK159" s="270">
        <f t="shared" si="1004"/>
        <v>0</v>
      </c>
      <c r="AL159" s="270">
        <f t="shared" si="1004"/>
        <v>0</v>
      </c>
      <c r="AM159" s="270">
        <f t="shared" si="1004"/>
        <v>0</v>
      </c>
      <c r="AN159" s="270">
        <f t="shared" si="1004"/>
        <v>0</v>
      </c>
      <c r="AO159" s="270">
        <f t="shared" si="1004"/>
        <v>0</v>
      </c>
      <c r="AP159" s="270">
        <v>0.0</v>
      </c>
      <c r="AQ159" s="270">
        <f t="shared" ref="AQ159:AS159" si="1005">IF(M$8=0,0,ROUND(AQ158-(M159-BV159),2))</f>
        <v>0</v>
      </c>
      <c r="AR159" s="270">
        <f t="shared" si="1005"/>
        <v>0</v>
      </c>
      <c r="AS159" s="270">
        <f t="shared" si="1005"/>
        <v>0</v>
      </c>
      <c r="AT159" s="270">
        <f t="shared" si="605"/>
        <v>-6.22</v>
      </c>
      <c r="AU159" s="270">
        <f t="shared" ref="AU159:BK159" si="1006">IF(Q$8=0,0,ROUND(AU158-(Q159-BY159),2))</f>
        <v>-10.98</v>
      </c>
      <c r="AV159" s="270">
        <f t="shared" si="1006"/>
        <v>0</v>
      </c>
      <c r="AW159" s="270">
        <f t="shared" si="1006"/>
        <v>0</v>
      </c>
      <c r="AX159" s="270">
        <f t="shared" si="1006"/>
        <v>0</v>
      </c>
      <c r="AY159" s="270">
        <f t="shared" si="1006"/>
        <v>0</v>
      </c>
      <c r="AZ159" s="270">
        <f t="shared" si="1006"/>
        <v>0</v>
      </c>
      <c r="BA159" s="270">
        <f t="shared" si="1006"/>
        <v>0</v>
      </c>
      <c r="BB159" s="270">
        <f t="shared" si="1006"/>
        <v>0</v>
      </c>
      <c r="BC159" s="270">
        <f t="shared" si="1006"/>
        <v>0</v>
      </c>
      <c r="BD159" s="270">
        <f t="shared" si="1006"/>
        <v>0</v>
      </c>
      <c r="BE159" s="270">
        <f t="shared" si="1006"/>
        <v>0</v>
      </c>
      <c r="BF159" s="270">
        <f t="shared" si="1006"/>
        <v>0</v>
      </c>
      <c r="BG159" s="270">
        <f t="shared" si="1006"/>
        <v>0</v>
      </c>
      <c r="BH159" s="270">
        <f t="shared" si="1006"/>
        <v>0</v>
      </c>
      <c r="BI159" s="270">
        <f t="shared" si="1006"/>
        <v>0</v>
      </c>
      <c r="BJ159" s="270">
        <f t="shared" si="1006"/>
        <v>0</v>
      </c>
      <c r="BK159" s="270">
        <f t="shared" si="1006"/>
        <v>0</v>
      </c>
      <c r="BL159" s="265">
        <f t="shared" si="16"/>
        <v>-17.2</v>
      </c>
      <c r="BM159" s="215"/>
      <c r="BN159" s="270">
        <f t="shared" ref="BN159:CP159" si="1007">ROUND(AI158*E$9/12,2)</f>
        <v>0</v>
      </c>
      <c r="BO159" s="270">
        <f t="shared" si="1007"/>
        <v>0</v>
      </c>
      <c r="BP159" s="270">
        <f t="shared" si="1007"/>
        <v>0</v>
      </c>
      <c r="BQ159" s="270">
        <f t="shared" si="1007"/>
        <v>0</v>
      </c>
      <c r="BR159" s="270">
        <f t="shared" si="1007"/>
        <v>0</v>
      </c>
      <c r="BS159" s="270">
        <f t="shared" si="1007"/>
        <v>0</v>
      </c>
      <c r="BT159" s="270">
        <f t="shared" si="1007"/>
        <v>0</v>
      </c>
      <c r="BU159" s="270">
        <f t="shared" si="1007"/>
        <v>0</v>
      </c>
      <c r="BV159" s="270">
        <f t="shared" si="1007"/>
        <v>0</v>
      </c>
      <c r="BW159" s="270">
        <f t="shared" si="1007"/>
        <v>0</v>
      </c>
      <c r="BX159" s="270">
        <f t="shared" si="1007"/>
        <v>0</v>
      </c>
      <c r="BY159" s="270">
        <f t="shared" si="1007"/>
        <v>-0.05</v>
      </c>
      <c r="BZ159" s="270">
        <f t="shared" si="1007"/>
        <v>-0.03</v>
      </c>
      <c r="CA159" s="270">
        <f t="shared" si="1007"/>
        <v>0</v>
      </c>
      <c r="CB159" s="270">
        <f t="shared" si="1007"/>
        <v>0</v>
      </c>
      <c r="CC159" s="270">
        <f t="shared" si="1007"/>
        <v>0</v>
      </c>
      <c r="CD159" s="270">
        <f t="shared" si="1007"/>
        <v>0</v>
      </c>
      <c r="CE159" s="270">
        <f t="shared" si="1007"/>
        <v>0</v>
      </c>
      <c r="CF159" s="270">
        <f t="shared" si="1007"/>
        <v>0</v>
      </c>
      <c r="CG159" s="270">
        <f t="shared" si="1007"/>
        <v>0</v>
      </c>
      <c r="CH159" s="270">
        <f t="shared" si="1007"/>
        <v>0</v>
      </c>
      <c r="CI159" s="270">
        <f t="shared" si="1007"/>
        <v>0</v>
      </c>
      <c r="CJ159" s="270">
        <f t="shared" si="1007"/>
        <v>0</v>
      </c>
      <c r="CK159" s="270">
        <f t="shared" si="1007"/>
        <v>0</v>
      </c>
      <c r="CL159" s="270">
        <f t="shared" si="1007"/>
        <v>0</v>
      </c>
      <c r="CM159" s="270">
        <f t="shared" si="1007"/>
        <v>0</v>
      </c>
      <c r="CN159" s="270">
        <f t="shared" si="1007"/>
        <v>0</v>
      </c>
      <c r="CO159" s="270">
        <f t="shared" si="1007"/>
        <v>0</v>
      </c>
      <c r="CP159" s="270">
        <f t="shared" si="1007"/>
        <v>0</v>
      </c>
      <c r="CQ159" s="215"/>
      <c r="CR159" s="270">
        <f t="shared" si="27"/>
        <v>-0.08</v>
      </c>
      <c r="CS159" s="215"/>
      <c r="CT159" s="270">
        <f t="shared" ref="CT159:DX159" si="1008">IF(AI158&gt;0,IF((AI158+BN159)&lt;E$10,AI158+BN159,E$10),0)</f>
        <v>0</v>
      </c>
      <c r="CU159" s="270">
        <f t="shared" si="1008"/>
        <v>0</v>
      </c>
      <c r="CV159" s="270">
        <f t="shared" si="1008"/>
        <v>0</v>
      </c>
      <c r="CW159" s="270">
        <f t="shared" si="1008"/>
        <v>0</v>
      </c>
      <c r="CX159" s="270">
        <f t="shared" si="1008"/>
        <v>0</v>
      </c>
      <c r="CY159" s="270">
        <f t="shared" si="1008"/>
        <v>0</v>
      </c>
      <c r="CZ159" s="270">
        <f t="shared" si="1008"/>
        <v>0</v>
      </c>
      <c r="DA159" s="270">
        <f t="shared" si="1008"/>
        <v>0</v>
      </c>
      <c r="DB159" s="270">
        <f t="shared" si="1008"/>
        <v>0</v>
      </c>
      <c r="DC159" s="270">
        <f t="shared" si="1008"/>
        <v>0</v>
      </c>
      <c r="DD159" s="270">
        <f t="shared" si="1008"/>
        <v>0</v>
      </c>
      <c r="DE159" s="270">
        <f t="shared" si="1008"/>
        <v>0</v>
      </c>
      <c r="DF159" s="270">
        <f t="shared" si="1008"/>
        <v>0</v>
      </c>
      <c r="DG159" s="270">
        <f t="shared" si="1008"/>
        <v>0</v>
      </c>
      <c r="DH159" s="270">
        <f t="shared" si="1008"/>
        <v>0</v>
      </c>
      <c r="DI159" s="270">
        <f t="shared" si="1008"/>
        <v>0</v>
      </c>
      <c r="DJ159" s="270">
        <f t="shared" si="1008"/>
        <v>0</v>
      </c>
      <c r="DK159" s="270">
        <f t="shared" si="1008"/>
        <v>0</v>
      </c>
      <c r="DL159" s="270">
        <f t="shared" si="1008"/>
        <v>0</v>
      </c>
      <c r="DM159" s="270">
        <f t="shared" si="1008"/>
        <v>0</v>
      </c>
      <c r="DN159" s="270">
        <f t="shared" si="1008"/>
        <v>0</v>
      </c>
      <c r="DO159" s="270">
        <f t="shared" si="1008"/>
        <v>0</v>
      </c>
      <c r="DP159" s="270">
        <f t="shared" si="1008"/>
        <v>0</v>
      </c>
      <c r="DQ159" s="270">
        <f t="shared" si="1008"/>
        <v>0</v>
      </c>
      <c r="DR159" s="270">
        <f t="shared" si="1008"/>
        <v>0</v>
      </c>
      <c r="DS159" s="270">
        <f t="shared" si="1008"/>
        <v>0</v>
      </c>
      <c r="DT159" s="270">
        <f t="shared" si="1008"/>
        <v>0</v>
      </c>
      <c r="DU159" s="270">
        <f t="shared" si="1008"/>
        <v>0</v>
      </c>
      <c r="DV159" s="270">
        <f t="shared" si="1008"/>
        <v>0</v>
      </c>
      <c r="DW159" s="270">
        <f t="shared" si="1008"/>
        <v>0</v>
      </c>
      <c r="DX159" s="270">
        <f t="shared" si="1008"/>
        <v>0</v>
      </c>
      <c r="DY159" s="270">
        <f t="shared" si="29"/>
        <v>0</v>
      </c>
      <c r="DZ159" s="274"/>
      <c r="EA159" s="275">
        <f t="shared" si="38"/>
        <v>0</v>
      </c>
      <c r="EB159" s="270">
        <f t="shared" ref="EB159:FC159" si="1009">IF(AJ157&lt;=0,0,IF($C158&lt;=SUM($EA159:EA159),0,IF(CU158+$C158-SUM($EA159:EA159)&gt;AJ157+BO158,AJ157+BO158-CU158,$C158-SUM($EA159:EA159))))</f>
        <v>0</v>
      </c>
      <c r="EC159" s="270">
        <f t="shared" si="1009"/>
        <v>0</v>
      </c>
      <c r="ED159" s="270">
        <f t="shared" si="1009"/>
        <v>0</v>
      </c>
      <c r="EE159" s="270">
        <f t="shared" si="1009"/>
        <v>0</v>
      </c>
      <c r="EF159" s="270">
        <f t="shared" si="1009"/>
        <v>0</v>
      </c>
      <c r="EG159" s="270">
        <f t="shared" si="1009"/>
        <v>0</v>
      </c>
      <c r="EH159" s="270">
        <f t="shared" si="1009"/>
        <v>0</v>
      </c>
      <c r="EI159" s="270">
        <f t="shared" si="1009"/>
        <v>0</v>
      </c>
      <c r="EJ159" s="270">
        <f t="shared" si="1009"/>
        <v>0</v>
      </c>
      <c r="EK159" s="270">
        <f t="shared" si="1009"/>
        <v>0</v>
      </c>
      <c r="EL159" s="270">
        <f t="shared" si="1009"/>
        <v>0</v>
      </c>
      <c r="EM159" s="270">
        <f t="shared" si="1009"/>
        <v>0</v>
      </c>
      <c r="EN159" s="270">
        <f t="shared" si="1009"/>
        <v>0</v>
      </c>
      <c r="EO159" s="270">
        <f t="shared" si="1009"/>
        <v>0</v>
      </c>
      <c r="EP159" s="270">
        <f t="shared" si="1009"/>
        <v>0</v>
      </c>
      <c r="EQ159" s="270">
        <f t="shared" si="1009"/>
        <v>0</v>
      </c>
      <c r="ER159" s="270">
        <f t="shared" si="1009"/>
        <v>0</v>
      </c>
      <c r="ES159" s="270">
        <f t="shared" si="1009"/>
        <v>0</v>
      </c>
      <c r="ET159" s="270">
        <f t="shared" si="1009"/>
        <v>0</v>
      </c>
      <c r="EU159" s="270">
        <f t="shared" si="1009"/>
        <v>0</v>
      </c>
      <c r="EV159" s="270">
        <f t="shared" si="1009"/>
        <v>0</v>
      </c>
      <c r="EW159" s="270">
        <f t="shared" si="1009"/>
        <v>0</v>
      </c>
      <c r="EX159" s="270">
        <f t="shared" si="1009"/>
        <v>0</v>
      </c>
      <c r="EY159" s="270">
        <f t="shared" si="1009"/>
        <v>0</v>
      </c>
      <c r="EZ159" s="270">
        <f t="shared" si="1009"/>
        <v>0</v>
      </c>
      <c r="FA159" s="270">
        <f t="shared" si="1009"/>
        <v>0</v>
      </c>
      <c r="FB159" s="270">
        <f t="shared" si="1009"/>
        <v>0</v>
      </c>
      <c r="FC159" s="270">
        <f t="shared" si="1009"/>
        <v>0</v>
      </c>
      <c r="FD159" s="271"/>
      <c r="FE159" s="271"/>
      <c r="FF159" s="271"/>
      <c r="FG159" s="215"/>
      <c r="FH159" s="215"/>
    </row>
    <row r="160" ht="11.25" customHeight="1">
      <c r="A160" s="215" t="str">
        <f t="shared" si="19"/>
        <v/>
      </c>
      <c r="B160" s="241" t="str">
        <f t="shared" si="600"/>
        <v>#N/A</v>
      </c>
      <c r="C160" s="271" t="str">
        <f>IF(A160="","",IF(Calculator!snowball,IF(($E$5-DY160)&lt;0,0,$E$5-DY160),0)+D160)</f>
        <v/>
      </c>
      <c r="D160" s="271"/>
      <c r="E160" s="270">
        <f t="shared" si="40"/>
        <v>0</v>
      </c>
      <c r="F160" s="270">
        <f t="shared" ref="F160:AG160" si="1010">CU160+EB161</f>
        <v>0</v>
      </c>
      <c r="G160" s="270">
        <f t="shared" si="1010"/>
        <v>0</v>
      </c>
      <c r="H160" s="270">
        <f t="shared" si="1010"/>
        <v>0</v>
      </c>
      <c r="I160" s="270">
        <f t="shared" si="1010"/>
        <v>0</v>
      </c>
      <c r="J160" s="270">
        <f t="shared" si="1010"/>
        <v>0</v>
      </c>
      <c r="K160" s="270">
        <f t="shared" si="1010"/>
        <v>0</v>
      </c>
      <c r="L160" s="270">
        <f t="shared" si="1010"/>
        <v>0</v>
      </c>
      <c r="M160" s="270">
        <f t="shared" si="1010"/>
        <v>0</v>
      </c>
      <c r="N160" s="270">
        <f t="shared" si="1010"/>
        <v>0</v>
      </c>
      <c r="O160" s="270">
        <f t="shared" si="1010"/>
        <v>0</v>
      </c>
      <c r="P160" s="272">
        <f t="shared" si="1010"/>
        <v>0</v>
      </c>
      <c r="Q160" s="272">
        <f t="shared" si="1010"/>
        <v>0</v>
      </c>
      <c r="R160" s="272">
        <f t="shared" si="1010"/>
        <v>0</v>
      </c>
      <c r="S160" s="272">
        <f t="shared" si="1010"/>
        <v>0</v>
      </c>
      <c r="T160" s="272">
        <f t="shared" si="1010"/>
        <v>0</v>
      </c>
      <c r="U160" s="270">
        <f t="shared" si="1010"/>
        <v>0</v>
      </c>
      <c r="V160" s="270">
        <f t="shared" si="1010"/>
        <v>0</v>
      </c>
      <c r="W160" s="270">
        <f t="shared" si="1010"/>
        <v>0</v>
      </c>
      <c r="X160" s="270">
        <f t="shared" si="1010"/>
        <v>0</v>
      </c>
      <c r="Y160" s="270">
        <f t="shared" si="1010"/>
        <v>0</v>
      </c>
      <c r="Z160" s="270">
        <f t="shared" si="1010"/>
        <v>0</v>
      </c>
      <c r="AA160" s="270">
        <f t="shared" si="1010"/>
        <v>0</v>
      </c>
      <c r="AB160" s="270">
        <f t="shared" si="1010"/>
        <v>0</v>
      </c>
      <c r="AC160" s="270">
        <f t="shared" si="1010"/>
        <v>0</v>
      </c>
      <c r="AD160" s="270">
        <f t="shared" si="1010"/>
        <v>0</v>
      </c>
      <c r="AE160" s="270">
        <f t="shared" si="1010"/>
        <v>0</v>
      </c>
      <c r="AF160" s="270">
        <f t="shared" si="1010"/>
        <v>0</v>
      </c>
      <c r="AG160" s="270">
        <f t="shared" si="1010"/>
        <v>0</v>
      </c>
      <c r="AH160" s="279">
        <f t="shared" si="602"/>
        <v>0</v>
      </c>
      <c r="AI160" s="270">
        <f t="shared" si="43"/>
        <v>0</v>
      </c>
      <c r="AJ160" s="270">
        <f t="shared" ref="AJ160:AO160" si="1011">IF(F$8=0,0,ROUND(AJ159-(F160-BO160),2))</f>
        <v>0</v>
      </c>
      <c r="AK160" s="270">
        <f t="shared" si="1011"/>
        <v>0</v>
      </c>
      <c r="AL160" s="270">
        <f t="shared" si="1011"/>
        <v>0</v>
      </c>
      <c r="AM160" s="270">
        <f t="shared" si="1011"/>
        <v>0</v>
      </c>
      <c r="AN160" s="270">
        <f t="shared" si="1011"/>
        <v>0</v>
      </c>
      <c r="AO160" s="270">
        <f t="shared" si="1011"/>
        <v>0</v>
      </c>
      <c r="AP160" s="270">
        <v>0.0</v>
      </c>
      <c r="AQ160" s="270">
        <f t="shared" ref="AQ160:AS160" si="1012">IF(M$8=0,0,ROUND(AQ159-(M160-BV160),2))</f>
        <v>0</v>
      </c>
      <c r="AR160" s="270">
        <f t="shared" si="1012"/>
        <v>0</v>
      </c>
      <c r="AS160" s="270">
        <f t="shared" si="1012"/>
        <v>0</v>
      </c>
      <c r="AT160" s="270">
        <f t="shared" si="605"/>
        <v>-6.22</v>
      </c>
      <c r="AU160" s="270">
        <f t="shared" ref="AU160:BK160" si="1013">IF(Q$8=0,0,ROUND(AU159-(Q160-BY160),2))</f>
        <v>-11.03</v>
      </c>
      <c r="AV160" s="270">
        <f t="shared" si="1013"/>
        <v>0</v>
      </c>
      <c r="AW160" s="270">
        <f t="shared" si="1013"/>
        <v>0</v>
      </c>
      <c r="AX160" s="270">
        <f t="shared" si="1013"/>
        <v>0</v>
      </c>
      <c r="AY160" s="270">
        <f t="shared" si="1013"/>
        <v>0</v>
      </c>
      <c r="AZ160" s="270">
        <f t="shared" si="1013"/>
        <v>0</v>
      </c>
      <c r="BA160" s="270">
        <f t="shared" si="1013"/>
        <v>0</v>
      </c>
      <c r="BB160" s="270">
        <f t="shared" si="1013"/>
        <v>0</v>
      </c>
      <c r="BC160" s="270">
        <f t="shared" si="1013"/>
        <v>0</v>
      </c>
      <c r="BD160" s="270">
        <f t="shared" si="1013"/>
        <v>0</v>
      </c>
      <c r="BE160" s="270">
        <f t="shared" si="1013"/>
        <v>0</v>
      </c>
      <c r="BF160" s="270">
        <f t="shared" si="1013"/>
        <v>0</v>
      </c>
      <c r="BG160" s="270">
        <f t="shared" si="1013"/>
        <v>0</v>
      </c>
      <c r="BH160" s="270">
        <f t="shared" si="1013"/>
        <v>0</v>
      </c>
      <c r="BI160" s="270">
        <f t="shared" si="1013"/>
        <v>0</v>
      </c>
      <c r="BJ160" s="270">
        <f t="shared" si="1013"/>
        <v>0</v>
      </c>
      <c r="BK160" s="270">
        <f t="shared" si="1013"/>
        <v>0</v>
      </c>
      <c r="BL160" s="265">
        <f t="shared" si="16"/>
        <v>-17.25</v>
      </c>
      <c r="BM160" s="215"/>
      <c r="BN160" s="270">
        <f t="shared" ref="BN160:CP160" si="1014">ROUND(AI159*E$9/12,2)</f>
        <v>0</v>
      </c>
      <c r="BO160" s="270">
        <f t="shared" si="1014"/>
        <v>0</v>
      </c>
      <c r="BP160" s="270">
        <f t="shared" si="1014"/>
        <v>0</v>
      </c>
      <c r="BQ160" s="270">
        <f t="shared" si="1014"/>
        <v>0</v>
      </c>
      <c r="BR160" s="270">
        <f t="shared" si="1014"/>
        <v>0</v>
      </c>
      <c r="BS160" s="270">
        <f t="shared" si="1014"/>
        <v>0</v>
      </c>
      <c r="BT160" s="270">
        <f t="shared" si="1014"/>
        <v>0</v>
      </c>
      <c r="BU160" s="270">
        <f t="shared" si="1014"/>
        <v>0</v>
      </c>
      <c r="BV160" s="270">
        <f t="shared" si="1014"/>
        <v>0</v>
      </c>
      <c r="BW160" s="270">
        <f t="shared" si="1014"/>
        <v>0</v>
      </c>
      <c r="BX160" s="270">
        <f t="shared" si="1014"/>
        <v>0</v>
      </c>
      <c r="BY160" s="270">
        <f t="shared" si="1014"/>
        <v>-0.05</v>
      </c>
      <c r="BZ160" s="270">
        <f t="shared" si="1014"/>
        <v>-0.03</v>
      </c>
      <c r="CA160" s="270">
        <f t="shared" si="1014"/>
        <v>0</v>
      </c>
      <c r="CB160" s="270">
        <f t="shared" si="1014"/>
        <v>0</v>
      </c>
      <c r="CC160" s="270">
        <f t="shared" si="1014"/>
        <v>0</v>
      </c>
      <c r="CD160" s="270">
        <f t="shared" si="1014"/>
        <v>0</v>
      </c>
      <c r="CE160" s="270">
        <f t="shared" si="1014"/>
        <v>0</v>
      </c>
      <c r="CF160" s="270">
        <f t="shared" si="1014"/>
        <v>0</v>
      </c>
      <c r="CG160" s="270">
        <f t="shared" si="1014"/>
        <v>0</v>
      </c>
      <c r="CH160" s="270">
        <f t="shared" si="1014"/>
        <v>0</v>
      </c>
      <c r="CI160" s="270">
        <f t="shared" si="1014"/>
        <v>0</v>
      </c>
      <c r="CJ160" s="270">
        <f t="shared" si="1014"/>
        <v>0</v>
      </c>
      <c r="CK160" s="270">
        <f t="shared" si="1014"/>
        <v>0</v>
      </c>
      <c r="CL160" s="270">
        <f t="shared" si="1014"/>
        <v>0</v>
      </c>
      <c r="CM160" s="270">
        <f t="shared" si="1014"/>
        <v>0</v>
      </c>
      <c r="CN160" s="270">
        <f t="shared" si="1014"/>
        <v>0</v>
      </c>
      <c r="CO160" s="270">
        <f t="shared" si="1014"/>
        <v>0</v>
      </c>
      <c r="CP160" s="270">
        <f t="shared" si="1014"/>
        <v>0</v>
      </c>
      <c r="CQ160" s="215"/>
      <c r="CR160" s="270">
        <f t="shared" si="27"/>
        <v>-0.08</v>
      </c>
      <c r="CS160" s="215"/>
      <c r="CT160" s="270">
        <f t="shared" ref="CT160:DX160" si="1015">IF(AI159&gt;0,IF((AI159+BN160)&lt;E$10,AI159+BN160,E$10),0)</f>
        <v>0</v>
      </c>
      <c r="CU160" s="270">
        <f t="shared" si="1015"/>
        <v>0</v>
      </c>
      <c r="CV160" s="270">
        <f t="shared" si="1015"/>
        <v>0</v>
      </c>
      <c r="CW160" s="270">
        <f t="shared" si="1015"/>
        <v>0</v>
      </c>
      <c r="CX160" s="270">
        <f t="shared" si="1015"/>
        <v>0</v>
      </c>
      <c r="CY160" s="270">
        <f t="shared" si="1015"/>
        <v>0</v>
      </c>
      <c r="CZ160" s="270">
        <f t="shared" si="1015"/>
        <v>0</v>
      </c>
      <c r="DA160" s="270">
        <f t="shared" si="1015"/>
        <v>0</v>
      </c>
      <c r="DB160" s="270">
        <f t="shared" si="1015"/>
        <v>0</v>
      </c>
      <c r="DC160" s="270">
        <f t="shared" si="1015"/>
        <v>0</v>
      </c>
      <c r="DD160" s="270">
        <f t="shared" si="1015"/>
        <v>0</v>
      </c>
      <c r="DE160" s="270">
        <f t="shared" si="1015"/>
        <v>0</v>
      </c>
      <c r="DF160" s="270">
        <f t="shared" si="1015"/>
        <v>0</v>
      </c>
      <c r="DG160" s="270">
        <f t="shared" si="1015"/>
        <v>0</v>
      </c>
      <c r="DH160" s="270">
        <f t="shared" si="1015"/>
        <v>0</v>
      </c>
      <c r="DI160" s="270">
        <f t="shared" si="1015"/>
        <v>0</v>
      </c>
      <c r="DJ160" s="270">
        <f t="shared" si="1015"/>
        <v>0</v>
      </c>
      <c r="DK160" s="270">
        <f t="shared" si="1015"/>
        <v>0</v>
      </c>
      <c r="DL160" s="270">
        <f t="shared" si="1015"/>
        <v>0</v>
      </c>
      <c r="DM160" s="270">
        <f t="shared" si="1015"/>
        <v>0</v>
      </c>
      <c r="DN160" s="270">
        <f t="shared" si="1015"/>
        <v>0</v>
      </c>
      <c r="DO160" s="270">
        <f t="shared" si="1015"/>
        <v>0</v>
      </c>
      <c r="DP160" s="270">
        <f t="shared" si="1015"/>
        <v>0</v>
      </c>
      <c r="DQ160" s="270">
        <f t="shared" si="1015"/>
        <v>0</v>
      </c>
      <c r="DR160" s="270">
        <f t="shared" si="1015"/>
        <v>0</v>
      </c>
      <c r="DS160" s="270">
        <f t="shared" si="1015"/>
        <v>0</v>
      </c>
      <c r="DT160" s="270">
        <f t="shared" si="1015"/>
        <v>0</v>
      </c>
      <c r="DU160" s="270">
        <f t="shared" si="1015"/>
        <v>0</v>
      </c>
      <c r="DV160" s="270">
        <f t="shared" si="1015"/>
        <v>0</v>
      </c>
      <c r="DW160" s="270">
        <f t="shared" si="1015"/>
        <v>0</v>
      </c>
      <c r="DX160" s="270">
        <f t="shared" si="1015"/>
        <v>0</v>
      </c>
      <c r="DY160" s="270">
        <f t="shared" si="29"/>
        <v>0</v>
      </c>
      <c r="DZ160" s="274"/>
      <c r="EA160" s="275">
        <f t="shared" si="38"/>
        <v>0</v>
      </c>
      <c r="EB160" s="270">
        <f t="shared" ref="EB160:FC160" si="1016">IF(AJ158&lt;=0,0,IF($C159&lt;=SUM($EA160:EA160),0,IF(CU159+$C159-SUM($EA160:EA160)&gt;AJ158+BO159,AJ158+BO159-CU159,$C159-SUM($EA160:EA160))))</f>
        <v>0</v>
      </c>
      <c r="EC160" s="270">
        <f t="shared" si="1016"/>
        <v>0</v>
      </c>
      <c r="ED160" s="270">
        <f t="shared" si="1016"/>
        <v>0</v>
      </c>
      <c r="EE160" s="270">
        <f t="shared" si="1016"/>
        <v>0</v>
      </c>
      <c r="EF160" s="270">
        <f t="shared" si="1016"/>
        <v>0</v>
      </c>
      <c r="EG160" s="270">
        <f t="shared" si="1016"/>
        <v>0</v>
      </c>
      <c r="EH160" s="270">
        <f t="shared" si="1016"/>
        <v>0</v>
      </c>
      <c r="EI160" s="270">
        <f t="shared" si="1016"/>
        <v>0</v>
      </c>
      <c r="EJ160" s="270">
        <f t="shared" si="1016"/>
        <v>0</v>
      </c>
      <c r="EK160" s="270">
        <f t="shared" si="1016"/>
        <v>0</v>
      </c>
      <c r="EL160" s="270">
        <f t="shared" si="1016"/>
        <v>0</v>
      </c>
      <c r="EM160" s="270">
        <f t="shared" si="1016"/>
        <v>0</v>
      </c>
      <c r="EN160" s="270">
        <f t="shared" si="1016"/>
        <v>0</v>
      </c>
      <c r="EO160" s="270">
        <f t="shared" si="1016"/>
        <v>0</v>
      </c>
      <c r="EP160" s="270">
        <f t="shared" si="1016"/>
        <v>0</v>
      </c>
      <c r="EQ160" s="270">
        <f t="shared" si="1016"/>
        <v>0</v>
      </c>
      <c r="ER160" s="270">
        <f t="shared" si="1016"/>
        <v>0</v>
      </c>
      <c r="ES160" s="270">
        <f t="shared" si="1016"/>
        <v>0</v>
      </c>
      <c r="ET160" s="270">
        <f t="shared" si="1016"/>
        <v>0</v>
      </c>
      <c r="EU160" s="270">
        <f t="shared" si="1016"/>
        <v>0</v>
      </c>
      <c r="EV160" s="270">
        <f t="shared" si="1016"/>
        <v>0</v>
      </c>
      <c r="EW160" s="270">
        <f t="shared" si="1016"/>
        <v>0</v>
      </c>
      <c r="EX160" s="270">
        <f t="shared" si="1016"/>
        <v>0</v>
      </c>
      <c r="EY160" s="270">
        <f t="shared" si="1016"/>
        <v>0</v>
      </c>
      <c r="EZ160" s="270">
        <f t="shared" si="1016"/>
        <v>0</v>
      </c>
      <c r="FA160" s="270">
        <f t="shared" si="1016"/>
        <v>0</v>
      </c>
      <c r="FB160" s="270">
        <f t="shared" si="1016"/>
        <v>0</v>
      </c>
      <c r="FC160" s="270">
        <f t="shared" si="1016"/>
        <v>0</v>
      </c>
      <c r="FD160" s="271"/>
      <c r="FE160" s="271"/>
      <c r="FF160" s="271"/>
      <c r="FG160" s="215"/>
      <c r="FH160" s="215"/>
    </row>
    <row r="161" ht="11.25" customHeight="1">
      <c r="A161" s="215" t="str">
        <f t="shared" si="19"/>
        <v/>
      </c>
      <c r="B161" s="241" t="str">
        <f t="shared" si="600"/>
        <v>#N/A</v>
      </c>
      <c r="C161" s="271" t="str">
        <f>IF(A161="","",IF(Calculator!snowball,IF(($E$5-DY161)&lt;0,0,$E$5-DY161),0)+D161)</f>
        <v/>
      </c>
      <c r="D161" s="271"/>
      <c r="E161" s="270">
        <f t="shared" si="40"/>
        <v>0</v>
      </c>
      <c r="F161" s="270">
        <f t="shared" ref="F161:AG161" si="1017">CU161+EB162</f>
        <v>0</v>
      </c>
      <c r="G161" s="270">
        <f t="shared" si="1017"/>
        <v>0</v>
      </c>
      <c r="H161" s="270">
        <f t="shared" si="1017"/>
        <v>0</v>
      </c>
      <c r="I161" s="270">
        <f t="shared" si="1017"/>
        <v>0</v>
      </c>
      <c r="J161" s="270">
        <f t="shared" si="1017"/>
        <v>0</v>
      </c>
      <c r="K161" s="270">
        <f t="shared" si="1017"/>
        <v>0</v>
      </c>
      <c r="L161" s="270">
        <f t="shared" si="1017"/>
        <v>0</v>
      </c>
      <c r="M161" s="270">
        <f t="shared" si="1017"/>
        <v>0</v>
      </c>
      <c r="N161" s="270">
        <f t="shared" si="1017"/>
        <v>0</v>
      </c>
      <c r="O161" s="270">
        <f t="shared" si="1017"/>
        <v>0</v>
      </c>
      <c r="P161" s="272">
        <f t="shared" si="1017"/>
        <v>0</v>
      </c>
      <c r="Q161" s="272">
        <f t="shared" si="1017"/>
        <v>0</v>
      </c>
      <c r="R161" s="272">
        <f t="shared" si="1017"/>
        <v>0</v>
      </c>
      <c r="S161" s="272">
        <f t="shared" si="1017"/>
        <v>0</v>
      </c>
      <c r="T161" s="272">
        <f t="shared" si="1017"/>
        <v>0</v>
      </c>
      <c r="U161" s="270">
        <f t="shared" si="1017"/>
        <v>0</v>
      </c>
      <c r="V161" s="270">
        <f t="shared" si="1017"/>
        <v>0</v>
      </c>
      <c r="W161" s="270">
        <f t="shared" si="1017"/>
        <v>0</v>
      </c>
      <c r="X161" s="270">
        <f t="shared" si="1017"/>
        <v>0</v>
      </c>
      <c r="Y161" s="270">
        <f t="shared" si="1017"/>
        <v>0</v>
      </c>
      <c r="Z161" s="270">
        <f t="shared" si="1017"/>
        <v>0</v>
      </c>
      <c r="AA161" s="270">
        <f t="shared" si="1017"/>
        <v>0</v>
      </c>
      <c r="AB161" s="270">
        <f t="shared" si="1017"/>
        <v>0</v>
      </c>
      <c r="AC161" s="270">
        <f t="shared" si="1017"/>
        <v>0</v>
      </c>
      <c r="AD161" s="270">
        <f t="shared" si="1017"/>
        <v>0</v>
      </c>
      <c r="AE161" s="270">
        <f t="shared" si="1017"/>
        <v>0</v>
      </c>
      <c r="AF161" s="270">
        <f t="shared" si="1017"/>
        <v>0</v>
      </c>
      <c r="AG161" s="270">
        <f t="shared" si="1017"/>
        <v>0</v>
      </c>
      <c r="AH161" s="279">
        <f t="shared" si="602"/>
        <v>0</v>
      </c>
      <c r="AI161" s="270">
        <f t="shared" si="43"/>
        <v>0</v>
      </c>
      <c r="AJ161" s="270">
        <f t="shared" ref="AJ161:AO161" si="1018">IF(F$8=0,0,ROUND(AJ160-(F161-BO161),2))</f>
        <v>0</v>
      </c>
      <c r="AK161" s="270">
        <f t="shared" si="1018"/>
        <v>0</v>
      </c>
      <c r="AL161" s="270">
        <f t="shared" si="1018"/>
        <v>0</v>
      </c>
      <c r="AM161" s="270">
        <f t="shared" si="1018"/>
        <v>0</v>
      </c>
      <c r="AN161" s="270">
        <f t="shared" si="1018"/>
        <v>0</v>
      </c>
      <c r="AO161" s="270">
        <f t="shared" si="1018"/>
        <v>0</v>
      </c>
      <c r="AP161" s="270">
        <v>0.0</v>
      </c>
      <c r="AQ161" s="270">
        <f t="shared" ref="AQ161:AS161" si="1019">IF(M$8=0,0,ROUND(AQ160-(M161-BV161),2))</f>
        <v>0</v>
      </c>
      <c r="AR161" s="270">
        <f t="shared" si="1019"/>
        <v>0</v>
      </c>
      <c r="AS161" s="270">
        <f t="shared" si="1019"/>
        <v>0</v>
      </c>
      <c r="AT161" s="270">
        <f t="shared" si="605"/>
        <v>-6.22</v>
      </c>
      <c r="AU161" s="270">
        <f t="shared" ref="AU161:BK161" si="1020">IF(Q$8=0,0,ROUND(AU160-(Q161-BY161),2))</f>
        <v>-11.08</v>
      </c>
      <c r="AV161" s="270">
        <f t="shared" si="1020"/>
        <v>0</v>
      </c>
      <c r="AW161" s="270">
        <f t="shared" si="1020"/>
        <v>0</v>
      </c>
      <c r="AX161" s="270">
        <f t="shared" si="1020"/>
        <v>0</v>
      </c>
      <c r="AY161" s="270">
        <f t="shared" si="1020"/>
        <v>0</v>
      </c>
      <c r="AZ161" s="270">
        <f t="shared" si="1020"/>
        <v>0</v>
      </c>
      <c r="BA161" s="270">
        <f t="shared" si="1020"/>
        <v>0</v>
      </c>
      <c r="BB161" s="270">
        <f t="shared" si="1020"/>
        <v>0</v>
      </c>
      <c r="BC161" s="270">
        <f t="shared" si="1020"/>
        <v>0</v>
      </c>
      <c r="BD161" s="270">
        <f t="shared" si="1020"/>
        <v>0</v>
      </c>
      <c r="BE161" s="270">
        <f t="shared" si="1020"/>
        <v>0</v>
      </c>
      <c r="BF161" s="270">
        <f t="shared" si="1020"/>
        <v>0</v>
      </c>
      <c r="BG161" s="270">
        <f t="shared" si="1020"/>
        <v>0</v>
      </c>
      <c r="BH161" s="270">
        <f t="shared" si="1020"/>
        <v>0</v>
      </c>
      <c r="BI161" s="270">
        <f t="shared" si="1020"/>
        <v>0</v>
      </c>
      <c r="BJ161" s="270">
        <f t="shared" si="1020"/>
        <v>0</v>
      </c>
      <c r="BK161" s="270">
        <f t="shared" si="1020"/>
        <v>0</v>
      </c>
      <c r="BL161" s="265">
        <f t="shared" si="16"/>
        <v>-17.3</v>
      </c>
      <c r="BM161" s="215"/>
      <c r="BN161" s="270">
        <f t="shared" ref="BN161:CP161" si="1021">ROUND(AI160*E$9/12,2)</f>
        <v>0</v>
      </c>
      <c r="BO161" s="270">
        <f t="shared" si="1021"/>
        <v>0</v>
      </c>
      <c r="BP161" s="270">
        <f t="shared" si="1021"/>
        <v>0</v>
      </c>
      <c r="BQ161" s="270">
        <f t="shared" si="1021"/>
        <v>0</v>
      </c>
      <c r="BR161" s="270">
        <f t="shared" si="1021"/>
        <v>0</v>
      </c>
      <c r="BS161" s="270">
        <f t="shared" si="1021"/>
        <v>0</v>
      </c>
      <c r="BT161" s="270">
        <f t="shared" si="1021"/>
        <v>0</v>
      </c>
      <c r="BU161" s="270">
        <f t="shared" si="1021"/>
        <v>0</v>
      </c>
      <c r="BV161" s="270">
        <f t="shared" si="1021"/>
        <v>0</v>
      </c>
      <c r="BW161" s="270">
        <f t="shared" si="1021"/>
        <v>0</v>
      </c>
      <c r="BX161" s="270">
        <f t="shared" si="1021"/>
        <v>0</v>
      </c>
      <c r="BY161" s="270">
        <f t="shared" si="1021"/>
        <v>-0.05</v>
      </c>
      <c r="BZ161" s="270">
        <f t="shared" si="1021"/>
        <v>-0.03</v>
      </c>
      <c r="CA161" s="270">
        <f t="shared" si="1021"/>
        <v>0</v>
      </c>
      <c r="CB161" s="270">
        <f t="shared" si="1021"/>
        <v>0</v>
      </c>
      <c r="CC161" s="270">
        <f t="shared" si="1021"/>
        <v>0</v>
      </c>
      <c r="CD161" s="270">
        <f t="shared" si="1021"/>
        <v>0</v>
      </c>
      <c r="CE161" s="270">
        <f t="shared" si="1021"/>
        <v>0</v>
      </c>
      <c r="CF161" s="270">
        <f t="shared" si="1021"/>
        <v>0</v>
      </c>
      <c r="CG161" s="270">
        <f t="shared" si="1021"/>
        <v>0</v>
      </c>
      <c r="CH161" s="270">
        <f t="shared" si="1021"/>
        <v>0</v>
      </c>
      <c r="CI161" s="270">
        <f t="shared" si="1021"/>
        <v>0</v>
      </c>
      <c r="CJ161" s="270">
        <f t="shared" si="1021"/>
        <v>0</v>
      </c>
      <c r="CK161" s="270">
        <f t="shared" si="1021"/>
        <v>0</v>
      </c>
      <c r="CL161" s="270">
        <f t="shared" si="1021"/>
        <v>0</v>
      </c>
      <c r="CM161" s="270">
        <f t="shared" si="1021"/>
        <v>0</v>
      </c>
      <c r="CN161" s="270">
        <f t="shared" si="1021"/>
        <v>0</v>
      </c>
      <c r="CO161" s="270">
        <f t="shared" si="1021"/>
        <v>0</v>
      </c>
      <c r="CP161" s="270">
        <f t="shared" si="1021"/>
        <v>0</v>
      </c>
      <c r="CQ161" s="215"/>
      <c r="CR161" s="270">
        <f t="shared" si="27"/>
        <v>-0.08</v>
      </c>
      <c r="CS161" s="215"/>
      <c r="CT161" s="270">
        <f t="shared" ref="CT161:DX161" si="1022">IF(AI160&gt;0,IF((AI160+BN161)&lt;E$10,AI160+BN161,E$10),0)</f>
        <v>0</v>
      </c>
      <c r="CU161" s="270">
        <f t="shared" si="1022"/>
        <v>0</v>
      </c>
      <c r="CV161" s="270">
        <f t="shared" si="1022"/>
        <v>0</v>
      </c>
      <c r="CW161" s="270">
        <f t="shared" si="1022"/>
        <v>0</v>
      </c>
      <c r="CX161" s="270">
        <f t="shared" si="1022"/>
        <v>0</v>
      </c>
      <c r="CY161" s="270">
        <f t="shared" si="1022"/>
        <v>0</v>
      </c>
      <c r="CZ161" s="270">
        <f t="shared" si="1022"/>
        <v>0</v>
      </c>
      <c r="DA161" s="270">
        <f t="shared" si="1022"/>
        <v>0</v>
      </c>
      <c r="DB161" s="270">
        <f t="shared" si="1022"/>
        <v>0</v>
      </c>
      <c r="DC161" s="270">
        <f t="shared" si="1022"/>
        <v>0</v>
      </c>
      <c r="DD161" s="270">
        <f t="shared" si="1022"/>
        <v>0</v>
      </c>
      <c r="DE161" s="270">
        <f t="shared" si="1022"/>
        <v>0</v>
      </c>
      <c r="DF161" s="270">
        <f t="shared" si="1022"/>
        <v>0</v>
      </c>
      <c r="DG161" s="270">
        <f t="shared" si="1022"/>
        <v>0</v>
      </c>
      <c r="DH161" s="270">
        <f t="shared" si="1022"/>
        <v>0</v>
      </c>
      <c r="DI161" s="270">
        <f t="shared" si="1022"/>
        <v>0</v>
      </c>
      <c r="DJ161" s="270">
        <f t="shared" si="1022"/>
        <v>0</v>
      </c>
      <c r="DK161" s="270">
        <f t="shared" si="1022"/>
        <v>0</v>
      </c>
      <c r="DL161" s="270">
        <f t="shared" si="1022"/>
        <v>0</v>
      </c>
      <c r="DM161" s="270">
        <f t="shared" si="1022"/>
        <v>0</v>
      </c>
      <c r="DN161" s="270">
        <f t="shared" si="1022"/>
        <v>0</v>
      </c>
      <c r="DO161" s="270">
        <f t="shared" si="1022"/>
        <v>0</v>
      </c>
      <c r="DP161" s="270">
        <f t="shared" si="1022"/>
        <v>0</v>
      </c>
      <c r="DQ161" s="270">
        <f t="shared" si="1022"/>
        <v>0</v>
      </c>
      <c r="DR161" s="270">
        <f t="shared" si="1022"/>
        <v>0</v>
      </c>
      <c r="DS161" s="270">
        <f t="shared" si="1022"/>
        <v>0</v>
      </c>
      <c r="DT161" s="270">
        <f t="shared" si="1022"/>
        <v>0</v>
      </c>
      <c r="DU161" s="270">
        <f t="shared" si="1022"/>
        <v>0</v>
      </c>
      <c r="DV161" s="270">
        <f t="shared" si="1022"/>
        <v>0</v>
      </c>
      <c r="DW161" s="270">
        <f t="shared" si="1022"/>
        <v>0</v>
      </c>
      <c r="DX161" s="270">
        <f t="shared" si="1022"/>
        <v>0</v>
      </c>
      <c r="DY161" s="270">
        <f t="shared" si="29"/>
        <v>0</v>
      </c>
      <c r="DZ161" s="274"/>
      <c r="EA161" s="275">
        <f t="shared" si="38"/>
        <v>0</v>
      </c>
      <c r="EB161" s="270">
        <f t="shared" ref="EB161:FC161" si="1023">IF(AJ159&lt;=0,0,IF($C160&lt;=SUM($EA161:EA161),0,IF(CU160+$C160-SUM($EA161:EA161)&gt;AJ159+BO160,AJ159+BO160-CU160,$C160-SUM($EA161:EA161))))</f>
        <v>0</v>
      </c>
      <c r="EC161" s="270">
        <f t="shared" si="1023"/>
        <v>0</v>
      </c>
      <c r="ED161" s="270">
        <f t="shared" si="1023"/>
        <v>0</v>
      </c>
      <c r="EE161" s="270">
        <f t="shared" si="1023"/>
        <v>0</v>
      </c>
      <c r="EF161" s="270">
        <f t="shared" si="1023"/>
        <v>0</v>
      </c>
      <c r="EG161" s="270">
        <f t="shared" si="1023"/>
        <v>0</v>
      </c>
      <c r="EH161" s="270">
        <f t="shared" si="1023"/>
        <v>0</v>
      </c>
      <c r="EI161" s="270">
        <f t="shared" si="1023"/>
        <v>0</v>
      </c>
      <c r="EJ161" s="270">
        <f t="shared" si="1023"/>
        <v>0</v>
      </c>
      <c r="EK161" s="270">
        <f t="shared" si="1023"/>
        <v>0</v>
      </c>
      <c r="EL161" s="270">
        <f t="shared" si="1023"/>
        <v>0</v>
      </c>
      <c r="EM161" s="270">
        <f t="shared" si="1023"/>
        <v>0</v>
      </c>
      <c r="EN161" s="270">
        <f t="shared" si="1023"/>
        <v>0</v>
      </c>
      <c r="EO161" s="270">
        <f t="shared" si="1023"/>
        <v>0</v>
      </c>
      <c r="EP161" s="270">
        <f t="shared" si="1023"/>
        <v>0</v>
      </c>
      <c r="EQ161" s="270">
        <f t="shared" si="1023"/>
        <v>0</v>
      </c>
      <c r="ER161" s="270">
        <f t="shared" si="1023"/>
        <v>0</v>
      </c>
      <c r="ES161" s="270">
        <f t="shared" si="1023"/>
        <v>0</v>
      </c>
      <c r="ET161" s="270">
        <f t="shared" si="1023"/>
        <v>0</v>
      </c>
      <c r="EU161" s="270">
        <f t="shared" si="1023"/>
        <v>0</v>
      </c>
      <c r="EV161" s="270">
        <f t="shared" si="1023"/>
        <v>0</v>
      </c>
      <c r="EW161" s="270">
        <f t="shared" si="1023"/>
        <v>0</v>
      </c>
      <c r="EX161" s="270">
        <f t="shared" si="1023"/>
        <v>0</v>
      </c>
      <c r="EY161" s="270">
        <f t="shared" si="1023"/>
        <v>0</v>
      </c>
      <c r="EZ161" s="270">
        <f t="shared" si="1023"/>
        <v>0</v>
      </c>
      <c r="FA161" s="270">
        <f t="shared" si="1023"/>
        <v>0</v>
      </c>
      <c r="FB161" s="270">
        <f t="shared" si="1023"/>
        <v>0</v>
      </c>
      <c r="FC161" s="270">
        <f t="shared" si="1023"/>
        <v>0</v>
      </c>
      <c r="FD161" s="271"/>
      <c r="FE161" s="271"/>
      <c r="FF161" s="271"/>
      <c r="FG161" s="215"/>
      <c r="FH161" s="215"/>
    </row>
    <row r="162" ht="11.25" customHeight="1">
      <c r="A162" s="215" t="str">
        <f t="shared" si="19"/>
        <v/>
      </c>
      <c r="B162" s="241" t="str">
        <f t="shared" si="600"/>
        <v>#N/A</v>
      </c>
      <c r="C162" s="271" t="str">
        <f>IF(A162="","",IF(Calculator!snowball,IF(($E$5-DY162)&lt;0,0,$E$5-DY162),0)+D162)</f>
        <v/>
      </c>
      <c r="D162" s="271"/>
      <c r="E162" s="270">
        <f t="shared" si="40"/>
        <v>0</v>
      </c>
      <c r="F162" s="270">
        <f t="shared" ref="F162:AG162" si="1024">CU162+EB163</f>
        <v>0</v>
      </c>
      <c r="G162" s="270">
        <f t="shared" si="1024"/>
        <v>0</v>
      </c>
      <c r="H162" s="270">
        <f t="shared" si="1024"/>
        <v>0</v>
      </c>
      <c r="I162" s="270">
        <f t="shared" si="1024"/>
        <v>0</v>
      </c>
      <c r="J162" s="270">
        <f t="shared" si="1024"/>
        <v>0</v>
      </c>
      <c r="K162" s="270">
        <f t="shared" si="1024"/>
        <v>0</v>
      </c>
      <c r="L162" s="270">
        <f t="shared" si="1024"/>
        <v>0</v>
      </c>
      <c r="M162" s="270">
        <f t="shared" si="1024"/>
        <v>0</v>
      </c>
      <c r="N162" s="270">
        <f t="shared" si="1024"/>
        <v>0</v>
      </c>
      <c r="O162" s="270">
        <f t="shared" si="1024"/>
        <v>0</v>
      </c>
      <c r="P162" s="272">
        <f t="shared" si="1024"/>
        <v>0</v>
      </c>
      <c r="Q162" s="272">
        <f t="shared" si="1024"/>
        <v>0</v>
      </c>
      <c r="R162" s="272">
        <f t="shared" si="1024"/>
        <v>0</v>
      </c>
      <c r="S162" s="272">
        <f t="shared" si="1024"/>
        <v>0</v>
      </c>
      <c r="T162" s="272">
        <f t="shared" si="1024"/>
        <v>0</v>
      </c>
      <c r="U162" s="270">
        <f t="shared" si="1024"/>
        <v>0</v>
      </c>
      <c r="V162" s="270">
        <f t="shared" si="1024"/>
        <v>0</v>
      </c>
      <c r="W162" s="270">
        <f t="shared" si="1024"/>
        <v>0</v>
      </c>
      <c r="X162" s="270">
        <f t="shared" si="1024"/>
        <v>0</v>
      </c>
      <c r="Y162" s="270">
        <f t="shared" si="1024"/>
        <v>0</v>
      </c>
      <c r="Z162" s="270">
        <f t="shared" si="1024"/>
        <v>0</v>
      </c>
      <c r="AA162" s="270">
        <f t="shared" si="1024"/>
        <v>0</v>
      </c>
      <c r="AB162" s="270">
        <f t="shared" si="1024"/>
        <v>0</v>
      </c>
      <c r="AC162" s="270">
        <f t="shared" si="1024"/>
        <v>0</v>
      </c>
      <c r="AD162" s="270">
        <f t="shared" si="1024"/>
        <v>0</v>
      </c>
      <c r="AE162" s="270">
        <f t="shared" si="1024"/>
        <v>0</v>
      </c>
      <c r="AF162" s="270">
        <f t="shared" si="1024"/>
        <v>0</v>
      </c>
      <c r="AG162" s="270">
        <f t="shared" si="1024"/>
        <v>0</v>
      </c>
      <c r="AH162" s="279">
        <f t="shared" si="602"/>
        <v>0</v>
      </c>
      <c r="AI162" s="270">
        <f t="shared" si="43"/>
        <v>0</v>
      </c>
      <c r="AJ162" s="270">
        <f t="shared" ref="AJ162:AO162" si="1025">IF(F$8=0,0,ROUND(AJ161-(F162-BO162),2))</f>
        <v>0</v>
      </c>
      <c r="AK162" s="270">
        <f t="shared" si="1025"/>
        <v>0</v>
      </c>
      <c r="AL162" s="270">
        <f t="shared" si="1025"/>
        <v>0</v>
      </c>
      <c r="AM162" s="270">
        <f t="shared" si="1025"/>
        <v>0</v>
      </c>
      <c r="AN162" s="270">
        <f t="shared" si="1025"/>
        <v>0</v>
      </c>
      <c r="AO162" s="270">
        <f t="shared" si="1025"/>
        <v>0</v>
      </c>
      <c r="AP162" s="270">
        <v>0.0</v>
      </c>
      <c r="AQ162" s="270">
        <f t="shared" ref="AQ162:AS162" si="1026">IF(M$8=0,0,ROUND(AQ161-(M162-BV162),2))</f>
        <v>0</v>
      </c>
      <c r="AR162" s="270">
        <f t="shared" si="1026"/>
        <v>0</v>
      </c>
      <c r="AS162" s="270">
        <f t="shared" si="1026"/>
        <v>0</v>
      </c>
      <c r="AT162" s="270">
        <f t="shared" si="605"/>
        <v>-6.22</v>
      </c>
      <c r="AU162" s="270">
        <f t="shared" ref="AU162:BK162" si="1027">IF(Q$8=0,0,ROUND(AU161-(Q162-BY162),2))</f>
        <v>-11.13</v>
      </c>
      <c r="AV162" s="270">
        <f t="shared" si="1027"/>
        <v>0</v>
      </c>
      <c r="AW162" s="270">
        <f t="shared" si="1027"/>
        <v>0</v>
      </c>
      <c r="AX162" s="270">
        <f t="shared" si="1027"/>
        <v>0</v>
      </c>
      <c r="AY162" s="270">
        <f t="shared" si="1027"/>
        <v>0</v>
      </c>
      <c r="AZ162" s="270">
        <f t="shared" si="1027"/>
        <v>0</v>
      </c>
      <c r="BA162" s="270">
        <f t="shared" si="1027"/>
        <v>0</v>
      </c>
      <c r="BB162" s="270">
        <f t="shared" si="1027"/>
        <v>0</v>
      </c>
      <c r="BC162" s="270">
        <f t="shared" si="1027"/>
        <v>0</v>
      </c>
      <c r="BD162" s="270">
        <f t="shared" si="1027"/>
        <v>0</v>
      </c>
      <c r="BE162" s="270">
        <f t="shared" si="1027"/>
        <v>0</v>
      </c>
      <c r="BF162" s="270">
        <f t="shared" si="1027"/>
        <v>0</v>
      </c>
      <c r="BG162" s="270">
        <f t="shared" si="1027"/>
        <v>0</v>
      </c>
      <c r="BH162" s="270">
        <f t="shared" si="1027"/>
        <v>0</v>
      </c>
      <c r="BI162" s="270">
        <f t="shared" si="1027"/>
        <v>0</v>
      </c>
      <c r="BJ162" s="270">
        <f t="shared" si="1027"/>
        <v>0</v>
      </c>
      <c r="BK162" s="270">
        <f t="shared" si="1027"/>
        <v>0</v>
      </c>
      <c r="BL162" s="265">
        <f t="shared" si="16"/>
        <v>-17.35</v>
      </c>
      <c r="BM162" s="215"/>
      <c r="BN162" s="270">
        <f t="shared" ref="BN162:CP162" si="1028">ROUND(AI161*E$9/12,2)</f>
        <v>0</v>
      </c>
      <c r="BO162" s="270">
        <f t="shared" si="1028"/>
        <v>0</v>
      </c>
      <c r="BP162" s="270">
        <f t="shared" si="1028"/>
        <v>0</v>
      </c>
      <c r="BQ162" s="270">
        <f t="shared" si="1028"/>
        <v>0</v>
      </c>
      <c r="BR162" s="270">
        <f t="shared" si="1028"/>
        <v>0</v>
      </c>
      <c r="BS162" s="270">
        <f t="shared" si="1028"/>
        <v>0</v>
      </c>
      <c r="BT162" s="270">
        <f t="shared" si="1028"/>
        <v>0</v>
      </c>
      <c r="BU162" s="270">
        <f t="shared" si="1028"/>
        <v>0</v>
      </c>
      <c r="BV162" s="270">
        <f t="shared" si="1028"/>
        <v>0</v>
      </c>
      <c r="BW162" s="270">
        <f t="shared" si="1028"/>
        <v>0</v>
      </c>
      <c r="BX162" s="270">
        <f t="shared" si="1028"/>
        <v>0</v>
      </c>
      <c r="BY162" s="270">
        <f t="shared" si="1028"/>
        <v>-0.05</v>
      </c>
      <c r="BZ162" s="270">
        <f t="shared" si="1028"/>
        <v>-0.03</v>
      </c>
      <c r="CA162" s="270">
        <f t="shared" si="1028"/>
        <v>0</v>
      </c>
      <c r="CB162" s="270">
        <f t="shared" si="1028"/>
        <v>0</v>
      </c>
      <c r="CC162" s="270">
        <f t="shared" si="1028"/>
        <v>0</v>
      </c>
      <c r="CD162" s="270">
        <f t="shared" si="1028"/>
        <v>0</v>
      </c>
      <c r="CE162" s="270">
        <f t="shared" si="1028"/>
        <v>0</v>
      </c>
      <c r="CF162" s="270">
        <f t="shared" si="1028"/>
        <v>0</v>
      </c>
      <c r="CG162" s="270">
        <f t="shared" si="1028"/>
        <v>0</v>
      </c>
      <c r="CH162" s="270">
        <f t="shared" si="1028"/>
        <v>0</v>
      </c>
      <c r="CI162" s="270">
        <f t="shared" si="1028"/>
        <v>0</v>
      </c>
      <c r="CJ162" s="270">
        <f t="shared" si="1028"/>
        <v>0</v>
      </c>
      <c r="CK162" s="270">
        <f t="shared" si="1028"/>
        <v>0</v>
      </c>
      <c r="CL162" s="270">
        <f t="shared" si="1028"/>
        <v>0</v>
      </c>
      <c r="CM162" s="270">
        <f t="shared" si="1028"/>
        <v>0</v>
      </c>
      <c r="CN162" s="270">
        <f t="shared" si="1028"/>
        <v>0</v>
      </c>
      <c r="CO162" s="270">
        <f t="shared" si="1028"/>
        <v>0</v>
      </c>
      <c r="CP162" s="270">
        <f t="shared" si="1028"/>
        <v>0</v>
      </c>
      <c r="CQ162" s="215"/>
      <c r="CR162" s="270">
        <f t="shared" si="27"/>
        <v>-0.08</v>
      </c>
      <c r="CS162" s="215"/>
      <c r="CT162" s="270">
        <f t="shared" ref="CT162:DX162" si="1029">IF(AI161&gt;0,IF((AI161+BN162)&lt;E$10,AI161+BN162,E$10),0)</f>
        <v>0</v>
      </c>
      <c r="CU162" s="270">
        <f t="shared" si="1029"/>
        <v>0</v>
      </c>
      <c r="CV162" s="270">
        <f t="shared" si="1029"/>
        <v>0</v>
      </c>
      <c r="CW162" s="270">
        <f t="shared" si="1029"/>
        <v>0</v>
      </c>
      <c r="CX162" s="270">
        <f t="shared" si="1029"/>
        <v>0</v>
      </c>
      <c r="CY162" s="270">
        <f t="shared" si="1029"/>
        <v>0</v>
      </c>
      <c r="CZ162" s="270">
        <f t="shared" si="1029"/>
        <v>0</v>
      </c>
      <c r="DA162" s="270">
        <f t="shared" si="1029"/>
        <v>0</v>
      </c>
      <c r="DB162" s="270">
        <f t="shared" si="1029"/>
        <v>0</v>
      </c>
      <c r="DC162" s="270">
        <f t="shared" si="1029"/>
        <v>0</v>
      </c>
      <c r="DD162" s="270">
        <f t="shared" si="1029"/>
        <v>0</v>
      </c>
      <c r="DE162" s="270">
        <f t="shared" si="1029"/>
        <v>0</v>
      </c>
      <c r="DF162" s="270">
        <f t="shared" si="1029"/>
        <v>0</v>
      </c>
      <c r="DG162" s="270">
        <f t="shared" si="1029"/>
        <v>0</v>
      </c>
      <c r="DH162" s="270">
        <f t="shared" si="1029"/>
        <v>0</v>
      </c>
      <c r="DI162" s="270">
        <f t="shared" si="1029"/>
        <v>0</v>
      </c>
      <c r="DJ162" s="270">
        <f t="shared" si="1029"/>
        <v>0</v>
      </c>
      <c r="DK162" s="270">
        <f t="shared" si="1029"/>
        <v>0</v>
      </c>
      <c r="DL162" s="270">
        <f t="shared" si="1029"/>
        <v>0</v>
      </c>
      <c r="DM162" s="270">
        <f t="shared" si="1029"/>
        <v>0</v>
      </c>
      <c r="DN162" s="270">
        <f t="shared" si="1029"/>
        <v>0</v>
      </c>
      <c r="DO162" s="270">
        <f t="shared" si="1029"/>
        <v>0</v>
      </c>
      <c r="DP162" s="270">
        <f t="shared" si="1029"/>
        <v>0</v>
      </c>
      <c r="DQ162" s="270">
        <f t="shared" si="1029"/>
        <v>0</v>
      </c>
      <c r="DR162" s="270">
        <f t="shared" si="1029"/>
        <v>0</v>
      </c>
      <c r="DS162" s="270">
        <f t="shared" si="1029"/>
        <v>0</v>
      </c>
      <c r="DT162" s="270">
        <f t="shared" si="1029"/>
        <v>0</v>
      </c>
      <c r="DU162" s="270">
        <f t="shared" si="1029"/>
        <v>0</v>
      </c>
      <c r="DV162" s="270">
        <f t="shared" si="1029"/>
        <v>0</v>
      </c>
      <c r="DW162" s="270">
        <f t="shared" si="1029"/>
        <v>0</v>
      </c>
      <c r="DX162" s="270">
        <f t="shared" si="1029"/>
        <v>0</v>
      </c>
      <c r="DY162" s="270">
        <f t="shared" si="29"/>
        <v>0</v>
      </c>
      <c r="DZ162" s="274"/>
      <c r="EA162" s="275">
        <f t="shared" si="38"/>
        <v>0</v>
      </c>
      <c r="EB162" s="270">
        <f t="shared" ref="EB162:FC162" si="1030">IF(AJ160&lt;=0,0,IF($C161&lt;=SUM($EA162:EA162),0,IF(CU161+$C161-SUM($EA162:EA162)&gt;AJ160+BO161,AJ160+BO161-CU161,$C161-SUM($EA162:EA162))))</f>
        <v>0</v>
      </c>
      <c r="EC162" s="270">
        <f t="shared" si="1030"/>
        <v>0</v>
      </c>
      <c r="ED162" s="270">
        <f t="shared" si="1030"/>
        <v>0</v>
      </c>
      <c r="EE162" s="270">
        <f t="shared" si="1030"/>
        <v>0</v>
      </c>
      <c r="EF162" s="270">
        <f t="shared" si="1030"/>
        <v>0</v>
      </c>
      <c r="EG162" s="270">
        <f t="shared" si="1030"/>
        <v>0</v>
      </c>
      <c r="EH162" s="270">
        <f t="shared" si="1030"/>
        <v>0</v>
      </c>
      <c r="EI162" s="270">
        <f t="shared" si="1030"/>
        <v>0</v>
      </c>
      <c r="EJ162" s="270">
        <f t="shared" si="1030"/>
        <v>0</v>
      </c>
      <c r="EK162" s="270">
        <f t="shared" si="1030"/>
        <v>0</v>
      </c>
      <c r="EL162" s="270">
        <f t="shared" si="1030"/>
        <v>0</v>
      </c>
      <c r="EM162" s="270">
        <f t="shared" si="1030"/>
        <v>0</v>
      </c>
      <c r="EN162" s="270">
        <f t="shared" si="1030"/>
        <v>0</v>
      </c>
      <c r="EO162" s="270">
        <f t="shared" si="1030"/>
        <v>0</v>
      </c>
      <c r="EP162" s="270">
        <f t="shared" si="1030"/>
        <v>0</v>
      </c>
      <c r="EQ162" s="270">
        <f t="shared" si="1030"/>
        <v>0</v>
      </c>
      <c r="ER162" s="270">
        <f t="shared" si="1030"/>
        <v>0</v>
      </c>
      <c r="ES162" s="270">
        <f t="shared" si="1030"/>
        <v>0</v>
      </c>
      <c r="ET162" s="270">
        <f t="shared" si="1030"/>
        <v>0</v>
      </c>
      <c r="EU162" s="270">
        <f t="shared" si="1030"/>
        <v>0</v>
      </c>
      <c r="EV162" s="270">
        <f t="shared" si="1030"/>
        <v>0</v>
      </c>
      <c r="EW162" s="270">
        <f t="shared" si="1030"/>
        <v>0</v>
      </c>
      <c r="EX162" s="270">
        <f t="shared" si="1030"/>
        <v>0</v>
      </c>
      <c r="EY162" s="270">
        <f t="shared" si="1030"/>
        <v>0</v>
      </c>
      <c r="EZ162" s="270">
        <f t="shared" si="1030"/>
        <v>0</v>
      </c>
      <c r="FA162" s="270">
        <f t="shared" si="1030"/>
        <v>0</v>
      </c>
      <c r="FB162" s="270">
        <f t="shared" si="1030"/>
        <v>0</v>
      </c>
      <c r="FC162" s="270">
        <f t="shared" si="1030"/>
        <v>0</v>
      </c>
      <c r="FD162" s="271"/>
      <c r="FE162" s="271"/>
      <c r="FF162" s="271"/>
      <c r="FG162" s="215"/>
      <c r="FH162" s="215"/>
    </row>
    <row r="163" ht="11.25" customHeight="1">
      <c r="A163" s="215" t="str">
        <f t="shared" si="19"/>
        <v/>
      </c>
      <c r="B163" s="241" t="str">
        <f t="shared" si="600"/>
        <v>#N/A</v>
      </c>
      <c r="C163" s="271" t="str">
        <f>IF(A163="","",IF(Calculator!snowball,IF(($E$5-DY163)&lt;0,0,$E$5-DY163),0)+D163)</f>
        <v/>
      </c>
      <c r="D163" s="271"/>
      <c r="E163" s="270">
        <f t="shared" si="40"/>
        <v>0</v>
      </c>
      <c r="F163" s="270">
        <f t="shared" ref="F163:AG163" si="1031">CU163+EB164</f>
        <v>0</v>
      </c>
      <c r="G163" s="270">
        <f t="shared" si="1031"/>
        <v>0</v>
      </c>
      <c r="H163" s="270">
        <f t="shared" si="1031"/>
        <v>0</v>
      </c>
      <c r="I163" s="270">
        <f t="shared" si="1031"/>
        <v>0</v>
      </c>
      <c r="J163" s="270">
        <f t="shared" si="1031"/>
        <v>0</v>
      </c>
      <c r="K163" s="270">
        <f t="shared" si="1031"/>
        <v>0</v>
      </c>
      <c r="L163" s="270">
        <f t="shared" si="1031"/>
        <v>0</v>
      </c>
      <c r="M163" s="270">
        <f t="shared" si="1031"/>
        <v>0</v>
      </c>
      <c r="N163" s="270">
        <f t="shared" si="1031"/>
        <v>0</v>
      </c>
      <c r="O163" s="270">
        <f t="shared" si="1031"/>
        <v>0</v>
      </c>
      <c r="P163" s="272">
        <f t="shared" si="1031"/>
        <v>0</v>
      </c>
      <c r="Q163" s="272">
        <f t="shared" si="1031"/>
        <v>0</v>
      </c>
      <c r="R163" s="272">
        <f t="shared" si="1031"/>
        <v>0</v>
      </c>
      <c r="S163" s="272">
        <f t="shared" si="1031"/>
        <v>0</v>
      </c>
      <c r="T163" s="272">
        <f t="shared" si="1031"/>
        <v>0</v>
      </c>
      <c r="U163" s="270">
        <f t="shared" si="1031"/>
        <v>0</v>
      </c>
      <c r="V163" s="270">
        <f t="shared" si="1031"/>
        <v>0</v>
      </c>
      <c r="W163" s="270">
        <f t="shared" si="1031"/>
        <v>0</v>
      </c>
      <c r="X163" s="270">
        <f t="shared" si="1031"/>
        <v>0</v>
      </c>
      <c r="Y163" s="270">
        <f t="shared" si="1031"/>
        <v>0</v>
      </c>
      <c r="Z163" s="270">
        <f t="shared" si="1031"/>
        <v>0</v>
      </c>
      <c r="AA163" s="270">
        <f t="shared" si="1031"/>
        <v>0</v>
      </c>
      <c r="AB163" s="270">
        <f t="shared" si="1031"/>
        <v>0</v>
      </c>
      <c r="AC163" s="270">
        <f t="shared" si="1031"/>
        <v>0</v>
      </c>
      <c r="AD163" s="270">
        <f t="shared" si="1031"/>
        <v>0</v>
      </c>
      <c r="AE163" s="270">
        <f t="shared" si="1031"/>
        <v>0</v>
      </c>
      <c r="AF163" s="270">
        <f t="shared" si="1031"/>
        <v>0</v>
      </c>
      <c r="AG163" s="270">
        <f t="shared" si="1031"/>
        <v>0</v>
      </c>
      <c r="AH163" s="279">
        <f t="shared" si="602"/>
        <v>0</v>
      </c>
      <c r="AI163" s="270">
        <f t="shared" si="43"/>
        <v>0</v>
      </c>
      <c r="AJ163" s="270">
        <f t="shared" ref="AJ163:AO163" si="1032">IF(F$8=0,0,ROUND(AJ162-(F163-BO163),2))</f>
        <v>0</v>
      </c>
      <c r="AK163" s="270">
        <f t="shared" si="1032"/>
        <v>0</v>
      </c>
      <c r="AL163" s="270">
        <f t="shared" si="1032"/>
        <v>0</v>
      </c>
      <c r="AM163" s="270">
        <f t="shared" si="1032"/>
        <v>0</v>
      </c>
      <c r="AN163" s="270">
        <f t="shared" si="1032"/>
        <v>0</v>
      </c>
      <c r="AO163" s="270">
        <f t="shared" si="1032"/>
        <v>0</v>
      </c>
      <c r="AP163" s="270">
        <v>0.0</v>
      </c>
      <c r="AQ163" s="270">
        <f t="shared" ref="AQ163:AS163" si="1033">IF(M$8=0,0,ROUND(AQ162-(M163-BV163),2))</f>
        <v>0</v>
      </c>
      <c r="AR163" s="270">
        <f t="shared" si="1033"/>
        <v>0</v>
      </c>
      <c r="AS163" s="270">
        <f t="shared" si="1033"/>
        <v>0</v>
      </c>
      <c r="AT163" s="270">
        <f t="shared" si="605"/>
        <v>-6.22</v>
      </c>
      <c r="AU163" s="270">
        <f t="shared" ref="AU163:BK163" si="1034">IF(Q$8=0,0,ROUND(AU162-(Q163-BY163),2))</f>
        <v>-11.18</v>
      </c>
      <c r="AV163" s="270">
        <f t="shared" si="1034"/>
        <v>0</v>
      </c>
      <c r="AW163" s="270">
        <f t="shared" si="1034"/>
        <v>0</v>
      </c>
      <c r="AX163" s="270">
        <f t="shared" si="1034"/>
        <v>0</v>
      </c>
      <c r="AY163" s="270">
        <f t="shared" si="1034"/>
        <v>0</v>
      </c>
      <c r="AZ163" s="270">
        <f t="shared" si="1034"/>
        <v>0</v>
      </c>
      <c r="BA163" s="270">
        <f t="shared" si="1034"/>
        <v>0</v>
      </c>
      <c r="BB163" s="270">
        <f t="shared" si="1034"/>
        <v>0</v>
      </c>
      <c r="BC163" s="270">
        <f t="shared" si="1034"/>
        <v>0</v>
      </c>
      <c r="BD163" s="270">
        <f t="shared" si="1034"/>
        <v>0</v>
      </c>
      <c r="BE163" s="270">
        <f t="shared" si="1034"/>
        <v>0</v>
      </c>
      <c r="BF163" s="270">
        <f t="shared" si="1034"/>
        <v>0</v>
      </c>
      <c r="BG163" s="270">
        <f t="shared" si="1034"/>
        <v>0</v>
      </c>
      <c r="BH163" s="270">
        <f t="shared" si="1034"/>
        <v>0</v>
      </c>
      <c r="BI163" s="270">
        <f t="shared" si="1034"/>
        <v>0</v>
      </c>
      <c r="BJ163" s="270">
        <f t="shared" si="1034"/>
        <v>0</v>
      </c>
      <c r="BK163" s="270">
        <f t="shared" si="1034"/>
        <v>0</v>
      </c>
      <c r="BL163" s="265">
        <f t="shared" si="16"/>
        <v>-17.4</v>
      </c>
      <c r="BM163" s="215"/>
      <c r="BN163" s="270">
        <f t="shared" ref="BN163:CP163" si="1035">ROUND(AI162*E$9/12,2)</f>
        <v>0</v>
      </c>
      <c r="BO163" s="270">
        <f t="shared" si="1035"/>
        <v>0</v>
      </c>
      <c r="BP163" s="270">
        <f t="shared" si="1035"/>
        <v>0</v>
      </c>
      <c r="BQ163" s="270">
        <f t="shared" si="1035"/>
        <v>0</v>
      </c>
      <c r="BR163" s="270">
        <f t="shared" si="1035"/>
        <v>0</v>
      </c>
      <c r="BS163" s="270">
        <f t="shared" si="1035"/>
        <v>0</v>
      </c>
      <c r="BT163" s="270">
        <f t="shared" si="1035"/>
        <v>0</v>
      </c>
      <c r="BU163" s="270">
        <f t="shared" si="1035"/>
        <v>0</v>
      </c>
      <c r="BV163" s="270">
        <f t="shared" si="1035"/>
        <v>0</v>
      </c>
      <c r="BW163" s="270">
        <f t="shared" si="1035"/>
        <v>0</v>
      </c>
      <c r="BX163" s="270">
        <f t="shared" si="1035"/>
        <v>0</v>
      </c>
      <c r="BY163" s="270">
        <f t="shared" si="1035"/>
        <v>-0.05</v>
      </c>
      <c r="BZ163" s="270">
        <f t="shared" si="1035"/>
        <v>-0.03</v>
      </c>
      <c r="CA163" s="270">
        <f t="shared" si="1035"/>
        <v>0</v>
      </c>
      <c r="CB163" s="270">
        <f t="shared" si="1035"/>
        <v>0</v>
      </c>
      <c r="CC163" s="270">
        <f t="shared" si="1035"/>
        <v>0</v>
      </c>
      <c r="CD163" s="270">
        <f t="shared" si="1035"/>
        <v>0</v>
      </c>
      <c r="CE163" s="270">
        <f t="shared" si="1035"/>
        <v>0</v>
      </c>
      <c r="CF163" s="270">
        <f t="shared" si="1035"/>
        <v>0</v>
      </c>
      <c r="CG163" s="270">
        <f t="shared" si="1035"/>
        <v>0</v>
      </c>
      <c r="CH163" s="270">
        <f t="shared" si="1035"/>
        <v>0</v>
      </c>
      <c r="CI163" s="270">
        <f t="shared" si="1035"/>
        <v>0</v>
      </c>
      <c r="CJ163" s="270">
        <f t="shared" si="1035"/>
        <v>0</v>
      </c>
      <c r="CK163" s="270">
        <f t="shared" si="1035"/>
        <v>0</v>
      </c>
      <c r="CL163" s="270">
        <f t="shared" si="1035"/>
        <v>0</v>
      </c>
      <c r="CM163" s="270">
        <f t="shared" si="1035"/>
        <v>0</v>
      </c>
      <c r="CN163" s="270">
        <f t="shared" si="1035"/>
        <v>0</v>
      </c>
      <c r="CO163" s="270">
        <f t="shared" si="1035"/>
        <v>0</v>
      </c>
      <c r="CP163" s="270">
        <f t="shared" si="1035"/>
        <v>0</v>
      </c>
      <c r="CQ163" s="215"/>
      <c r="CR163" s="270">
        <f t="shared" si="27"/>
        <v>-0.08</v>
      </c>
      <c r="CS163" s="215"/>
      <c r="CT163" s="270">
        <f t="shared" ref="CT163:DX163" si="1036">IF(AI162&gt;0,IF((AI162+BN163)&lt;E$10,AI162+BN163,E$10),0)</f>
        <v>0</v>
      </c>
      <c r="CU163" s="270">
        <f t="shared" si="1036"/>
        <v>0</v>
      </c>
      <c r="CV163" s="270">
        <f t="shared" si="1036"/>
        <v>0</v>
      </c>
      <c r="CW163" s="270">
        <f t="shared" si="1036"/>
        <v>0</v>
      </c>
      <c r="CX163" s="270">
        <f t="shared" si="1036"/>
        <v>0</v>
      </c>
      <c r="CY163" s="270">
        <f t="shared" si="1036"/>
        <v>0</v>
      </c>
      <c r="CZ163" s="270">
        <f t="shared" si="1036"/>
        <v>0</v>
      </c>
      <c r="DA163" s="270">
        <f t="shared" si="1036"/>
        <v>0</v>
      </c>
      <c r="DB163" s="270">
        <f t="shared" si="1036"/>
        <v>0</v>
      </c>
      <c r="DC163" s="270">
        <f t="shared" si="1036"/>
        <v>0</v>
      </c>
      <c r="DD163" s="270">
        <f t="shared" si="1036"/>
        <v>0</v>
      </c>
      <c r="DE163" s="270">
        <f t="shared" si="1036"/>
        <v>0</v>
      </c>
      <c r="DF163" s="270">
        <f t="shared" si="1036"/>
        <v>0</v>
      </c>
      <c r="DG163" s="270">
        <f t="shared" si="1036"/>
        <v>0</v>
      </c>
      <c r="DH163" s="270">
        <f t="shared" si="1036"/>
        <v>0</v>
      </c>
      <c r="DI163" s="270">
        <f t="shared" si="1036"/>
        <v>0</v>
      </c>
      <c r="DJ163" s="270">
        <f t="shared" si="1036"/>
        <v>0</v>
      </c>
      <c r="DK163" s="270">
        <f t="shared" si="1036"/>
        <v>0</v>
      </c>
      <c r="DL163" s="270">
        <f t="shared" si="1036"/>
        <v>0</v>
      </c>
      <c r="DM163" s="270">
        <f t="shared" si="1036"/>
        <v>0</v>
      </c>
      <c r="DN163" s="270">
        <f t="shared" si="1036"/>
        <v>0</v>
      </c>
      <c r="DO163" s="270">
        <f t="shared" si="1036"/>
        <v>0</v>
      </c>
      <c r="DP163" s="270">
        <f t="shared" si="1036"/>
        <v>0</v>
      </c>
      <c r="DQ163" s="270">
        <f t="shared" si="1036"/>
        <v>0</v>
      </c>
      <c r="DR163" s="270">
        <f t="shared" si="1036"/>
        <v>0</v>
      </c>
      <c r="DS163" s="270">
        <f t="shared" si="1036"/>
        <v>0</v>
      </c>
      <c r="DT163" s="270">
        <f t="shared" si="1036"/>
        <v>0</v>
      </c>
      <c r="DU163" s="270">
        <f t="shared" si="1036"/>
        <v>0</v>
      </c>
      <c r="DV163" s="270">
        <f t="shared" si="1036"/>
        <v>0</v>
      </c>
      <c r="DW163" s="270">
        <f t="shared" si="1036"/>
        <v>0</v>
      </c>
      <c r="DX163" s="270">
        <f t="shared" si="1036"/>
        <v>0</v>
      </c>
      <c r="DY163" s="270">
        <f t="shared" si="29"/>
        <v>0</v>
      </c>
      <c r="DZ163" s="274"/>
      <c r="EA163" s="275">
        <f t="shared" si="38"/>
        <v>0</v>
      </c>
      <c r="EB163" s="270">
        <f t="shared" ref="EB163:FC163" si="1037">IF(AJ161&lt;=0,0,IF($C162&lt;=SUM($EA163:EA163),0,IF(CU162+$C162-SUM($EA163:EA163)&gt;AJ161+BO162,AJ161+BO162-CU162,$C162-SUM($EA163:EA163))))</f>
        <v>0</v>
      </c>
      <c r="EC163" s="270">
        <f t="shared" si="1037"/>
        <v>0</v>
      </c>
      <c r="ED163" s="270">
        <f t="shared" si="1037"/>
        <v>0</v>
      </c>
      <c r="EE163" s="270">
        <f t="shared" si="1037"/>
        <v>0</v>
      </c>
      <c r="EF163" s="270">
        <f t="shared" si="1037"/>
        <v>0</v>
      </c>
      <c r="EG163" s="270">
        <f t="shared" si="1037"/>
        <v>0</v>
      </c>
      <c r="EH163" s="270">
        <f t="shared" si="1037"/>
        <v>0</v>
      </c>
      <c r="EI163" s="270">
        <f t="shared" si="1037"/>
        <v>0</v>
      </c>
      <c r="EJ163" s="270">
        <f t="shared" si="1037"/>
        <v>0</v>
      </c>
      <c r="EK163" s="270">
        <f t="shared" si="1037"/>
        <v>0</v>
      </c>
      <c r="EL163" s="270">
        <f t="shared" si="1037"/>
        <v>0</v>
      </c>
      <c r="EM163" s="270">
        <f t="shared" si="1037"/>
        <v>0</v>
      </c>
      <c r="EN163" s="270">
        <f t="shared" si="1037"/>
        <v>0</v>
      </c>
      <c r="EO163" s="270">
        <f t="shared" si="1037"/>
        <v>0</v>
      </c>
      <c r="EP163" s="270">
        <f t="shared" si="1037"/>
        <v>0</v>
      </c>
      <c r="EQ163" s="270">
        <f t="shared" si="1037"/>
        <v>0</v>
      </c>
      <c r="ER163" s="270">
        <f t="shared" si="1037"/>
        <v>0</v>
      </c>
      <c r="ES163" s="270">
        <f t="shared" si="1037"/>
        <v>0</v>
      </c>
      <c r="ET163" s="270">
        <f t="shared" si="1037"/>
        <v>0</v>
      </c>
      <c r="EU163" s="270">
        <f t="shared" si="1037"/>
        <v>0</v>
      </c>
      <c r="EV163" s="270">
        <f t="shared" si="1037"/>
        <v>0</v>
      </c>
      <c r="EW163" s="270">
        <f t="shared" si="1037"/>
        <v>0</v>
      </c>
      <c r="EX163" s="270">
        <f t="shared" si="1037"/>
        <v>0</v>
      </c>
      <c r="EY163" s="270">
        <f t="shared" si="1037"/>
        <v>0</v>
      </c>
      <c r="EZ163" s="270">
        <f t="shared" si="1037"/>
        <v>0</v>
      </c>
      <c r="FA163" s="270">
        <f t="shared" si="1037"/>
        <v>0</v>
      </c>
      <c r="FB163" s="270">
        <f t="shared" si="1037"/>
        <v>0</v>
      </c>
      <c r="FC163" s="270">
        <f t="shared" si="1037"/>
        <v>0</v>
      </c>
      <c r="FD163" s="271"/>
      <c r="FE163" s="271"/>
      <c r="FF163" s="271"/>
      <c r="FG163" s="215"/>
      <c r="FH163" s="215"/>
    </row>
    <row r="164" ht="11.25" customHeight="1">
      <c r="A164" s="215" t="str">
        <f t="shared" si="19"/>
        <v/>
      </c>
      <c r="B164" s="241" t="str">
        <f t="shared" si="600"/>
        <v>#N/A</v>
      </c>
      <c r="C164" s="271" t="str">
        <f>IF(A164="","",IF(Calculator!snowball,IF(($E$5-DY164)&lt;0,0,$E$5-DY164),0)+D164)</f>
        <v/>
      </c>
      <c r="D164" s="271"/>
      <c r="E164" s="270">
        <f t="shared" si="40"/>
        <v>0</v>
      </c>
      <c r="F164" s="270">
        <f t="shared" ref="F164:AG164" si="1038">CU164+EB165</f>
        <v>0</v>
      </c>
      <c r="G164" s="270">
        <f t="shared" si="1038"/>
        <v>0</v>
      </c>
      <c r="H164" s="270">
        <f t="shared" si="1038"/>
        <v>0</v>
      </c>
      <c r="I164" s="270">
        <f t="shared" si="1038"/>
        <v>0</v>
      </c>
      <c r="J164" s="270">
        <f t="shared" si="1038"/>
        <v>0</v>
      </c>
      <c r="K164" s="270">
        <f t="shared" si="1038"/>
        <v>0</v>
      </c>
      <c r="L164" s="270">
        <f t="shared" si="1038"/>
        <v>0</v>
      </c>
      <c r="M164" s="270">
        <f t="shared" si="1038"/>
        <v>0</v>
      </c>
      <c r="N164" s="270">
        <f t="shared" si="1038"/>
        <v>0</v>
      </c>
      <c r="O164" s="270">
        <f t="shared" si="1038"/>
        <v>0</v>
      </c>
      <c r="P164" s="272">
        <f t="shared" si="1038"/>
        <v>0</v>
      </c>
      <c r="Q164" s="272">
        <f t="shared" si="1038"/>
        <v>0</v>
      </c>
      <c r="R164" s="272">
        <f t="shared" si="1038"/>
        <v>0</v>
      </c>
      <c r="S164" s="272">
        <f t="shared" si="1038"/>
        <v>0</v>
      </c>
      <c r="T164" s="272">
        <f t="shared" si="1038"/>
        <v>0</v>
      </c>
      <c r="U164" s="270">
        <f t="shared" si="1038"/>
        <v>0</v>
      </c>
      <c r="V164" s="270">
        <f t="shared" si="1038"/>
        <v>0</v>
      </c>
      <c r="W164" s="270">
        <f t="shared" si="1038"/>
        <v>0</v>
      </c>
      <c r="X164" s="270">
        <f t="shared" si="1038"/>
        <v>0</v>
      </c>
      <c r="Y164" s="270">
        <f t="shared" si="1038"/>
        <v>0</v>
      </c>
      <c r="Z164" s="270">
        <f t="shared" si="1038"/>
        <v>0</v>
      </c>
      <c r="AA164" s="270">
        <f t="shared" si="1038"/>
        <v>0</v>
      </c>
      <c r="AB164" s="270">
        <f t="shared" si="1038"/>
        <v>0</v>
      </c>
      <c r="AC164" s="270">
        <f t="shared" si="1038"/>
        <v>0</v>
      </c>
      <c r="AD164" s="270">
        <f t="shared" si="1038"/>
        <v>0</v>
      </c>
      <c r="AE164" s="270">
        <f t="shared" si="1038"/>
        <v>0</v>
      </c>
      <c r="AF164" s="270">
        <f t="shared" si="1038"/>
        <v>0</v>
      </c>
      <c r="AG164" s="270">
        <f t="shared" si="1038"/>
        <v>0</v>
      </c>
      <c r="AH164" s="279">
        <f t="shared" si="602"/>
        <v>0</v>
      </c>
      <c r="AI164" s="270">
        <f t="shared" si="43"/>
        <v>0</v>
      </c>
      <c r="AJ164" s="270">
        <f t="shared" ref="AJ164:AO164" si="1039">IF(F$8=0,0,ROUND(AJ163-(F164-BO164),2))</f>
        <v>0</v>
      </c>
      <c r="AK164" s="270">
        <f t="shared" si="1039"/>
        <v>0</v>
      </c>
      <c r="AL164" s="270">
        <f t="shared" si="1039"/>
        <v>0</v>
      </c>
      <c r="AM164" s="270">
        <f t="shared" si="1039"/>
        <v>0</v>
      </c>
      <c r="AN164" s="270">
        <f t="shared" si="1039"/>
        <v>0</v>
      </c>
      <c r="AO164" s="270">
        <f t="shared" si="1039"/>
        <v>0</v>
      </c>
      <c r="AP164" s="270">
        <v>0.0</v>
      </c>
      <c r="AQ164" s="270">
        <f t="shared" ref="AQ164:AS164" si="1040">IF(M$8=0,0,ROUND(AQ163-(M164-BV164),2))</f>
        <v>0</v>
      </c>
      <c r="AR164" s="270">
        <f t="shared" si="1040"/>
        <v>0</v>
      </c>
      <c r="AS164" s="270">
        <f t="shared" si="1040"/>
        <v>0</v>
      </c>
      <c r="AT164" s="270">
        <f t="shared" si="605"/>
        <v>-6.22</v>
      </c>
      <c r="AU164" s="270">
        <f t="shared" ref="AU164:BK164" si="1041">IF(Q$8=0,0,ROUND(AU163-(Q164-BY164),2))</f>
        <v>-11.23</v>
      </c>
      <c r="AV164" s="270">
        <f t="shared" si="1041"/>
        <v>0</v>
      </c>
      <c r="AW164" s="270">
        <f t="shared" si="1041"/>
        <v>0</v>
      </c>
      <c r="AX164" s="270">
        <f t="shared" si="1041"/>
        <v>0</v>
      </c>
      <c r="AY164" s="270">
        <f t="shared" si="1041"/>
        <v>0</v>
      </c>
      <c r="AZ164" s="270">
        <f t="shared" si="1041"/>
        <v>0</v>
      </c>
      <c r="BA164" s="270">
        <f t="shared" si="1041"/>
        <v>0</v>
      </c>
      <c r="BB164" s="270">
        <f t="shared" si="1041"/>
        <v>0</v>
      </c>
      <c r="BC164" s="270">
        <f t="shared" si="1041"/>
        <v>0</v>
      </c>
      <c r="BD164" s="270">
        <f t="shared" si="1041"/>
        <v>0</v>
      </c>
      <c r="BE164" s="270">
        <f t="shared" si="1041"/>
        <v>0</v>
      </c>
      <c r="BF164" s="270">
        <f t="shared" si="1041"/>
        <v>0</v>
      </c>
      <c r="BG164" s="270">
        <f t="shared" si="1041"/>
        <v>0</v>
      </c>
      <c r="BH164" s="270">
        <f t="shared" si="1041"/>
        <v>0</v>
      </c>
      <c r="BI164" s="270">
        <f t="shared" si="1041"/>
        <v>0</v>
      </c>
      <c r="BJ164" s="270">
        <f t="shared" si="1041"/>
        <v>0</v>
      </c>
      <c r="BK164" s="270">
        <f t="shared" si="1041"/>
        <v>0</v>
      </c>
      <c r="BL164" s="265">
        <f t="shared" si="16"/>
        <v>-17.45</v>
      </c>
      <c r="BM164" s="215"/>
      <c r="BN164" s="270">
        <f t="shared" ref="BN164:CP164" si="1042">ROUND(AI163*E$9/12,2)</f>
        <v>0</v>
      </c>
      <c r="BO164" s="270">
        <f t="shared" si="1042"/>
        <v>0</v>
      </c>
      <c r="BP164" s="270">
        <f t="shared" si="1042"/>
        <v>0</v>
      </c>
      <c r="BQ164" s="270">
        <f t="shared" si="1042"/>
        <v>0</v>
      </c>
      <c r="BR164" s="270">
        <f t="shared" si="1042"/>
        <v>0</v>
      </c>
      <c r="BS164" s="270">
        <f t="shared" si="1042"/>
        <v>0</v>
      </c>
      <c r="BT164" s="270">
        <f t="shared" si="1042"/>
        <v>0</v>
      </c>
      <c r="BU164" s="270">
        <f t="shared" si="1042"/>
        <v>0</v>
      </c>
      <c r="BV164" s="270">
        <f t="shared" si="1042"/>
        <v>0</v>
      </c>
      <c r="BW164" s="270">
        <f t="shared" si="1042"/>
        <v>0</v>
      </c>
      <c r="BX164" s="270">
        <f t="shared" si="1042"/>
        <v>0</v>
      </c>
      <c r="BY164" s="270">
        <f t="shared" si="1042"/>
        <v>-0.05</v>
      </c>
      <c r="BZ164" s="270">
        <f t="shared" si="1042"/>
        <v>-0.03</v>
      </c>
      <c r="CA164" s="270">
        <f t="shared" si="1042"/>
        <v>0</v>
      </c>
      <c r="CB164" s="270">
        <f t="shared" si="1042"/>
        <v>0</v>
      </c>
      <c r="CC164" s="270">
        <f t="shared" si="1042"/>
        <v>0</v>
      </c>
      <c r="CD164" s="270">
        <f t="shared" si="1042"/>
        <v>0</v>
      </c>
      <c r="CE164" s="270">
        <f t="shared" si="1042"/>
        <v>0</v>
      </c>
      <c r="CF164" s="270">
        <f t="shared" si="1042"/>
        <v>0</v>
      </c>
      <c r="CG164" s="270">
        <f t="shared" si="1042"/>
        <v>0</v>
      </c>
      <c r="CH164" s="270">
        <f t="shared" si="1042"/>
        <v>0</v>
      </c>
      <c r="CI164" s="270">
        <f t="shared" si="1042"/>
        <v>0</v>
      </c>
      <c r="CJ164" s="270">
        <f t="shared" si="1042"/>
        <v>0</v>
      </c>
      <c r="CK164" s="270">
        <f t="shared" si="1042"/>
        <v>0</v>
      </c>
      <c r="CL164" s="270">
        <f t="shared" si="1042"/>
        <v>0</v>
      </c>
      <c r="CM164" s="270">
        <f t="shared" si="1042"/>
        <v>0</v>
      </c>
      <c r="CN164" s="270">
        <f t="shared" si="1042"/>
        <v>0</v>
      </c>
      <c r="CO164" s="270">
        <f t="shared" si="1042"/>
        <v>0</v>
      </c>
      <c r="CP164" s="270">
        <f t="shared" si="1042"/>
        <v>0</v>
      </c>
      <c r="CQ164" s="215"/>
      <c r="CR164" s="270">
        <f t="shared" si="27"/>
        <v>-0.08</v>
      </c>
      <c r="CS164" s="215"/>
      <c r="CT164" s="270">
        <f t="shared" ref="CT164:DX164" si="1043">IF(AI163&gt;0,IF((AI163+BN164)&lt;E$10,AI163+BN164,E$10),0)</f>
        <v>0</v>
      </c>
      <c r="CU164" s="270">
        <f t="shared" si="1043"/>
        <v>0</v>
      </c>
      <c r="CV164" s="270">
        <f t="shared" si="1043"/>
        <v>0</v>
      </c>
      <c r="CW164" s="270">
        <f t="shared" si="1043"/>
        <v>0</v>
      </c>
      <c r="CX164" s="270">
        <f t="shared" si="1043"/>
        <v>0</v>
      </c>
      <c r="CY164" s="270">
        <f t="shared" si="1043"/>
        <v>0</v>
      </c>
      <c r="CZ164" s="270">
        <f t="shared" si="1043"/>
        <v>0</v>
      </c>
      <c r="DA164" s="270">
        <f t="shared" si="1043"/>
        <v>0</v>
      </c>
      <c r="DB164" s="270">
        <f t="shared" si="1043"/>
        <v>0</v>
      </c>
      <c r="DC164" s="270">
        <f t="shared" si="1043"/>
        <v>0</v>
      </c>
      <c r="DD164" s="270">
        <f t="shared" si="1043"/>
        <v>0</v>
      </c>
      <c r="DE164" s="270">
        <f t="shared" si="1043"/>
        <v>0</v>
      </c>
      <c r="DF164" s="270">
        <f t="shared" si="1043"/>
        <v>0</v>
      </c>
      <c r="DG164" s="270">
        <f t="shared" si="1043"/>
        <v>0</v>
      </c>
      <c r="DH164" s="270">
        <f t="shared" si="1043"/>
        <v>0</v>
      </c>
      <c r="DI164" s="270">
        <f t="shared" si="1043"/>
        <v>0</v>
      </c>
      <c r="DJ164" s="270">
        <f t="shared" si="1043"/>
        <v>0</v>
      </c>
      <c r="DK164" s="270">
        <f t="shared" si="1043"/>
        <v>0</v>
      </c>
      <c r="DL164" s="270">
        <f t="shared" si="1043"/>
        <v>0</v>
      </c>
      <c r="DM164" s="270">
        <f t="shared" si="1043"/>
        <v>0</v>
      </c>
      <c r="DN164" s="270">
        <f t="shared" si="1043"/>
        <v>0</v>
      </c>
      <c r="DO164" s="270">
        <f t="shared" si="1043"/>
        <v>0</v>
      </c>
      <c r="DP164" s="270">
        <f t="shared" si="1043"/>
        <v>0</v>
      </c>
      <c r="DQ164" s="270">
        <f t="shared" si="1043"/>
        <v>0</v>
      </c>
      <c r="DR164" s="270">
        <f t="shared" si="1043"/>
        <v>0</v>
      </c>
      <c r="DS164" s="270">
        <f t="shared" si="1043"/>
        <v>0</v>
      </c>
      <c r="DT164" s="270">
        <f t="shared" si="1043"/>
        <v>0</v>
      </c>
      <c r="DU164" s="270">
        <f t="shared" si="1043"/>
        <v>0</v>
      </c>
      <c r="DV164" s="270">
        <f t="shared" si="1043"/>
        <v>0</v>
      </c>
      <c r="DW164" s="270">
        <f t="shared" si="1043"/>
        <v>0</v>
      </c>
      <c r="DX164" s="270">
        <f t="shared" si="1043"/>
        <v>0</v>
      </c>
      <c r="DY164" s="270">
        <f t="shared" si="29"/>
        <v>0</v>
      </c>
      <c r="DZ164" s="274"/>
      <c r="EA164" s="275">
        <f t="shared" si="38"/>
        <v>0</v>
      </c>
      <c r="EB164" s="270">
        <f t="shared" ref="EB164:FC164" si="1044">IF(AJ162&lt;=0,0,IF($C163&lt;=SUM($EA164:EA164),0,IF(CU163+$C163-SUM($EA164:EA164)&gt;AJ162+BO163,AJ162+BO163-CU163,$C163-SUM($EA164:EA164))))</f>
        <v>0</v>
      </c>
      <c r="EC164" s="270">
        <f t="shared" si="1044"/>
        <v>0</v>
      </c>
      <c r="ED164" s="270">
        <f t="shared" si="1044"/>
        <v>0</v>
      </c>
      <c r="EE164" s="270">
        <f t="shared" si="1044"/>
        <v>0</v>
      </c>
      <c r="EF164" s="270">
        <f t="shared" si="1044"/>
        <v>0</v>
      </c>
      <c r="EG164" s="270">
        <f t="shared" si="1044"/>
        <v>0</v>
      </c>
      <c r="EH164" s="270">
        <f t="shared" si="1044"/>
        <v>0</v>
      </c>
      <c r="EI164" s="270">
        <f t="shared" si="1044"/>
        <v>0</v>
      </c>
      <c r="EJ164" s="270">
        <f t="shared" si="1044"/>
        <v>0</v>
      </c>
      <c r="EK164" s="270">
        <f t="shared" si="1044"/>
        <v>0</v>
      </c>
      <c r="EL164" s="270">
        <f t="shared" si="1044"/>
        <v>0</v>
      </c>
      <c r="EM164" s="270">
        <f t="shared" si="1044"/>
        <v>0</v>
      </c>
      <c r="EN164" s="270">
        <f t="shared" si="1044"/>
        <v>0</v>
      </c>
      <c r="EO164" s="270">
        <f t="shared" si="1044"/>
        <v>0</v>
      </c>
      <c r="EP164" s="270">
        <f t="shared" si="1044"/>
        <v>0</v>
      </c>
      <c r="EQ164" s="270">
        <f t="shared" si="1044"/>
        <v>0</v>
      </c>
      <c r="ER164" s="270">
        <f t="shared" si="1044"/>
        <v>0</v>
      </c>
      <c r="ES164" s="270">
        <f t="shared" si="1044"/>
        <v>0</v>
      </c>
      <c r="ET164" s="270">
        <f t="shared" si="1044"/>
        <v>0</v>
      </c>
      <c r="EU164" s="270">
        <f t="shared" si="1044"/>
        <v>0</v>
      </c>
      <c r="EV164" s="270">
        <f t="shared" si="1044"/>
        <v>0</v>
      </c>
      <c r="EW164" s="270">
        <f t="shared" si="1044"/>
        <v>0</v>
      </c>
      <c r="EX164" s="270">
        <f t="shared" si="1044"/>
        <v>0</v>
      </c>
      <c r="EY164" s="270">
        <f t="shared" si="1044"/>
        <v>0</v>
      </c>
      <c r="EZ164" s="270">
        <f t="shared" si="1044"/>
        <v>0</v>
      </c>
      <c r="FA164" s="270">
        <f t="shared" si="1044"/>
        <v>0</v>
      </c>
      <c r="FB164" s="270">
        <f t="shared" si="1044"/>
        <v>0</v>
      </c>
      <c r="FC164" s="270">
        <f t="shared" si="1044"/>
        <v>0</v>
      </c>
      <c r="FD164" s="271"/>
      <c r="FE164" s="271"/>
      <c r="FF164" s="271"/>
      <c r="FG164" s="215"/>
      <c r="FH164" s="215"/>
    </row>
    <row r="165" ht="11.25" customHeight="1">
      <c r="A165" s="215" t="str">
        <f t="shared" si="19"/>
        <v/>
      </c>
      <c r="B165" s="241" t="str">
        <f t="shared" si="600"/>
        <v>#N/A</v>
      </c>
      <c r="C165" s="271" t="str">
        <f>IF(A165="","",IF(Calculator!snowball,IF(($E$5-DY165)&lt;0,0,$E$5-DY165),0)+D165)</f>
        <v/>
      </c>
      <c r="D165" s="271"/>
      <c r="E165" s="270">
        <f t="shared" si="40"/>
        <v>0</v>
      </c>
      <c r="F165" s="270">
        <f t="shared" ref="F165:AG165" si="1045">CU165+EB166</f>
        <v>0</v>
      </c>
      <c r="G165" s="270">
        <f t="shared" si="1045"/>
        <v>0</v>
      </c>
      <c r="H165" s="270">
        <f t="shared" si="1045"/>
        <v>0</v>
      </c>
      <c r="I165" s="270">
        <f t="shared" si="1045"/>
        <v>0</v>
      </c>
      <c r="J165" s="270">
        <f t="shared" si="1045"/>
        <v>0</v>
      </c>
      <c r="K165" s="270">
        <f t="shared" si="1045"/>
        <v>0</v>
      </c>
      <c r="L165" s="270">
        <f t="shared" si="1045"/>
        <v>0</v>
      </c>
      <c r="M165" s="270">
        <f t="shared" si="1045"/>
        <v>0</v>
      </c>
      <c r="N165" s="270">
        <f t="shared" si="1045"/>
        <v>0</v>
      </c>
      <c r="O165" s="270">
        <f t="shared" si="1045"/>
        <v>0</v>
      </c>
      <c r="P165" s="272">
        <f t="shared" si="1045"/>
        <v>0</v>
      </c>
      <c r="Q165" s="272">
        <f t="shared" si="1045"/>
        <v>0</v>
      </c>
      <c r="R165" s="272">
        <f t="shared" si="1045"/>
        <v>0</v>
      </c>
      <c r="S165" s="272">
        <f t="shared" si="1045"/>
        <v>0</v>
      </c>
      <c r="T165" s="272">
        <f t="shared" si="1045"/>
        <v>0</v>
      </c>
      <c r="U165" s="270">
        <f t="shared" si="1045"/>
        <v>0</v>
      </c>
      <c r="V165" s="270">
        <f t="shared" si="1045"/>
        <v>0</v>
      </c>
      <c r="W165" s="270">
        <f t="shared" si="1045"/>
        <v>0</v>
      </c>
      <c r="X165" s="270">
        <f t="shared" si="1045"/>
        <v>0</v>
      </c>
      <c r="Y165" s="270">
        <f t="shared" si="1045"/>
        <v>0</v>
      </c>
      <c r="Z165" s="270">
        <f t="shared" si="1045"/>
        <v>0</v>
      </c>
      <c r="AA165" s="270">
        <f t="shared" si="1045"/>
        <v>0</v>
      </c>
      <c r="AB165" s="270">
        <f t="shared" si="1045"/>
        <v>0</v>
      </c>
      <c r="AC165" s="270">
        <f t="shared" si="1045"/>
        <v>0</v>
      </c>
      <c r="AD165" s="270">
        <f t="shared" si="1045"/>
        <v>0</v>
      </c>
      <c r="AE165" s="270">
        <f t="shared" si="1045"/>
        <v>0</v>
      </c>
      <c r="AF165" s="270">
        <f t="shared" si="1045"/>
        <v>0</v>
      </c>
      <c r="AG165" s="270">
        <f t="shared" si="1045"/>
        <v>0</v>
      </c>
      <c r="AH165" s="279">
        <f t="shared" si="602"/>
        <v>0</v>
      </c>
      <c r="AI165" s="270">
        <f t="shared" si="43"/>
        <v>0</v>
      </c>
      <c r="AJ165" s="270">
        <f t="shared" ref="AJ165:AO165" si="1046">IF(F$8=0,0,ROUND(AJ164-(F165-BO165),2))</f>
        <v>0</v>
      </c>
      <c r="AK165" s="270">
        <f t="shared" si="1046"/>
        <v>0</v>
      </c>
      <c r="AL165" s="270">
        <f t="shared" si="1046"/>
        <v>0</v>
      </c>
      <c r="AM165" s="270">
        <f t="shared" si="1046"/>
        <v>0</v>
      </c>
      <c r="AN165" s="270">
        <f t="shared" si="1046"/>
        <v>0</v>
      </c>
      <c r="AO165" s="270">
        <f t="shared" si="1046"/>
        <v>0</v>
      </c>
      <c r="AP165" s="270">
        <v>0.0</v>
      </c>
      <c r="AQ165" s="270">
        <f t="shared" ref="AQ165:AS165" si="1047">IF(M$8=0,0,ROUND(AQ164-(M165-BV165),2))</f>
        <v>0</v>
      </c>
      <c r="AR165" s="270">
        <f t="shared" si="1047"/>
        <v>0</v>
      </c>
      <c r="AS165" s="270">
        <f t="shared" si="1047"/>
        <v>0</v>
      </c>
      <c r="AT165" s="270">
        <f t="shared" si="605"/>
        <v>-6.22</v>
      </c>
      <c r="AU165" s="270">
        <f t="shared" ref="AU165:BK165" si="1048">IF(Q$8=0,0,ROUND(AU164-(Q165-BY165),2))</f>
        <v>-11.28</v>
      </c>
      <c r="AV165" s="270">
        <f t="shared" si="1048"/>
        <v>0</v>
      </c>
      <c r="AW165" s="270">
        <f t="shared" si="1048"/>
        <v>0</v>
      </c>
      <c r="AX165" s="270">
        <f t="shared" si="1048"/>
        <v>0</v>
      </c>
      <c r="AY165" s="270">
        <f t="shared" si="1048"/>
        <v>0</v>
      </c>
      <c r="AZ165" s="270">
        <f t="shared" si="1048"/>
        <v>0</v>
      </c>
      <c r="BA165" s="270">
        <f t="shared" si="1048"/>
        <v>0</v>
      </c>
      <c r="BB165" s="270">
        <f t="shared" si="1048"/>
        <v>0</v>
      </c>
      <c r="BC165" s="270">
        <f t="shared" si="1048"/>
        <v>0</v>
      </c>
      <c r="BD165" s="270">
        <f t="shared" si="1048"/>
        <v>0</v>
      </c>
      <c r="BE165" s="270">
        <f t="shared" si="1048"/>
        <v>0</v>
      </c>
      <c r="BF165" s="270">
        <f t="shared" si="1048"/>
        <v>0</v>
      </c>
      <c r="BG165" s="270">
        <f t="shared" si="1048"/>
        <v>0</v>
      </c>
      <c r="BH165" s="270">
        <f t="shared" si="1048"/>
        <v>0</v>
      </c>
      <c r="BI165" s="270">
        <f t="shared" si="1048"/>
        <v>0</v>
      </c>
      <c r="BJ165" s="270">
        <f t="shared" si="1048"/>
        <v>0</v>
      </c>
      <c r="BK165" s="270">
        <f t="shared" si="1048"/>
        <v>0</v>
      </c>
      <c r="BL165" s="265">
        <f t="shared" si="16"/>
        <v>-17.5</v>
      </c>
      <c r="BM165" s="215"/>
      <c r="BN165" s="270">
        <f t="shared" ref="BN165:CP165" si="1049">ROUND(AI164*E$9/12,2)</f>
        <v>0</v>
      </c>
      <c r="BO165" s="270">
        <f t="shared" si="1049"/>
        <v>0</v>
      </c>
      <c r="BP165" s="270">
        <f t="shared" si="1049"/>
        <v>0</v>
      </c>
      <c r="BQ165" s="270">
        <f t="shared" si="1049"/>
        <v>0</v>
      </c>
      <c r="BR165" s="270">
        <f t="shared" si="1049"/>
        <v>0</v>
      </c>
      <c r="BS165" s="270">
        <f t="shared" si="1049"/>
        <v>0</v>
      </c>
      <c r="BT165" s="270">
        <f t="shared" si="1049"/>
        <v>0</v>
      </c>
      <c r="BU165" s="270">
        <f t="shared" si="1049"/>
        <v>0</v>
      </c>
      <c r="BV165" s="270">
        <f t="shared" si="1049"/>
        <v>0</v>
      </c>
      <c r="BW165" s="270">
        <f t="shared" si="1049"/>
        <v>0</v>
      </c>
      <c r="BX165" s="270">
        <f t="shared" si="1049"/>
        <v>0</v>
      </c>
      <c r="BY165" s="270">
        <f t="shared" si="1049"/>
        <v>-0.05</v>
      </c>
      <c r="BZ165" s="270">
        <f t="shared" si="1049"/>
        <v>-0.04</v>
      </c>
      <c r="CA165" s="270">
        <f t="shared" si="1049"/>
        <v>0</v>
      </c>
      <c r="CB165" s="270">
        <f t="shared" si="1049"/>
        <v>0</v>
      </c>
      <c r="CC165" s="270">
        <f t="shared" si="1049"/>
        <v>0</v>
      </c>
      <c r="CD165" s="270">
        <f t="shared" si="1049"/>
        <v>0</v>
      </c>
      <c r="CE165" s="270">
        <f t="shared" si="1049"/>
        <v>0</v>
      </c>
      <c r="CF165" s="270">
        <f t="shared" si="1049"/>
        <v>0</v>
      </c>
      <c r="CG165" s="270">
        <f t="shared" si="1049"/>
        <v>0</v>
      </c>
      <c r="CH165" s="270">
        <f t="shared" si="1049"/>
        <v>0</v>
      </c>
      <c r="CI165" s="270">
        <f t="shared" si="1049"/>
        <v>0</v>
      </c>
      <c r="CJ165" s="270">
        <f t="shared" si="1049"/>
        <v>0</v>
      </c>
      <c r="CK165" s="270">
        <f t="shared" si="1049"/>
        <v>0</v>
      </c>
      <c r="CL165" s="270">
        <f t="shared" si="1049"/>
        <v>0</v>
      </c>
      <c r="CM165" s="270">
        <f t="shared" si="1049"/>
        <v>0</v>
      </c>
      <c r="CN165" s="270">
        <f t="shared" si="1049"/>
        <v>0</v>
      </c>
      <c r="CO165" s="270">
        <f t="shared" si="1049"/>
        <v>0</v>
      </c>
      <c r="CP165" s="270">
        <f t="shared" si="1049"/>
        <v>0</v>
      </c>
      <c r="CQ165" s="215"/>
      <c r="CR165" s="270">
        <f t="shared" si="27"/>
        <v>-0.09</v>
      </c>
      <c r="CS165" s="215"/>
      <c r="CT165" s="270">
        <f t="shared" ref="CT165:DX165" si="1050">IF(AI164&gt;0,IF((AI164+BN165)&lt;E$10,AI164+BN165,E$10),0)</f>
        <v>0</v>
      </c>
      <c r="CU165" s="270">
        <f t="shared" si="1050"/>
        <v>0</v>
      </c>
      <c r="CV165" s="270">
        <f t="shared" si="1050"/>
        <v>0</v>
      </c>
      <c r="CW165" s="270">
        <f t="shared" si="1050"/>
        <v>0</v>
      </c>
      <c r="CX165" s="270">
        <f t="shared" si="1050"/>
        <v>0</v>
      </c>
      <c r="CY165" s="270">
        <f t="shared" si="1050"/>
        <v>0</v>
      </c>
      <c r="CZ165" s="270">
        <f t="shared" si="1050"/>
        <v>0</v>
      </c>
      <c r="DA165" s="270">
        <f t="shared" si="1050"/>
        <v>0</v>
      </c>
      <c r="DB165" s="270">
        <f t="shared" si="1050"/>
        <v>0</v>
      </c>
      <c r="DC165" s="270">
        <f t="shared" si="1050"/>
        <v>0</v>
      </c>
      <c r="DD165" s="270">
        <f t="shared" si="1050"/>
        <v>0</v>
      </c>
      <c r="DE165" s="270">
        <f t="shared" si="1050"/>
        <v>0</v>
      </c>
      <c r="DF165" s="270">
        <f t="shared" si="1050"/>
        <v>0</v>
      </c>
      <c r="DG165" s="270">
        <f t="shared" si="1050"/>
        <v>0</v>
      </c>
      <c r="DH165" s="270">
        <f t="shared" si="1050"/>
        <v>0</v>
      </c>
      <c r="DI165" s="270">
        <f t="shared" si="1050"/>
        <v>0</v>
      </c>
      <c r="DJ165" s="270">
        <f t="shared" si="1050"/>
        <v>0</v>
      </c>
      <c r="DK165" s="270">
        <f t="shared" si="1050"/>
        <v>0</v>
      </c>
      <c r="DL165" s="270">
        <f t="shared" si="1050"/>
        <v>0</v>
      </c>
      <c r="DM165" s="270">
        <f t="shared" si="1050"/>
        <v>0</v>
      </c>
      <c r="DN165" s="270">
        <f t="shared" si="1050"/>
        <v>0</v>
      </c>
      <c r="DO165" s="270">
        <f t="shared" si="1050"/>
        <v>0</v>
      </c>
      <c r="DP165" s="270">
        <f t="shared" si="1050"/>
        <v>0</v>
      </c>
      <c r="DQ165" s="270">
        <f t="shared" si="1050"/>
        <v>0</v>
      </c>
      <c r="DR165" s="270">
        <f t="shared" si="1050"/>
        <v>0</v>
      </c>
      <c r="DS165" s="270">
        <f t="shared" si="1050"/>
        <v>0</v>
      </c>
      <c r="DT165" s="270">
        <f t="shared" si="1050"/>
        <v>0</v>
      </c>
      <c r="DU165" s="270">
        <f t="shared" si="1050"/>
        <v>0</v>
      </c>
      <c r="DV165" s="270">
        <f t="shared" si="1050"/>
        <v>0</v>
      </c>
      <c r="DW165" s="270">
        <f t="shared" si="1050"/>
        <v>0</v>
      </c>
      <c r="DX165" s="270">
        <f t="shared" si="1050"/>
        <v>0</v>
      </c>
      <c r="DY165" s="270">
        <f t="shared" si="29"/>
        <v>0</v>
      </c>
      <c r="DZ165" s="274"/>
      <c r="EA165" s="275">
        <f t="shared" si="38"/>
        <v>0</v>
      </c>
      <c r="EB165" s="270">
        <f t="shared" ref="EB165:FC165" si="1051">IF(AJ163&lt;=0,0,IF($C164&lt;=SUM($EA165:EA165),0,IF(CU164+$C164-SUM($EA165:EA165)&gt;AJ163+BO164,AJ163+BO164-CU164,$C164-SUM($EA165:EA165))))</f>
        <v>0</v>
      </c>
      <c r="EC165" s="270">
        <f t="shared" si="1051"/>
        <v>0</v>
      </c>
      <c r="ED165" s="270">
        <f t="shared" si="1051"/>
        <v>0</v>
      </c>
      <c r="EE165" s="270">
        <f t="shared" si="1051"/>
        <v>0</v>
      </c>
      <c r="EF165" s="270">
        <f t="shared" si="1051"/>
        <v>0</v>
      </c>
      <c r="EG165" s="270">
        <f t="shared" si="1051"/>
        <v>0</v>
      </c>
      <c r="EH165" s="270">
        <f t="shared" si="1051"/>
        <v>0</v>
      </c>
      <c r="EI165" s="270">
        <f t="shared" si="1051"/>
        <v>0</v>
      </c>
      <c r="EJ165" s="270">
        <f t="shared" si="1051"/>
        <v>0</v>
      </c>
      <c r="EK165" s="270">
        <f t="shared" si="1051"/>
        <v>0</v>
      </c>
      <c r="EL165" s="270">
        <f t="shared" si="1051"/>
        <v>0</v>
      </c>
      <c r="EM165" s="270">
        <f t="shared" si="1051"/>
        <v>0</v>
      </c>
      <c r="EN165" s="270">
        <f t="shared" si="1051"/>
        <v>0</v>
      </c>
      <c r="EO165" s="270">
        <f t="shared" si="1051"/>
        <v>0</v>
      </c>
      <c r="EP165" s="270">
        <f t="shared" si="1051"/>
        <v>0</v>
      </c>
      <c r="EQ165" s="270">
        <f t="shared" si="1051"/>
        <v>0</v>
      </c>
      <c r="ER165" s="270">
        <f t="shared" si="1051"/>
        <v>0</v>
      </c>
      <c r="ES165" s="270">
        <f t="shared" si="1051"/>
        <v>0</v>
      </c>
      <c r="ET165" s="270">
        <f t="shared" si="1051"/>
        <v>0</v>
      </c>
      <c r="EU165" s="270">
        <f t="shared" si="1051"/>
        <v>0</v>
      </c>
      <c r="EV165" s="270">
        <f t="shared" si="1051"/>
        <v>0</v>
      </c>
      <c r="EW165" s="270">
        <f t="shared" si="1051"/>
        <v>0</v>
      </c>
      <c r="EX165" s="270">
        <f t="shared" si="1051"/>
        <v>0</v>
      </c>
      <c r="EY165" s="270">
        <f t="shared" si="1051"/>
        <v>0</v>
      </c>
      <c r="EZ165" s="270">
        <f t="shared" si="1051"/>
        <v>0</v>
      </c>
      <c r="FA165" s="270">
        <f t="shared" si="1051"/>
        <v>0</v>
      </c>
      <c r="FB165" s="270">
        <f t="shared" si="1051"/>
        <v>0</v>
      </c>
      <c r="FC165" s="270">
        <f t="shared" si="1051"/>
        <v>0</v>
      </c>
      <c r="FD165" s="271"/>
      <c r="FE165" s="271"/>
      <c r="FF165" s="271"/>
      <c r="FG165" s="215"/>
      <c r="FH165" s="215"/>
    </row>
    <row r="166" ht="11.25" customHeight="1">
      <c r="A166" s="215" t="str">
        <f t="shared" si="19"/>
        <v/>
      </c>
      <c r="B166" s="241" t="str">
        <f t="shared" si="600"/>
        <v>#N/A</v>
      </c>
      <c r="C166" s="271" t="str">
        <f>IF(A166="","",IF(Calculator!snowball,IF(($E$5-DY166)&lt;0,0,$E$5-DY166),0)+D166)</f>
        <v/>
      </c>
      <c r="D166" s="271"/>
      <c r="E166" s="270">
        <f t="shared" si="40"/>
        <v>0</v>
      </c>
      <c r="F166" s="270">
        <f t="shared" ref="F166:AG166" si="1052">CU166+EB167</f>
        <v>0</v>
      </c>
      <c r="G166" s="270">
        <f t="shared" si="1052"/>
        <v>0</v>
      </c>
      <c r="H166" s="270">
        <f t="shared" si="1052"/>
        <v>0</v>
      </c>
      <c r="I166" s="270">
        <f t="shared" si="1052"/>
        <v>0</v>
      </c>
      <c r="J166" s="270">
        <f t="shared" si="1052"/>
        <v>0</v>
      </c>
      <c r="K166" s="270">
        <f t="shared" si="1052"/>
        <v>0</v>
      </c>
      <c r="L166" s="270">
        <f t="shared" si="1052"/>
        <v>0</v>
      </c>
      <c r="M166" s="270">
        <f t="shared" si="1052"/>
        <v>0</v>
      </c>
      <c r="N166" s="270">
        <f t="shared" si="1052"/>
        <v>0</v>
      </c>
      <c r="O166" s="270">
        <f t="shared" si="1052"/>
        <v>0</v>
      </c>
      <c r="P166" s="272">
        <f t="shared" si="1052"/>
        <v>0</v>
      </c>
      <c r="Q166" s="272">
        <f t="shared" si="1052"/>
        <v>0</v>
      </c>
      <c r="R166" s="272">
        <f t="shared" si="1052"/>
        <v>0</v>
      </c>
      <c r="S166" s="272">
        <f t="shared" si="1052"/>
        <v>0</v>
      </c>
      <c r="T166" s="272">
        <f t="shared" si="1052"/>
        <v>0</v>
      </c>
      <c r="U166" s="270">
        <f t="shared" si="1052"/>
        <v>0</v>
      </c>
      <c r="V166" s="270">
        <f t="shared" si="1052"/>
        <v>0</v>
      </c>
      <c r="W166" s="270">
        <f t="shared" si="1052"/>
        <v>0</v>
      </c>
      <c r="X166" s="270">
        <f t="shared" si="1052"/>
        <v>0</v>
      </c>
      <c r="Y166" s="270">
        <f t="shared" si="1052"/>
        <v>0</v>
      </c>
      <c r="Z166" s="270">
        <f t="shared" si="1052"/>
        <v>0</v>
      </c>
      <c r="AA166" s="270">
        <f t="shared" si="1052"/>
        <v>0</v>
      </c>
      <c r="AB166" s="270">
        <f t="shared" si="1052"/>
        <v>0</v>
      </c>
      <c r="AC166" s="270">
        <f t="shared" si="1052"/>
        <v>0</v>
      </c>
      <c r="AD166" s="270">
        <f t="shared" si="1052"/>
        <v>0</v>
      </c>
      <c r="AE166" s="270">
        <f t="shared" si="1052"/>
        <v>0</v>
      </c>
      <c r="AF166" s="270">
        <f t="shared" si="1052"/>
        <v>0</v>
      </c>
      <c r="AG166" s="270">
        <f t="shared" si="1052"/>
        <v>0</v>
      </c>
      <c r="AH166" s="279">
        <f t="shared" si="602"/>
        <v>0</v>
      </c>
      <c r="AI166" s="270">
        <f t="shared" si="43"/>
        <v>0</v>
      </c>
      <c r="AJ166" s="270">
        <f t="shared" ref="AJ166:AO166" si="1053">IF(F$8=0,0,ROUND(AJ165-(F166-BO166),2))</f>
        <v>0</v>
      </c>
      <c r="AK166" s="270">
        <f t="shared" si="1053"/>
        <v>0</v>
      </c>
      <c r="AL166" s="270">
        <f t="shared" si="1053"/>
        <v>0</v>
      </c>
      <c r="AM166" s="270">
        <f t="shared" si="1053"/>
        <v>0</v>
      </c>
      <c r="AN166" s="270">
        <f t="shared" si="1053"/>
        <v>0</v>
      </c>
      <c r="AO166" s="270">
        <f t="shared" si="1053"/>
        <v>0</v>
      </c>
      <c r="AP166" s="270">
        <v>0.0</v>
      </c>
      <c r="AQ166" s="270">
        <f t="shared" ref="AQ166:AS166" si="1054">IF(M$8=0,0,ROUND(AQ165-(M166-BV166),2))</f>
        <v>0</v>
      </c>
      <c r="AR166" s="270">
        <f t="shared" si="1054"/>
        <v>0</v>
      </c>
      <c r="AS166" s="270">
        <f t="shared" si="1054"/>
        <v>0</v>
      </c>
      <c r="AT166" s="270">
        <f t="shared" si="605"/>
        <v>-6.22</v>
      </c>
      <c r="AU166" s="270">
        <f t="shared" ref="AU166:BK166" si="1055">IF(Q$8=0,0,ROUND(AU165-(Q166-BY166),2))</f>
        <v>-11.33</v>
      </c>
      <c r="AV166" s="270">
        <f t="shared" si="1055"/>
        <v>0</v>
      </c>
      <c r="AW166" s="270">
        <f t="shared" si="1055"/>
        <v>0</v>
      </c>
      <c r="AX166" s="270">
        <f t="shared" si="1055"/>
        <v>0</v>
      </c>
      <c r="AY166" s="270">
        <f t="shared" si="1055"/>
        <v>0</v>
      </c>
      <c r="AZ166" s="270">
        <f t="shared" si="1055"/>
        <v>0</v>
      </c>
      <c r="BA166" s="270">
        <f t="shared" si="1055"/>
        <v>0</v>
      </c>
      <c r="BB166" s="270">
        <f t="shared" si="1055"/>
        <v>0</v>
      </c>
      <c r="BC166" s="270">
        <f t="shared" si="1055"/>
        <v>0</v>
      </c>
      <c r="BD166" s="270">
        <f t="shared" si="1055"/>
        <v>0</v>
      </c>
      <c r="BE166" s="270">
        <f t="shared" si="1055"/>
        <v>0</v>
      </c>
      <c r="BF166" s="270">
        <f t="shared" si="1055"/>
        <v>0</v>
      </c>
      <c r="BG166" s="270">
        <f t="shared" si="1055"/>
        <v>0</v>
      </c>
      <c r="BH166" s="270">
        <f t="shared" si="1055"/>
        <v>0</v>
      </c>
      <c r="BI166" s="270">
        <f t="shared" si="1055"/>
        <v>0</v>
      </c>
      <c r="BJ166" s="270">
        <f t="shared" si="1055"/>
        <v>0</v>
      </c>
      <c r="BK166" s="270">
        <f t="shared" si="1055"/>
        <v>0</v>
      </c>
      <c r="BL166" s="265">
        <f t="shared" si="16"/>
        <v>-17.55</v>
      </c>
      <c r="BM166" s="215"/>
      <c r="BN166" s="270">
        <f t="shared" ref="BN166:CP166" si="1056">ROUND(AI165*E$9/12,2)</f>
        <v>0</v>
      </c>
      <c r="BO166" s="270">
        <f t="shared" si="1056"/>
        <v>0</v>
      </c>
      <c r="BP166" s="270">
        <f t="shared" si="1056"/>
        <v>0</v>
      </c>
      <c r="BQ166" s="270">
        <f t="shared" si="1056"/>
        <v>0</v>
      </c>
      <c r="BR166" s="270">
        <f t="shared" si="1056"/>
        <v>0</v>
      </c>
      <c r="BS166" s="270">
        <f t="shared" si="1056"/>
        <v>0</v>
      </c>
      <c r="BT166" s="270">
        <f t="shared" si="1056"/>
        <v>0</v>
      </c>
      <c r="BU166" s="270">
        <f t="shared" si="1056"/>
        <v>0</v>
      </c>
      <c r="BV166" s="270">
        <f t="shared" si="1056"/>
        <v>0</v>
      </c>
      <c r="BW166" s="270">
        <f t="shared" si="1056"/>
        <v>0</v>
      </c>
      <c r="BX166" s="270">
        <f t="shared" si="1056"/>
        <v>0</v>
      </c>
      <c r="BY166" s="270">
        <f t="shared" si="1056"/>
        <v>-0.05</v>
      </c>
      <c r="BZ166" s="270">
        <f t="shared" si="1056"/>
        <v>-0.04</v>
      </c>
      <c r="CA166" s="270">
        <f t="shared" si="1056"/>
        <v>0</v>
      </c>
      <c r="CB166" s="270">
        <f t="shared" si="1056"/>
        <v>0</v>
      </c>
      <c r="CC166" s="270">
        <f t="shared" si="1056"/>
        <v>0</v>
      </c>
      <c r="CD166" s="270">
        <f t="shared" si="1056"/>
        <v>0</v>
      </c>
      <c r="CE166" s="270">
        <f t="shared" si="1056"/>
        <v>0</v>
      </c>
      <c r="CF166" s="270">
        <f t="shared" si="1056"/>
        <v>0</v>
      </c>
      <c r="CG166" s="270">
        <f t="shared" si="1056"/>
        <v>0</v>
      </c>
      <c r="CH166" s="270">
        <f t="shared" si="1056"/>
        <v>0</v>
      </c>
      <c r="CI166" s="270">
        <f t="shared" si="1056"/>
        <v>0</v>
      </c>
      <c r="CJ166" s="270">
        <f t="shared" si="1056"/>
        <v>0</v>
      </c>
      <c r="CK166" s="270">
        <f t="shared" si="1056"/>
        <v>0</v>
      </c>
      <c r="CL166" s="270">
        <f t="shared" si="1056"/>
        <v>0</v>
      </c>
      <c r="CM166" s="270">
        <f t="shared" si="1056"/>
        <v>0</v>
      </c>
      <c r="CN166" s="270">
        <f t="shared" si="1056"/>
        <v>0</v>
      </c>
      <c r="CO166" s="270">
        <f t="shared" si="1056"/>
        <v>0</v>
      </c>
      <c r="CP166" s="270">
        <f t="shared" si="1056"/>
        <v>0</v>
      </c>
      <c r="CQ166" s="215"/>
      <c r="CR166" s="270">
        <f t="shared" si="27"/>
        <v>-0.09</v>
      </c>
      <c r="CS166" s="215"/>
      <c r="CT166" s="270">
        <f t="shared" ref="CT166:DX166" si="1057">IF(AI165&gt;0,IF((AI165+BN166)&lt;E$10,AI165+BN166,E$10),0)</f>
        <v>0</v>
      </c>
      <c r="CU166" s="270">
        <f t="shared" si="1057"/>
        <v>0</v>
      </c>
      <c r="CV166" s="270">
        <f t="shared" si="1057"/>
        <v>0</v>
      </c>
      <c r="CW166" s="270">
        <f t="shared" si="1057"/>
        <v>0</v>
      </c>
      <c r="CX166" s="270">
        <f t="shared" si="1057"/>
        <v>0</v>
      </c>
      <c r="CY166" s="270">
        <f t="shared" si="1057"/>
        <v>0</v>
      </c>
      <c r="CZ166" s="270">
        <f t="shared" si="1057"/>
        <v>0</v>
      </c>
      <c r="DA166" s="270">
        <f t="shared" si="1057"/>
        <v>0</v>
      </c>
      <c r="DB166" s="270">
        <f t="shared" si="1057"/>
        <v>0</v>
      </c>
      <c r="DC166" s="270">
        <f t="shared" si="1057"/>
        <v>0</v>
      </c>
      <c r="DD166" s="270">
        <f t="shared" si="1057"/>
        <v>0</v>
      </c>
      <c r="DE166" s="270">
        <f t="shared" si="1057"/>
        <v>0</v>
      </c>
      <c r="DF166" s="270">
        <f t="shared" si="1057"/>
        <v>0</v>
      </c>
      <c r="DG166" s="270">
        <f t="shared" si="1057"/>
        <v>0</v>
      </c>
      <c r="DH166" s="270">
        <f t="shared" si="1057"/>
        <v>0</v>
      </c>
      <c r="DI166" s="270">
        <f t="shared" si="1057"/>
        <v>0</v>
      </c>
      <c r="DJ166" s="270">
        <f t="shared" si="1057"/>
        <v>0</v>
      </c>
      <c r="DK166" s="270">
        <f t="shared" si="1057"/>
        <v>0</v>
      </c>
      <c r="DL166" s="270">
        <f t="shared" si="1057"/>
        <v>0</v>
      </c>
      <c r="DM166" s="270">
        <f t="shared" si="1057"/>
        <v>0</v>
      </c>
      <c r="DN166" s="270">
        <f t="shared" si="1057"/>
        <v>0</v>
      </c>
      <c r="DO166" s="270">
        <f t="shared" si="1057"/>
        <v>0</v>
      </c>
      <c r="DP166" s="270">
        <f t="shared" si="1057"/>
        <v>0</v>
      </c>
      <c r="DQ166" s="270">
        <f t="shared" si="1057"/>
        <v>0</v>
      </c>
      <c r="DR166" s="270">
        <f t="shared" si="1057"/>
        <v>0</v>
      </c>
      <c r="DS166" s="270">
        <f t="shared" si="1057"/>
        <v>0</v>
      </c>
      <c r="DT166" s="270">
        <f t="shared" si="1057"/>
        <v>0</v>
      </c>
      <c r="DU166" s="270">
        <f t="shared" si="1057"/>
        <v>0</v>
      </c>
      <c r="DV166" s="270">
        <f t="shared" si="1057"/>
        <v>0</v>
      </c>
      <c r="DW166" s="270">
        <f t="shared" si="1057"/>
        <v>0</v>
      </c>
      <c r="DX166" s="270">
        <f t="shared" si="1057"/>
        <v>0</v>
      </c>
      <c r="DY166" s="270">
        <f t="shared" si="29"/>
        <v>0</v>
      </c>
      <c r="DZ166" s="274"/>
      <c r="EA166" s="275">
        <f t="shared" si="38"/>
        <v>0</v>
      </c>
      <c r="EB166" s="270">
        <f t="shared" ref="EB166:FC166" si="1058">IF(AJ164&lt;=0,0,IF($C165&lt;=SUM($EA166:EA166),0,IF(CU165+$C165-SUM($EA166:EA166)&gt;AJ164+BO165,AJ164+BO165-CU165,$C165-SUM($EA166:EA166))))</f>
        <v>0</v>
      </c>
      <c r="EC166" s="270">
        <f t="shared" si="1058"/>
        <v>0</v>
      </c>
      <c r="ED166" s="270">
        <f t="shared" si="1058"/>
        <v>0</v>
      </c>
      <c r="EE166" s="270">
        <f t="shared" si="1058"/>
        <v>0</v>
      </c>
      <c r="EF166" s="270">
        <f t="shared" si="1058"/>
        <v>0</v>
      </c>
      <c r="EG166" s="270">
        <f t="shared" si="1058"/>
        <v>0</v>
      </c>
      <c r="EH166" s="270">
        <f t="shared" si="1058"/>
        <v>0</v>
      </c>
      <c r="EI166" s="270">
        <f t="shared" si="1058"/>
        <v>0</v>
      </c>
      <c r="EJ166" s="270">
        <f t="shared" si="1058"/>
        <v>0</v>
      </c>
      <c r="EK166" s="270">
        <f t="shared" si="1058"/>
        <v>0</v>
      </c>
      <c r="EL166" s="270">
        <f t="shared" si="1058"/>
        <v>0</v>
      </c>
      <c r="EM166" s="270">
        <f t="shared" si="1058"/>
        <v>0</v>
      </c>
      <c r="EN166" s="270">
        <f t="shared" si="1058"/>
        <v>0</v>
      </c>
      <c r="EO166" s="270">
        <f t="shared" si="1058"/>
        <v>0</v>
      </c>
      <c r="EP166" s="270">
        <f t="shared" si="1058"/>
        <v>0</v>
      </c>
      <c r="EQ166" s="270">
        <f t="shared" si="1058"/>
        <v>0</v>
      </c>
      <c r="ER166" s="270">
        <f t="shared" si="1058"/>
        <v>0</v>
      </c>
      <c r="ES166" s="270">
        <f t="shared" si="1058"/>
        <v>0</v>
      </c>
      <c r="ET166" s="270">
        <f t="shared" si="1058"/>
        <v>0</v>
      </c>
      <c r="EU166" s="270">
        <f t="shared" si="1058"/>
        <v>0</v>
      </c>
      <c r="EV166" s="270">
        <f t="shared" si="1058"/>
        <v>0</v>
      </c>
      <c r="EW166" s="270">
        <f t="shared" si="1058"/>
        <v>0</v>
      </c>
      <c r="EX166" s="270">
        <f t="shared" si="1058"/>
        <v>0</v>
      </c>
      <c r="EY166" s="270">
        <f t="shared" si="1058"/>
        <v>0</v>
      </c>
      <c r="EZ166" s="270">
        <f t="shared" si="1058"/>
        <v>0</v>
      </c>
      <c r="FA166" s="270">
        <f t="shared" si="1058"/>
        <v>0</v>
      </c>
      <c r="FB166" s="270">
        <f t="shared" si="1058"/>
        <v>0</v>
      </c>
      <c r="FC166" s="270">
        <f t="shared" si="1058"/>
        <v>0</v>
      </c>
      <c r="FD166" s="271"/>
      <c r="FE166" s="271"/>
      <c r="FF166" s="271"/>
      <c r="FG166" s="215"/>
      <c r="FH166" s="215"/>
    </row>
    <row r="167" ht="11.25" customHeight="1">
      <c r="A167" s="215" t="str">
        <f t="shared" si="19"/>
        <v/>
      </c>
      <c r="B167" s="241" t="str">
        <f t="shared" si="600"/>
        <v>#N/A</v>
      </c>
      <c r="C167" s="271" t="str">
        <f>IF(A167="","",IF(Calculator!snowball,IF(($E$5-DY167)&lt;0,0,$E$5-DY167),0)+D167)</f>
        <v/>
      </c>
      <c r="D167" s="271"/>
      <c r="E167" s="270">
        <f t="shared" si="40"/>
        <v>0</v>
      </c>
      <c r="F167" s="270">
        <f t="shared" ref="F167:AG167" si="1059">CU167+EB168</f>
        <v>0</v>
      </c>
      <c r="G167" s="270">
        <f t="shared" si="1059"/>
        <v>0</v>
      </c>
      <c r="H167" s="270">
        <f t="shared" si="1059"/>
        <v>0</v>
      </c>
      <c r="I167" s="270">
        <f t="shared" si="1059"/>
        <v>0</v>
      </c>
      <c r="J167" s="270">
        <f t="shared" si="1059"/>
        <v>0</v>
      </c>
      <c r="K167" s="270">
        <f t="shared" si="1059"/>
        <v>0</v>
      </c>
      <c r="L167" s="270">
        <f t="shared" si="1059"/>
        <v>0</v>
      </c>
      <c r="M167" s="270">
        <f t="shared" si="1059"/>
        <v>0</v>
      </c>
      <c r="N167" s="270">
        <f t="shared" si="1059"/>
        <v>0</v>
      </c>
      <c r="O167" s="270">
        <f t="shared" si="1059"/>
        <v>0</v>
      </c>
      <c r="P167" s="272">
        <f t="shared" si="1059"/>
        <v>0</v>
      </c>
      <c r="Q167" s="272">
        <f t="shared" si="1059"/>
        <v>0</v>
      </c>
      <c r="R167" s="272">
        <f t="shared" si="1059"/>
        <v>0</v>
      </c>
      <c r="S167" s="272">
        <f t="shared" si="1059"/>
        <v>0</v>
      </c>
      <c r="T167" s="272">
        <f t="shared" si="1059"/>
        <v>0</v>
      </c>
      <c r="U167" s="270">
        <f t="shared" si="1059"/>
        <v>0</v>
      </c>
      <c r="V167" s="270">
        <f t="shared" si="1059"/>
        <v>0</v>
      </c>
      <c r="W167" s="270">
        <f t="shared" si="1059"/>
        <v>0</v>
      </c>
      <c r="X167" s="270">
        <f t="shared" si="1059"/>
        <v>0</v>
      </c>
      <c r="Y167" s="270">
        <f t="shared" si="1059"/>
        <v>0</v>
      </c>
      <c r="Z167" s="270">
        <f t="shared" si="1059"/>
        <v>0</v>
      </c>
      <c r="AA167" s="270">
        <f t="shared" si="1059"/>
        <v>0</v>
      </c>
      <c r="AB167" s="270">
        <f t="shared" si="1059"/>
        <v>0</v>
      </c>
      <c r="AC167" s="270">
        <f t="shared" si="1059"/>
        <v>0</v>
      </c>
      <c r="AD167" s="270">
        <f t="shared" si="1059"/>
        <v>0</v>
      </c>
      <c r="AE167" s="270">
        <f t="shared" si="1059"/>
        <v>0</v>
      </c>
      <c r="AF167" s="270">
        <f t="shared" si="1059"/>
        <v>0</v>
      </c>
      <c r="AG167" s="270">
        <f t="shared" si="1059"/>
        <v>0</v>
      </c>
      <c r="AH167" s="279">
        <f t="shared" si="602"/>
        <v>0</v>
      </c>
      <c r="AI167" s="270">
        <f t="shared" si="43"/>
        <v>0</v>
      </c>
      <c r="AJ167" s="270">
        <f t="shared" ref="AJ167:AO167" si="1060">IF(F$8=0,0,ROUND(AJ166-(F167-BO167),2))</f>
        <v>0</v>
      </c>
      <c r="AK167" s="270">
        <f t="shared" si="1060"/>
        <v>0</v>
      </c>
      <c r="AL167" s="270">
        <f t="shared" si="1060"/>
        <v>0</v>
      </c>
      <c r="AM167" s="270">
        <f t="shared" si="1060"/>
        <v>0</v>
      </c>
      <c r="AN167" s="270">
        <f t="shared" si="1060"/>
        <v>0</v>
      </c>
      <c r="AO167" s="270">
        <f t="shared" si="1060"/>
        <v>0</v>
      </c>
      <c r="AP167" s="270">
        <v>0.0</v>
      </c>
      <c r="AQ167" s="270">
        <f t="shared" ref="AQ167:AS167" si="1061">IF(M$8=0,0,ROUND(AQ166-(M167-BV167),2))</f>
        <v>0</v>
      </c>
      <c r="AR167" s="270">
        <f t="shared" si="1061"/>
        <v>0</v>
      </c>
      <c r="AS167" s="270">
        <f t="shared" si="1061"/>
        <v>0</v>
      </c>
      <c r="AT167" s="270">
        <f t="shared" si="605"/>
        <v>-6.22</v>
      </c>
      <c r="AU167" s="270">
        <f t="shared" ref="AU167:BK167" si="1062">IF(Q$8=0,0,ROUND(AU166-(Q167-BY167),2))</f>
        <v>-11.38</v>
      </c>
      <c r="AV167" s="270">
        <f t="shared" si="1062"/>
        <v>0</v>
      </c>
      <c r="AW167" s="270">
        <f t="shared" si="1062"/>
        <v>0</v>
      </c>
      <c r="AX167" s="270">
        <f t="shared" si="1062"/>
        <v>0</v>
      </c>
      <c r="AY167" s="270">
        <f t="shared" si="1062"/>
        <v>0</v>
      </c>
      <c r="AZ167" s="270">
        <f t="shared" si="1062"/>
        <v>0</v>
      </c>
      <c r="BA167" s="270">
        <f t="shared" si="1062"/>
        <v>0</v>
      </c>
      <c r="BB167" s="270">
        <f t="shared" si="1062"/>
        <v>0</v>
      </c>
      <c r="BC167" s="270">
        <f t="shared" si="1062"/>
        <v>0</v>
      </c>
      <c r="BD167" s="270">
        <f t="shared" si="1062"/>
        <v>0</v>
      </c>
      <c r="BE167" s="270">
        <f t="shared" si="1062"/>
        <v>0</v>
      </c>
      <c r="BF167" s="270">
        <f t="shared" si="1062"/>
        <v>0</v>
      </c>
      <c r="BG167" s="270">
        <f t="shared" si="1062"/>
        <v>0</v>
      </c>
      <c r="BH167" s="270">
        <f t="shared" si="1062"/>
        <v>0</v>
      </c>
      <c r="BI167" s="270">
        <f t="shared" si="1062"/>
        <v>0</v>
      </c>
      <c r="BJ167" s="270">
        <f t="shared" si="1062"/>
        <v>0</v>
      </c>
      <c r="BK167" s="270">
        <f t="shared" si="1062"/>
        <v>0</v>
      </c>
      <c r="BL167" s="265">
        <f t="shared" si="16"/>
        <v>-17.6</v>
      </c>
      <c r="BM167" s="215"/>
      <c r="BN167" s="270">
        <f t="shared" ref="BN167:CP167" si="1063">ROUND(AI166*E$9/12,2)</f>
        <v>0</v>
      </c>
      <c r="BO167" s="270">
        <f t="shared" si="1063"/>
        <v>0</v>
      </c>
      <c r="BP167" s="270">
        <f t="shared" si="1063"/>
        <v>0</v>
      </c>
      <c r="BQ167" s="270">
        <f t="shared" si="1063"/>
        <v>0</v>
      </c>
      <c r="BR167" s="270">
        <f t="shared" si="1063"/>
        <v>0</v>
      </c>
      <c r="BS167" s="270">
        <f t="shared" si="1063"/>
        <v>0</v>
      </c>
      <c r="BT167" s="270">
        <f t="shared" si="1063"/>
        <v>0</v>
      </c>
      <c r="BU167" s="270">
        <f t="shared" si="1063"/>
        <v>0</v>
      </c>
      <c r="BV167" s="270">
        <f t="shared" si="1063"/>
        <v>0</v>
      </c>
      <c r="BW167" s="270">
        <f t="shared" si="1063"/>
        <v>0</v>
      </c>
      <c r="BX167" s="270">
        <f t="shared" si="1063"/>
        <v>0</v>
      </c>
      <c r="BY167" s="270">
        <f t="shared" si="1063"/>
        <v>-0.05</v>
      </c>
      <c r="BZ167" s="270">
        <f t="shared" si="1063"/>
        <v>-0.04</v>
      </c>
      <c r="CA167" s="270">
        <f t="shared" si="1063"/>
        <v>0</v>
      </c>
      <c r="CB167" s="270">
        <f t="shared" si="1063"/>
        <v>0</v>
      </c>
      <c r="CC167" s="270">
        <f t="shared" si="1063"/>
        <v>0</v>
      </c>
      <c r="CD167" s="270">
        <f t="shared" si="1063"/>
        <v>0</v>
      </c>
      <c r="CE167" s="270">
        <f t="shared" si="1063"/>
        <v>0</v>
      </c>
      <c r="CF167" s="270">
        <f t="shared" si="1063"/>
        <v>0</v>
      </c>
      <c r="CG167" s="270">
        <f t="shared" si="1063"/>
        <v>0</v>
      </c>
      <c r="CH167" s="270">
        <f t="shared" si="1063"/>
        <v>0</v>
      </c>
      <c r="CI167" s="270">
        <f t="shared" si="1063"/>
        <v>0</v>
      </c>
      <c r="CJ167" s="270">
        <f t="shared" si="1063"/>
        <v>0</v>
      </c>
      <c r="CK167" s="270">
        <f t="shared" si="1063"/>
        <v>0</v>
      </c>
      <c r="CL167" s="270">
        <f t="shared" si="1063"/>
        <v>0</v>
      </c>
      <c r="CM167" s="270">
        <f t="shared" si="1063"/>
        <v>0</v>
      </c>
      <c r="CN167" s="270">
        <f t="shared" si="1063"/>
        <v>0</v>
      </c>
      <c r="CO167" s="270">
        <f t="shared" si="1063"/>
        <v>0</v>
      </c>
      <c r="CP167" s="270">
        <f t="shared" si="1063"/>
        <v>0</v>
      </c>
      <c r="CQ167" s="215"/>
      <c r="CR167" s="270">
        <f t="shared" si="27"/>
        <v>-0.09</v>
      </c>
      <c r="CS167" s="215"/>
      <c r="CT167" s="270">
        <f t="shared" ref="CT167:DX167" si="1064">IF(AI166&gt;0,IF((AI166+BN167)&lt;E$10,AI166+BN167,E$10),0)</f>
        <v>0</v>
      </c>
      <c r="CU167" s="270">
        <f t="shared" si="1064"/>
        <v>0</v>
      </c>
      <c r="CV167" s="270">
        <f t="shared" si="1064"/>
        <v>0</v>
      </c>
      <c r="CW167" s="270">
        <f t="shared" si="1064"/>
        <v>0</v>
      </c>
      <c r="CX167" s="270">
        <f t="shared" si="1064"/>
        <v>0</v>
      </c>
      <c r="CY167" s="270">
        <f t="shared" si="1064"/>
        <v>0</v>
      </c>
      <c r="CZ167" s="270">
        <f t="shared" si="1064"/>
        <v>0</v>
      </c>
      <c r="DA167" s="270">
        <f t="shared" si="1064"/>
        <v>0</v>
      </c>
      <c r="DB167" s="270">
        <f t="shared" si="1064"/>
        <v>0</v>
      </c>
      <c r="DC167" s="270">
        <f t="shared" si="1064"/>
        <v>0</v>
      </c>
      <c r="DD167" s="270">
        <f t="shared" si="1064"/>
        <v>0</v>
      </c>
      <c r="DE167" s="270">
        <f t="shared" si="1064"/>
        <v>0</v>
      </c>
      <c r="DF167" s="270">
        <f t="shared" si="1064"/>
        <v>0</v>
      </c>
      <c r="DG167" s="270">
        <f t="shared" si="1064"/>
        <v>0</v>
      </c>
      <c r="DH167" s="270">
        <f t="shared" si="1064"/>
        <v>0</v>
      </c>
      <c r="DI167" s="270">
        <f t="shared" si="1064"/>
        <v>0</v>
      </c>
      <c r="DJ167" s="270">
        <f t="shared" si="1064"/>
        <v>0</v>
      </c>
      <c r="DK167" s="270">
        <f t="shared" si="1064"/>
        <v>0</v>
      </c>
      <c r="DL167" s="270">
        <f t="shared" si="1064"/>
        <v>0</v>
      </c>
      <c r="DM167" s="270">
        <f t="shared" si="1064"/>
        <v>0</v>
      </c>
      <c r="DN167" s="270">
        <f t="shared" si="1064"/>
        <v>0</v>
      </c>
      <c r="DO167" s="270">
        <f t="shared" si="1064"/>
        <v>0</v>
      </c>
      <c r="DP167" s="270">
        <f t="shared" si="1064"/>
        <v>0</v>
      </c>
      <c r="DQ167" s="270">
        <f t="shared" si="1064"/>
        <v>0</v>
      </c>
      <c r="DR167" s="270">
        <f t="shared" si="1064"/>
        <v>0</v>
      </c>
      <c r="DS167" s="270">
        <f t="shared" si="1064"/>
        <v>0</v>
      </c>
      <c r="DT167" s="270">
        <f t="shared" si="1064"/>
        <v>0</v>
      </c>
      <c r="DU167" s="270">
        <f t="shared" si="1064"/>
        <v>0</v>
      </c>
      <c r="DV167" s="270">
        <f t="shared" si="1064"/>
        <v>0</v>
      </c>
      <c r="DW167" s="270">
        <f t="shared" si="1064"/>
        <v>0</v>
      </c>
      <c r="DX167" s="270">
        <f t="shared" si="1064"/>
        <v>0</v>
      </c>
      <c r="DY167" s="270">
        <f t="shared" si="29"/>
        <v>0</v>
      </c>
      <c r="DZ167" s="274"/>
      <c r="EA167" s="275">
        <f t="shared" si="38"/>
        <v>0</v>
      </c>
      <c r="EB167" s="270">
        <f t="shared" ref="EB167:FC167" si="1065">IF(AJ165&lt;=0,0,IF($C166&lt;=SUM($EA167:EA167),0,IF(CU166+$C166-SUM($EA167:EA167)&gt;AJ165+BO166,AJ165+BO166-CU166,$C166-SUM($EA167:EA167))))</f>
        <v>0</v>
      </c>
      <c r="EC167" s="270">
        <f t="shared" si="1065"/>
        <v>0</v>
      </c>
      <c r="ED167" s="270">
        <f t="shared" si="1065"/>
        <v>0</v>
      </c>
      <c r="EE167" s="270">
        <f t="shared" si="1065"/>
        <v>0</v>
      </c>
      <c r="EF167" s="270">
        <f t="shared" si="1065"/>
        <v>0</v>
      </c>
      <c r="EG167" s="270">
        <f t="shared" si="1065"/>
        <v>0</v>
      </c>
      <c r="EH167" s="270">
        <f t="shared" si="1065"/>
        <v>0</v>
      </c>
      <c r="EI167" s="270">
        <f t="shared" si="1065"/>
        <v>0</v>
      </c>
      <c r="EJ167" s="270">
        <f t="shared" si="1065"/>
        <v>0</v>
      </c>
      <c r="EK167" s="270">
        <f t="shared" si="1065"/>
        <v>0</v>
      </c>
      <c r="EL167" s="270">
        <f t="shared" si="1065"/>
        <v>0</v>
      </c>
      <c r="EM167" s="270">
        <f t="shared" si="1065"/>
        <v>0</v>
      </c>
      <c r="EN167" s="270">
        <f t="shared" si="1065"/>
        <v>0</v>
      </c>
      <c r="EO167" s="270">
        <f t="shared" si="1065"/>
        <v>0</v>
      </c>
      <c r="EP167" s="270">
        <f t="shared" si="1065"/>
        <v>0</v>
      </c>
      <c r="EQ167" s="270">
        <f t="shared" si="1065"/>
        <v>0</v>
      </c>
      <c r="ER167" s="270">
        <f t="shared" si="1065"/>
        <v>0</v>
      </c>
      <c r="ES167" s="270">
        <f t="shared" si="1065"/>
        <v>0</v>
      </c>
      <c r="ET167" s="270">
        <f t="shared" si="1065"/>
        <v>0</v>
      </c>
      <c r="EU167" s="270">
        <f t="shared" si="1065"/>
        <v>0</v>
      </c>
      <c r="EV167" s="270">
        <f t="shared" si="1065"/>
        <v>0</v>
      </c>
      <c r="EW167" s="270">
        <f t="shared" si="1065"/>
        <v>0</v>
      </c>
      <c r="EX167" s="270">
        <f t="shared" si="1065"/>
        <v>0</v>
      </c>
      <c r="EY167" s="270">
        <f t="shared" si="1065"/>
        <v>0</v>
      </c>
      <c r="EZ167" s="270">
        <f t="shared" si="1065"/>
        <v>0</v>
      </c>
      <c r="FA167" s="270">
        <f t="shared" si="1065"/>
        <v>0</v>
      </c>
      <c r="FB167" s="270">
        <f t="shared" si="1065"/>
        <v>0</v>
      </c>
      <c r="FC167" s="270">
        <f t="shared" si="1065"/>
        <v>0</v>
      </c>
      <c r="FD167" s="271"/>
      <c r="FE167" s="271"/>
      <c r="FF167" s="271"/>
      <c r="FG167" s="215"/>
      <c r="FH167" s="215"/>
    </row>
    <row r="168" ht="11.25" customHeight="1">
      <c r="A168" s="215" t="str">
        <f t="shared" si="19"/>
        <v/>
      </c>
      <c r="B168" s="241" t="str">
        <f t="shared" si="600"/>
        <v>#N/A</v>
      </c>
      <c r="C168" s="271" t="str">
        <f>IF(A168="","",IF(Calculator!snowball,IF(($E$5-DY168)&lt;0,0,$E$5-DY168),0)+D168)</f>
        <v/>
      </c>
      <c r="D168" s="271"/>
      <c r="E168" s="270">
        <f t="shared" si="40"/>
        <v>0</v>
      </c>
      <c r="F168" s="270">
        <f t="shared" ref="F168:AG168" si="1066">CU168+EB169</f>
        <v>0</v>
      </c>
      <c r="G168" s="270">
        <f t="shared" si="1066"/>
        <v>0</v>
      </c>
      <c r="H168" s="270">
        <f t="shared" si="1066"/>
        <v>0</v>
      </c>
      <c r="I168" s="270">
        <f t="shared" si="1066"/>
        <v>0</v>
      </c>
      <c r="J168" s="270">
        <f t="shared" si="1066"/>
        <v>0</v>
      </c>
      <c r="K168" s="270">
        <f t="shared" si="1066"/>
        <v>0</v>
      </c>
      <c r="L168" s="270">
        <f t="shared" si="1066"/>
        <v>0</v>
      </c>
      <c r="M168" s="270">
        <f t="shared" si="1066"/>
        <v>0</v>
      </c>
      <c r="N168" s="270">
        <f t="shared" si="1066"/>
        <v>0</v>
      </c>
      <c r="O168" s="270">
        <f t="shared" si="1066"/>
        <v>0</v>
      </c>
      <c r="P168" s="272">
        <f t="shared" si="1066"/>
        <v>0</v>
      </c>
      <c r="Q168" s="272">
        <f t="shared" si="1066"/>
        <v>0</v>
      </c>
      <c r="R168" s="272">
        <f t="shared" si="1066"/>
        <v>0</v>
      </c>
      <c r="S168" s="272">
        <f t="shared" si="1066"/>
        <v>0</v>
      </c>
      <c r="T168" s="272">
        <f t="shared" si="1066"/>
        <v>0</v>
      </c>
      <c r="U168" s="270">
        <f t="shared" si="1066"/>
        <v>0</v>
      </c>
      <c r="V168" s="270">
        <f t="shared" si="1066"/>
        <v>0</v>
      </c>
      <c r="W168" s="270">
        <f t="shared" si="1066"/>
        <v>0</v>
      </c>
      <c r="X168" s="270">
        <f t="shared" si="1066"/>
        <v>0</v>
      </c>
      <c r="Y168" s="270">
        <f t="shared" si="1066"/>
        <v>0</v>
      </c>
      <c r="Z168" s="270">
        <f t="shared" si="1066"/>
        <v>0</v>
      </c>
      <c r="AA168" s="270">
        <f t="shared" si="1066"/>
        <v>0</v>
      </c>
      <c r="AB168" s="270">
        <f t="shared" si="1066"/>
        <v>0</v>
      </c>
      <c r="AC168" s="270">
        <f t="shared" si="1066"/>
        <v>0</v>
      </c>
      <c r="AD168" s="270">
        <f t="shared" si="1066"/>
        <v>0</v>
      </c>
      <c r="AE168" s="270">
        <f t="shared" si="1066"/>
        <v>0</v>
      </c>
      <c r="AF168" s="270">
        <f t="shared" si="1066"/>
        <v>0</v>
      </c>
      <c r="AG168" s="270">
        <f t="shared" si="1066"/>
        <v>0</v>
      </c>
      <c r="AH168" s="279">
        <f t="shared" si="602"/>
        <v>0</v>
      </c>
      <c r="AI168" s="270">
        <f t="shared" si="43"/>
        <v>0</v>
      </c>
      <c r="AJ168" s="270">
        <f t="shared" ref="AJ168:AO168" si="1067">IF(F$8=0,0,ROUND(AJ167-(F168-BO168),2))</f>
        <v>0</v>
      </c>
      <c r="AK168" s="270">
        <f t="shared" si="1067"/>
        <v>0</v>
      </c>
      <c r="AL168" s="270">
        <f t="shared" si="1067"/>
        <v>0</v>
      </c>
      <c r="AM168" s="270">
        <f t="shared" si="1067"/>
        <v>0</v>
      </c>
      <c r="AN168" s="270">
        <f t="shared" si="1067"/>
        <v>0</v>
      </c>
      <c r="AO168" s="270">
        <f t="shared" si="1067"/>
        <v>0</v>
      </c>
      <c r="AP168" s="270">
        <v>0.0</v>
      </c>
      <c r="AQ168" s="270">
        <f t="shared" ref="AQ168:AS168" si="1068">IF(M$8=0,0,ROUND(AQ167-(M168-BV168),2))</f>
        <v>0</v>
      </c>
      <c r="AR168" s="270">
        <f t="shared" si="1068"/>
        <v>0</v>
      </c>
      <c r="AS168" s="270">
        <f t="shared" si="1068"/>
        <v>0</v>
      </c>
      <c r="AT168" s="270">
        <f t="shared" si="605"/>
        <v>-6.22</v>
      </c>
      <c r="AU168" s="270">
        <f t="shared" ref="AU168:BK168" si="1069">IF(Q$8=0,0,ROUND(AU167-(Q168-BY168),2))</f>
        <v>-11.43</v>
      </c>
      <c r="AV168" s="270">
        <f t="shared" si="1069"/>
        <v>0</v>
      </c>
      <c r="AW168" s="270">
        <f t="shared" si="1069"/>
        <v>0</v>
      </c>
      <c r="AX168" s="270">
        <f t="shared" si="1069"/>
        <v>0</v>
      </c>
      <c r="AY168" s="270">
        <f t="shared" si="1069"/>
        <v>0</v>
      </c>
      <c r="AZ168" s="270">
        <f t="shared" si="1069"/>
        <v>0</v>
      </c>
      <c r="BA168" s="270">
        <f t="shared" si="1069"/>
        <v>0</v>
      </c>
      <c r="BB168" s="270">
        <f t="shared" si="1069"/>
        <v>0</v>
      </c>
      <c r="BC168" s="270">
        <f t="shared" si="1069"/>
        <v>0</v>
      </c>
      <c r="BD168" s="270">
        <f t="shared" si="1069"/>
        <v>0</v>
      </c>
      <c r="BE168" s="270">
        <f t="shared" si="1069"/>
        <v>0</v>
      </c>
      <c r="BF168" s="270">
        <f t="shared" si="1069"/>
        <v>0</v>
      </c>
      <c r="BG168" s="270">
        <f t="shared" si="1069"/>
        <v>0</v>
      </c>
      <c r="BH168" s="270">
        <f t="shared" si="1069"/>
        <v>0</v>
      </c>
      <c r="BI168" s="270">
        <f t="shared" si="1069"/>
        <v>0</v>
      </c>
      <c r="BJ168" s="270">
        <f t="shared" si="1069"/>
        <v>0</v>
      </c>
      <c r="BK168" s="270">
        <f t="shared" si="1069"/>
        <v>0</v>
      </c>
      <c r="BL168" s="265">
        <f t="shared" si="16"/>
        <v>-17.65</v>
      </c>
      <c r="BM168" s="215"/>
      <c r="BN168" s="270">
        <f t="shared" ref="BN168:CP168" si="1070">ROUND(AI167*E$9/12,2)</f>
        <v>0</v>
      </c>
      <c r="BO168" s="270">
        <f t="shared" si="1070"/>
        <v>0</v>
      </c>
      <c r="BP168" s="270">
        <f t="shared" si="1070"/>
        <v>0</v>
      </c>
      <c r="BQ168" s="270">
        <f t="shared" si="1070"/>
        <v>0</v>
      </c>
      <c r="BR168" s="270">
        <f t="shared" si="1070"/>
        <v>0</v>
      </c>
      <c r="BS168" s="270">
        <f t="shared" si="1070"/>
        <v>0</v>
      </c>
      <c r="BT168" s="270">
        <f t="shared" si="1070"/>
        <v>0</v>
      </c>
      <c r="BU168" s="270">
        <f t="shared" si="1070"/>
        <v>0</v>
      </c>
      <c r="BV168" s="270">
        <f t="shared" si="1070"/>
        <v>0</v>
      </c>
      <c r="BW168" s="270">
        <f t="shared" si="1070"/>
        <v>0</v>
      </c>
      <c r="BX168" s="270">
        <f t="shared" si="1070"/>
        <v>0</v>
      </c>
      <c r="BY168" s="270">
        <f t="shared" si="1070"/>
        <v>-0.05</v>
      </c>
      <c r="BZ168" s="270">
        <f t="shared" si="1070"/>
        <v>-0.04</v>
      </c>
      <c r="CA168" s="270">
        <f t="shared" si="1070"/>
        <v>0</v>
      </c>
      <c r="CB168" s="270">
        <f t="shared" si="1070"/>
        <v>0</v>
      </c>
      <c r="CC168" s="270">
        <f t="shared" si="1070"/>
        <v>0</v>
      </c>
      <c r="CD168" s="270">
        <f t="shared" si="1070"/>
        <v>0</v>
      </c>
      <c r="CE168" s="270">
        <f t="shared" si="1070"/>
        <v>0</v>
      </c>
      <c r="CF168" s="270">
        <f t="shared" si="1070"/>
        <v>0</v>
      </c>
      <c r="CG168" s="270">
        <f t="shared" si="1070"/>
        <v>0</v>
      </c>
      <c r="CH168" s="270">
        <f t="shared" si="1070"/>
        <v>0</v>
      </c>
      <c r="CI168" s="270">
        <f t="shared" si="1070"/>
        <v>0</v>
      </c>
      <c r="CJ168" s="270">
        <f t="shared" si="1070"/>
        <v>0</v>
      </c>
      <c r="CK168" s="270">
        <f t="shared" si="1070"/>
        <v>0</v>
      </c>
      <c r="CL168" s="270">
        <f t="shared" si="1070"/>
        <v>0</v>
      </c>
      <c r="CM168" s="270">
        <f t="shared" si="1070"/>
        <v>0</v>
      </c>
      <c r="CN168" s="270">
        <f t="shared" si="1070"/>
        <v>0</v>
      </c>
      <c r="CO168" s="270">
        <f t="shared" si="1070"/>
        <v>0</v>
      </c>
      <c r="CP168" s="270">
        <f t="shared" si="1070"/>
        <v>0</v>
      </c>
      <c r="CQ168" s="215"/>
      <c r="CR168" s="270">
        <f t="shared" si="27"/>
        <v>-0.09</v>
      </c>
      <c r="CS168" s="215"/>
      <c r="CT168" s="270">
        <f t="shared" ref="CT168:DX168" si="1071">IF(AI167&gt;0,IF((AI167+BN168)&lt;E$10,AI167+BN168,E$10),0)</f>
        <v>0</v>
      </c>
      <c r="CU168" s="270">
        <f t="shared" si="1071"/>
        <v>0</v>
      </c>
      <c r="CV168" s="270">
        <f t="shared" si="1071"/>
        <v>0</v>
      </c>
      <c r="CW168" s="270">
        <f t="shared" si="1071"/>
        <v>0</v>
      </c>
      <c r="CX168" s="270">
        <f t="shared" si="1071"/>
        <v>0</v>
      </c>
      <c r="CY168" s="270">
        <f t="shared" si="1071"/>
        <v>0</v>
      </c>
      <c r="CZ168" s="270">
        <f t="shared" si="1071"/>
        <v>0</v>
      </c>
      <c r="DA168" s="270">
        <f t="shared" si="1071"/>
        <v>0</v>
      </c>
      <c r="DB168" s="270">
        <f t="shared" si="1071"/>
        <v>0</v>
      </c>
      <c r="DC168" s="270">
        <f t="shared" si="1071"/>
        <v>0</v>
      </c>
      <c r="DD168" s="270">
        <f t="shared" si="1071"/>
        <v>0</v>
      </c>
      <c r="DE168" s="270">
        <f t="shared" si="1071"/>
        <v>0</v>
      </c>
      <c r="DF168" s="270">
        <f t="shared" si="1071"/>
        <v>0</v>
      </c>
      <c r="DG168" s="270">
        <f t="shared" si="1071"/>
        <v>0</v>
      </c>
      <c r="DH168" s="270">
        <f t="shared" si="1071"/>
        <v>0</v>
      </c>
      <c r="DI168" s="270">
        <f t="shared" si="1071"/>
        <v>0</v>
      </c>
      <c r="DJ168" s="270">
        <f t="shared" si="1071"/>
        <v>0</v>
      </c>
      <c r="DK168" s="270">
        <f t="shared" si="1071"/>
        <v>0</v>
      </c>
      <c r="DL168" s="270">
        <f t="shared" si="1071"/>
        <v>0</v>
      </c>
      <c r="DM168" s="270">
        <f t="shared" si="1071"/>
        <v>0</v>
      </c>
      <c r="DN168" s="270">
        <f t="shared" si="1071"/>
        <v>0</v>
      </c>
      <c r="DO168" s="270">
        <f t="shared" si="1071"/>
        <v>0</v>
      </c>
      <c r="DP168" s="270">
        <f t="shared" si="1071"/>
        <v>0</v>
      </c>
      <c r="DQ168" s="270">
        <f t="shared" si="1071"/>
        <v>0</v>
      </c>
      <c r="DR168" s="270">
        <f t="shared" si="1071"/>
        <v>0</v>
      </c>
      <c r="DS168" s="270">
        <f t="shared" si="1071"/>
        <v>0</v>
      </c>
      <c r="DT168" s="270">
        <f t="shared" si="1071"/>
        <v>0</v>
      </c>
      <c r="DU168" s="270">
        <f t="shared" si="1071"/>
        <v>0</v>
      </c>
      <c r="DV168" s="270">
        <f t="shared" si="1071"/>
        <v>0</v>
      </c>
      <c r="DW168" s="270">
        <f t="shared" si="1071"/>
        <v>0</v>
      </c>
      <c r="DX168" s="270">
        <f t="shared" si="1071"/>
        <v>0</v>
      </c>
      <c r="DY168" s="270">
        <f t="shared" si="29"/>
        <v>0</v>
      </c>
      <c r="DZ168" s="274"/>
      <c r="EA168" s="275">
        <f t="shared" si="38"/>
        <v>0</v>
      </c>
      <c r="EB168" s="270">
        <f t="shared" ref="EB168:FC168" si="1072">IF(AJ166&lt;=0,0,IF($C167&lt;=SUM($EA168:EA168),0,IF(CU167+$C167-SUM($EA168:EA168)&gt;AJ166+BO167,AJ166+BO167-CU167,$C167-SUM($EA168:EA168))))</f>
        <v>0</v>
      </c>
      <c r="EC168" s="270">
        <f t="shared" si="1072"/>
        <v>0</v>
      </c>
      <c r="ED168" s="270">
        <f t="shared" si="1072"/>
        <v>0</v>
      </c>
      <c r="EE168" s="270">
        <f t="shared" si="1072"/>
        <v>0</v>
      </c>
      <c r="EF168" s="270">
        <f t="shared" si="1072"/>
        <v>0</v>
      </c>
      <c r="EG168" s="270">
        <f t="shared" si="1072"/>
        <v>0</v>
      </c>
      <c r="EH168" s="270">
        <f t="shared" si="1072"/>
        <v>0</v>
      </c>
      <c r="EI168" s="270">
        <f t="shared" si="1072"/>
        <v>0</v>
      </c>
      <c r="EJ168" s="270">
        <f t="shared" si="1072"/>
        <v>0</v>
      </c>
      <c r="EK168" s="270">
        <f t="shared" si="1072"/>
        <v>0</v>
      </c>
      <c r="EL168" s="270">
        <f t="shared" si="1072"/>
        <v>0</v>
      </c>
      <c r="EM168" s="270">
        <f t="shared" si="1072"/>
        <v>0</v>
      </c>
      <c r="EN168" s="270">
        <f t="shared" si="1072"/>
        <v>0</v>
      </c>
      <c r="EO168" s="270">
        <f t="shared" si="1072"/>
        <v>0</v>
      </c>
      <c r="EP168" s="270">
        <f t="shared" si="1072"/>
        <v>0</v>
      </c>
      <c r="EQ168" s="270">
        <f t="shared" si="1072"/>
        <v>0</v>
      </c>
      <c r="ER168" s="270">
        <f t="shared" si="1072"/>
        <v>0</v>
      </c>
      <c r="ES168" s="270">
        <f t="shared" si="1072"/>
        <v>0</v>
      </c>
      <c r="ET168" s="270">
        <f t="shared" si="1072"/>
        <v>0</v>
      </c>
      <c r="EU168" s="270">
        <f t="shared" si="1072"/>
        <v>0</v>
      </c>
      <c r="EV168" s="270">
        <f t="shared" si="1072"/>
        <v>0</v>
      </c>
      <c r="EW168" s="270">
        <f t="shared" si="1072"/>
        <v>0</v>
      </c>
      <c r="EX168" s="270">
        <f t="shared" si="1072"/>
        <v>0</v>
      </c>
      <c r="EY168" s="270">
        <f t="shared" si="1072"/>
        <v>0</v>
      </c>
      <c r="EZ168" s="270">
        <f t="shared" si="1072"/>
        <v>0</v>
      </c>
      <c r="FA168" s="270">
        <f t="shared" si="1072"/>
        <v>0</v>
      </c>
      <c r="FB168" s="270">
        <f t="shared" si="1072"/>
        <v>0</v>
      </c>
      <c r="FC168" s="270">
        <f t="shared" si="1072"/>
        <v>0</v>
      </c>
      <c r="FD168" s="271"/>
      <c r="FE168" s="271"/>
      <c r="FF168" s="271"/>
      <c r="FG168" s="215"/>
      <c r="FH168" s="215"/>
    </row>
    <row r="169" ht="11.25" customHeight="1">
      <c r="A169" s="215" t="str">
        <f t="shared" si="19"/>
        <v/>
      </c>
      <c r="B169" s="241" t="str">
        <f t="shared" si="600"/>
        <v>#N/A</v>
      </c>
      <c r="C169" s="271" t="str">
        <f>IF(A169="","",IF(Calculator!snowball,IF(($E$5-DY169)&lt;0,0,$E$5-DY169),0)+D169)</f>
        <v/>
      </c>
      <c r="D169" s="271"/>
      <c r="E169" s="270">
        <f t="shared" si="40"/>
        <v>0</v>
      </c>
      <c r="F169" s="270">
        <f t="shared" ref="F169:AG169" si="1073">CU169+EB170</f>
        <v>0</v>
      </c>
      <c r="G169" s="270">
        <f t="shared" si="1073"/>
        <v>0</v>
      </c>
      <c r="H169" s="270">
        <f t="shared" si="1073"/>
        <v>0</v>
      </c>
      <c r="I169" s="270">
        <f t="shared" si="1073"/>
        <v>0</v>
      </c>
      <c r="J169" s="270">
        <f t="shared" si="1073"/>
        <v>0</v>
      </c>
      <c r="K169" s="270">
        <f t="shared" si="1073"/>
        <v>0</v>
      </c>
      <c r="L169" s="270">
        <f t="shared" si="1073"/>
        <v>0</v>
      </c>
      <c r="M169" s="270">
        <f t="shared" si="1073"/>
        <v>0</v>
      </c>
      <c r="N169" s="270">
        <f t="shared" si="1073"/>
        <v>0</v>
      </c>
      <c r="O169" s="270">
        <f t="shared" si="1073"/>
        <v>0</v>
      </c>
      <c r="P169" s="272">
        <f t="shared" si="1073"/>
        <v>0</v>
      </c>
      <c r="Q169" s="272">
        <f t="shared" si="1073"/>
        <v>0</v>
      </c>
      <c r="R169" s="272">
        <f t="shared" si="1073"/>
        <v>0</v>
      </c>
      <c r="S169" s="272">
        <f t="shared" si="1073"/>
        <v>0</v>
      </c>
      <c r="T169" s="272">
        <f t="shared" si="1073"/>
        <v>0</v>
      </c>
      <c r="U169" s="270">
        <f t="shared" si="1073"/>
        <v>0</v>
      </c>
      <c r="V169" s="270">
        <f t="shared" si="1073"/>
        <v>0</v>
      </c>
      <c r="W169" s="270">
        <f t="shared" si="1073"/>
        <v>0</v>
      </c>
      <c r="X169" s="270">
        <f t="shared" si="1073"/>
        <v>0</v>
      </c>
      <c r="Y169" s="270">
        <f t="shared" si="1073"/>
        <v>0</v>
      </c>
      <c r="Z169" s="270">
        <f t="shared" si="1073"/>
        <v>0</v>
      </c>
      <c r="AA169" s="270">
        <f t="shared" si="1073"/>
        <v>0</v>
      </c>
      <c r="AB169" s="270">
        <f t="shared" si="1073"/>
        <v>0</v>
      </c>
      <c r="AC169" s="270">
        <f t="shared" si="1073"/>
        <v>0</v>
      </c>
      <c r="AD169" s="270">
        <f t="shared" si="1073"/>
        <v>0</v>
      </c>
      <c r="AE169" s="270">
        <f t="shared" si="1073"/>
        <v>0</v>
      </c>
      <c r="AF169" s="270">
        <f t="shared" si="1073"/>
        <v>0</v>
      </c>
      <c r="AG169" s="270">
        <f t="shared" si="1073"/>
        <v>0</v>
      </c>
      <c r="AH169" s="279">
        <f t="shared" si="602"/>
        <v>0</v>
      </c>
      <c r="AI169" s="270">
        <f t="shared" si="43"/>
        <v>0</v>
      </c>
      <c r="AJ169" s="270">
        <f t="shared" ref="AJ169:AO169" si="1074">IF(F$8=0,0,ROUND(AJ168-(F169-BO169),2))</f>
        <v>0</v>
      </c>
      <c r="AK169" s="270">
        <f t="shared" si="1074"/>
        <v>0</v>
      </c>
      <c r="AL169" s="270">
        <f t="shared" si="1074"/>
        <v>0</v>
      </c>
      <c r="AM169" s="270">
        <f t="shared" si="1074"/>
        <v>0</v>
      </c>
      <c r="AN169" s="270">
        <f t="shared" si="1074"/>
        <v>0</v>
      </c>
      <c r="AO169" s="270">
        <f t="shared" si="1074"/>
        <v>0</v>
      </c>
      <c r="AP169" s="270">
        <v>0.0</v>
      </c>
      <c r="AQ169" s="270">
        <f t="shared" ref="AQ169:AS169" si="1075">IF(M$8=0,0,ROUND(AQ168-(M169-BV169),2))</f>
        <v>0</v>
      </c>
      <c r="AR169" s="270">
        <f t="shared" si="1075"/>
        <v>0</v>
      </c>
      <c r="AS169" s="270">
        <f t="shared" si="1075"/>
        <v>0</v>
      </c>
      <c r="AT169" s="270">
        <f t="shared" si="605"/>
        <v>-6.22</v>
      </c>
      <c r="AU169" s="270">
        <f t="shared" ref="AU169:BK169" si="1076">IF(Q$8=0,0,ROUND(AU168-(Q169-BY169),2))</f>
        <v>-11.48</v>
      </c>
      <c r="AV169" s="270">
        <f t="shared" si="1076"/>
        <v>0</v>
      </c>
      <c r="AW169" s="270">
        <f t="shared" si="1076"/>
        <v>0</v>
      </c>
      <c r="AX169" s="270">
        <f t="shared" si="1076"/>
        <v>0</v>
      </c>
      <c r="AY169" s="270">
        <f t="shared" si="1076"/>
        <v>0</v>
      </c>
      <c r="AZ169" s="270">
        <f t="shared" si="1076"/>
        <v>0</v>
      </c>
      <c r="BA169" s="270">
        <f t="shared" si="1076"/>
        <v>0</v>
      </c>
      <c r="BB169" s="270">
        <f t="shared" si="1076"/>
        <v>0</v>
      </c>
      <c r="BC169" s="270">
        <f t="shared" si="1076"/>
        <v>0</v>
      </c>
      <c r="BD169" s="270">
        <f t="shared" si="1076"/>
        <v>0</v>
      </c>
      <c r="BE169" s="270">
        <f t="shared" si="1076"/>
        <v>0</v>
      </c>
      <c r="BF169" s="270">
        <f t="shared" si="1076"/>
        <v>0</v>
      </c>
      <c r="BG169" s="270">
        <f t="shared" si="1076"/>
        <v>0</v>
      </c>
      <c r="BH169" s="270">
        <f t="shared" si="1076"/>
        <v>0</v>
      </c>
      <c r="BI169" s="270">
        <f t="shared" si="1076"/>
        <v>0</v>
      </c>
      <c r="BJ169" s="270">
        <f t="shared" si="1076"/>
        <v>0</v>
      </c>
      <c r="BK169" s="270">
        <f t="shared" si="1076"/>
        <v>0</v>
      </c>
      <c r="BL169" s="265">
        <f t="shared" si="16"/>
        <v>-17.7</v>
      </c>
      <c r="BM169" s="215"/>
      <c r="BN169" s="270">
        <f t="shared" ref="BN169:CP169" si="1077">ROUND(AI168*E$9/12,2)</f>
        <v>0</v>
      </c>
      <c r="BO169" s="270">
        <f t="shared" si="1077"/>
        <v>0</v>
      </c>
      <c r="BP169" s="270">
        <f t="shared" si="1077"/>
        <v>0</v>
      </c>
      <c r="BQ169" s="270">
        <f t="shared" si="1077"/>
        <v>0</v>
      </c>
      <c r="BR169" s="270">
        <f t="shared" si="1077"/>
        <v>0</v>
      </c>
      <c r="BS169" s="270">
        <f t="shared" si="1077"/>
        <v>0</v>
      </c>
      <c r="BT169" s="270">
        <f t="shared" si="1077"/>
        <v>0</v>
      </c>
      <c r="BU169" s="270">
        <f t="shared" si="1077"/>
        <v>0</v>
      </c>
      <c r="BV169" s="270">
        <f t="shared" si="1077"/>
        <v>0</v>
      </c>
      <c r="BW169" s="270">
        <f t="shared" si="1077"/>
        <v>0</v>
      </c>
      <c r="BX169" s="270">
        <f t="shared" si="1077"/>
        <v>0</v>
      </c>
      <c r="BY169" s="270">
        <f t="shared" si="1077"/>
        <v>-0.05</v>
      </c>
      <c r="BZ169" s="270">
        <f t="shared" si="1077"/>
        <v>-0.04</v>
      </c>
      <c r="CA169" s="270">
        <f t="shared" si="1077"/>
        <v>0</v>
      </c>
      <c r="CB169" s="270">
        <f t="shared" si="1077"/>
        <v>0</v>
      </c>
      <c r="CC169" s="270">
        <f t="shared" si="1077"/>
        <v>0</v>
      </c>
      <c r="CD169" s="270">
        <f t="shared" si="1077"/>
        <v>0</v>
      </c>
      <c r="CE169" s="270">
        <f t="shared" si="1077"/>
        <v>0</v>
      </c>
      <c r="CF169" s="270">
        <f t="shared" si="1077"/>
        <v>0</v>
      </c>
      <c r="CG169" s="270">
        <f t="shared" si="1077"/>
        <v>0</v>
      </c>
      <c r="CH169" s="270">
        <f t="shared" si="1077"/>
        <v>0</v>
      </c>
      <c r="CI169" s="270">
        <f t="shared" si="1077"/>
        <v>0</v>
      </c>
      <c r="CJ169" s="270">
        <f t="shared" si="1077"/>
        <v>0</v>
      </c>
      <c r="CK169" s="270">
        <f t="shared" si="1077"/>
        <v>0</v>
      </c>
      <c r="CL169" s="270">
        <f t="shared" si="1077"/>
        <v>0</v>
      </c>
      <c r="CM169" s="270">
        <f t="shared" si="1077"/>
        <v>0</v>
      </c>
      <c r="CN169" s="270">
        <f t="shared" si="1077"/>
        <v>0</v>
      </c>
      <c r="CO169" s="270">
        <f t="shared" si="1077"/>
        <v>0</v>
      </c>
      <c r="CP169" s="270">
        <f t="shared" si="1077"/>
        <v>0</v>
      </c>
      <c r="CQ169" s="215"/>
      <c r="CR169" s="270">
        <f t="shared" si="27"/>
        <v>-0.09</v>
      </c>
      <c r="CS169" s="215"/>
      <c r="CT169" s="270">
        <f t="shared" ref="CT169:DX169" si="1078">IF(AI168&gt;0,IF((AI168+BN169)&lt;E$10,AI168+BN169,E$10),0)</f>
        <v>0</v>
      </c>
      <c r="CU169" s="270">
        <f t="shared" si="1078"/>
        <v>0</v>
      </c>
      <c r="CV169" s="270">
        <f t="shared" si="1078"/>
        <v>0</v>
      </c>
      <c r="CW169" s="270">
        <f t="shared" si="1078"/>
        <v>0</v>
      </c>
      <c r="CX169" s="270">
        <f t="shared" si="1078"/>
        <v>0</v>
      </c>
      <c r="CY169" s="270">
        <f t="shared" si="1078"/>
        <v>0</v>
      </c>
      <c r="CZ169" s="270">
        <f t="shared" si="1078"/>
        <v>0</v>
      </c>
      <c r="DA169" s="270">
        <f t="shared" si="1078"/>
        <v>0</v>
      </c>
      <c r="DB169" s="270">
        <f t="shared" si="1078"/>
        <v>0</v>
      </c>
      <c r="DC169" s="270">
        <f t="shared" si="1078"/>
        <v>0</v>
      </c>
      <c r="DD169" s="270">
        <f t="shared" si="1078"/>
        <v>0</v>
      </c>
      <c r="DE169" s="270">
        <f t="shared" si="1078"/>
        <v>0</v>
      </c>
      <c r="DF169" s="270">
        <f t="shared" si="1078"/>
        <v>0</v>
      </c>
      <c r="DG169" s="270">
        <f t="shared" si="1078"/>
        <v>0</v>
      </c>
      <c r="DH169" s="270">
        <f t="shared" si="1078"/>
        <v>0</v>
      </c>
      <c r="DI169" s="270">
        <f t="shared" si="1078"/>
        <v>0</v>
      </c>
      <c r="DJ169" s="270">
        <f t="shared" si="1078"/>
        <v>0</v>
      </c>
      <c r="DK169" s="270">
        <f t="shared" si="1078"/>
        <v>0</v>
      </c>
      <c r="DL169" s="270">
        <f t="shared" si="1078"/>
        <v>0</v>
      </c>
      <c r="DM169" s="270">
        <f t="shared" si="1078"/>
        <v>0</v>
      </c>
      <c r="DN169" s="270">
        <f t="shared" si="1078"/>
        <v>0</v>
      </c>
      <c r="DO169" s="270">
        <f t="shared" si="1078"/>
        <v>0</v>
      </c>
      <c r="DP169" s="270">
        <f t="shared" si="1078"/>
        <v>0</v>
      </c>
      <c r="DQ169" s="270">
        <f t="shared" si="1078"/>
        <v>0</v>
      </c>
      <c r="DR169" s="270">
        <f t="shared" si="1078"/>
        <v>0</v>
      </c>
      <c r="DS169" s="270">
        <f t="shared" si="1078"/>
        <v>0</v>
      </c>
      <c r="DT169" s="270">
        <f t="shared" si="1078"/>
        <v>0</v>
      </c>
      <c r="DU169" s="270">
        <f t="shared" si="1078"/>
        <v>0</v>
      </c>
      <c r="DV169" s="270">
        <f t="shared" si="1078"/>
        <v>0</v>
      </c>
      <c r="DW169" s="270">
        <f t="shared" si="1078"/>
        <v>0</v>
      </c>
      <c r="DX169" s="270">
        <f t="shared" si="1078"/>
        <v>0</v>
      </c>
      <c r="DY169" s="270">
        <f t="shared" si="29"/>
        <v>0</v>
      </c>
      <c r="DZ169" s="274"/>
      <c r="EA169" s="275">
        <f t="shared" si="38"/>
        <v>0</v>
      </c>
      <c r="EB169" s="270">
        <f t="shared" ref="EB169:FC169" si="1079">IF(AJ167&lt;=0,0,IF($C168&lt;=SUM($EA169:EA169),0,IF(CU168+$C168-SUM($EA169:EA169)&gt;AJ167+BO168,AJ167+BO168-CU168,$C168-SUM($EA169:EA169))))</f>
        <v>0</v>
      </c>
      <c r="EC169" s="270">
        <f t="shared" si="1079"/>
        <v>0</v>
      </c>
      <c r="ED169" s="270">
        <f t="shared" si="1079"/>
        <v>0</v>
      </c>
      <c r="EE169" s="270">
        <f t="shared" si="1079"/>
        <v>0</v>
      </c>
      <c r="EF169" s="270">
        <f t="shared" si="1079"/>
        <v>0</v>
      </c>
      <c r="EG169" s="270">
        <f t="shared" si="1079"/>
        <v>0</v>
      </c>
      <c r="EH169" s="270">
        <f t="shared" si="1079"/>
        <v>0</v>
      </c>
      <c r="EI169" s="270">
        <f t="shared" si="1079"/>
        <v>0</v>
      </c>
      <c r="EJ169" s="270">
        <f t="shared" si="1079"/>
        <v>0</v>
      </c>
      <c r="EK169" s="270">
        <f t="shared" si="1079"/>
        <v>0</v>
      </c>
      <c r="EL169" s="270">
        <f t="shared" si="1079"/>
        <v>0</v>
      </c>
      <c r="EM169" s="270">
        <f t="shared" si="1079"/>
        <v>0</v>
      </c>
      <c r="EN169" s="270">
        <f t="shared" si="1079"/>
        <v>0</v>
      </c>
      <c r="EO169" s="270">
        <f t="shared" si="1079"/>
        <v>0</v>
      </c>
      <c r="EP169" s="270">
        <f t="shared" si="1079"/>
        <v>0</v>
      </c>
      <c r="EQ169" s="270">
        <f t="shared" si="1079"/>
        <v>0</v>
      </c>
      <c r="ER169" s="270">
        <f t="shared" si="1079"/>
        <v>0</v>
      </c>
      <c r="ES169" s="270">
        <f t="shared" si="1079"/>
        <v>0</v>
      </c>
      <c r="ET169" s="270">
        <f t="shared" si="1079"/>
        <v>0</v>
      </c>
      <c r="EU169" s="270">
        <f t="shared" si="1079"/>
        <v>0</v>
      </c>
      <c r="EV169" s="270">
        <f t="shared" si="1079"/>
        <v>0</v>
      </c>
      <c r="EW169" s="270">
        <f t="shared" si="1079"/>
        <v>0</v>
      </c>
      <c r="EX169" s="270">
        <f t="shared" si="1079"/>
        <v>0</v>
      </c>
      <c r="EY169" s="270">
        <f t="shared" si="1079"/>
        <v>0</v>
      </c>
      <c r="EZ169" s="270">
        <f t="shared" si="1079"/>
        <v>0</v>
      </c>
      <c r="FA169" s="270">
        <f t="shared" si="1079"/>
        <v>0</v>
      </c>
      <c r="FB169" s="270">
        <f t="shared" si="1079"/>
        <v>0</v>
      </c>
      <c r="FC169" s="270">
        <f t="shared" si="1079"/>
        <v>0</v>
      </c>
      <c r="FD169" s="271"/>
      <c r="FE169" s="271"/>
      <c r="FF169" s="271"/>
      <c r="FG169" s="215"/>
      <c r="FH169" s="215"/>
    </row>
    <row r="170" ht="11.25" customHeight="1">
      <c r="A170" s="215" t="str">
        <f t="shared" si="19"/>
        <v/>
      </c>
      <c r="B170" s="241" t="str">
        <f t="shared" si="600"/>
        <v>#N/A</v>
      </c>
      <c r="C170" s="271" t="str">
        <f>IF(A170="","",IF(Calculator!snowball,IF(($E$5-DY170)&lt;0,0,$E$5-DY170),0)+D170)</f>
        <v/>
      </c>
      <c r="D170" s="271"/>
      <c r="E170" s="270">
        <f t="shared" si="40"/>
        <v>0</v>
      </c>
      <c r="F170" s="270">
        <f t="shared" ref="F170:AG170" si="1080">CU170+EB171</f>
        <v>0</v>
      </c>
      <c r="G170" s="270">
        <f t="shared" si="1080"/>
        <v>0</v>
      </c>
      <c r="H170" s="270">
        <f t="shared" si="1080"/>
        <v>0</v>
      </c>
      <c r="I170" s="270">
        <f t="shared" si="1080"/>
        <v>0</v>
      </c>
      <c r="J170" s="270">
        <f t="shared" si="1080"/>
        <v>0</v>
      </c>
      <c r="K170" s="270">
        <f t="shared" si="1080"/>
        <v>0</v>
      </c>
      <c r="L170" s="270">
        <f t="shared" si="1080"/>
        <v>0</v>
      </c>
      <c r="M170" s="270">
        <f t="shared" si="1080"/>
        <v>0</v>
      </c>
      <c r="N170" s="270">
        <f t="shared" si="1080"/>
        <v>0</v>
      </c>
      <c r="O170" s="270">
        <f t="shared" si="1080"/>
        <v>0</v>
      </c>
      <c r="P170" s="272">
        <f t="shared" si="1080"/>
        <v>0</v>
      </c>
      <c r="Q170" s="272">
        <f t="shared" si="1080"/>
        <v>0</v>
      </c>
      <c r="R170" s="272">
        <f t="shared" si="1080"/>
        <v>0</v>
      </c>
      <c r="S170" s="272">
        <f t="shared" si="1080"/>
        <v>0</v>
      </c>
      <c r="T170" s="272">
        <f t="shared" si="1080"/>
        <v>0</v>
      </c>
      <c r="U170" s="270">
        <f t="shared" si="1080"/>
        <v>0</v>
      </c>
      <c r="V170" s="270">
        <f t="shared" si="1080"/>
        <v>0</v>
      </c>
      <c r="W170" s="270">
        <f t="shared" si="1080"/>
        <v>0</v>
      </c>
      <c r="X170" s="270">
        <f t="shared" si="1080"/>
        <v>0</v>
      </c>
      <c r="Y170" s="270">
        <f t="shared" si="1080"/>
        <v>0</v>
      </c>
      <c r="Z170" s="270">
        <f t="shared" si="1080"/>
        <v>0</v>
      </c>
      <c r="AA170" s="270">
        <f t="shared" si="1080"/>
        <v>0</v>
      </c>
      <c r="AB170" s="270">
        <f t="shared" si="1080"/>
        <v>0</v>
      </c>
      <c r="AC170" s="270">
        <f t="shared" si="1080"/>
        <v>0</v>
      </c>
      <c r="AD170" s="270">
        <f t="shared" si="1080"/>
        <v>0</v>
      </c>
      <c r="AE170" s="270">
        <f t="shared" si="1080"/>
        <v>0</v>
      </c>
      <c r="AF170" s="270">
        <f t="shared" si="1080"/>
        <v>0</v>
      </c>
      <c r="AG170" s="270">
        <f t="shared" si="1080"/>
        <v>0</v>
      </c>
      <c r="AH170" s="279">
        <f t="shared" si="602"/>
        <v>0</v>
      </c>
      <c r="AI170" s="270">
        <f t="shared" si="43"/>
        <v>0</v>
      </c>
      <c r="AJ170" s="270">
        <f t="shared" ref="AJ170:AO170" si="1081">IF(F$8=0,0,ROUND(AJ169-(F170-BO170),2))</f>
        <v>0</v>
      </c>
      <c r="AK170" s="270">
        <f t="shared" si="1081"/>
        <v>0</v>
      </c>
      <c r="AL170" s="270">
        <f t="shared" si="1081"/>
        <v>0</v>
      </c>
      <c r="AM170" s="270">
        <f t="shared" si="1081"/>
        <v>0</v>
      </c>
      <c r="AN170" s="270">
        <f t="shared" si="1081"/>
        <v>0</v>
      </c>
      <c r="AO170" s="270">
        <f t="shared" si="1081"/>
        <v>0</v>
      </c>
      <c r="AP170" s="270">
        <v>0.0</v>
      </c>
      <c r="AQ170" s="270">
        <f t="shared" ref="AQ170:AS170" si="1082">IF(M$8=0,0,ROUND(AQ169-(M170-BV170),2))</f>
        <v>0</v>
      </c>
      <c r="AR170" s="270">
        <f t="shared" si="1082"/>
        <v>0</v>
      </c>
      <c r="AS170" s="270">
        <f t="shared" si="1082"/>
        <v>0</v>
      </c>
      <c r="AT170" s="270">
        <f t="shared" si="605"/>
        <v>-6.22</v>
      </c>
      <c r="AU170" s="270">
        <f t="shared" ref="AU170:BK170" si="1083">IF(Q$8=0,0,ROUND(AU169-(Q170-BY170),2))</f>
        <v>-11.53</v>
      </c>
      <c r="AV170" s="270">
        <f t="shared" si="1083"/>
        <v>0</v>
      </c>
      <c r="AW170" s="270">
        <f t="shared" si="1083"/>
        <v>0</v>
      </c>
      <c r="AX170" s="270">
        <f t="shared" si="1083"/>
        <v>0</v>
      </c>
      <c r="AY170" s="270">
        <f t="shared" si="1083"/>
        <v>0</v>
      </c>
      <c r="AZ170" s="270">
        <f t="shared" si="1083"/>
        <v>0</v>
      </c>
      <c r="BA170" s="270">
        <f t="shared" si="1083"/>
        <v>0</v>
      </c>
      <c r="BB170" s="270">
        <f t="shared" si="1083"/>
        <v>0</v>
      </c>
      <c r="BC170" s="270">
        <f t="shared" si="1083"/>
        <v>0</v>
      </c>
      <c r="BD170" s="270">
        <f t="shared" si="1083"/>
        <v>0</v>
      </c>
      <c r="BE170" s="270">
        <f t="shared" si="1083"/>
        <v>0</v>
      </c>
      <c r="BF170" s="270">
        <f t="shared" si="1083"/>
        <v>0</v>
      </c>
      <c r="BG170" s="270">
        <f t="shared" si="1083"/>
        <v>0</v>
      </c>
      <c r="BH170" s="270">
        <f t="shared" si="1083"/>
        <v>0</v>
      </c>
      <c r="BI170" s="270">
        <f t="shared" si="1083"/>
        <v>0</v>
      </c>
      <c r="BJ170" s="270">
        <f t="shared" si="1083"/>
        <v>0</v>
      </c>
      <c r="BK170" s="270">
        <f t="shared" si="1083"/>
        <v>0</v>
      </c>
      <c r="BL170" s="265">
        <f t="shared" si="16"/>
        <v>-17.75</v>
      </c>
      <c r="BM170" s="215"/>
      <c r="BN170" s="270">
        <f t="shared" ref="BN170:CP170" si="1084">ROUND(AI169*E$9/12,2)</f>
        <v>0</v>
      </c>
      <c r="BO170" s="270">
        <f t="shared" si="1084"/>
        <v>0</v>
      </c>
      <c r="BP170" s="270">
        <f t="shared" si="1084"/>
        <v>0</v>
      </c>
      <c r="BQ170" s="270">
        <f t="shared" si="1084"/>
        <v>0</v>
      </c>
      <c r="BR170" s="270">
        <f t="shared" si="1084"/>
        <v>0</v>
      </c>
      <c r="BS170" s="270">
        <f t="shared" si="1084"/>
        <v>0</v>
      </c>
      <c r="BT170" s="270">
        <f t="shared" si="1084"/>
        <v>0</v>
      </c>
      <c r="BU170" s="270">
        <f t="shared" si="1084"/>
        <v>0</v>
      </c>
      <c r="BV170" s="270">
        <f t="shared" si="1084"/>
        <v>0</v>
      </c>
      <c r="BW170" s="270">
        <f t="shared" si="1084"/>
        <v>0</v>
      </c>
      <c r="BX170" s="270">
        <f t="shared" si="1084"/>
        <v>0</v>
      </c>
      <c r="BY170" s="270">
        <f t="shared" si="1084"/>
        <v>-0.05</v>
      </c>
      <c r="BZ170" s="270">
        <f t="shared" si="1084"/>
        <v>-0.04</v>
      </c>
      <c r="CA170" s="270">
        <f t="shared" si="1084"/>
        <v>0</v>
      </c>
      <c r="CB170" s="270">
        <f t="shared" si="1084"/>
        <v>0</v>
      </c>
      <c r="CC170" s="270">
        <f t="shared" si="1084"/>
        <v>0</v>
      </c>
      <c r="CD170" s="270">
        <f t="shared" si="1084"/>
        <v>0</v>
      </c>
      <c r="CE170" s="270">
        <f t="shared" si="1084"/>
        <v>0</v>
      </c>
      <c r="CF170" s="270">
        <f t="shared" si="1084"/>
        <v>0</v>
      </c>
      <c r="CG170" s="270">
        <f t="shared" si="1084"/>
        <v>0</v>
      </c>
      <c r="CH170" s="270">
        <f t="shared" si="1084"/>
        <v>0</v>
      </c>
      <c r="CI170" s="270">
        <f t="shared" si="1084"/>
        <v>0</v>
      </c>
      <c r="CJ170" s="270">
        <f t="shared" si="1084"/>
        <v>0</v>
      </c>
      <c r="CK170" s="270">
        <f t="shared" si="1084"/>
        <v>0</v>
      </c>
      <c r="CL170" s="270">
        <f t="shared" si="1084"/>
        <v>0</v>
      </c>
      <c r="CM170" s="270">
        <f t="shared" si="1084"/>
        <v>0</v>
      </c>
      <c r="CN170" s="270">
        <f t="shared" si="1084"/>
        <v>0</v>
      </c>
      <c r="CO170" s="270">
        <f t="shared" si="1084"/>
        <v>0</v>
      </c>
      <c r="CP170" s="270">
        <f t="shared" si="1084"/>
        <v>0</v>
      </c>
      <c r="CQ170" s="215"/>
      <c r="CR170" s="270">
        <f t="shared" si="27"/>
        <v>-0.09</v>
      </c>
      <c r="CS170" s="215"/>
      <c r="CT170" s="270">
        <f t="shared" ref="CT170:DX170" si="1085">IF(AI169&gt;0,IF((AI169+BN170)&lt;E$10,AI169+BN170,E$10),0)</f>
        <v>0</v>
      </c>
      <c r="CU170" s="270">
        <f t="shared" si="1085"/>
        <v>0</v>
      </c>
      <c r="CV170" s="270">
        <f t="shared" si="1085"/>
        <v>0</v>
      </c>
      <c r="CW170" s="270">
        <f t="shared" si="1085"/>
        <v>0</v>
      </c>
      <c r="CX170" s="270">
        <f t="shared" si="1085"/>
        <v>0</v>
      </c>
      <c r="CY170" s="270">
        <f t="shared" si="1085"/>
        <v>0</v>
      </c>
      <c r="CZ170" s="270">
        <f t="shared" si="1085"/>
        <v>0</v>
      </c>
      <c r="DA170" s="270">
        <f t="shared" si="1085"/>
        <v>0</v>
      </c>
      <c r="DB170" s="270">
        <f t="shared" si="1085"/>
        <v>0</v>
      </c>
      <c r="DC170" s="270">
        <f t="shared" si="1085"/>
        <v>0</v>
      </c>
      <c r="DD170" s="270">
        <f t="shared" si="1085"/>
        <v>0</v>
      </c>
      <c r="DE170" s="270">
        <f t="shared" si="1085"/>
        <v>0</v>
      </c>
      <c r="DF170" s="270">
        <f t="shared" si="1085"/>
        <v>0</v>
      </c>
      <c r="DG170" s="270">
        <f t="shared" si="1085"/>
        <v>0</v>
      </c>
      <c r="DH170" s="270">
        <f t="shared" si="1085"/>
        <v>0</v>
      </c>
      <c r="DI170" s="270">
        <f t="shared" si="1085"/>
        <v>0</v>
      </c>
      <c r="DJ170" s="270">
        <f t="shared" si="1085"/>
        <v>0</v>
      </c>
      <c r="DK170" s="270">
        <f t="shared" si="1085"/>
        <v>0</v>
      </c>
      <c r="DL170" s="270">
        <f t="shared" si="1085"/>
        <v>0</v>
      </c>
      <c r="DM170" s="270">
        <f t="shared" si="1085"/>
        <v>0</v>
      </c>
      <c r="DN170" s="270">
        <f t="shared" si="1085"/>
        <v>0</v>
      </c>
      <c r="DO170" s="270">
        <f t="shared" si="1085"/>
        <v>0</v>
      </c>
      <c r="DP170" s="270">
        <f t="shared" si="1085"/>
        <v>0</v>
      </c>
      <c r="DQ170" s="270">
        <f t="shared" si="1085"/>
        <v>0</v>
      </c>
      <c r="DR170" s="270">
        <f t="shared" si="1085"/>
        <v>0</v>
      </c>
      <c r="DS170" s="270">
        <f t="shared" si="1085"/>
        <v>0</v>
      </c>
      <c r="DT170" s="270">
        <f t="shared" si="1085"/>
        <v>0</v>
      </c>
      <c r="DU170" s="270">
        <f t="shared" si="1085"/>
        <v>0</v>
      </c>
      <c r="DV170" s="270">
        <f t="shared" si="1085"/>
        <v>0</v>
      </c>
      <c r="DW170" s="270">
        <f t="shared" si="1085"/>
        <v>0</v>
      </c>
      <c r="DX170" s="270">
        <f t="shared" si="1085"/>
        <v>0</v>
      </c>
      <c r="DY170" s="270">
        <f t="shared" si="29"/>
        <v>0</v>
      </c>
      <c r="DZ170" s="274"/>
      <c r="EA170" s="275">
        <f t="shared" si="38"/>
        <v>0</v>
      </c>
      <c r="EB170" s="270">
        <f t="shared" ref="EB170:FC170" si="1086">IF(AJ168&lt;=0,0,IF($C169&lt;=SUM($EA170:EA170),0,IF(CU169+$C169-SUM($EA170:EA170)&gt;AJ168+BO169,AJ168+BO169-CU169,$C169-SUM($EA170:EA170))))</f>
        <v>0</v>
      </c>
      <c r="EC170" s="270">
        <f t="shared" si="1086"/>
        <v>0</v>
      </c>
      <c r="ED170" s="270">
        <f t="shared" si="1086"/>
        <v>0</v>
      </c>
      <c r="EE170" s="270">
        <f t="shared" si="1086"/>
        <v>0</v>
      </c>
      <c r="EF170" s="270">
        <f t="shared" si="1086"/>
        <v>0</v>
      </c>
      <c r="EG170" s="270">
        <f t="shared" si="1086"/>
        <v>0</v>
      </c>
      <c r="EH170" s="270">
        <f t="shared" si="1086"/>
        <v>0</v>
      </c>
      <c r="EI170" s="270">
        <f t="shared" si="1086"/>
        <v>0</v>
      </c>
      <c r="EJ170" s="270">
        <f t="shared" si="1086"/>
        <v>0</v>
      </c>
      <c r="EK170" s="270">
        <f t="shared" si="1086"/>
        <v>0</v>
      </c>
      <c r="EL170" s="270">
        <f t="shared" si="1086"/>
        <v>0</v>
      </c>
      <c r="EM170" s="270">
        <f t="shared" si="1086"/>
        <v>0</v>
      </c>
      <c r="EN170" s="270">
        <f t="shared" si="1086"/>
        <v>0</v>
      </c>
      <c r="EO170" s="270">
        <f t="shared" si="1086"/>
        <v>0</v>
      </c>
      <c r="EP170" s="270">
        <f t="shared" si="1086"/>
        <v>0</v>
      </c>
      <c r="EQ170" s="270">
        <f t="shared" si="1086"/>
        <v>0</v>
      </c>
      <c r="ER170" s="270">
        <f t="shared" si="1086"/>
        <v>0</v>
      </c>
      <c r="ES170" s="270">
        <f t="shared" si="1086"/>
        <v>0</v>
      </c>
      <c r="ET170" s="270">
        <f t="shared" si="1086"/>
        <v>0</v>
      </c>
      <c r="EU170" s="270">
        <f t="shared" si="1086"/>
        <v>0</v>
      </c>
      <c r="EV170" s="270">
        <f t="shared" si="1086"/>
        <v>0</v>
      </c>
      <c r="EW170" s="270">
        <f t="shared" si="1086"/>
        <v>0</v>
      </c>
      <c r="EX170" s="270">
        <f t="shared" si="1086"/>
        <v>0</v>
      </c>
      <c r="EY170" s="270">
        <f t="shared" si="1086"/>
        <v>0</v>
      </c>
      <c r="EZ170" s="270">
        <f t="shared" si="1086"/>
        <v>0</v>
      </c>
      <c r="FA170" s="270">
        <f t="shared" si="1086"/>
        <v>0</v>
      </c>
      <c r="FB170" s="270">
        <f t="shared" si="1086"/>
        <v>0</v>
      </c>
      <c r="FC170" s="270">
        <f t="shared" si="1086"/>
        <v>0</v>
      </c>
      <c r="FD170" s="271"/>
      <c r="FE170" s="271"/>
      <c r="FF170" s="271"/>
      <c r="FG170" s="215"/>
      <c r="FH170" s="215"/>
    </row>
    <row r="171" ht="11.25" customHeight="1">
      <c r="A171" s="215" t="str">
        <f t="shared" si="19"/>
        <v/>
      </c>
      <c r="B171" s="241" t="str">
        <f t="shared" si="600"/>
        <v>#N/A</v>
      </c>
      <c r="C171" s="271" t="str">
        <f>IF(A171="","",IF(Calculator!snowball,IF(($E$5-DY171)&lt;0,0,$E$5-DY171),0)+D171)</f>
        <v/>
      </c>
      <c r="D171" s="271"/>
      <c r="E171" s="270">
        <f t="shared" si="40"/>
        <v>0</v>
      </c>
      <c r="F171" s="270">
        <f t="shared" ref="F171:AG171" si="1087">CU171+EB172</f>
        <v>0</v>
      </c>
      <c r="G171" s="270">
        <f t="shared" si="1087"/>
        <v>0</v>
      </c>
      <c r="H171" s="270">
        <f t="shared" si="1087"/>
        <v>0</v>
      </c>
      <c r="I171" s="270">
        <f t="shared" si="1087"/>
        <v>0</v>
      </c>
      <c r="J171" s="270">
        <f t="shared" si="1087"/>
        <v>0</v>
      </c>
      <c r="K171" s="270">
        <f t="shared" si="1087"/>
        <v>0</v>
      </c>
      <c r="L171" s="270">
        <f t="shared" si="1087"/>
        <v>0</v>
      </c>
      <c r="M171" s="270">
        <f t="shared" si="1087"/>
        <v>0</v>
      </c>
      <c r="N171" s="270">
        <f t="shared" si="1087"/>
        <v>0</v>
      </c>
      <c r="O171" s="270">
        <f t="shared" si="1087"/>
        <v>0</v>
      </c>
      <c r="P171" s="272">
        <f t="shared" si="1087"/>
        <v>0</v>
      </c>
      <c r="Q171" s="272">
        <f t="shared" si="1087"/>
        <v>0</v>
      </c>
      <c r="R171" s="272">
        <f t="shared" si="1087"/>
        <v>0</v>
      </c>
      <c r="S171" s="272">
        <f t="shared" si="1087"/>
        <v>0</v>
      </c>
      <c r="T171" s="272">
        <f t="shared" si="1087"/>
        <v>0</v>
      </c>
      <c r="U171" s="270">
        <f t="shared" si="1087"/>
        <v>0</v>
      </c>
      <c r="V171" s="270">
        <f t="shared" si="1087"/>
        <v>0</v>
      </c>
      <c r="W171" s="270">
        <f t="shared" si="1087"/>
        <v>0</v>
      </c>
      <c r="X171" s="270">
        <f t="shared" si="1087"/>
        <v>0</v>
      </c>
      <c r="Y171" s="270">
        <f t="shared" si="1087"/>
        <v>0</v>
      </c>
      <c r="Z171" s="270">
        <f t="shared" si="1087"/>
        <v>0</v>
      </c>
      <c r="AA171" s="270">
        <f t="shared" si="1087"/>
        <v>0</v>
      </c>
      <c r="AB171" s="270">
        <f t="shared" si="1087"/>
        <v>0</v>
      </c>
      <c r="AC171" s="270">
        <f t="shared" si="1087"/>
        <v>0</v>
      </c>
      <c r="AD171" s="270">
        <f t="shared" si="1087"/>
        <v>0</v>
      </c>
      <c r="AE171" s="270">
        <f t="shared" si="1087"/>
        <v>0</v>
      </c>
      <c r="AF171" s="270">
        <f t="shared" si="1087"/>
        <v>0</v>
      </c>
      <c r="AG171" s="270">
        <f t="shared" si="1087"/>
        <v>0</v>
      </c>
      <c r="AH171" s="279">
        <f t="shared" si="602"/>
        <v>0</v>
      </c>
      <c r="AI171" s="270">
        <f t="shared" si="43"/>
        <v>0</v>
      </c>
      <c r="AJ171" s="270">
        <f t="shared" ref="AJ171:AO171" si="1088">IF(F$8=0,0,ROUND(AJ170-(F171-BO171),2))</f>
        <v>0</v>
      </c>
      <c r="AK171" s="270">
        <f t="shared" si="1088"/>
        <v>0</v>
      </c>
      <c r="AL171" s="270">
        <f t="shared" si="1088"/>
        <v>0</v>
      </c>
      <c r="AM171" s="270">
        <f t="shared" si="1088"/>
        <v>0</v>
      </c>
      <c r="AN171" s="270">
        <f t="shared" si="1088"/>
        <v>0</v>
      </c>
      <c r="AO171" s="270">
        <f t="shared" si="1088"/>
        <v>0</v>
      </c>
      <c r="AP171" s="270">
        <v>0.0</v>
      </c>
      <c r="AQ171" s="270">
        <f t="shared" ref="AQ171:AS171" si="1089">IF(M$8=0,0,ROUND(AQ170-(M171-BV171),2))</f>
        <v>0</v>
      </c>
      <c r="AR171" s="270">
        <f t="shared" si="1089"/>
        <v>0</v>
      </c>
      <c r="AS171" s="270">
        <f t="shared" si="1089"/>
        <v>0</v>
      </c>
      <c r="AT171" s="270">
        <f t="shared" si="605"/>
        <v>-6.22</v>
      </c>
      <c r="AU171" s="270">
        <f t="shared" ref="AU171:BK171" si="1090">IF(Q$8=0,0,ROUND(AU170-(Q171-BY171),2))</f>
        <v>-11.58</v>
      </c>
      <c r="AV171" s="270">
        <f t="shared" si="1090"/>
        <v>0</v>
      </c>
      <c r="AW171" s="270">
        <f t="shared" si="1090"/>
        <v>0</v>
      </c>
      <c r="AX171" s="270">
        <f t="shared" si="1090"/>
        <v>0</v>
      </c>
      <c r="AY171" s="270">
        <f t="shared" si="1090"/>
        <v>0</v>
      </c>
      <c r="AZ171" s="270">
        <f t="shared" si="1090"/>
        <v>0</v>
      </c>
      <c r="BA171" s="270">
        <f t="shared" si="1090"/>
        <v>0</v>
      </c>
      <c r="BB171" s="270">
        <f t="shared" si="1090"/>
        <v>0</v>
      </c>
      <c r="BC171" s="270">
        <f t="shared" si="1090"/>
        <v>0</v>
      </c>
      <c r="BD171" s="270">
        <f t="shared" si="1090"/>
        <v>0</v>
      </c>
      <c r="BE171" s="270">
        <f t="shared" si="1090"/>
        <v>0</v>
      </c>
      <c r="BF171" s="270">
        <f t="shared" si="1090"/>
        <v>0</v>
      </c>
      <c r="BG171" s="270">
        <f t="shared" si="1090"/>
        <v>0</v>
      </c>
      <c r="BH171" s="270">
        <f t="shared" si="1090"/>
        <v>0</v>
      </c>
      <c r="BI171" s="270">
        <f t="shared" si="1090"/>
        <v>0</v>
      </c>
      <c r="BJ171" s="270">
        <f t="shared" si="1090"/>
        <v>0</v>
      </c>
      <c r="BK171" s="270">
        <f t="shared" si="1090"/>
        <v>0</v>
      </c>
      <c r="BL171" s="265">
        <f t="shared" si="16"/>
        <v>-17.8</v>
      </c>
      <c r="BM171" s="215"/>
      <c r="BN171" s="270">
        <f t="shared" ref="BN171:CP171" si="1091">ROUND(AI170*E$9/12,2)</f>
        <v>0</v>
      </c>
      <c r="BO171" s="270">
        <f t="shared" si="1091"/>
        <v>0</v>
      </c>
      <c r="BP171" s="270">
        <f t="shared" si="1091"/>
        <v>0</v>
      </c>
      <c r="BQ171" s="270">
        <f t="shared" si="1091"/>
        <v>0</v>
      </c>
      <c r="BR171" s="270">
        <f t="shared" si="1091"/>
        <v>0</v>
      </c>
      <c r="BS171" s="270">
        <f t="shared" si="1091"/>
        <v>0</v>
      </c>
      <c r="BT171" s="270">
        <f t="shared" si="1091"/>
        <v>0</v>
      </c>
      <c r="BU171" s="270">
        <f t="shared" si="1091"/>
        <v>0</v>
      </c>
      <c r="BV171" s="270">
        <f t="shared" si="1091"/>
        <v>0</v>
      </c>
      <c r="BW171" s="270">
        <f t="shared" si="1091"/>
        <v>0</v>
      </c>
      <c r="BX171" s="270">
        <f t="shared" si="1091"/>
        <v>0</v>
      </c>
      <c r="BY171" s="270">
        <f t="shared" si="1091"/>
        <v>-0.05</v>
      </c>
      <c r="BZ171" s="270">
        <f t="shared" si="1091"/>
        <v>-0.04</v>
      </c>
      <c r="CA171" s="270">
        <f t="shared" si="1091"/>
        <v>0</v>
      </c>
      <c r="CB171" s="270">
        <f t="shared" si="1091"/>
        <v>0</v>
      </c>
      <c r="CC171" s="270">
        <f t="shared" si="1091"/>
        <v>0</v>
      </c>
      <c r="CD171" s="270">
        <f t="shared" si="1091"/>
        <v>0</v>
      </c>
      <c r="CE171" s="270">
        <f t="shared" si="1091"/>
        <v>0</v>
      </c>
      <c r="CF171" s="270">
        <f t="shared" si="1091"/>
        <v>0</v>
      </c>
      <c r="CG171" s="270">
        <f t="shared" si="1091"/>
        <v>0</v>
      </c>
      <c r="CH171" s="270">
        <f t="shared" si="1091"/>
        <v>0</v>
      </c>
      <c r="CI171" s="270">
        <f t="shared" si="1091"/>
        <v>0</v>
      </c>
      <c r="CJ171" s="270">
        <f t="shared" si="1091"/>
        <v>0</v>
      </c>
      <c r="CK171" s="270">
        <f t="shared" si="1091"/>
        <v>0</v>
      </c>
      <c r="CL171" s="270">
        <f t="shared" si="1091"/>
        <v>0</v>
      </c>
      <c r="CM171" s="270">
        <f t="shared" si="1091"/>
        <v>0</v>
      </c>
      <c r="CN171" s="270">
        <f t="shared" si="1091"/>
        <v>0</v>
      </c>
      <c r="CO171" s="270">
        <f t="shared" si="1091"/>
        <v>0</v>
      </c>
      <c r="CP171" s="270">
        <f t="shared" si="1091"/>
        <v>0</v>
      </c>
      <c r="CQ171" s="215"/>
      <c r="CR171" s="270">
        <f t="shared" si="27"/>
        <v>-0.09</v>
      </c>
      <c r="CS171" s="215"/>
      <c r="CT171" s="270">
        <f t="shared" ref="CT171:DX171" si="1092">IF(AI170&gt;0,IF((AI170+BN171)&lt;E$10,AI170+BN171,E$10),0)</f>
        <v>0</v>
      </c>
      <c r="CU171" s="270">
        <f t="shared" si="1092"/>
        <v>0</v>
      </c>
      <c r="CV171" s="270">
        <f t="shared" si="1092"/>
        <v>0</v>
      </c>
      <c r="CW171" s="270">
        <f t="shared" si="1092"/>
        <v>0</v>
      </c>
      <c r="CX171" s="270">
        <f t="shared" si="1092"/>
        <v>0</v>
      </c>
      <c r="CY171" s="270">
        <f t="shared" si="1092"/>
        <v>0</v>
      </c>
      <c r="CZ171" s="270">
        <f t="shared" si="1092"/>
        <v>0</v>
      </c>
      <c r="DA171" s="270">
        <f t="shared" si="1092"/>
        <v>0</v>
      </c>
      <c r="DB171" s="270">
        <f t="shared" si="1092"/>
        <v>0</v>
      </c>
      <c r="DC171" s="270">
        <f t="shared" si="1092"/>
        <v>0</v>
      </c>
      <c r="DD171" s="270">
        <f t="shared" si="1092"/>
        <v>0</v>
      </c>
      <c r="DE171" s="270">
        <f t="shared" si="1092"/>
        <v>0</v>
      </c>
      <c r="DF171" s="270">
        <f t="shared" si="1092"/>
        <v>0</v>
      </c>
      <c r="DG171" s="270">
        <f t="shared" si="1092"/>
        <v>0</v>
      </c>
      <c r="DH171" s="270">
        <f t="shared" si="1092"/>
        <v>0</v>
      </c>
      <c r="DI171" s="270">
        <f t="shared" si="1092"/>
        <v>0</v>
      </c>
      <c r="DJ171" s="270">
        <f t="shared" si="1092"/>
        <v>0</v>
      </c>
      <c r="DK171" s="270">
        <f t="shared" si="1092"/>
        <v>0</v>
      </c>
      <c r="DL171" s="270">
        <f t="shared" si="1092"/>
        <v>0</v>
      </c>
      <c r="DM171" s="270">
        <f t="shared" si="1092"/>
        <v>0</v>
      </c>
      <c r="DN171" s="270">
        <f t="shared" si="1092"/>
        <v>0</v>
      </c>
      <c r="DO171" s="270">
        <f t="shared" si="1092"/>
        <v>0</v>
      </c>
      <c r="DP171" s="270">
        <f t="shared" si="1092"/>
        <v>0</v>
      </c>
      <c r="DQ171" s="270">
        <f t="shared" si="1092"/>
        <v>0</v>
      </c>
      <c r="DR171" s="270">
        <f t="shared" si="1092"/>
        <v>0</v>
      </c>
      <c r="DS171" s="270">
        <f t="shared" si="1092"/>
        <v>0</v>
      </c>
      <c r="DT171" s="270">
        <f t="shared" si="1092"/>
        <v>0</v>
      </c>
      <c r="DU171" s="270">
        <f t="shared" si="1092"/>
        <v>0</v>
      </c>
      <c r="DV171" s="270">
        <f t="shared" si="1092"/>
        <v>0</v>
      </c>
      <c r="DW171" s="270">
        <f t="shared" si="1092"/>
        <v>0</v>
      </c>
      <c r="DX171" s="270">
        <f t="shared" si="1092"/>
        <v>0</v>
      </c>
      <c r="DY171" s="270">
        <f t="shared" si="29"/>
        <v>0</v>
      </c>
      <c r="DZ171" s="274"/>
      <c r="EA171" s="275">
        <f t="shared" si="38"/>
        <v>0</v>
      </c>
      <c r="EB171" s="270">
        <f t="shared" ref="EB171:FC171" si="1093">IF(AJ169&lt;=0,0,IF($C170&lt;=SUM($EA171:EA171),0,IF(CU170+$C170-SUM($EA171:EA171)&gt;AJ169+BO170,AJ169+BO170-CU170,$C170-SUM($EA171:EA171))))</f>
        <v>0</v>
      </c>
      <c r="EC171" s="270">
        <f t="shared" si="1093"/>
        <v>0</v>
      </c>
      <c r="ED171" s="270">
        <f t="shared" si="1093"/>
        <v>0</v>
      </c>
      <c r="EE171" s="270">
        <f t="shared" si="1093"/>
        <v>0</v>
      </c>
      <c r="EF171" s="270">
        <f t="shared" si="1093"/>
        <v>0</v>
      </c>
      <c r="EG171" s="270">
        <f t="shared" si="1093"/>
        <v>0</v>
      </c>
      <c r="EH171" s="270">
        <f t="shared" si="1093"/>
        <v>0</v>
      </c>
      <c r="EI171" s="270">
        <f t="shared" si="1093"/>
        <v>0</v>
      </c>
      <c r="EJ171" s="270">
        <f t="shared" si="1093"/>
        <v>0</v>
      </c>
      <c r="EK171" s="270">
        <f t="shared" si="1093"/>
        <v>0</v>
      </c>
      <c r="EL171" s="270">
        <f t="shared" si="1093"/>
        <v>0</v>
      </c>
      <c r="EM171" s="270">
        <f t="shared" si="1093"/>
        <v>0</v>
      </c>
      <c r="EN171" s="270">
        <f t="shared" si="1093"/>
        <v>0</v>
      </c>
      <c r="EO171" s="270">
        <f t="shared" si="1093"/>
        <v>0</v>
      </c>
      <c r="EP171" s="270">
        <f t="shared" si="1093"/>
        <v>0</v>
      </c>
      <c r="EQ171" s="270">
        <f t="shared" si="1093"/>
        <v>0</v>
      </c>
      <c r="ER171" s="270">
        <f t="shared" si="1093"/>
        <v>0</v>
      </c>
      <c r="ES171" s="270">
        <f t="shared" si="1093"/>
        <v>0</v>
      </c>
      <c r="ET171" s="270">
        <f t="shared" si="1093"/>
        <v>0</v>
      </c>
      <c r="EU171" s="270">
        <f t="shared" si="1093"/>
        <v>0</v>
      </c>
      <c r="EV171" s="270">
        <f t="shared" si="1093"/>
        <v>0</v>
      </c>
      <c r="EW171" s="270">
        <f t="shared" si="1093"/>
        <v>0</v>
      </c>
      <c r="EX171" s="270">
        <f t="shared" si="1093"/>
        <v>0</v>
      </c>
      <c r="EY171" s="270">
        <f t="shared" si="1093"/>
        <v>0</v>
      </c>
      <c r="EZ171" s="270">
        <f t="shared" si="1093"/>
        <v>0</v>
      </c>
      <c r="FA171" s="270">
        <f t="shared" si="1093"/>
        <v>0</v>
      </c>
      <c r="FB171" s="270">
        <f t="shared" si="1093"/>
        <v>0</v>
      </c>
      <c r="FC171" s="270">
        <f t="shared" si="1093"/>
        <v>0</v>
      </c>
      <c r="FD171" s="271"/>
      <c r="FE171" s="271"/>
      <c r="FF171" s="271"/>
      <c r="FG171" s="215"/>
      <c r="FH171" s="215"/>
    </row>
    <row r="172" ht="11.25" customHeight="1">
      <c r="A172" s="215" t="str">
        <f t="shared" si="19"/>
        <v/>
      </c>
      <c r="B172" s="241" t="str">
        <f t="shared" si="600"/>
        <v>#N/A</v>
      </c>
      <c r="C172" s="271" t="str">
        <f>IF(A172="","",IF(Calculator!snowball,IF(($E$5-DY172)&lt;0,0,$E$5-DY172),0)+D172)</f>
        <v/>
      </c>
      <c r="D172" s="271"/>
      <c r="E172" s="270">
        <f t="shared" si="40"/>
        <v>0</v>
      </c>
      <c r="F172" s="270">
        <f t="shared" ref="F172:AG172" si="1094">CU172+EB173</f>
        <v>0</v>
      </c>
      <c r="G172" s="270">
        <f t="shared" si="1094"/>
        <v>0</v>
      </c>
      <c r="H172" s="270">
        <f t="shared" si="1094"/>
        <v>0</v>
      </c>
      <c r="I172" s="270">
        <f t="shared" si="1094"/>
        <v>0</v>
      </c>
      <c r="J172" s="270">
        <f t="shared" si="1094"/>
        <v>0</v>
      </c>
      <c r="K172" s="270">
        <f t="shared" si="1094"/>
        <v>0</v>
      </c>
      <c r="L172" s="270">
        <f t="shared" si="1094"/>
        <v>0</v>
      </c>
      <c r="M172" s="270">
        <f t="shared" si="1094"/>
        <v>0</v>
      </c>
      <c r="N172" s="270">
        <f t="shared" si="1094"/>
        <v>0</v>
      </c>
      <c r="O172" s="270">
        <f t="shared" si="1094"/>
        <v>0</v>
      </c>
      <c r="P172" s="272">
        <f t="shared" si="1094"/>
        <v>0</v>
      </c>
      <c r="Q172" s="272">
        <f t="shared" si="1094"/>
        <v>0</v>
      </c>
      <c r="R172" s="272">
        <f t="shared" si="1094"/>
        <v>0</v>
      </c>
      <c r="S172" s="272">
        <f t="shared" si="1094"/>
        <v>0</v>
      </c>
      <c r="T172" s="272">
        <f t="shared" si="1094"/>
        <v>0</v>
      </c>
      <c r="U172" s="270">
        <f t="shared" si="1094"/>
        <v>0</v>
      </c>
      <c r="V172" s="270">
        <f t="shared" si="1094"/>
        <v>0</v>
      </c>
      <c r="W172" s="270">
        <f t="shared" si="1094"/>
        <v>0</v>
      </c>
      <c r="X172" s="270">
        <f t="shared" si="1094"/>
        <v>0</v>
      </c>
      <c r="Y172" s="270">
        <f t="shared" si="1094"/>
        <v>0</v>
      </c>
      <c r="Z172" s="270">
        <f t="shared" si="1094"/>
        <v>0</v>
      </c>
      <c r="AA172" s="270">
        <f t="shared" si="1094"/>
        <v>0</v>
      </c>
      <c r="AB172" s="270">
        <f t="shared" si="1094"/>
        <v>0</v>
      </c>
      <c r="AC172" s="270">
        <f t="shared" si="1094"/>
        <v>0</v>
      </c>
      <c r="AD172" s="270">
        <f t="shared" si="1094"/>
        <v>0</v>
      </c>
      <c r="AE172" s="270">
        <f t="shared" si="1094"/>
        <v>0</v>
      </c>
      <c r="AF172" s="270">
        <f t="shared" si="1094"/>
        <v>0</v>
      </c>
      <c r="AG172" s="270">
        <f t="shared" si="1094"/>
        <v>0</v>
      </c>
      <c r="AH172" s="279">
        <f t="shared" si="602"/>
        <v>0</v>
      </c>
      <c r="AI172" s="270">
        <f t="shared" si="43"/>
        <v>0</v>
      </c>
      <c r="AJ172" s="270">
        <f t="shared" ref="AJ172:AO172" si="1095">IF(F$8=0,0,ROUND(AJ171-(F172-BO172),2))</f>
        <v>0</v>
      </c>
      <c r="AK172" s="270">
        <f t="shared" si="1095"/>
        <v>0</v>
      </c>
      <c r="AL172" s="270">
        <f t="shared" si="1095"/>
        <v>0</v>
      </c>
      <c r="AM172" s="270">
        <f t="shared" si="1095"/>
        <v>0</v>
      </c>
      <c r="AN172" s="270">
        <f t="shared" si="1095"/>
        <v>0</v>
      </c>
      <c r="AO172" s="270">
        <f t="shared" si="1095"/>
        <v>0</v>
      </c>
      <c r="AP172" s="270">
        <v>0.0</v>
      </c>
      <c r="AQ172" s="270">
        <f t="shared" ref="AQ172:AS172" si="1096">IF(M$8=0,0,ROUND(AQ171-(M172-BV172),2))</f>
        <v>0</v>
      </c>
      <c r="AR172" s="270">
        <f t="shared" si="1096"/>
        <v>0</v>
      </c>
      <c r="AS172" s="270">
        <f t="shared" si="1096"/>
        <v>0</v>
      </c>
      <c r="AT172" s="270">
        <f t="shared" si="605"/>
        <v>-6.22</v>
      </c>
      <c r="AU172" s="270">
        <f t="shared" ref="AU172:BK172" si="1097">IF(Q$8=0,0,ROUND(AU171-(Q172-BY172),2))</f>
        <v>-11.63</v>
      </c>
      <c r="AV172" s="270">
        <f t="shared" si="1097"/>
        <v>0</v>
      </c>
      <c r="AW172" s="270">
        <f t="shared" si="1097"/>
        <v>0</v>
      </c>
      <c r="AX172" s="270">
        <f t="shared" si="1097"/>
        <v>0</v>
      </c>
      <c r="AY172" s="270">
        <f t="shared" si="1097"/>
        <v>0</v>
      </c>
      <c r="AZ172" s="270">
        <f t="shared" si="1097"/>
        <v>0</v>
      </c>
      <c r="BA172" s="270">
        <f t="shared" si="1097"/>
        <v>0</v>
      </c>
      <c r="BB172" s="270">
        <f t="shared" si="1097"/>
        <v>0</v>
      </c>
      <c r="BC172" s="270">
        <f t="shared" si="1097"/>
        <v>0</v>
      </c>
      <c r="BD172" s="270">
        <f t="shared" si="1097"/>
        <v>0</v>
      </c>
      <c r="BE172" s="270">
        <f t="shared" si="1097"/>
        <v>0</v>
      </c>
      <c r="BF172" s="270">
        <f t="shared" si="1097"/>
        <v>0</v>
      </c>
      <c r="BG172" s="270">
        <f t="shared" si="1097"/>
        <v>0</v>
      </c>
      <c r="BH172" s="270">
        <f t="shared" si="1097"/>
        <v>0</v>
      </c>
      <c r="BI172" s="270">
        <f t="shared" si="1097"/>
        <v>0</v>
      </c>
      <c r="BJ172" s="270">
        <f t="shared" si="1097"/>
        <v>0</v>
      </c>
      <c r="BK172" s="270">
        <f t="shared" si="1097"/>
        <v>0</v>
      </c>
      <c r="BL172" s="265">
        <f t="shared" si="16"/>
        <v>-17.85</v>
      </c>
      <c r="BM172" s="215"/>
      <c r="BN172" s="270">
        <f t="shared" ref="BN172:CP172" si="1098">ROUND(AI171*E$9/12,2)</f>
        <v>0</v>
      </c>
      <c r="BO172" s="270">
        <f t="shared" si="1098"/>
        <v>0</v>
      </c>
      <c r="BP172" s="270">
        <f t="shared" si="1098"/>
        <v>0</v>
      </c>
      <c r="BQ172" s="270">
        <f t="shared" si="1098"/>
        <v>0</v>
      </c>
      <c r="BR172" s="270">
        <f t="shared" si="1098"/>
        <v>0</v>
      </c>
      <c r="BS172" s="270">
        <f t="shared" si="1098"/>
        <v>0</v>
      </c>
      <c r="BT172" s="270">
        <f t="shared" si="1098"/>
        <v>0</v>
      </c>
      <c r="BU172" s="270">
        <f t="shared" si="1098"/>
        <v>0</v>
      </c>
      <c r="BV172" s="270">
        <f t="shared" si="1098"/>
        <v>0</v>
      </c>
      <c r="BW172" s="270">
        <f t="shared" si="1098"/>
        <v>0</v>
      </c>
      <c r="BX172" s="270">
        <f t="shared" si="1098"/>
        <v>0</v>
      </c>
      <c r="BY172" s="270">
        <f t="shared" si="1098"/>
        <v>-0.05</v>
      </c>
      <c r="BZ172" s="270">
        <f t="shared" si="1098"/>
        <v>-0.04</v>
      </c>
      <c r="CA172" s="270">
        <f t="shared" si="1098"/>
        <v>0</v>
      </c>
      <c r="CB172" s="270">
        <f t="shared" si="1098"/>
        <v>0</v>
      </c>
      <c r="CC172" s="270">
        <f t="shared" si="1098"/>
        <v>0</v>
      </c>
      <c r="CD172" s="270">
        <f t="shared" si="1098"/>
        <v>0</v>
      </c>
      <c r="CE172" s="270">
        <f t="shared" si="1098"/>
        <v>0</v>
      </c>
      <c r="CF172" s="270">
        <f t="shared" si="1098"/>
        <v>0</v>
      </c>
      <c r="CG172" s="270">
        <f t="shared" si="1098"/>
        <v>0</v>
      </c>
      <c r="CH172" s="270">
        <f t="shared" si="1098"/>
        <v>0</v>
      </c>
      <c r="CI172" s="270">
        <f t="shared" si="1098"/>
        <v>0</v>
      </c>
      <c r="CJ172" s="270">
        <f t="shared" si="1098"/>
        <v>0</v>
      </c>
      <c r="CK172" s="270">
        <f t="shared" si="1098"/>
        <v>0</v>
      </c>
      <c r="CL172" s="270">
        <f t="shared" si="1098"/>
        <v>0</v>
      </c>
      <c r="CM172" s="270">
        <f t="shared" si="1098"/>
        <v>0</v>
      </c>
      <c r="CN172" s="270">
        <f t="shared" si="1098"/>
        <v>0</v>
      </c>
      <c r="CO172" s="270">
        <f t="shared" si="1098"/>
        <v>0</v>
      </c>
      <c r="CP172" s="270">
        <f t="shared" si="1098"/>
        <v>0</v>
      </c>
      <c r="CQ172" s="215"/>
      <c r="CR172" s="270">
        <f t="shared" si="27"/>
        <v>-0.09</v>
      </c>
      <c r="CS172" s="215"/>
      <c r="CT172" s="270">
        <f t="shared" ref="CT172:DX172" si="1099">IF(AI171&gt;0,IF((AI171+BN172)&lt;E$10,AI171+BN172,E$10),0)</f>
        <v>0</v>
      </c>
      <c r="CU172" s="270">
        <f t="shared" si="1099"/>
        <v>0</v>
      </c>
      <c r="CV172" s="270">
        <f t="shared" si="1099"/>
        <v>0</v>
      </c>
      <c r="CW172" s="270">
        <f t="shared" si="1099"/>
        <v>0</v>
      </c>
      <c r="CX172" s="270">
        <f t="shared" si="1099"/>
        <v>0</v>
      </c>
      <c r="CY172" s="270">
        <f t="shared" si="1099"/>
        <v>0</v>
      </c>
      <c r="CZ172" s="270">
        <f t="shared" si="1099"/>
        <v>0</v>
      </c>
      <c r="DA172" s="270">
        <f t="shared" si="1099"/>
        <v>0</v>
      </c>
      <c r="DB172" s="270">
        <f t="shared" si="1099"/>
        <v>0</v>
      </c>
      <c r="DC172" s="270">
        <f t="shared" si="1099"/>
        <v>0</v>
      </c>
      <c r="DD172" s="270">
        <f t="shared" si="1099"/>
        <v>0</v>
      </c>
      <c r="DE172" s="270">
        <f t="shared" si="1099"/>
        <v>0</v>
      </c>
      <c r="DF172" s="270">
        <f t="shared" si="1099"/>
        <v>0</v>
      </c>
      <c r="DG172" s="270">
        <f t="shared" si="1099"/>
        <v>0</v>
      </c>
      <c r="DH172" s="270">
        <f t="shared" si="1099"/>
        <v>0</v>
      </c>
      <c r="DI172" s="270">
        <f t="shared" si="1099"/>
        <v>0</v>
      </c>
      <c r="DJ172" s="270">
        <f t="shared" si="1099"/>
        <v>0</v>
      </c>
      <c r="DK172" s="270">
        <f t="shared" si="1099"/>
        <v>0</v>
      </c>
      <c r="DL172" s="270">
        <f t="shared" si="1099"/>
        <v>0</v>
      </c>
      <c r="DM172" s="270">
        <f t="shared" si="1099"/>
        <v>0</v>
      </c>
      <c r="DN172" s="270">
        <f t="shared" si="1099"/>
        <v>0</v>
      </c>
      <c r="DO172" s="270">
        <f t="shared" si="1099"/>
        <v>0</v>
      </c>
      <c r="DP172" s="270">
        <f t="shared" si="1099"/>
        <v>0</v>
      </c>
      <c r="DQ172" s="270">
        <f t="shared" si="1099"/>
        <v>0</v>
      </c>
      <c r="DR172" s="270">
        <f t="shared" si="1099"/>
        <v>0</v>
      </c>
      <c r="DS172" s="270">
        <f t="shared" si="1099"/>
        <v>0</v>
      </c>
      <c r="DT172" s="270">
        <f t="shared" si="1099"/>
        <v>0</v>
      </c>
      <c r="DU172" s="270">
        <f t="shared" si="1099"/>
        <v>0</v>
      </c>
      <c r="DV172" s="270">
        <f t="shared" si="1099"/>
        <v>0</v>
      </c>
      <c r="DW172" s="270">
        <f t="shared" si="1099"/>
        <v>0</v>
      </c>
      <c r="DX172" s="270">
        <f t="shared" si="1099"/>
        <v>0</v>
      </c>
      <c r="DY172" s="270">
        <f t="shared" si="29"/>
        <v>0</v>
      </c>
      <c r="DZ172" s="274"/>
      <c r="EA172" s="275">
        <f t="shared" si="38"/>
        <v>0</v>
      </c>
      <c r="EB172" s="270">
        <f t="shared" ref="EB172:FC172" si="1100">IF(AJ170&lt;=0,0,IF($C171&lt;=SUM($EA172:EA172),0,IF(CU171+$C171-SUM($EA172:EA172)&gt;AJ170+BO171,AJ170+BO171-CU171,$C171-SUM($EA172:EA172))))</f>
        <v>0</v>
      </c>
      <c r="EC172" s="270">
        <f t="shared" si="1100"/>
        <v>0</v>
      </c>
      <c r="ED172" s="270">
        <f t="shared" si="1100"/>
        <v>0</v>
      </c>
      <c r="EE172" s="270">
        <f t="shared" si="1100"/>
        <v>0</v>
      </c>
      <c r="EF172" s="270">
        <f t="shared" si="1100"/>
        <v>0</v>
      </c>
      <c r="EG172" s="270">
        <f t="shared" si="1100"/>
        <v>0</v>
      </c>
      <c r="EH172" s="270">
        <f t="shared" si="1100"/>
        <v>0</v>
      </c>
      <c r="EI172" s="270">
        <f t="shared" si="1100"/>
        <v>0</v>
      </c>
      <c r="EJ172" s="270">
        <f t="shared" si="1100"/>
        <v>0</v>
      </c>
      <c r="EK172" s="270">
        <f t="shared" si="1100"/>
        <v>0</v>
      </c>
      <c r="EL172" s="270">
        <f t="shared" si="1100"/>
        <v>0</v>
      </c>
      <c r="EM172" s="270">
        <f t="shared" si="1100"/>
        <v>0</v>
      </c>
      <c r="EN172" s="270">
        <f t="shared" si="1100"/>
        <v>0</v>
      </c>
      <c r="EO172" s="270">
        <f t="shared" si="1100"/>
        <v>0</v>
      </c>
      <c r="EP172" s="270">
        <f t="shared" si="1100"/>
        <v>0</v>
      </c>
      <c r="EQ172" s="270">
        <f t="shared" si="1100"/>
        <v>0</v>
      </c>
      <c r="ER172" s="270">
        <f t="shared" si="1100"/>
        <v>0</v>
      </c>
      <c r="ES172" s="270">
        <f t="shared" si="1100"/>
        <v>0</v>
      </c>
      <c r="ET172" s="270">
        <f t="shared" si="1100"/>
        <v>0</v>
      </c>
      <c r="EU172" s="270">
        <f t="shared" si="1100"/>
        <v>0</v>
      </c>
      <c r="EV172" s="270">
        <f t="shared" si="1100"/>
        <v>0</v>
      </c>
      <c r="EW172" s="270">
        <f t="shared" si="1100"/>
        <v>0</v>
      </c>
      <c r="EX172" s="270">
        <f t="shared" si="1100"/>
        <v>0</v>
      </c>
      <c r="EY172" s="270">
        <f t="shared" si="1100"/>
        <v>0</v>
      </c>
      <c r="EZ172" s="270">
        <f t="shared" si="1100"/>
        <v>0</v>
      </c>
      <c r="FA172" s="270">
        <f t="shared" si="1100"/>
        <v>0</v>
      </c>
      <c r="FB172" s="270">
        <f t="shared" si="1100"/>
        <v>0</v>
      </c>
      <c r="FC172" s="270">
        <f t="shared" si="1100"/>
        <v>0</v>
      </c>
      <c r="FD172" s="271"/>
      <c r="FE172" s="271"/>
      <c r="FF172" s="271"/>
      <c r="FG172" s="215"/>
      <c r="FH172" s="215"/>
    </row>
    <row r="173" ht="11.25" customHeight="1">
      <c r="A173" s="215" t="str">
        <f t="shared" si="19"/>
        <v/>
      </c>
      <c r="B173" s="241" t="str">
        <f t="shared" si="600"/>
        <v>#N/A</v>
      </c>
      <c r="C173" s="271" t="str">
        <f>IF(A173="","",IF(Calculator!snowball,IF(($E$5-DY173)&lt;0,0,$E$5-DY173),0)+D173)</f>
        <v/>
      </c>
      <c r="D173" s="271"/>
      <c r="E173" s="270">
        <f t="shared" si="40"/>
        <v>0</v>
      </c>
      <c r="F173" s="270">
        <f t="shared" ref="F173:AG173" si="1101">CU173+EB174</f>
        <v>0</v>
      </c>
      <c r="G173" s="270">
        <f t="shared" si="1101"/>
        <v>0</v>
      </c>
      <c r="H173" s="270">
        <f t="shared" si="1101"/>
        <v>0</v>
      </c>
      <c r="I173" s="270">
        <f t="shared" si="1101"/>
        <v>0</v>
      </c>
      <c r="J173" s="270">
        <f t="shared" si="1101"/>
        <v>0</v>
      </c>
      <c r="K173" s="270">
        <f t="shared" si="1101"/>
        <v>0</v>
      </c>
      <c r="L173" s="270">
        <f t="shared" si="1101"/>
        <v>0</v>
      </c>
      <c r="M173" s="270">
        <f t="shared" si="1101"/>
        <v>0</v>
      </c>
      <c r="N173" s="270">
        <f t="shared" si="1101"/>
        <v>0</v>
      </c>
      <c r="O173" s="270">
        <f t="shared" si="1101"/>
        <v>0</v>
      </c>
      <c r="P173" s="272">
        <f t="shared" si="1101"/>
        <v>0</v>
      </c>
      <c r="Q173" s="272">
        <f t="shared" si="1101"/>
        <v>0</v>
      </c>
      <c r="R173" s="272">
        <f t="shared" si="1101"/>
        <v>0</v>
      </c>
      <c r="S173" s="272">
        <f t="shared" si="1101"/>
        <v>0</v>
      </c>
      <c r="T173" s="272">
        <f t="shared" si="1101"/>
        <v>0</v>
      </c>
      <c r="U173" s="270">
        <f t="shared" si="1101"/>
        <v>0</v>
      </c>
      <c r="V173" s="270">
        <f t="shared" si="1101"/>
        <v>0</v>
      </c>
      <c r="W173" s="270">
        <f t="shared" si="1101"/>
        <v>0</v>
      </c>
      <c r="X173" s="270">
        <f t="shared" si="1101"/>
        <v>0</v>
      </c>
      <c r="Y173" s="270">
        <f t="shared" si="1101"/>
        <v>0</v>
      </c>
      <c r="Z173" s="270">
        <f t="shared" si="1101"/>
        <v>0</v>
      </c>
      <c r="AA173" s="270">
        <f t="shared" si="1101"/>
        <v>0</v>
      </c>
      <c r="AB173" s="270">
        <f t="shared" si="1101"/>
        <v>0</v>
      </c>
      <c r="AC173" s="270">
        <f t="shared" si="1101"/>
        <v>0</v>
      </c>
      <c r="AD173" s="270">
        <f t="shared" si="1101"/>
        <v>0</v>
      </c>
      <c r="AE173" s="270">
        <f t="shared" si="1101"/>
        <v>0</v>
      </c>
      <c r="AF173" s="270">
        <f t="shared" si="1101"/>
        <v>0</v>
      </c>
      <c r="AG173" s="270">
        <f t="shared" si="1101"/>
        <v>0</v>
      </c>
      <c r="AH173" s="279">
        <f t="shared" si="602"/>
        <v>0</v>
      </c>
      <c r="AI173" s="270">
        <f t="shared" si="43"/>
        <v>0</v>
      </c>
      <c r="AJ173" s="270">
        <f t="shared" ref="AJ173:AO173" si="1102">IF(F$8=0,0,ROUND(AJ172-(F173-BO173),2))</f>
        <v>0</v>
      </c>
      <c r="AK173" s="270">
        <f t="shared" si="1102"/>
        <v>0</v>
      </c>
      <c r="AL173" s="270">
        <f t="shared" si="1102"/>
        <v>0</v>
      </c>
      <c r="AM173" s="270">
        <f t="shared" si="1102"/>
        <v>0</v>
      </c>
      <c r="AN173" s="270">
        <f t="shared" si="1102"/>
        <v>0</v>
      </c>
      <c r="AO173" s="270">
        <f t="shared" si="1102"/>
        <v>0</v>
      </c>
      <c r="AP173" s="270">
        <v>0.0</v>
      </c>
      <c r="AQ173" s="270">
        <f t="shared" ref="AQ173:AS173" si="1103">IF(M$8=0,0,ROUND(AQ172-(M173-BV173),2))</f>
        <v>0</v>
      </c>
      <c r="AR173" s="270">
        <f t="shared" si="1103"/>
        <v>0</v>
      </c>
      <c r="AS173" s="270">
        <f t="shared" si="1103"/>
        <v>0</v>
      </c>
      <c r="AT173" s="270">
        <f t="shared" si="605"/>
        <v>-6.22</v>
      </c>
      <c r="AU173" s="270">
        <f t="shared" ref="AU173:BK173" si="1104">IF(Q$8=0,0,ROUND(AU172-(Q173-BY173),2))</f>
        <v>-11.68</v>
      </c>
      <c r="AV173" s="270">
        <f t="shared" si="1104"/>
        <v>0</v>
      </c>
      <c r="AW173" s="270">
        <f t="shared" si="1104"/>
        <v>0</v>
      </c>
      <c r="AX173" s="270">
        <f t="shared" si="1104"/>
        <v>0</v>
      </c>
      <c r="AY173" s="270">
        <f t="shared" si="1104"/>
        <v>0</v>
      </c>
      <c r="AZ173" s="270">
        <f t="shared" si="1104"/>
        <v>0</v>
      </c>
      <c r="BA173" s="270">
        <f t="shared" si="1104"/>
        <v>0</v>
      </c>
      <c r="BB173" s="270">
        <f t="shared" si="1104"/>
        <v>0</v>
      </c>
      <c r="BC173" s="270">
        <f t="shared" si="1104"/>
        <v>0</v>
      </c>
      <c r="BD173" s="270">
        <f t="shared" si="1104"/>
        <v>0</v>
      </c>
      <c r="BE173" s="270">
        <f t="shared" si="1104"/>
        <v>0</v>
      </c>
      <c r="BF173" s="270">
        <f t="shared" si="1104"/>
        <v>0</v>
      </c>
      <c r="BG173" s="270">
        <f t="shared" si="1104"/>
        <v>0</v>
      </c>
      <c r="BH173" s="270">
        <f t="shared" si="1104"/>
        <v>0</v>
      </c>
      <c r="BI173" s="270">
        <f t="shared" si="1104"/>
        <v>0</v>
      </c>
      <c r="BJ173" s="270">
        <f t="shared" si="1104"/>
        <v>0</v>
      </c>
      <c r="BK173" s="270">
        <f t="shared" si="1104"/>
        <v>0</v>
      </c>
      <c r="BL173" s="265">
        <f t="shared" si="16"/>
        <v>-17.9</v>
      </c>
      <c r="BM173" s="215"/>
      <c r="BN173" s="270">
        <f t="shared" ref="BN173:CP173" si="1105">ROUND(AI172*E$9/12,2)</f>
        <v>0</v>
      </c>
      <c r="BO173" s="270">
        <f t="shared" si="1105"/>
        <v>0</v>
      </c>
      <c r="BP173" s="270">
        <f t="shared" si="1105"/>
        <v>0</v>
      </c>
      <c r="BQ173" s="270">
        <f t="shared" si="1105"/>
        <v>0</v>
      </c>
      <c r="BR173" s="270">
        <f t="shared" si="1105"/>
        <v>0</v>
      </c>
      <c r="BS173" s="270">
        <f t="shared" si="1105"/>
        <v>0</v>
      </c>
      <c r="BT173" s="270">
        <f t="shared" si="1105"/>
        <v>0</v>
      </c>
      <c r="BU173" s="270">
        <f t="shared" si="1105"/>
        <v>0</v>
      </c>
      <c r="BV173" s="270">
        <f t="shared" si="1105"/>
        <v>0</v>
      </c>
      <c r="BW173" s="270">
        <f t="shared" si="1105"/>
        <v>0</v>
      </c>
      <c r="BX173" s="270">
        <f t="shared" si="1105"/>
        <v>0</v>
      </c>
      <c r="BY173" s="270">
        <f t="shared" si="1105"/>
        <v>-0.05</v>
      </c>
      <c r="BZ173" s="270">
        <f t="shared" si="1105"/>
        <v>-0.04</v>
      </c>
      <c r="CA173" s="270">
        <f t="shared" si="1105"/>
        <v>0</v>
      </c>
      <c r="CB173" s="270">
        <f t="shared" si="1105"/>
        <v>0</v>
      </c>
      <c r="CC173" s="270">
        <f t="shared" si="1105"/>
        <v>0</v>
      </c>
      <c r="CD173" s="270">
        <f t="shared" si="1105"/>
        <v>0</v>
      </c>
      <c r="CE173" s="270">
        <f t="shared" si="1105"/>
        <v>0</v>
      </c>
      <c r="CF173" s="270">
        <f t="shared" si="1105"/>
        <v>0</v>
      </c>
      <c r="CG173" s="270">
        <f t="shared" si="1105"/>
        <v>0</v>
      </c>
      <c r="CH173" s="270">
        <f t="shared" si="1105"/>
        <v>0</v>
      </c>
      <c r="CI173" s="270">
        <f t="shared" si="1105"/>
        <v>0</v>
      </c>
      <c r="CJ173" s="270">
        <f t="shared" si="1105"/>
        <v>0</v>
      </c>
      <c r="CK173" s="270">
        <f t="shared" si="1105"/>
        <v>0</v>
      </c>
      <c r="CL173" s="270">
        <f t="shared" si="1105"/>
        <v>0</v>
      </c>
      <c r="CM173" s="270">
        <f t="shared" si="1105"/>
        <v>0</v>
      </c>
      <c r="CN173" s="270">
        <f t="shared" si="1105"/>
        <v>0</v>
      </c>
      <c r="CO173" s="270">
        <f t="shared" si="1105"/>
        <v>0</v>
      </c>
      <c r="CP173" s="270">
        <f t="shared" si="1105"/>
        <v>0</v>
      </c>
      <c r="CQ173" s="215"/>
      <c r="CR173" s="270">
        <f t="shared" si="27"/>
        <v>-0.09</v>
      </c>
      <c r="CS173" s="215"/>
      <c r="CT173" s="270">
        <f t="shared" ref="CT173:DX173" si="1106">IF(AI172&gt;0,IF((AI172+BN173)&lt;E$10,AI172+BN173,E$10),0)</f>
        <v>0</v>
      </c>
      <c r="CU173" s="270">
        <f t="shared" si="1106"/>
        <v>0</v>
      </c>
      <c r="CV173" s="270">
        <f t="shared" si="1106"/>
        <v>0</v>
      </c>
      <c r="CW173" s="270">
        <f t="shared" si="1106"/>
        <v>0</v>
      </c>
      <c r="CX173" s="270">
        <f t="shared" si="1106"/>
        <v>0</v>
      </c>
      <c r="CY173" s="270">
        <f t="shared" si="1106"/>
        <v>0</v>
      </c>
      <c r="CZ173" s="270">
        <f t="shared" si="1106"/>
        <v>0</v>
      </c>
      <c r="DA173" s="270">
        <f t="shared" si="1106"/>
        <v>0</v>
      </c>
      <c r="DB173" s="270">
        <f t="shared" si="1106"/>
        <v>0</v>
      </c>
      <c r="DC173" s="270">
        <f t="shared" si="1106"/>
        <v>0</v>
      </c>
      <c r="DD173" s="270">
        <f t="shared" si="1106"/>
        <v>0</v>
      </c>
      <c r="DE173" s="270">
        <f t="shared" si="1106"/>
        <v>0</v>
      </c>
      <c r="DF173" s="270">
        <f t="shared" si="1106"/>
        <v>0</v>
      </c>
      <c r="DG173" s="270">
        <f t="shared" si="1106"/>
        <v>0</v>
      </c>
      <c r="DH173" s="270">
        <f t="shared" si="1106"/>
        <v>0</v>
      </c>
      <c r="DI173" s="270">
        <f t="shared" si="1106"/>
        <v>0</v>
      </c>
      <c r="DJ173" s="270">
        <f t="shared" si="1106"/>
        <v>0</v>
      </c>
      <c r="DK173" s="270">
        <f t="shared" si="1106"/>
        <v>0</v>
      </c>
      <c r="DL173" s="270">
        <f t="shared" si="1106"/>
        <v>0</v>
      </c>
      <c r="DM173" s="270">
        <f t="shared" si="1106"/>
        <v>0</v>
      </c>
      <c r="DN173" s="270">
        <f t="shared" si="1106"/>
        <v>0</v>
      </c>
      <c r="DO173" s="270">
        <f t="shared" si="1106"/>
        <v>0</v>
      </c>
      <c r="DP173" s="270">
        <f t="shared" si="1106"/>
        <v>0</v>
      </c>
      <c r="DQ173" s="270">
        <f t="shared" si="1106"/>
        <v>0</v>
      </c>
      <c r="DR173" s="270">
        <f t="shared" si="1106"/>
        <v>0</v>
      </c>
      <c r="DS173" s="270">
        <f t="shared" si="1106"/>
        <v>0</v>
      </c>
      <c r="DT173" s="270">
        <f t="shared" si="1106"/>
        <v>0</v>
      </c>
      <c r="DU173" s="270">
        <f t="shared" si="1106"/>
        <v>0</v>
      </c>
      <c r="DV173" s="270">
        <f t="shared" si="1106"/>
        <v>0</v>
      </c>
      <c r="DW173" s="270">
        <f t="shared" si="1106"/>
        <v>0</v>
      </c>
      <c r="DX173" s="270">
        <f t="shared" si="1106"/>
        <v>0</v>
      </c>
      <c r="DY173" s="270">
        <f t="shared" si="29"/>
        <v>0</v>
      </c>
      <c r="DZ173" s="274"/>
      <c r="EA173" s="275">
        <f t="shared" si="38"/>
        <v>0</v>
      </c>
      <c r="EB173" s="270">
        <f t="shared" ref="EB173:FC173" si="1107">IF(AJ171&lt;=0,0,IF($C172&lt;=SUM($EA173:EA173),0,IF(CU172+$C172-SUM($EA173:EA173)&gt;AJ171+BO172,AJ171+BO172-CU172,$C172-SUM($EA173:EA173))))</f>
        <v>0</v>
      </c>
      <c r="EC173" s="270">
        <f t="shared" si="1107"/>
        <v>0</v>
      </c>
      <c r="ED173" s="270">
        <f t="shared" si="1107"/>
        <v>0</v>
      </c>
      <c r="EE173" s="270">
        <f t="shared" si="1107"/>
        <v>0</v>
      </c>
      <c r="EF173" s="270">
        <f t="shared" si="1107"/>
        <v>0</v>
      </c>
      <c r="EG173" s="270">
        <f t="shared" si="1107"/>
        <v>0</v>
      </c>
      <c r="EH173" s="270">
        <f t="shared" si="1107"/>
        <v>0</v>
      </c>
      <c r="EI173" s="270">
        <f t="shared" si="1107"/>
        <v>0</v>
      </c>
      <c r="EJ173" s="270">
        <f t="shared" si="1107"/>
        <v>0</v>
      </c>
      <c r="EK173" s="270">
        <f t="shared" si="1107"/>
        <v>0</v>
      </c>
      <c r="EL173" s="270">
        <f t="shared" si="1107"/>
        <v>0</v>
      </c>
      <c r="EM173" s="270">
        <f t="shared" si="1107"/>
        <v>0</v>
      </c>
      <c r="EN173" s="270">
        <f t="shared" si="1107"/>
        <v>0</v>
      </c>
      <c r="EO173" s="270">
        <f t="shared" si="1107"/>
        <v>0</v>
      </c>
      <c r="EP173" s="270">
        <f t="shared" si="1107"/>
        <v>0</v>
      </c>
      <c r="EQ173" s="270">
        <f t="shared" si="1107"/>
        <v>0</v>
      </c>
      <c r="ER173" s="270">
        <f t="shared" si="1107"/>
        <v>0</v>
      </c>
      <c r="ES173" s="270">
        <f t="shared" si="1107"/>
        <v>0</v>
      </c>
      <c r="ET173" s="270">
        <f t="shared" si="1107"/>
        <v>0</v>
      </c>
      <c r="EU173" s="270">
        <f t="shared" si="1107"/>
        <v>0</v>
      </c>
      <c r="EV173" s="270">
        <f t="shared" si="1107"/>
        <v>0</v>
      </c>
      <c r="EW173" s="270">
        <f t="shared" si="1107"/>
        <v>0</v>
      </c>
      <c r="EX173" s="270">
        <f t="shared" si="1107"/>
        <v>0</v>
      </c>
      <c r="EY173" s="270">
        <f t="shared" si="1107"/>
        <v>0</v>
      </c>
      <c r="EZ173" s="270">
        <f t="shared" si="1107"/>
        <v>0</v>
      </c>
      <c r="FA173" s="270">
        <f t="shared" si="1107"/>
        <v>0</v>
      </c>
      <c r="FB173" s="270">
        <f t="shared" si="1107"/>
        <v>0</v>
      </c>
      <c r="FC173" s="270">
        <f t="shared" si="1107"/>
        <v>0</v>
      </c>
      <c r="FD173" s="271"/>
      <c r="FE173" s="271"/>
      <c r="FF173" s="271"/>
      <c r="FG173" s="215"/>
      <c r="FH173" s="215"/>
    </row>
    <row r="174" ht="11.25" customHeight="1">
      <c r="A174" s="215" t="str">
        <f t="shared" si="19"/>
        <v/>
      </c>
      <c r="B174" s="241" t="str">
        <f t="shared" si="600"/>
        <v>#N/A</v>
      </c>
      <c r="C174" s="271" t="str">
        <f>IF(A174="","",IF(Calculator!snowball,IF(($E$5-DY174)&lt;0,0,$E$5-DY174),0)+D174)</f>
        <v/>
      </c>
      <c r="D174" s="271"/>
      <c r="E174" s="270">
        <f t="shared" si="40"/>
        <v>0</v>
      </c>
      <c r="F174" s="270">
        <f t="shared" ref="F174:AG174" si="1108">CU174+EB175</f>
        <v>0</v>
      </c>
      <c r="G174" s="270">
        <f t="shared" si="1108"/>
        <v>0</v>
      </c>
      <c r="H174" s="270">
        <f t="shared" si="1108"/>
        <v>0</v>
      </c>
      <c r="I174" s="270">
        <f t="shared" si="1108"/>
        <v>0</v>
      </c>
      <c r="J174" s="270">
        <f t="shared" si="1108"/>
        <v>0</v>
      </c>
      <c r="K174" s="270">
        <f t="shared" si="1108"/>
        <v>0</v>
      </c>
      <c r="L174" s="270">
        <f t="shared" si="1108"/>
        <v>0</v>
      </c>
      <c r="M174" s="270">
        <f t="shared" si="1108"/>
        <v>0</v>
      </c>
      <c r="N174" s="270">
        <f t="shared" si="1108"/>
        <v>0</v>
      </c>
      <c r="O174" s="270">
        <f t="shared" si="1108"/>
        <v>0</v>
      </c>
      <c r="P174" s="272">
        <f t="shared" si="1108"/>
        <v>0</v>
      </c>
      <c r="Q174" s="272">
        <f t="shared" si="1108"/>
        <v>0</v>
      </c>
      <c r="R174" s="272">
        <f t="shared" si="1108"/>
        <v>0</v>
      </c>
      <c r="S174" s="272">
        <f t="shared" si="1108"/>
        <v>0</v>
      </c>
      <c r="T174" s="272">
        <f t="shared" si="1108"/>
        <v>0</v>
      </c>
      <c r="U174" s="270">
        <f t="shared" si="1108"/>
        <v>0</v>
      </c>
      <c r="V174" s="270">
        <f t="shared" si="1108"/>
        <v>0</v>
      </c>
      <c r="W174" s="270">
        <f t="shared" si="1108"/>
        <v>0</v>
      </c>
      <c r="X174" s="270">
        <f t="shared" si="1108"/>
        <v>0</v>
      </c>
      <c r="Y174" s="270">
        <f t="shared" si="1108"/>
        <v>0</v>
      </c>
      <c r="Z174" s="270">
        <f t="shared" si="1108"/>
        <v>0</v>
      </c>
      <c r="AA174" s="270">
        <f t="shared" si="1108"/>
        <v>0</v>
      </c>
      <c r="AB174" s="270">
        <f t="shared" si="1108"/>
        <v>0</v>
      </c>
      <c r="AC174" s="270">
        <f t="shared" si="1108"/>
        <v>0</v>
      </c>
      <c r="AD174" s="270">
        <f t="shared" si="1108"/>
        <v>0</v>
      </c>
      <c r="AE174" s="270">
        <f t="shared" si="1108"/>
        <v>0</v>
      </c>
      <c r="AF174" s="270">
        <f t="shared" si="1108"/>
        <v>0</v>
      </c>
      <c r="AG174" s="270">
        <f t="shared" si="1108"/>
        <v>0</v>
      </c>
      <c r="AH174" s="279">
        <f t="shared" si="602"/>
        <v>0</v>
      </c>
      <c r="AI174" s="270">
        <f t="shared" si="43"/>
        <v>0</v>
      </c>
      <c r="AJ174" s="270">
        <f t="shared" ref="AJ174:AO174" si="1109">IF(F$8=0,0,ROUND(AJ173-(F174-BO174),2))</f>
        <v>0</v>
      </c>
      <c r="AK174" s="270">
        <f t="shared" si="1109"/>
        <v>0</v>
      </c>
      <c r="AL174" s="270">
        <f t="shared" si="1109"/>
        <v>0</v>
      </c>
      <c r="AM174" s="270">
        <f t="shared" si="1109"/>
        <v>0</v>
      </c>
      <c r="AN174" s="270">
        <f t="shared" si="1109"/>
        <v>0</v>
      </c>
      <c r="AO174" s="270">
        <f t="shared" si="1109"/>
        <v>0</v>
      </c>
      <c r="AP174" s="270">
        <v>0.0</v>
      </c>
      <c r="AQ174" s="270">
        <f t="shared" ref="AQ174:AS174" si="1110">IF(M$8=0,0,ROUND(AQ173-(M174-BV174),2))</f>
        <v>0</v>
      </c>
      <c r="AR174" s="270">
        <f t="shared" si="1110"/>
        <v>0</v>
      </c>
      <c r="AS174" s="270">
        <f t="shared" si="1110"/>
        <v>0</v>
      </c>
      <c r="AT174" s="270">
        <f t="shared" si="605"/>
        <v>-6.22</v>
      </c>
      <c r="AU174" s="270">
        <f t="shared" ref="AU174:BK174" si="1111">IF(Q$8=0,0,ROUND(AU173-(Q174-BY174),2))</f>
        <v>-11.73</v>
      </c>
      <c r="AV174" s="270">
        <f t="shared" si="1111"/>
        <v>0</v>
      </c>
      <c r="AW174" s="270">
        <f t="shared" si="1111"/>
        <v>0</v>
      </c>
      <c r="AX174" s="270">
        <f t="shared" si="1111"/>
        <v>0</v>
      </c>
      <c r="AY174" s="270">
        <f t="shared" si="1111"/>
        <v>0</v>
      </c>
      <c r="AZ174" s="270">
        <f t="shared" si="1111"/>
        <v>0</v>
      </c>
      <c r="BA174" s="270">
        <f t="shared" si="1111"/>
        <v>0</v>
      </c>
      <c r="BB174" s="270">
        <f t="shared" si="1111"/>
        <v>0</v>
      </c>
      <c r="BC174" s="270">
        <f t="shared" si="1111"/>
        <v>0</v>
      </c>
      <c r="BD174" s="270">
        <f t="shared" si="1111"/>
        <v>0</v>
      </c>
      <c r="BE174" s="270">
        <f t="shared" si="1111"/>
        <v>0</v>
      </c>
      <c r="BF174" s="270">
        <f t="shared" si="1111"/>
        <v>0</v>
      </c>
      <c r="BG174" s="270">
        <f t="shared" si="1111"/>
        <v>0</v>
      </c>
      <c r="BH174" s="270">
        <f t="shared" si="1111"/>
        <v>0</v>
      </c>
      <c r="BI174" s="270">
        <f t="shared" si="1111"/>
        <v>0</v>
      </c>
      <c r="BJ174" s="270">
        <f t="shared" si="1111"/>
        <v>0</v>
      </c>
      <c r="BK174" s="270">
        <f t="shared" si="1111"/>
        <v>0</v>
      </c>
      <c r="BL174" s="265">
        <f t="shared" si="16"/>
        <v>-17.95</v>
      </c>
      <c r="BM174" s="215"/>
      <c r="BN174" s="270">
        <f t="shared" ref="BN174:CP174" si="1112">ROUND(AI173*E$9/12,2)</f>
        <v>0</v>
      </c>
      <c r="BO174" s="270">
        <f t="shared" si="1112"/>
        <v>0</v>
      </c>
      <c r="BP174" s="270">
        <f t="shared" si="1112"/>
        <v>0</v>
      </c>
      <c r="BQ174" s="270">
        <f t="shared" si="1112"/>
        <v>0</v>
      </c>
      <c r="BR174" s="270">
        <f t="shared" si="1112"/>
        <v>0</v>
      </c>
      <c r="BS174" s="270">
        <f t="shared" si="1112"/>
        <v>0</v>
      </c>
      <c r="BT174" s="270">
        <f t="shared" si="1112"/>
        <v>0</v>
      </c>
      <c r="BU174" s="270">
        <f t="shared" si="1112"/>
        <v>0</v>
      </c>
      <c r="BV174" s="270">
        <f t="shared" si="1112"/>
        <v>0</v>
      </c>
      <c r="BW174" s="270">
        <f t="shared" si="1112"/>
        <v>0</v>
      </c>
      <c r="BX174" s="270">
        <f t="shared" si="1112"/>
        <v>0</v>
      </c>
      <c r="BY174" s="270">
        <f t="shared" si="1112"/>
        <v>-0.05</v>
      </c>
      <c r="BZ174" s="270">
        <f t="shared" si="1112"/>
        <v>-0.04</v>
      </c>
      <c r="CA174" s="270">
        <f t="shared" si="1112"/>
        <v>0</v>
      </c>
      <c r="CB174" s="270">
        <f t="shared" si="1112"/>
        <v>0</v>
      </c>
      <c r="CC174" s="270">
        <f t="shared" si="1112"/>
        <v>0</v>
      </c>
      <c r="CD174" s="270">
        <f t="shared" si="1112"/>
        <v>0</v>
      </c>
      <c r="CE174" s="270">
        <f t="shared" si="1112"/>
        <v>0</v>
      </c>
      <c r="CF174" s="270">
        <f t="shared" si="1112"/>
        <v>0</v>
      </c>
      <c r="CG174" s="270">
        <f t="shared" si="1112"/>
        <v>0</v>
      </c>
      <c r="CH174" s="270">
        <f t="shared" si="1112"/>
        <v>0</v>
      </c>
      <c r="CI174" s="270">
        <f t="shared" si="1112"/>
        <v>0</v>
      </c>
      <c r="CJ174" s="270">
        <f t="shared" si="1112"/>
        <v>0</v>
      </c>
      <c r="CK174" s="270">
        <f t="shared" si="1112"/>
        <v>0</v>
      </c>
      <c r="CL174" s="270">
        <f t="shared" si="1112"/>
        <v>0</v>
      </c>
      <c r="CM174" s="270">
        <f t="shared" si="1112"/>
        <v>0</v>
      </c>
      <c r="CN174" s="270">
        <f t="shared" si="1112"/>
        <v>0</v>
      </c>
      <c r="CO174" s="270">
        <f t="shared" si="1112"/>
        <v>0</v>
      </c>
      <c r="CP174" s="270">
        <f t="shared" si="1112"/>
        <v>0</v>
      </c>
      <c r="CQ174" s="215"/>
      <c r="CR174" s="270">
        <f t="shared" si="27"/>
        <v>-0.09</v>
      </c>
      <c r="CS174" s="215"/>
      <c r="CT174" s="270">
        <f t="shared" ref="CT174:DX174" si="1113">IF(AI173&gt;0,IF((AI173+BN174)&lt;E$10,AI173+BN174,E$10),0)</f>
        <v>0</v>
      </c>
      <c r="CU174" s="270">
        <f t="shared" si="1113"/>
        <v>0</v>
      </c>
      <c r="CV174" s="270">
        <f t="shared" si="1113"/>
        <v>0</v>
      </c>
      <c r="CW174" s="270">
        <f t="shared" si="1113"/>
        <v>0</v>
      </c>
      <c r="CX174" s="270">
        <f t="shared" si="1113"/>
        <v>0</v>
      </c>
      <c r="CY174" s="270">
        <f t="shared" si="1113"/>
        <v>0</v>
      </c>
      <c r="CZ174" s="270">
        <f t="shared" si="1113"/>
        <v>0</v>
      </c>
      <c r="DA174" s="270">
        <f t="shared" si="1113"/>
        <v>0</v>
      </c>
      <c r="DB174" s="270">
        <f t="shared" si="1113"/>
        <v>0</v>
      </c>
      <c r="DC174" s="270">
        <f t="shared" si="1113"/>
        <v>0</v>
      </c>
      <c r="DD174" s="270">
        <f t="shared" si="1113"/>
        <v>0</v>
      </c>
      <c r="DE174" s="270">
        <f t="shared" si="1113"/>
        <v>0</v>
      </c>
      <c r="DF174" s="270">
        <f t="shared" si="1113"/>
        <v>0</v>
      </c>
      <c r="DG174" s="270">
        <f t="shared" si="1113"/>
        <v>0</v>
      </c>
      <c r="DH174" s="270">
        <f t="shared" si="1113"/>
        <v>0</v>
      </c>
      <c r="DI174" s="270">
        <f t="shared" si="1113"/>
        <v>0</v>
      </c>
      <c r="DJ174" s="270">
        <f t="shared" si="1113"/>
        <v>0</v>
      </c>
      <c r="DK174" s="270">
        <f t="shared" si="1113"/>
        <v>0</v>
      </c>
      <c r="DL174" s="270">
        <f t="shared" si="1113"/>
        <v>0</v>
      </c>
      <c r="DM174" s="270">
        <f t="shared" si="1113"/>
        <v>0</v>
      </c>
      <c r="DN174" s="270">
        <f t="shared" si="1113"/>
        <v>0</v>
      </c>
      <c r="DO174" s="270">
        <f t="shared" si="1113"/>
        <v>0</v>
      </c>
      <c r="DP174" s="270">
        <f t="shared" si="1113"/>
        <v>0</v>
      </c>
      <c r="DQ174" s="270">
        <f t="shared" si="1113"/>
        <v>0</v>
      </c>
      <c r="DR174" s="270">
        <f t="shared" si="1113"/>
        <v>0</v>
      </c>
      <c r="DS174" s="270">
        <f t="shared" si="1113"/>
        <v>0</v>
      </c>
      <c r="DT174" s="270">
        <f t="shared" si="1113"/>
        <v>0</v>
      </c>
      <c r="DU174" s="270">
        <f t="shared" si="1113"/>
        <v>0</v>
      </c>
      <c r="DV174" s="270">
        <f t="shared" si="1113"/>
        <v>0</v>
      </c>
      <c r="DW174" s="270">
        <f t="shared" si="1113"/>
        <v>0</v>
      </c>
      <c r="DX174" s="270">
        <f t="shared" si="1113"/>
        <v>0</v>
      </c>
      <c r="DY174" s="270">
        <f t="shared" si="29"/>
        <v>0</v>
      </c>
      <c r="DZ174" s="274"/>
      <c r="EA174" s="275">
        <f t="shared" si="38"/>
        <v>0</v>
      </c>
      <c r="EB174" s="270">
        <f t="shared" ref="EB174:FC174" si="1114">IF(AJ172&lt;=0,0,IF($C173&lt;=SUM($EA174:EA174),0,IF(CU173+$C173-SUM($EA174:EA174)&gt;AJ172+BO173,AJ172+BO173-CU173,$C173-SUM($EA174:EA174))))</f>
        <v>0</v>
      </c>
      <c r="EC174" s="270">
        <f t="shared" si="1114"/>
        <v>0</v>
      </c>
      <c r="ED174" s="270">
        <f t="shared" si="1114"/>
        <v>0</v>
      </c>
      <c r="EE174" s="270">
        <f t="shared" si="1114"/>
        <v>0</v>
      </c>
      <c r="EF174" s="270">
        <f t="shared" si="1114"/>
        <v>0</v>
      </c>
      <c r="EG174" s="270">
        <f t="shared" si="1114"/>
        <v>0</v>
      </c>
      <c r="EH174" s="270">
        <f t="shared" si="1114"/>
        <v>0</v>
      </c>
      <c r="EI174" s="270">
        <f t="shared" si="1114"/>
        <v>0</v>
      </c>
      <c r="EJ174" s="270">
        <f t="shared" si="1114"/>
        <v>0</v>
      </c>
      <c r="EK174" s="270">
        <f t="shared" si="1114"/>
        <v>0</v>
      </c>
      <c r="EL174" s="270">
        <f t="shared" si="1114"/>
        <v>0</v>
      </c>
      <c r="EM174" s="270">
        <f t="shared" si="1114"/>
        <v>0</v>
      </c>
      <c r="EN174" s="270">
        <f t="shared" si="1114"/>
        <v>0</v>
      </c>
      <c r="EO174" s="270">
        <f t="shared" si="1114"/>
        <v>0</v>
      </c>
      <c r="EP174" s="270">
        <f t="shared" si="1114"/>
        <v>0</v>
      </c>
      <c r="EQ174" s="270">
        <f t="shared" si="1114"/>
        <v>0</v>
      </c>
      <c r="ER174" s="270">
        <f t="shared" si="1114"/>
        <v>0</v>
      </c>
      <c r="ES174" s="270">
        <f t="shared" si="1114"/>
        <v>0</v>
      </c>
      <c r="ET174" s="270">
        <f t="shared" si="1114"/>
        <v>0</v>
      </c>
      <c r="EU174" s="270">
        <f t="shared" si="1114"/>
        <v>0</v>
      </c>
      <c r="EV174" s="270">
        <f t="shared" si="1114"/>
        <v>0</v>
      </c>
      <c r="EW174" s="270">
        <f t="shared" si="1114"/>
        <v>0</v>
      </c>
      <c r="EX174" s="270">
        <f t="shared" si="1114"/>
        <v>0</v>
      </c>
      <c r="EY174" s="270">
        <f t="shared" si="1114"/>
        <v>0</v>
      </c>
      <c r="EZ174" s="270">
        <f t="shared" si="1114"/>
        <v>0</v>
      </c>
      <c r="FA174" s="270">
        <f t="shared" si="1114"/>
        <v>0</v>
      </c>
      <c r="FB174" s="270">
        <f t="shared" si="1114"/>
        <v>0</v>
      </c>
      <c r="FC174" s="270">
        <f t="shared" si="1114"/>
        <v>0</v>
      </c>
      <c r="FD174" s="271"/>
      <c r="FE174" s="271"/>
      <c r="FF174" s="271"/>
      <c r="FG174" s="215"/>
      <c r="FH174" s="215"/>
    </row>
    <row r="175" ht="11.25" customHeight="1">
      <c r="A175" s="215" t="str">
        <f t="shared" si="19"/>
        <v/>
      </c>
      <c r="B175" s="241" t="str">
        <f t="shared" si="600"/>
        <v>#N/A</v>
      </c>
      <c r="C175" s="271" t="str">
        <f>IF(A175="","",IF(Calculator!snowball,IF(($E$5-DY175)&lt;0,0,$E$5-DY175),0)+D175)</f>
        <v/>
      </c>
      <c r="D175" s="271"/>
      <c r="E175" s="270">
        <f t="shared" si="40"/>
        <v>0</v>
      </c>
      <c r="F175" s="270">
        <f t="shared" ref="F175:AG175" si="1115">CU175+EB176</f>
        <v>0</v>
      </c>
      <c r="G175" s="270">
        <f t="shared" si="1115"/>
        <v>0</v>
      </c>
      <c r="H175" s="270">
        <f t="shared" si="1115"/>
        <v>0</v>
      </c>
      <c r="I175" s="270">
        <f t="shared" si="1115"/>
        <v>0</v>
      </c>
      <c r="J175" s="270">
        <f t="shared" si="1115"/>
        <v>0</v>
      </c>
      <c r="K175" s="270">
        <f t="shared" si="1115"/>
        <v>0</v>
      </c>
      <c r="L175" s="270">
        <f t="shared" si="1115"/>
        <v>0</v>
      </c>
      <c r="M175" s="270">
        <f t="shared" si="1115"/>
        <v>0</v>
      </c>
      <c r="N175" s="270">
        <f t="shared" si="1115"/>
        <v>0</v>
      </c>
      <c r="O175" s="270">
        <f t="shared" si="1115"/>
        <v>0</v>
      </c>
      <c r="P175" s="272">
        <f t="shared" si="1115"/>
        <v>0</v>
      </c>
      <c r="Q175" s="272">
        <f t="shared" si="1115"/>
        <v>0</v>
      </c>
      <c r="R175" s="272">
        <f t="shared" si="1115"/>
        <v>0</v>
      </c>
      <c r="S175" s="272">
        <f t="shared" si="1115"/>
        <v>0</v>
      </c>
      <c r="T175" s="272">
        <f t="shared" si="1115"/>
        <v>0</v>
      </c>
      <c r="U175" s="270">
        <f t="shared" si="1115"/>
        <v>0</v>
      </c>
      <c r="V175" s="270">
        <f t="shared" si="1115"/>
        <v>0</v>
      </c>
      <c r="W175" s="270">
        <f t="shared" si="1115"/>
        <v>0</v>
      </c>
      <c r="X175" s="270">
        <f t="shared" si="1115"/>
        <v>0</v>
      </c>
      <c r="Y175" s="270">
        <f t="shared" si="1115"/>
        <v>0</v>
      </c>
      <c r="Z175" s="270">
        <f t="shared" si="1115"/>
        <v>0</v>
      </c>
      <c r="AA175" s="270">
        <f t="shared" si="1115"/>
        <v>0</v>
      </c>
      <c r="AB175" s="270">
        <f t="shared" si="1115"/>
        <v>0</v>
      </c>
      <c r="AC175" s="270">
        <f t="shared" si="1115"/>
        <v>0</v>
      </c>
      <c r="AD175" s="270">
        <f t="shared" si="1115"/>
        <v>0</v>
      </c>
      <c r="AE175" s="270">
        <f t="shared" si="1115"/>
        <v>0</v>
      </c>
      <c r="AF175" s="270">
        <f t="shared" si="1115"/>
        <v>0</v>
      </c>
      <c r="AG175" s="270">
        <f t="shared" si="1115"/>
        <v>0</v>
      </c>
      <c r="AH175" s="279">
        <f t="shared" si="602"/>
        <v>0</v>
      </c>
      <c r="AI175" s="270">
        <f t="shared" si="43"/>
        <v>0</v>
      </c>
      <c r="AJ175" s="270">
        <f t="shared" ref="AJ175:AO175" si="1116">IF(F$8=0,0,ROUND(AJ174-(F175-BO175),2))</f>
        <v>0</v>
      </c>
      <c r="AK175" s="270">
        <f t="shared" si="1116"/>
        <v>0</v>
      </c>
      <c r="AL175" s="270">
        <f t="shared" si="1116"/>
        <v>0</v>
      </c>
      <c r="AM175" s="270">
        <f t="shared" si="1116"/>
        <v>0</v>
      </c>
      <c r="AN175" s="270">
        <f t="shared" si="1116"/>
        <v>0</v>
      </c>
      <c r="AO175" s="270">
        <f t="shared" si="1116"/>
        <v>0</v>
      </c>
      <c r="AP175" s="270">
        <v>0.0</v>
      </c>
      <c r="AQ175" s="270">
        <f t="shared" ref="AQ175:AS175" si="1117">IF(M$8=0,0,ROUND(AQ174-(M175-BV175),2))</f>
        <v>0</v>
      </c>
      <c r="AR175" s="270">
        <f t="shared" si="1117"/>
        <v>0</v>
      </c>
      <c r="AS175" s="270">
        <f t="shared" si="1117"/>
        <v>0</v>
      </c>
      <c r="AT175" s="270">
        <f t="shared" si="605"/>
        <v>-6.22</v>
      </c>
      <c r="AU175" s="270">
        <f t="shared" ref="AU175:BK175" si="1118">IF(Q$8=0,0,ROUND(AU174-(Q175-BY175),2))</f>
        <v>-11.78</v>
      </c>
      <c r="AV175" s="270">
        <f t="shared" si="1118"/>
        <v>0</v>
      </c>
      <c r="AW175" s="270">
        <f t="shared" si="1118"/>
        <v>0</v>
      </c>
      <c r="AX175" s="270">
        <f t="shared" si="1118"/>
        <v>0</v>
      </c>
      <c r="AY175" s="270">
        <f t="shared" si="1118"/>
        <v>0</v>
      </c>
      <c r="AZ175" s="270">
        <f t="shared" si="1118"/>
        <v>0</v>
      </c>
      <c r="BA175" s="270">
        <f t="shared" si="1118"/>
        <v>0</v>
      </c>
      <c r="BB175" s="270">
        <f t="shared" si="1118"/>
        <v>0</v>
      </c>
      <c r="BC175" s="270">
        <f t="shared" si="1118"/>
        <v>0</v>
      </c>
      <c r="BD175" s="270">
        <f t="shared" si="1118"/>
        <v>0</v>
      </c>
      <c r="BE175" s="270">
        <f t="shared" si="1118"/>
        <v>0</v>
      </c>
      <c r="BF175" s="270">
        <f t="shared" si="1118"/>
        <v>0</v>
      </c>
      <c r="BG175" s="270">
        <f t="shared" si="1118"/>
        <v>0</v>
      </c>
      <c r="BH175" s="270">
        <f t="shared" si="1118"/>
        <v>0</v>
      </c>
      <c r="BI175" s="270">
        <f t="shared" si="1118"/>
        <v>0</v>
      </c>
      <c r="BJ175" s="270">
        <f t="shared" si="1118"/>
        <v>0</v>
      </c>
      <c r="BK175" s="270">
        <f t="shared" si="1118"/>
        <v>0</v>
      </c>
      <c r="BL175" s="265">
        <f t="shared" si="16"/>
        <v>-18</v>
      </c>
      <c r="BM175" s="215"/>
      <c r="BN175" s="270">
        <f t="shared" ref="BN175:CP175" si="1119">ROUND(AI174*E$9/12,2)</f>
        <v>0</v>
      </c>
      <c r="BO175" s="270">
        <f t="shared" si="1119"/>
        <v>0</v>
      </c>
      <c r="BP175" s="270">
        <f t="shared" si="1119"/>
        <v>0</v>
      </c>
      <c r="BQ175" s="270">
        <f t="shared" si="1119"/>
        <v>0</v>
      </c>
      <c r="BR175" s="270">
        <f t="shared" si="1119"/>
        <v>0</v>
      </c>
      <c r="BS175" s="270">
        <f t="shared" si="1119"/>
        <v>0</v>
      </c>
      <c r="BT175" s="270">
        <f t="shared" si="1119"/>
        <v>0</v>
      </c>
      <c r="BU175" s="270">
        <f t="shared" si="1119"/>
        <v>0</v>
      </c>
      <c r="BV175" s="270">
        <f t="shared" si="1119"/>
        <v>0</v>
      </c>
      <c r="BW175" s="270">
        <f t="shared" si="1119"/>
        <v>0</v>
      </c>
      <c r="BX175" s="270">
        <f t="shared" si="1119"/>
        <v>0</v>
      </c>
      <c r="BY175" s="270">
        <f t="shared" si="1119"/>
        <v>-0.05</v>
      </c>
      <c r="BZ175" s="270">
        <f t="shared" si="1119"/>
        <v>-0.04</v>
      </c>
      <c r="CA175" s="270">
        <f t="shared" si="1119"/>
        <v>0</v>
      </c>
      <c r="CB175" s="270">
        <f t="shared" si="1119"/>
        <v>0</v>
      </c>
      <c r="CC175" s="270">
        <f t="shared" si="1119"/>
        <v>0</v>
      </c>
      <c r="CD175" s="270">
        <f t="shared" si="1119"/>
        <v>0</v>
      </c>
      <c r="CE175" s="270">
        <f t="shared" si="1119"/>
        <v>0</v>
      </c>
      <c r="CF175" s="270">
        <f t="shared" si="1119"/>
        <v>0</v>
      </c>
      <c r="CG175" s="270">
        <f t="shared" si="1119"/>
        <v>0</v>
      </c>
      <c r="CH175" s="270">
        <f t="shared" si="1119"/>
        <v>0</v>
      </c>
      <c r="CI175" s="270">
        <f t="shared" si="1119"/>
        <v>0</v>
      </c>
      <c r="CJ175" s="270">
        <f t="shared" si="1119"/>
        <v>0</v>
      </c>
      <c r="CK175" s="270">
        <f t="shared" si="1119"/>
        <v>0</v>
      </c>
      <c r="CL175" s="270">
        <f t="shared" si="1119"/>
        <v>0</v>
      </c>
      <c r="CM175" s="270">
        <f t="shared" si="1119"/>
        <v>0</v>
      </c>
      <c r="CN175" s="270">
        <f t="shared" si="1119"/>
        <v>0</v>
      </c>
      <c r="CO175" s="270">
        <f t="shared" si="1119"/>
        <v>0</v>
      </c>
      <c r="CP175" s="270">
        <f t="shared" si="1119"/>
        <v>0</v>
      </c>
      <c r="CQ175" s="215"/>
      <c r="CR175" s="270">
        <f t="shared" si="27"/>
        <v>-0.09</v>
      </c>
      <c r="CS175" s="215"/>
      <c r="CT175" s="270">
        <f t="shared" ref="CT175:DX175" si="1120">IF(AI174&gt;0,IF((AI174+BN175)&lt;E$10,AI174+BN175,E$10),0)</f>
        <v>0</v>
      </c>
      <c r="CU175" s="270">
        <f t="shared" si="1120"/>
        <v>0</v>
      </c>
      <c r="CV175" s="270">
        <f t="shared" si="1120"/>
        <v>0</v>
      </c>
      <c r="CW175" s="270">
        <f t="shared" si="1120"/>
        <v>0</v>
      </c>
      <c r="CX175" s="270">
        <f t="shared" si="1120"/>
        <v>0</v>
      </c>
      <c r="CY175" s="270">
        <f t="shared" si="1120"/>
        <v>0</v>
      </c>
      <c r="CZ175" s="270">
        <f t="shared" si="1120"/>
        <v>0</v>
      </c>
      <c r="DA175" s="270">
        <f t="shared" si="1120"/>
        <v>0</v>
      </c>
      <c r="DB175" s="270">
        <f t="shared" si="1120"/>
        <v>0</v>
      </c>
      <c r="DC175" s="270">
        <f t="shared" si="1120"/>
        <v>0</v>
      </c>
      <c r="DD175" s="270">
        <f t="shared" si="1120"/>
        <v>0</v>
      </c>
      <c r="DE175" s="270">
        <f t="shared" si="1120"/>
        <v>0</v>
      </c>
      <c r="DF175" s="270">
        <f t="shared" si="1120"/>
        <v>0</v>
      </c>
      <c r="DG175" s="270">
        <f t="shared" si="1120"/>
        <v>0</v>
      </c>
      <c r="DH175" s="270">
        <f t="shared" si="1120"/>
        <v>0</v>
      </c>
      <c r="DI175" s="270">
        <f t="shared" si="1120"/>
        <v>0</v>
      </c>
      <c r="DJ175" s="270">
        <f t="shared" si="1120"/>
        <v>0</v>
      </c>
      <c r="DK175" s="270">
        <f t="shared" si="1120"/>
        <v>0</v>
      </c>
      <c r="DL175" s="270">
        <f t="shared" si="1120"/>
        <v>0</v>
      </c>
      <c r="DM175" s="270">
        <f t="shared" si="1120"/>
        <v>0</v>
      </c>
      <c r="DN175" s="270">
        <f t="shared" si="1120"/>
        <v>0</v>
      </c>
      <c r="DO175" s="270">
        <f t="shared" si="1120"/>
        <v>0</v>
      </c>
      <c r="DP175" s="270">
        <f t="shared" si="1120"/>
        <v>0</v>
      </c>
      <c r="DQ175" s="270">
        <f t="shared" si="1120"/>
        <v>0</v>
      </c>
      <c r="DR175" s="270">
        <f t="shared" si="1120"/>
        <v>0</v>
      </c>
      <c r="DS175" s="270">
        <f t="shared" si="1120"/>
        <v>0</v>
      </c>
      <c r="DT175" s="270">
        <f t="shared" si="1120"/>
        <v>0</v>
      </c>
      <c r="DU175" s="270">
        <f t="shared" si="1120"/>
        <v>0</v>
      </c>
      <c r="DV175" s="270">
        <f t="shared" si="1120"/>
        <v>0</v>
      </c>
      <c r="DW175" s="270">
        <f t="shared" si="1120"/>
        <v>0</v>
      </c>
      <c r="DX175" s="270">
        <f t="shared" si="1120"/>
        <v>0</v>
      </c>
      <c r="DY175" s="270">
        <f t="shared" si="29"/>
        <v>0</v>
      </c>
      <c r="DZ175" s="274"/>
      <c r="EA175" s="275">
        <f t="shared" si="38"/>
        <v>0</v>
      </c>
      <c r="EB175" s="270">
        <f t="shared" ref="EB175:FC175" si="1121">IF(AJ173&lt;=0,0,IF($C174&lt;=SUM($EA175:EA175),0,IF(CU174+$C174-SUM($EA175:EA175)&gt;AJ173+BO174,AJ173+BO174-CU174,$C174-SUM($EA175:EA175))))</f>
        <v>0</v>
      </c>
      <c r="EC175" s="270">
        <f t="shared" si="1121"/>
        <v>0</v>
      </c>
      <c r="ED175" s="270">
        <f t="shared" si="1121"/>
        <v>0</v>
      </c>
      <c r="EE175" s="270">
        <f t="shared" si="1121"/>
        <v>0</v>
      </c>
      <c r="EF175" s="270">
        <f t="shared" si="1121"/>
        <v>0</v>
      </c>
      <c r="EG175" s="270">
        <f t="shared" si="1121"/>
        <v>0</v>
      </c>
      <c r="EH175" s="270">
        <f t="shared" si="1121"/>
        <v>0</v>
      </c>
      <c r="EI175" s="270">
        <f t="shared" si="1121"/>
        <v>0</v>
      </c>
      <c r="EJ175" s="270">
        <f t="shared" si="1121"/>
        <v>0</v>
      </c>
      <c r="EK175" s="270">
        <f t="shared" si="1121"/>
        <v>0</v>
      </c>
      <c r="EL175" s="270">
        <f t="shared" si="1121"/>
        <v>0</v>
      </c>
      <c r="EM175" s="270">
        <f t="shared" si="1121"/>
        <v>0</v>
      </c>
      <c r="EN175" s="270">
        <f t="shared" si="1121"/>
        <v>0</v>
      </c>
      <c r="EO175" s="270">
        <f t="shared" si="1121"/>
        <v>0</v>
      </c>
      <c r="EP175" s="270">
        <f t="shared" si="1121"/>
        <v>0</v>
      </c>
      <c r="EQ175" s="270">
        <f t="shared" si="1121"/>
        <v>0</v>
      </c>
      <c r="ER175" s="270">
        <f t="shared" si="1121"/>
        <v>0</v>
      </c>
      <c r="ES175" s="270">
        <f t="shared" si="1121"/>
        <v>0</v>
      </c>
      <c r="ET175" s="270">
        <f t="shared" si="1121"/>
        <v>0</v>
      </c>
      <c r="EU175" s="270">
        <f t="shared" si="1121"/>
        <v>0</v>
      </c>
      <c r="EV175" s="270">
        <f t="shared" si="1121"/>
        <v>0</v>
      </c>
      <c r="EW175" s="270">
        <f t="shared" si="1121"/>
        <v>0</v>
      </c>
      <c r="EX175" s="270">
        <f t="shared" si="1121"/>
        <v>0</v>
      </c>
      <c r="EY175" s="270">
        <f t="shared" si="1121"/>
        <v>0</v>
      </c>
      <c r="EZ175" s="270">
        <f t="shared" si="1121"/>
        <v>0</v>
      </c>
      <c r="FA175" s="270">
        <f t="shared" si="1121"/>
        <v>0</v>
      </c>
      <c r="FB175" s="270">
        <f t="shared" si="1121"/>
        <v>0</v>
      </c>
      <c r="FC175" s="270">
        <f t="shared" si="1121"/>
        <v>0</v>
      </c>
      <c r="FD175" s="271"/>
      <c r="FE175" s="271"/>
      <c r="FF175" s="271"/>
      <c r="FG175" s="215"/>
      <c r="FH175" s="215"/>
    </row>
    <row r="176" ht="11.25" customHeight="1">
      <c r="A176" s="215" t="str">
        <f t="shared" si="19"/>
        <v/>
      </c>
      <c r="B176" s="241" t="str">
        <f t="shared" si="600"/>
        <v>#N/A</v>
      </c>
      <c r="C176" s="271" t="str">
        <f>IF(A176="","",IF(Calculator!snowball,IF(($E$5-DY176)&lt;0,0,$E$5-DY176),0)+D176)</f>
        <v/>
      </c>
      <c r="D176" s="271"/>
      <c r="E176" s="270">
        <f t="shared" si="40"/>
        <v>0</v>
      </c>
      <c r="F176" s="270">
        <f t="shared" ref="F176:AG176" si="1122">CU176+EB177</f>
        <v>0</v>
      </c>
      <c r="G176" s="270">
        <f t="shared" si="1122"/>
        <v>0</v>
      </c>
      <c r="H176" s="270">
        <f t="shared" si="1122"/>
        <v>0</v>
      </c>
      <c r="I176" s="270">
        <f t="shared" si="1122"/>
        <v>0</v>
      </c>
      <c r="J176" s="270">
        <f t="shared" si="1122"/>
        <v>0</v>
      </c>
      <c r="K176" s="270">
        <f t="shared" si="1122"/>
        <v>0</v>
      </c>
      <c r="L176" s="270">
        <f t="shared" si="1122"/>
        <v>0</v>
      </c>
      <c r="M176" s="270">
        <f t="shared" si="1122"/>
        <v>0</v>
      </c>
      <c r="N176" s="270">
        <f t="shared" si="1122"/>
        <v>0</v>
      </c>
      <c r="O176" s="270">
        <f t="shared" si="1122"/>
        <v>0</v>
      </c>
      <c r="P176" s="272">
        <f t="shared" si="1122"/>
        <v>0</v>
      </c>
      <c r="Q176" s="272">
        <f t="shared" si="1122"/>
        <v>0</v>
      </c>
      <c r="R176" s="272">
        <f t="shared" si="1122"/>
        <v>0</v>
      </c>
      <c r="S176" s="272">
        <f t="shared" si="1122"/>
        <v>0</v>
      </c>
      <c r="T176" s="272">
        <f t="shared" si="1122"/>
        <v>0</v>
      </c>
      <c r="U176" s="270">
        <f t="shared" si="1122"/>
        <v>0</v>
      </c>
      <c r="V176" s="270">
        <f t="shared" si="1122"/>
        <v>0</v>
      </c>
      <c r="W176" s="270">
        <f t="shared" si="1122"/>
        <v>0</v>
      </c>
      <c r="X176" s="270">
        <f t="shared" si="1122"/>
        <v>0</v>
      </c>
      <c r="Y176" s="270">
        <f t="shared" si="1122"/>
        <v>0</v>
      </c>
      <c r="Z176" s="270">
        <f t="shared" si="1122"/>
        <v>0</v>
      </c>
      <c r="AA176" s="270">
        <f t="shared" si="1122"/>
        <v>0</v>
      </c>
      <c r="AB176" s="270">
        <f t="shared" si="1122"/>
        <v>0</v>
      </c>
      <c r="AC176" s="270">
        <f t="shared" si="1122"/>
        <v>0</v>
      </c>
      <c r="AD176" s="270">
        <f t="shared" si="1122"/>
        <v>0</v>
      </c>
      <c r="AE176" s="270">
        <f t="shared" si="1122"/>
        <v>0</v>
      </c>
      <c r="AF176" s="270">
        <f t="shared" si="1122"/>
        <v>0</v>
      </c>
      <c r="AG176" s="270">
        <f t="shared" si="1122"/>
        <v>0</v>
      </c>
      <c r="AH176" s="279">
        <f t="shared" si="602"/>
        <v>0</v>
      </c>
      <c r="AI176" s="270">
        <f t="shared" si="43"/>
        <v>0</v>
      </c>
      <c r="AJ176" s="270">
        <f t="shared" ref="AJ176:AO176" si="1123">IF(F$8=0,0,ROUND(AJ175-(F176-BO176),2))</f>
        <v>0</v>
      </c>
      <c r="AK176" s="270">
        <f t="shared" si="1123"/>
        <v>0</v>
      </c>
      <c r="AL176" s="270">
        <f t="shared" si="1123"/>
        <v>0</v>
      </c>
      <c r="AM176" s="270">
        <f t="shared" si="1123"/>
        <v>0</v>
      </c>
      <c r="AN176" s="270">
        <f t="shared" si="1123"/>
        <v>0</v>
      </c>
      <c r="AO176" s="270">
        <f t="shared" si="1123"/>
        <v>0</v>
      </c>
      <c r="AP176" s="270">
        <v>0.0</v>
      </c>
      <c r="AQ176" s="270">
        <f t="shared" ref="AQ176:AS176" si="1124">IF(M$8=0,0,ROUND(AQ175-(M176-BV176),2))</f>
        <v>0</v>
      </c>
      <c r="AR176" s="270">
        <f t="shared" si="1124"/>
        <v>0</v>
      </c>
      <c r="AS176" s="270">
        <f t="shared" si="1124"/>
        <v>0</v>
      </c>
      <c r="AT176" s="270">
        <f t="shared" si="605"/>
        <v>-6.22</v>
      </c>
      <c r="AU176" s="270">
        <f t="shared" ref="AU176:BK176" si="1125">IF(Q$8=0,0,ROUND(AU175-(Q176-BY176),2))</f>
        <v>-11.83</v>
      </c>
      <c r="AV176" s="270">
        <f t="shared" si="1125"/>
        <v>0</v>
      </c>
      <c r="AW176" s="270">
        <f t="shared" si="1125"/>
        <v>0</v>
      </c>
      <c r="AX176" s="270">
        <f t="shared" si="1125"/>
        <v>0</v>
      </c>
      <c r="AY176" s="270">
        <f t="shared" si="1125"/>
        <v>0</v>
      </c>
      <c r="AZ176" s="270">
        <f t="shared" si="1125"/>
        <v>0</v>
      </c>
      <c r="BA176" s="270">
        <f t="shared" si="1125"/>
        <v>0</v>
      </c>
      <c r="BB176" s="270">
        <f t="shared" si="1125"/>
        <v>0</v>
      </c>
      <c r="BC176" s="270">
        <f t="shared" si="1125"/>
        <v>0</v>
      </c>
      <c r="BD176" s="270">
        <f t="shared" si="1125"/>
        <v>0</v>
      </c>
      <c r="BE176" s="270">
        <f t="shared" si="1125"/>
        <v>0</v>
      </c>
      <c r="BF176" s="270">
        <f t="shared" si="1125"/>
        <v>0</v>
      </c>
      <c r="BG176" s="270">
        <f t="shared" si="1125"/>
        <v>0</v>
      </c>
      <c r="BH176" s="270">
        <f t="shared" si="1125"/>
        <v>0</v>
      </c>
      <c r="BI176" s="270">
        <f t="shared" si="1125"/>
        <v>0</v>
      </c>
      <c r="BJ176" s="270">
        <f t="shared" si="1125"/>
        <v>0</v>
      </c>
      <c r="BK176" s="270">
        <f t="shared" si="1125"/>
        <v>0</v>
      </c>
      <c r="BL176" s="265">
        <f t="shared" si="16"/>
        <v>-18.05</v>
      </c>
      <c r="BM176" s="215"/>
      <c r="BN176" s="270">
        <f t="shared" ref="BN176:CP176" si="1126">ROUND(AI175*E$9/12,2)</f>
        <v>0</v>
      </c>
      <c r="BO176" s="270">
        <f t="shared" si="1126"/>
        <v>0</v>
      </c>
      <c r="BP176" s="270">
        <f t="shared" si="1126"/>
        <v>0</v>
      </c>
      <c r="BQ176" s="270">
        <f t="shared" si="1126"/>
        <v>0</v>
      </c>
      <c r="BR176" s="270">
        <f t="shared" si="1126"/>
        <v>0</v>
      </c>
      <c r="BS176" s="270">
        <f t="shared" si="1126"/>
        <v>0</v>
      </c>
      <c r="BT176" s="270">
        <f t="shared" si="1126"/>
        <v>0</v>
      </c>
      <c r="BU176" s="270">
        <f t="shared" si="1126"/>
        <v>0</v>
      </c>
      <c r="BV176" s="270">
        <f t="shared" si="1126"/>
        <v>0</v>
      </c>
      <c r="BW176" s="270">
        <f t="shared" si="1126"/>
        <v>0</v>
      </c>
      <c r="BX176" s="270">
        <f t="shared" si="1126"/>
        <v>0</v>
      </c>
      <c r="BY176" s="270">
        <f t="shared" si="1126"/>
        <v>-0.05</v>
      </c>
      <c r="BZ176" s="270">
        <f t="shared" si="1126"/>
        <v>-0.04</v>
      </c>
      <c r="CA176" s="270">
        <f t="shared" si="1126"/>
        <v>0</v>
      </c>
      <c r="CB176" s="270">
        <f t="shared" si="1126"/>
        <v>0</v>
      </c>
      <c r="CC176" s="270">
        <f t="shared" si="1126"/>
        <v>0</v>
      </c>
      <c r="CD176" s="270">
        <f t="shared" si="1126"/>
        <v>0</v>
      </c>
      <c r="CE176" s="270">
        <f t="shared" si="1126"/>
        <v>0</v>
      </c>
      <c r="CF176" s="270">
        <f t="shared" si="1126"/>
        <v>0</v>
      </c>
      <c r="CG176" s="270">
        <f t="shared" si="1126"/>
        <v>0</v>
      </c>
      <c r="CH176" s="270">
        <f t="shared" si="1126"/>
        <v>0</v>
      </c>
      <c r="CI176" s="270">
        <f t="shared" si="1126"/>
        <v>0</v>
      </c>
      <c r="CJ176" s="270">
        <f t="shared" si="1126"/>
        <v>0</v>
      </c>
      <c r="CK176" s="270">
        <f t="shared" si="1126"/>
        <v>0</v>
      </c>
      <c r="CL176" s="270">
        <f t="shared" si="1126"/>
        <v>0</v>
      </c>
      <c r="CM176" s="270">
        <f t="shared" si="1126"/>
        <v>0</v>
      </c>
      <c r="CN176" s="270">
        <f t="shared" si="1126"/>
        <v>0</v>
      </c>
      <c r="CO176" s="270">
        <f t="shared" si="1126"/>
        <v>0</v>
      </c>
      <c r="CP176" s="270">
        <f t="shared" si="1126"/>
        <v>0</v>
      </c>
      <c r="CQ176" s="215"/>
      <c r="CR176" s="270">
        <f t="shared" si="27"/>
        <v>-0.09</v>
      </c>
      <c r="CS176" s="215"/>
      <c r="CT176" s="270">
        <f t="shared" ref="CT176:DX176" si="1127">IF(AI175&gt;0,IF((AI175+BN176)&lt;E$10,AI175+BN176,E$10),0)</f>
        <v>0</v>
      </c>
      <c r="CU176" s="270">
        <f t="shared" si="1127"/>
        <v>0</v>
      </c>
      <c r="CV176" s="270">
        <f t="shared" si="1127"/>
        <v>0</v>
      </c>
      <c r="CW176" s="270">
        <f t="shared" si="1127"/>
        <v>0</v>
      </c>
      <c r="CX176" s="270">
        <f t="shared" si="1127"/>
        <v>0</v>
      </c>
      <c r="CY176" s="270">
        <f t="shared" si="1127"/>
        <v>0</v>
      </c>
      <c r="CZ176" s="270">
        <f t="shared" si="1127"/>
        <v>0</v>
      </c>
      <c r="DA176" s="270">
        <f t="shared" si="1127"/>
        <v>0</v>
      </c>
      <c r="DB176" s="270">
        <f t="shared" si="1127"/>
        <v>0</v>
      </c>
      <c r="DC176" s="270">
        <f t="shared" si="1127"/>
        <v>0</v>
      </c>
      <c r="DD176" s="270">
        <f t="shared" si="1127"/>
        <v>0</v>
      </c>
      <c r="DE176" s="270">
        <f t="shared" si="1127"/>
        <v>0</v>
      </c>
      <c r="DF176" s="270">
        <f t="shared" si="1127"/>
        <v>0</v>
      </c>
      <c r="DG176" s="270">
        <f t="shared" si="1127"/>
        <v>0</v>
      </c>
      <c r="DH176" s="270">
        <f t="shared" si="1127"/>
        <v>0</v>
      </c>
      <c r="DI176" s="270">
        <f t="shared" si="1127"/>
        <v>0</v>
      </c>
      <c r="DJ176" s="270">
        <f t="shared" si="1127"/>
        <v>0</v>
      </c>
      <c r="DK176" s="270">
        <f t="shared" si="1127"/>
        <v>0</v>
      </c>
      <c r="DL176" s="270">
        <f t="shared" si="1127"/>
        <v>0</v>
      </c>
      <c r="DM176" s="270">
        <f t="shared" si="1127"/>
        <v>0</v>
      </c>
      <c r="DN176" s="270">
        <f t="shared" si="1127"/>
        <v>0</v>
      </c>
      <c r="DO176" s="270">
        <f t="shared" si="1127"/>
        <v>0</v>
      </c>
      <c r="DP176" s="270">
        <f t="shared" si="1127"/>
        <v>0</v>
      </c>
      <c r="DQ176" s="270">
        <f t="shared" si="1127"/>
        <v>0</v>
      </c>
      <c r="DR176" s="270">
        <f t="shared" si="1127"/>
        <v>0</v>
      </c>
      <c r="DS176" s="270">
        <f t="shared" si="1127"/>
        <v>0</v>
      </c>
      <c r="DT176" s="270">
        <f t="shared" si="1127"/>
        <v>0</v>
      </c>
      <c r="DU176" s="270">
        <f t="shared" si="1127"/>
        <v>0</v>
      </c>
      <c r="DV176" s="270">
        <f t="shared" si="1127"/>
        <v>0</v>
      </c>
      <c r="DW176" s="270">
        <f t="shared" si="1127"/>
        <v>0</v>
      </c>
      <c r="DX176" s="270">
        <f t="shared" si="1127"/>
        <v>0</v>
      </c>
      <c r="DY176" s="270">
        <f t="shared" si="29"/>
        <v>0</v>
      </c>
      <c r="DZ176" s="274"/>
      <c r="EA176" s="275">
        <f t="shared" si="38"/>
        <v>0</v>
      </c>
      <c r="EB176" s="270">
        <f t="shared" ref="EB176:FC176" si="1128">IF(AJ174&lt;=0,0,IF($C175&lt;=SUM($EA176:EA176),0,IF(CU175+$C175-SUM($EA176:EA176)&gt;AJ174+BO175,AJ174+BO175-CU175,$C175-SUM($EA176:EA176))))</f>
        <v>0</v>
      </c>
      <c r="EC176" s="270">
        <f t="shared" si="1128"/>
        <v>0</v>
      </c>
      <c r="ED176" s="270">
        <f t="shared" si="1128"/>
        <v>0</v>
      </c>
      <c r="EE176" s="270">
        <f t="shared" si="1128"/>
        <v>0</v>
      </c>
      <c r="EF176" s="270">
        <f t="shared" si="1128"/>
        <v>0</v>
      </c>
      <c r="EG176" s="270">
        <f t="shared" si="1128"/>
        <v>0</v>
      </c>
      <c r="EH176" s="270">
        <f t="shared" si="1128"/>
        <v>0</v>
      </c>
      <c r="EI176" s="270">
        <f t="shared" si="1128"/>
        <v>0</v>
      </c>
      <c r="EJ176" s="270">
        <f t="shared" si="1128"/>
        <v>0</v>
      </c>
      <c r="EK176" s="270">
        <f t="shared" si="1128"/>
        <v>0</v>
      </c>
      <c r="EL176" s="270">
        <f t="shared" si="1128"/>
        <v>0</v>
      </c>
      <c r="EM176" s="270">
        <f t="shared" si="1128"/>
        <v>0</v>
      </c>
      <c r="EN176" s="270">
        <f t="shared" si="1128"/>
        <v>0</v>
      </c>
      <c r="EO176" s="270">
        <f t="shared" si="1128"/>
        <v>0</v>
      </c>
      <c r="EP176" s="270">
        <f t="shared" si="1128"/>
        <v>0</v>
      </c>
      <c r="EQ176" s="270">
        <f t="shared" si="1128"/>
        <v>0</v>
      </c>
      <c r="ER176" s="270">
        <f t="shared" si="1128"/>
        <v>0</v>
      </c>
      <c r="ES176" s="270">
        <f t="shared" si="1128"/>
        <v>0</v>
      </c>
      <c r="ET176" s="270">
        <f t="shared" si="1128"/>
        <v>0</v>
      </c>
      <c r="EU176" s="270">
        <f t="shared" si="1128"/>
        <v>0</v>
      </c>
      <c r="EV176" s="270">
        <f t="shared" si="1128"/>
        <v>0</v>
      </c>
      <c r="EW176" s="270">
        <f t="shared" si="1128"/>
        <v>0</v>
      </c>
      <c r="EX176" s="270">
        <f t="shared" si="1128"/>
        <v>0</v>
      </c>
      <c r="EY176" s="270">
        <f t="shared" si="1128"/>
        <v>0</v>
      </c>
      <c r="EZ176" s="270">
        <f t="shared" si="1128"/>
        <v>0</v>
      </c>
      <c r="FA176" s="270">
        <f t="shared" si="1128"/>
        <v>0</v>
      </c>
      <c r="FB176" s="270">
        <f t="shared" si="1128"/>
        <v>0</v>
      </c>
      <c r="FC176" s="270">
        <f t="shared" si="1128"/>
        <v>0</v>
      </c>
      <c r="FD176" s="271"/>
      <c r="FE176" s="271"/>
      <c r="FF176" s="271"/>
      <c r="FG176" s="215"/>
      <c r="FH176" s="215"/>
    </row>
    <row r="177" ht="11.25" customHeight="1">
      <c r="A177" s="215" t="str">
        <f t="shared" si="19"/>
        <v/>
      </c>
      <c r="B177" s="241" t="str">
        <f t="shared" si="600"/>
        <v>#N/A</v>
      </c>
      <c r="C177" s="271" t="str">
        <f>IF(A177="","",IF(Calculator!snowball,IF(($E$5-DY177)&lt;0,0,$E$5-DY177),0)+D177)</f>
        <v/>
      </c>
      <c r="D177" s="271"/>
      <c r="E177" s="270">
        <f t="shared" si="40"/>
        <v>0</v>
      </c>
      <c r="F177" s="270">
        <f t="shared" ref="F177:AG177" si="1129">CU177+EB178</f>
        <v>0</v>
      </c>
      <c r="G177" s="270">
        <f t="shared" si="1129"/>
        <v>0</v>
      </c>
      <c r="H177" s="270">
        <f t="shared" si="1129"/>
        <v>0</v>
      </c>
      <c r="I177" s="270">
        <f t="shared" si="1129"/>
        <v>0</v>
      </c>
      <c r="J177" s="270">
        <f t="shared" si="1129"/>
        <v>0</v>
      </c>
      <c r="K177" s="270">
        <f t="shared" si="1129"/>
        <v>0</v>
      </c>
      <c r="L177" s="270">
        <f t="shared" si="1129"/>
        <v>0</v>
      </c>
      <c r="M177" s="270">
        <f t="shared" si="1129"/>
        <v>0</v>
      </c>
      <c r="N177" s="270">
        <f t="shared" si="1129"/>
        <v>0</v>
      </c>
      <c r="O177" s="270">
        <f t="shared" si="1129"/>
        <v>0</v>
      </c>
      <c r="P177" s="272">
        <f t="shared" si="1129"/>
        <v>0</v>
      </c>
      <c r="Q177" s="272">
        <f t="shared" si="1129"/>
        <v>0</v>
      </c>
      <c r="R177" s="272">
        <f t="shared" si="1129"/>
        <v>0</v>
      </c>
      <c r="S177" s="272">
        <f t="shared" si="1129"/>
        <v>0</v>
      </c>
      <c r="T177" s="272">
        <f t="shared" si="1129"/>
        <v>0</v>
      </c>
      <c r="U177" s="270">
        <f t="shared" si="1129"/>
        <v>0</v>
      </c>
      <c r="V177" s="270">
        <f t="shared" si="1129"/>
        <v>0</v>
      </c>
      <c r="W177" s="270">
        <f t="shared" si="1129"/>
        <v>0</v>
      </c>
      <c r="X177" s="270">
        <f t="shared" si="1129"/>
        <v>0</v>
      </c>
      <c r="Y177" s="270">
        <f t="shared" si="1129"/>
        <v>0</v>
      </c>
      <c r="Z177" s="270">
        <f t="shared" si="1129"/>
        <v>0</v>
      </c>
      <c r="AA177" s="270">
        <f t="shared" si="1129"/>
        <v>0</v>
      </c>
      <c r="AB177" s="270">
        <f t="shared" si="1129"/>
        <v>0</v>
      </c>
      <c r="AC177" s="270">
        <f t="shared" si="1129"/>
        <v>0</v>
      </c>
      <c r="AD177" s="270">
        <f t="shared" si="1129"/>
        <v>0</v>
      </c>
      <c r="AE177" s="270">
        <f t="shared" si="1129"/>
        <v>0</v>
      </c>
      <c r="AF177" s="270">
        <f t="shared" si="1129"/>
        <v>0</v>
      </c>
      <c r="AG177" s="270">
        <f t="shared" si="1129"/>
        <v>0</v>
      </c>
      <c r="AH177" s="279">
        <f t="shared" si="602"/>
        <v>0</v>
      </c>
      <c r="AI177" s="270">
        <f t="shared" si="43"/>
        <v>0</v>
      </c>
      <c r="AJ177" s="270">
        <f t="shared" ref="AJ177:AO177" si="1130">IF(F$8=0,0,ROUND(AJ176-(F177-BO177),2))</f>
        <v>0</v>
      </c>
      <c r="AK177" s="270">
        <f t="shared" si="1130"/>
        <v>0</v>
      </c>
      <c r="AL177" s="270">
        <f t="shared" si="1130"/>
        <v>0</v>
      </c>
      <c r="AM177" s="270">
        <f t="shared" si="1130"/>
        <v>0</v>
      </c>
      <c r="AN177" s="270">
        <f t="shared" si="1130"/>
        <v>0</v>
      </c>
      <c r="AO177" s="270">
        <f t="shared" si="1130"/>
        <v>0</v>
      </c>
      <c r="AP177" s="270">
        <v>0.0</v>
      </c>
      <c r="AQ177" s="270">
        <f t="shared" ref="AQ177:AS177" si="1131">IF(M$8=0,0,ROUND(AQ176-(M177-BV177),2))</f>
        <v>0</v>
      </c>
      <c r="AR177" s="270">
        <f t="shared" si="1131"/>
        <v>0</v>
      </c>
      <c r="AS177" s="270">
        <f t="shared" si="1131"/>
        <v>0</v>
      </c>
      <c r="AT177" s="270">
        <f t="shared" si="605"/>
        <v>-6.22</v>
      </c>
      <c r="AU177" s="270">
        <f t="shared" ref="AU177:BK177" si="1132">IF(Q$8=0,0,ROUND(AU176-(Q177-BY177),2))</f>
        <v>-11.88</v>
      </c>
      <c r="AV177" s="270">
        <f t="shared" si="1132"/>
        <v>0</v>
      </c>
      <c r="AW177" s="270">
        <f t="shared" si="1132"/>
        <v>0</v>
      </c>
      <c r="AX177" s="270">
        <f t="shared" si="1132"/>
        <v>0</v>
      </c>
      <c r="AY177" s="270">
        <f t="shared" si="1132"/>
        <v>0</v>
      </c>
      <c r="AZ177" s="270">
        <f t="shared" si="1132"/>
        <v>0</v>
      </c>
      <c r="BA177" s="270">
        <f t="shared" si="1132"/>
        <v>0</v>
      </c>
      <c r="BB177" s="270">
        <f t="shared" si="1132"/>
        <v>0</v>
      </c>
      <c r="BC177" s="270">
        <f t="shared" si="1132"/>
        <v>0</v>
      </c>
      <c r="BD177" s="270">
        <f t="shared" si="1132"/>
        <v>0</v>
      </c>
      <c r="BE177" s="270">
        <f t="shared" si="1132"/>
        <v>0</v>
      </c>
      <c r="BF177" s="270">
        <f t="shared" si="1132"/>
        <v>0</v>
      </c>
      <c r="BG177" s="270">
        <f t="shared" si="1132"/>
        <v>0</v>
      </c>
      <c r="BH177" s="270">
        <f t="shared" si="1132"/>
        <v>0</v>
      </c>
      <c r="BI177" s="270">
        <f t="shared" si="1132"/>
        <v>0</v>
      </c>
      <c r="BJ177" s="270">
        <f t="shared" si="1132"/>
        <v>0</v>
      </c>
      <c r="BK177" s="270">
        <f t="shared" si="1132"/>
        <v>0</v>
      </c>
      <c r="BL177" s="265">
        <f t="shared" si="16"/>
        <v>-18.1</v>
      </c>
      <c r="BM177" s="215"/>
      <c r="BN177" s="270">
        <f t="shared" ref="BN177:CP177" si="1133">ROUND(AI176*E$9/12,2)</f>
        <v>0</v>
      </c>
      <c r="BO177" s="270">
        <f t="shared" si="1133"/>
        <v>0</v>
      </c>
      <c r="BP177" s="270">
        <f t="shared" si="1133"/>
        <v>0</v>
      </c>
      <c r="BQ177" s="270">
        <f t="shared" si="1133"/>
        <v>0</v>
      </c>
      <c r="BR177" s="270">
        <f t="shared" si="1133"/>
        <v>0</v>
      </c>
      <c r="BS177" s="270">
        <f t="shared" si="1133"/>
        <v>0</v>
      </c>
      <c r="BT177" s="270">
        <f t="shared" si="1133"/>
        <v>0</v>
      </c>
      <c r="BU177" s="270">
        <f t="shared" si="1133"/>
        <v>0</v>
      </c>
      <c r="BV177" s="270">
        <f t="shared" si="1133"/>
        <v>0</v>
      </c>
      <c r="BW177" s="270">
        <f t="shared" si="1133"/>
        <v>0</v>
      </c>
      <c r="BX177" s="270">
        <f t="shared" si="1133"/>
        <v>0</v>
      </c>
      <c r="BY177" s="270">
        <f t="shared" si="1133"/>
        <v>-0.05</v>
      </c>
      <c r="BZ177" s="270">
        <f t="shared" si="1133"/>
        <v>-0.04</v>
      </c>
      <c r="CA177" s="270">
        <f t="shared" si="1133"/>
        <v>0</v>
      </c>
      <c r="CB177" s="270">
        <f t="shared" si="1133"/>
        <v>0</v>
      </c>
      <c r="CC177" s="270">
        <f t="shared" si="1133"/>
        <v>0</v>
      </c>
      <c r="CD177" s="270">
        <f t="shared" si="1133"/>
        <v>0</v>
      </c>
      <c r="CE177" s="270">
        <f t="shared" si="1133"/>
        <v>0</v>
      </c>
      <c r="CF177" s="270">
        <f t="shared" si="1133"/>
        <v>0</v>
      </c>
      <c r="CG177" s="270">
        <f t="shared" si="1133"/>
        <v>0</v>
      </c>
      <c r="CH177" s="270">
        <f t="shared" si="1133"/>
        <v>0</v>
      </c>
      <c r="CI177" s="270">
        <f t="shared" si="1133"/>
        <v>0</v>
      </c>
      <c r="CJ177" s="270">
        <f t="shared" si="1133"/>
        <v>0</v>
      </c>
      <c r="CK177" s="270">
        <f t="shared" si="1133"/>
        <v>0</v>
      </c>
      <c r="CL177" s="270">
        <f t="shared" si="1133"/>
        <v>0</v>
      </c>
      <c r="CM177" s="270">
        <f t="shared" si="1133"/>
        <v>0</v>
      </c>
      <c r="CN177" s="270">
        <f t="shared" si="1133"/>
        <v>0</v>
      </c>
      <c r="CO177" s="270">
        <f t="shared" si="1133"/>
        <v>0</v>
      </c>
      <c r="CP177" s="270">
        <f t="shared" si="1133"/>
        <v>0</v>
      </c>
      <c r="CQ177" s="215"/>
      <c r="CR177" s="270">
        <f t="shared" si="27"/>
        <v>-0.09</v>
      </c>
      <c r="CS177" s="215"/>
      <c r="CT177" s="270">
        <f t="shared" ref="CT177:DX177" si="1134">IF(AI176&gt;0,IF((AI176+BN177)&lt;E$10,AI176+BN177,E$10),0)</f>
        <v>0</v>
      </c>
      <c r="CU177" s="270">
        <f t="shared" si="1134"/>
        <v>0</v>
      </c>
      <c r="CV177" s="270">
        <f t="shared" si="1134"/>
        <v>0</v>
      </c>
      <c r="CW177" s="270">
        <f t="shared" si="1134"/>
        <v>0</v>
      </c>
      <c r="CX177" s="270">
        <f t="shared" si="1134"/>
        <v>0</v>
      </c>
      <c r="CY177" s="270">
        <f t="shared" si="1134"/>
        <v>0</v>
      </c>
      <c r="CZ177" s="270">
        <f t="shared" si="1134"/>
        <v>0</v>
      </c>
      <c r="DA177" s="270">
        <f t="shared" si="1134"/>
        <v>0</v>
      </c>
      <c r="DB177" s="270">
        <f t="shared" si="1134"/>
        <v>0</v>
      </c>
      <c r="DC177" s="270">
        <f t="shared" si="1134"/>
        <v>0</v>
      </c>
      <c r="DD177" s="270">
        <f t="shared" si="1134"/>
        <v>0</v>
      </c>
      <c r="DE177" s="270">
        <f t="shared" si="1134"/>
        <v>0</v>
      </c>
      <c r="DF177" s="270">
        <f t="shared" si="1134"/>
        <v>0</v>
      </c>
      <c r="DG177" s="270">
        <f t="shared" si="1134"/>
        <v>0</v>
      </c>
      <c r="DH177" s="270">
        <f t="shared" si="1134"/>
        <v>0</v>
      </c>
      <c r="DI177" s="270">
        <f t="shared" si="1134"/>
        <v>0</v>
      </c>
      <c r="DJ177" s="270">
        <f t="shared" si="1134"/>
        <v>0</v>
      </c>
      <c r="DK177" s="270">
        <f t="shared" si="1134"/>
        <v>0</v>
      </c>
      <c r="DL177" s="270">
        <f t="shared" si="1134"/>
        <v>0</v>
      </c>
      <c r="DM177" s="270">
        <f t="shared" si="1134"/>
        <v>0</v>
      </c>
      <c r="DN177" s="270">
        <f t="shared" si="1134"/>
        <v>0</v>
      </c>
      <c r="DO177" s="270">
        <f t="shared" si="1134"/>
        <v>0</v>
      </c>
      <c r="DP177" s="270">
        <f t="shared" si="1134"/>
        <v>0</v>
      </c>
      <c r="DQ177" s="270">
        <f t="shared" si="1134"/>
        <v>0</v>
      </c>
      <c r="DR177" s="270">
        <f t="shared" si="1134"/>
        <v>0</v>
      </c>
      <c r="DS177" s="270">
        <f t="shared" si="1134"/>
        <v>0</v>
      </c>
      <c r="DT177" s="270">
        <f t="shared" si="1134"/>
        <v>0</v>
      </c>
      <c r="DU177" s="270">
        <f t="shared" si="1134"/>
        <v>0</v>
      </c>
      <c r="DV177" s="270">
        <f t="shared" si="1134"/>
        <v>0</v>
      </c>
      <c r="DW177" s="270">
        <f t="shared" si="1134"/>
        <v>0</v>
      </c>
      <c r="DX177" s="270">
        <f t="shared" si="1134"/>
        <v>0</v>
      </c>
      <c r="DY177" s="270">
        <f t="shared" si="29"/>
        <v>0</v>
      </c>
      <c r="DZ177" s="274"/>
      <c r="EA177" s="275">
        <f t="shared" si="38"/>
        <v>0</v>
      </c>
      <c r="EB177" s="270">
        <f t="shared" ref="EB177:FC177" si="1135">IF(AJ175&lt;=0,0,IF($C176&lt;=SUM($EA177:EA177),0,IF(CU176+$C176-SUM($EA177:EA177)&gt;AJ175+BO176,AJ175+BO176-CU176,$C176-SUM($EA177:EA177))))</f>
        <v>0</v>
      </c>
      <c r="EC177" s="270">
        <f t="shared" si="1135"/>
        <v>0</v>
      </c>
      <c r="ED177" s="270">
        <f t="shared" si="1135"/>
        <v>0</v>
      </c>
      <c r="EE177" s="270">
        <f t="shared" si="1135"/>
        <v>0</v>
      </c>
      <c r="EF177" s="270">
        <f t="shared" si="1135"/>
        <v>0</v>
      </c>
      <c r="EG177" s="270">
        <f t="shared" si="1135"/>
        <v>0</v>
      </c>
      <c r="EH177" s="270">
        <f t="shared" si="1135"/>
        <v>0</v>
      </c>
      <c r="EI177" s="270">
        <f t="shared" si="1135"/>
        <v>0</v>
      </c>
      <c r="EJ177" s="270">
        <f t="shared" si="1135"/>
        <v>0</v>
      </c>
      <c r="EK177" s="270">
        <f t="shared" si="1135"/>
        <v>0</v>
      </c>
      <c r="EL177" s="270">
        <f t="shared" si="1135"/>
        <v>0</v>
      </c>
      <c r="EM177" s="270">
        <f t="shared" si="1135"/>
        <v>0</v>
      </c>
      <c r="EN177" s="270">
        <f t="shared" si="1135"/>
        <v>0</v>
      </c>
      <c r="EO177" s="270">
        <f t="shared" si="1135"/>
        <v>0</v>
      </c>
      <c r="EP177" s="270">
        <f t="shared" si="1135"/>
        <v>0</v>
      </c>
      <c r="EQ177" s="270">
        <f t="shared" si="1135"/>
        <v>0</v>
      </c>
      <c r="ER177" s="270">
        <f t="shared" si="1135"/>
        <v>0</v>
      </c>
      <c r="ES177" s="270">
        <f t="shared" si="1135"/>
        <v>0</v>
      </c>
      <c r="ET177" s="270">
        <f t="shared" si="1135"/>
        <v>0</v>
      </c>
      <c r="EU177" s="270">
        <f t="shared" si="1135"/>
        <v>0</v>
      </c>
      <c r="EV177" s="270">
        <f t="shared" si="1135"/>
        <v>0</v>
      </c>
      <c r="EW177" s="270">
        <f t="shared" si="1135"/>
        <v>0</v>
      </c>
      <c r="EX177" s="270">
        <f t="shared" si="1135"/>
        <v>0</v>
      </c>
      <c r="EY177" s="270">
        <f t="shared" si="1135"/>
        <v>0</v>
      </c>
      <c r="EZ177" s="270">
        <f t="shared" si="1135"/>
        <v>0</v>
      </c>
      <c r="FA177" s="270">
        <f t="shared" si="1135"/>
        <v>0</v>
      </c>
      <c r="FB177" s="270">
        <f t="shared" si="1135"/>
        <v>0</v>
      </c>
      <c r="FC177" s="270">
        <f t="shared" si="1135"/>
        <v>0</v>
      </c>
      <c r="FD177" s="271"/>
      <c r="FE177" s="271"/>
      <c r="FF177" s="271"/>
      <c r="FG177" s="215"/>
      <c r="FH177" s="215"/>
    </row>
    <row r="178" ht="11.25" customHeight="1">
      <c r="A178" s="215" t="str">
        <f t="shared" si="19"/>
        <v/>
      </c>
      <c r="B178" s="241" t="str">
        <f t="shared" si="600"/>
        <v>#N/A</v>
      </c>
      <c r="C178" s="271" t="str">
        <f>IF(A178="","",IF(Calculator!snowball,IF(($E$5-DY178)&lt;0,0,$E$5-DY178),0)+D178)</f>
        <v/>
      </c>
      <c r="D178" s="271"/>
      <c r="E178" s="270">
        <f t="shared" si="40"/>
        <v>0</v>
      </c>
      <c r="F178" s="270">
        <f t="shared" ref="F178:AG178" si="1136">CU178+EB179</f>
        <v>0</v>
      </c>
      <c r="G178" s="270">
        <f t="shared" si="1136"/>
        <v>0</v>
      </c>
      <c r="H178" s="270">
        <f t="shared" si="1136"/>
        <v>0</v>
      </c>
      <c r="I178" s="270">
        <f t="shared" si="1136"/>
        <v>0</v>
      </c>
      <c r="J178" s="270">
        <f t="shared" si="1136"/>
        <v>0</v>
      </c>
      <c r="K178" s="270">
        <f t="shared" si="1136"/>
        <v>0</v>
      </c>
      <c r="L178" s="270">
        <f t="shared" si="1136"/>
        <v>0</v>
      </c>
      <c r="M178" s="270">
        <f t="shared" si="1136"/>
        <v>0</v>
      </c>
      <c r="N178" s="270">
        <f t="shared" si="1136"/>
        <v>0</v>
      </c>
      <c r="O178" s="270">
        <f t="shared" si="1136"/>
        <v>0</v>
      </c>
      <c r="P178" s="272">
        <f t="shared" si="1136"/>
        <v>0</v>
      </c>
      <c r="Q178" s="272">
        <f t="shared" si="1136"/>
        <v>0</v>
      </c>
      <c r="R178" s="272">
        <f t="shared" si="1136"/>
        <v>0</v>
      </c>
      <c r="S178" s="272">
        <f t="shared" si="1136"/>
        <v>0</v>
      </c>
      <c r="T178" s="272">
        <f t="shared" si="1136"/>
        <v>0</v>
      </c>
      <c r="U178" s="270">
        <f t="shared" si="1136"/>
        <v>0</v>
      </c>
      <c r="V178" s="270">
        <f t="shared" si="1136"/>
        <v>0</v>
      </c>
      <c r="W178" s="270">
        <f t="shared" si="1136"/>
        <v>0</v>
      </c>
      <c r="X178" s="270">
        <f t="shared" si="1136"/>
        <v>0</v>
      </c>
      <c r="Y178" s="270">
        <f t="shared" si="1136"/>
        <v>0</v>
      </c>
      <c r="Z178" s="270">
        <f t="shared" si="1136"/>
        <v>0</v>
      </c>
      <c r="AA178" s="270">
        <f t="shared" si="1136"/>
        <v>0</v>
      </c>
      <c r="AB178" s="270">
        <f t="shared" si="1136"/>
        <v>0</v>
      </c>
      <c r="AC178" s="270">
        <f t="shared" si="1136"/>
        <v>0</v>
      </c>
      <c r="AD178" s="270">
        <f t="shared" si="1136"/>
        <v>0</v>
      </c>
      <c r="AE178" s="270">
        <f t="shared" si="1136"/>
        <v>0</v>
      </c>
      <c r="AF178" s="270">
        <f t="shared" si="1136"/>
        <v>0</v>
      </c>
      <c r="AG178" s="270">
        <f t="shared" si="1136"/>
        <v>0</v>
      </c>
      <c r="AH178" s="279">
        <f t="shared" si="602"/>
        <v>0</v>
      </c>
      <c r="AI178" s="270">
        <f t="shared" si="43"/>
        <v>0</v>
      </c>
      <c r="AJ178" s="270">
        <f t="shared" ref="AJ178:AO178" si="1137">IF(F$8=0,0,ROUND(AJ177-(F178-BO178),2))</f>
        <v>0</v>
      </c>
      <c r="AK178" s="270">
        <f t="shared" si="1137"/>
        <v>0</v>
      </c>
      <c r="AL178" s="270">
        <f t="shared" si="1137"/>
        <v>0</v>
      </c>
      <c r="AM178" s="270">
        <f t="shared" si="1137"/>
        <v>0</v>
      </c>
      <c r="AN178" s="270">
        <f t="shared" si="1137"/>
        <v>0</v>
      </c>
      <c r="AO178" s="270">
        <f t="shared" si="1137"/>
        <v>0</v>
      </c>
      <c r="AP178" s="270">
        <v>0.0</v>
      </c>
      <c r="AQ178" s="270">
        <f t="shared" ref="AQ178:AS178" si="1138">IF(M$8=0,0,ROUND(AQ177-(M178-BV178),2))</f>
        <v>0</v>
      </c>
      <c r="AR178" s="270">
        <f t="shared" si="1138"/>
        <v>0</v>
      </c>
      <c r="AS178" s="270">
        <f t="shared" si="1138"/>
        <v>0</v>
      </c>
      <c r="AT178" s="270">
        <f t="shared" si="605"/>
        <v>-6.22</v>
      </c>
      <c r="AU178" s="270">
        <f t="shared" ref="AU178:BK178" si="1139">IF(Q$8=0,0,ROUND(AU177-(Q178-BY178),2))</f>
        <v>-11.93</v>
      </c>
      <c r="AV178" s="270">
        <f t="shared" si="1139"/>
        <v>0</v>
      </c>
      <c r="AW178" s="270">
        <f t="shared" si="1139"/>
        <v>0</v>
      </c>
      <c r="AX178" s="270">
        <f t="shared" si="1139"/>
        <v>0</v>
      </c>
      <c r="AY178" s="270">
        <f t="shared" si="1139"/>
        <v>0</v>
      </c>
      <c r="AZ178" s="270">
        <f t="shared" si="1139"/>
        <v>0</v>
      </c>
      <c r="BA178" s="270">
        <f t="shared" si="1139"/>
        <v>0</v>
      </c>
      <c r="BB178" s="270">
        <f t="shared" si="1139"/>
        <v>0</v>
      </c>
      <c r="BC178" s="270">
        <f t="shared" si="1139"/>
        <v>0</v>
      </c>
      <c r="BD178" s="270">
        <f t="shared" si="1139"/>
        <v>0</v>
      </c>
      <c r="BE178" s="270">
        <f t="shared" si="1139"/>
        <v>0</v>
      </c>
      <c r="BF178" s="270">
        <f t="shared" si="1139"/>
        <v>0</v>
      </c>
      <c r="BG178" s="270">
        <f t="shared" si="1139"/>
        <v>0</v>
      </c>
      <c r="BH178" s="270">
        <f t="shared" si="1139"/>
        <v>0</v>
      </c>
      <c r="BI178" s="270">
        <f t="shared" si="1139"/>
        <v>0</v>
      </c>
      <c r="BJ178" s="270">
        <f t="shared" si="1139"/>
        <v>0</v>
      </c>
      <c r="BK178" s="270">
        <f t="shared" si="1139"/>
        <v>0</v>
      </c>
      <c r="BL178" s="265">
        <f t="shared" si="16"/>
        <v>-18.15</v>
      </c>
      <c r="BM178" s="215"/>
      <c r="BN178" s="270">
        <f t="shared" ref="BN178:CP178" si="1140">ROUND(AI177*E$9/12,2)</f>
        <v>0</v>
      </c>
      <c r="BO178" s="270">
        <f t="shared" si="1140"/>
        <v>0</v>
      </c>
      <c r="BP178" s="270">
        <f t="shared" si="1140"/>
        <v>0</v>
      </c>
      <c r="BQ178" s="270">
        <f t="shared" si="1140"/>
        <v>0</v>
      </c>
      <c r="BR178" s="270">
        <f t="shared" si="1140"/>
        <v>0</v>
      </c>
      <c r="BS178" s="270">
        <f t="shared" si="1140"/>
        <v>0</v>
      </c>
      <c r="BT178" s="270">
        <f t="shared" si="1140"/>
        <v>0</v>
      </c>
      <c r="BU178" s="270">
        <f t="shared" si="1140"/>
        <v>0</v>
      </c>
      <c r="BV178" s="270">
        <f t="shared" si="1140"/>
        <v>0</v>
      </c>
      <c r="BW178" s="270">
        <f t="shared" si="1140"/>
        <v>0</v>
      </c>
      <c r="BX178" s="270">
        <f t="shared" si="1140"/>
        <v>0</v>
      </c>
      <c r="BY178" s="270">
        <f t="shared" si="1140"/>
        <v>-0.05</v>
      </c>
      <c r="BZ178" s="270">
        <f t="shared" si="1140"/>
        <v>-0.04</v>
      </c>
      <c r="CA178" s="270">
        <f t="shared" si="1140"/>
        <v>0</v>
      </c>
      <c r="CB178" s="270">
        <f t="shared" si="1140"/>
        <v>0</v>
      </c>
      <c r="CC178" s="270">
        <f t="shared" si="1140"/>
        <v>0</v>
      </c>
      <c r="CD178" s="270">
        <f t="shared" si="1140"/>
        <v>0</v>
      </c>
      <c r="CE178" s="270">
        <f t="shared" si="1140"/>
        <v>0</v>
      </c>
      <c r="CF178" s="270">
        <f t="shared" si="1140"/>
        <v>0</v>
      </c>
      <c r="CG178" s="270">
        <f t="shared" si="1140"/>
        <v>0</v>
      </c>
      <c r="CH178" s="270">
        <f t="shared" si="1140"/>
        <v>0</v>
      </c>
      <c r="CI178" s="270">
        <f t="shared" si="1140"/>
        <v>0</v>
      </c>
      <c r="CJ178" s="270">
        <f t="shared" si="1140"/>
        <v>0</v>
      </c>
      <c r="CK178" s="270">
        <f t="shared" si="1140"/>
        <v>0</v>
      </c>
      <c r="CL178" s="270">
        <f t="shared" si="1140"/>
        <v>0</v>
      </c>
      <c r="CM178" s="270">
        <f t="shared" si="1140"/>
        <v>0</v>
      </c>
      <c r="CN178" s="270">
        <f t="shared" si="1140"/>
        <v>0</v>
      </c>
      <c r="CO178" s="270">
        <f t="shared" si="1140"/>
        <v>0</v>
      </c>
      <c r="CP178" s="270">
        <f t="shared" si="1140"/>
        <v>0</v>
      </c>
      <c r="CQ178" s="215"/>
      <c r="CR178" s="270">
        <f t="shared" si="27"/>
        <v>-0.09</v>
      </c>
      <c r="CS178" s="215"/>
      <c r="CT178" s="270">
        <f t="shared" ref="CT178:DX178" si="1141">IF(AI177&gt;0,IF((AI177+BN178)&lt;E$10,AI177+BN178,E$10),0)</f>
        <v>0</v>
      </c>
      <c r="CU178" s="270">
        <f t="shared" si="1141"/>
        <v>0</v>
      </c>
      <c r="CV178" s="270">
        <f t="shared" si="1141"/>
        <v>0</v>
      </c>
      <c r="CW178" s="270">
        <f t="shared" si="1141"/>
        <v>0</v>
      </c>
      <c r="CX178" s="270">
        <f t="shared" si="1141"/>
        <v>0</v>
      </c>
      <c r="CY178" s="270">
        <f t="shared" si="1141"/>
        <v>0</v>
      </c>
      <c r="CZ178" s="270">
        <f t="shared" si="1141"/>
        <v>0</v>
      </c>
      <c r="DA178" s="270">
        <f t="shared" si="1141"/>
        <v>0</v>
      </c>
      <c r="DB178" s="270">
        <f t="shared" si="1141"/>
        <v>0</v>
      </c>
      <c r="DC178" s="270">
        <f t="shared" si="1141"/>
        <v>0</v>
      </c>
      <c r="DD178" s="270">
        <f t="shared" si="1141"/>
        <v>0</v>
      </c>
      <c r="DE178" s="270">
        <f t="shared" si="1141"/>
        <v>0</v>
      </c>
      <c r="DF178" s="270">
        <f t="shared" si="1141"/>
        <v>0</v>
      </c>
      <c r="DG178" s="270">
        <f t="shared" si="1141"/>
        <v>0</v>
      </c>
      <c r="DH178" s="270">
        <f t="shared" si="1141"/>
        <v>0</v>
      </c>
      <c r="DI178" s="270">
        <f t="shared" si="1141"/>
        <v>0</v>
      </c>
      <c r="DJ178" s="270">
        <f t="shared" si="1141"/>
        <v>0</v>
      </c>
      <c r="DK178" s="270">
        <f t="shared" si="1141"/>
        <v>0</v>
      </c>
      <c r="DL178" s="270">
        <f t="shared" si="1141"/>
        <v>0</v>
      </c>
      <c r="DM178" s="270">
        <f t="shared" si="1141"/>
        <v>0</v>
      </c>
      <c r="DN178" s="270">
        <f t="shared" si="1141"/>
        <v>0</v>
      </c>
      <c r="DO178" s="270">
        <f t="shared" si="1141"/>
        <v>0</v>
      </c>
      <c r="DP178" s="270">
        <f t="shared" si="1141"/>
        <v>0</v>
      </c>
      <c r="DQ178" s="270">
        <f t="shared" si="1141"/>
        <v>0</v>
      </c>
      <c r="DR178" s="270">
        <f t="shared" si="1141"/>
        <v>0</v>
      </c>
      <c r="DS178" s="270">
        <f t="shared" si="1141"/>
        <v>0</v>
      </c>
      <c r="DT178" s="270">
        <f t="shared" si="1141"/>
        <v>0</v>
      </c>
      <c r="DU178" s="270">
        <f t="shared" si="1141"/>
        <v>0</v>
      </c>
      <c r="DV178" s="270">
        <f t="shared" si="1141"/>
        <v>0</v>
      </c>
      <c r="DW178" s="270">
        <f t="shared" si="1141"/>
        <v>0</v>
      </c>
      <c r="DX178" s="270">
        <f t="shared" si="1141"/>
        <v>0</v>
      </c>
      <c r="DY178" s="270">
        <f t="shared" si="29"/>
        <v>0</v>
      </c>
      <c r="DZ178" s="274"/>
      <c r="EA178" s="275">
        <f t="shared" si="38"/>
        <v>0</v>
      </c>
      <c r="EB178" s="270">
        <f t="shared" ref="EB178:FC178" si="1142">IF(AJ176&lt;=0,0,IF($C177&lt;=SUM($EA178:EA178),0,IF(CU177+$C177-SUM($EA178:EA178)&gt;AJ176+BO177,AJ176+BO177-CU177,$C177-SUM($EA178:EA178))))</f>
        <v>0</v>
      </c>
      <c r="EC178" s="270">
        <f t="shared" si="1142"/>
        <v>0</v>
      </c>
      <c r="ED178" s="270">
        <f t="shared" si="1142"/>
        <v>0</v>
      </c>
      <c r="EE178" s="270">
        <f t="shared" si="1142"/>
        <v>0</v>
      </c>
      <c r="EF178" s="270">
        <f t="shared" si="1142"/>
        <v>0</v>
      </c>
      <c r="EG178" s="270">
        <f t="shared" si="1142"/>
        <v>0</v>
      </c>
      <c r="EH178" s="270">
        <f t="shared" si="1142"/>
        <v>0</v>
      </c>
      <c r="EI178" s="270">
        <f t="shared" si="1142"/>
        <v>0</v>
      </c>
      <c r="EJ178" s="270">
        <f t="shared" si="1142"/>
        <v>0</v>
      </c>
      <c r="EK178" s="270">
        <f t="shared" si="1142"/>
        <v>0</v>
      </c>
      <c r="EL178" s="270">
        <f t="shared" si="1142"/>
        <v>0</v>
      </c>
      <c r="EM178" s="270">
        <f t="shared" si="1142"/>
        <v>0</v>
      </c>
      <c r="EN178" s="270">
        <f t="shared" si="1142"/>
        <v>0</v>
      </c>
      <c r="EO178" s="270">
        <f t="shared" si="1142"/>
        <v>0</v>
      </c>
      <c r="EP178" s="270">
        <f t="shared" si="1142"/>
        <v>0</v>
      </c>
      <c r="EQ178" s="270">
        <f t="shared" si="1142"/>
        <v>0</v>
      </c>
      <c r="ER178" s="270">
        <f t="shared" si="1142"/>
        <v>0</v>
      </c>
      <c r="ES178" s="270">
        <f t="shared" si="1142"/>
        <v>0</v>
      </c>
      <c r="ET178" s="270">
        <f t="shared" si="1142"/>
        <v>0</v>
      </c>
      <c r="EU178" s="270">
        <f t="shared" si="1142"/>
        <v>0</v>
      </c>
      <c r="EV178" s="270">
        <f t="shared" si="1142"/>
        <v>0</v>
      </c>
      <c r="EW178" s="270">
        <f t="shared" si="1142"/>
        <v>0</v>
      </c>
      <c r="EX178" s="270">
        <f t="shared" si="1142"/>
        <v>0</v>
      </c>
      <c r="EY178" s="270">
        <f t="shared" si="1142"/>
        <v>0</v>
      </c>
      <c r="EZ178" s="270">
        <f t="shared" si="1142"/>
        <v>0</v>
      </c>
      <c r="FA178" s="270">
        <f t="shared" si="1142"/>
        <v>0</v>
      </c>
      <c r="FB178" s="270">
        <f t="shared" si="1142"/>
        <v>0</v>
      </c>
      <c r="FC178" s="270">
        <f t="shared" si="1142"/>
        <v>0</v>
      </c>
      <c r="FD178" s="271"/>
      <c r="FE178" s="271"/>
      <c r="FF178" s="271"/>
      <c r="FG178" s="215"/>
      <c r="FH178" s="215"/>
    </row>
    <row r="179" ht="11.25" customHeight="1">
      <c r="A179" s="215" t="str">
        <f t="shared" si="19"/>
        <v/>
      </c>
      <c r="B179" s="241" t="str">
        <f t="shared" si="600"/>
        <v>#N/A</v>
      </c>
      <c r="C179" s="271" t="str">
        <f>IF(A179="","",IF(Calculator!snowball,IF(($E$5-DY179)&lt;0,0,$E$5-DY179),0)+D179)</f>
        <v/>
      </c>
      <c r="D179" s="271"/>
      <c r="E179" s="270">
        <f t="shared" si="40"/>
        <v>0</v>
      </c>
      <c r="F179" s="270">
        <f t="shared" ref="F179:AG179" si="1143">CU179+EB180</f>
        <v>0</v>
      </c>
      <c r="G179" s="270">
        <f t="shared" si="1143"/>
        <v>0</v>
      </c>
      <c r="H179" s="270">
        <f t="shared" si="1143"/>
        <v>0</v>
      </c>
      <c r="I179" s="270">
        <f t="shared" si="1143"/>
        <v>0</v>
      </c>
      <c r="J179" s="270">
        <f t="shared" si="1143"/>
        <v>0</v>
      </c>
      <c r="K179" s="270">
        <f t="shared" si="1143"/>
        <v>0</v>
      </c>
      <c r="L179" s="270">
        <f t="shared" si="1143"/>
        <v>0</v>
      </c>
      <c r="M179" s="270">
        <f t="shared" si="1143"/>
        <v>0</v>
      </c>
      <c r="N179" s="270">
        <f t="shared" si="1143"/>
        <v>0</v>
      </c>
      <c r="O179" s="270">
        <f t="shared" si="1143"/>
        <v>0</v>
      </c>
      <c r="P179" s="272">
        <f t="shared" si="1143"/>
        <v>0</v>
      </c>
      <c r="Q179" s="272">
        <f t="shared" si="1143"/>
        <v>0</v>
      </c>
      <c r="R179" s="272">
        <f t="shared" si="1143"/>
        <v>0</v>
      </c>
      <c r="S179" s="272">
        <f t="shared" si="1143"/>
        <v>0</v>
      </c>
      <c r="T179" s="272">
        <f t="shared" si="1143"/>
        <v>0</v>
      </c>
      <c r="U179" s="270">
        <f t="shared" si="1143"/>
        <v>0</v>
      </c>
      <c r="V179" s="270">
        <f t="shared" si="1143"/>
        <v>0</v>
      </c>
      <c r="W179" s="270">
        <f t="shared" si="1143"/>
        <v>0</v>
      </c>
      <c r="X179" s="270">
        <f t="shared" si="1143"/>
        <v>0</v>
      </c>
      <c r="Y179" s="270">
        <f t="shared" si="1143"/>
        <v>0</v>
      </c>
      <c r="Z179" s="270">
        <f t="shared" si="1143"/>
        <v>0</v>
      </c>
      <c r="AA179" s="270">
        <f t="shared" si="1143"/>
        <v>0</v>
      </c>
      <c r="AB179" s="270">
        <f t="shared" si="1143"/>
        <v>0</v>
      </c>
      <c r="AC179" s="270">
        <f t="shared" si="1143"/>
        <v>0</v>
      </c>
      <c r="AD179" s="270">
        <f t="shared" si="1143"/>
        <v>0</v>
      </c>
      <c r="AE179" s="270">
        <f t="shared" si="1143"/>
        <v>0</v>
      </c>
      <c r="AF179" s="270">
        <f t="shared" si="1143"/>
        <v>0</v>
      </c>
      <c r="AG179" s="270">
        <f t="shared" si="1143"/>
        <v>0</v>
      </c>
      <c r="AH179" s="279">
        <f t="shared" si="602"/>
        <v>0</v>
      </c>
      <c r="AI179" s="270">
        <f t="shared" si="43"/>
        <v>0</v>
      </c>
      <c r="AJ179" s="270">
        <f t="shared" ref="AJ179:AO179" si="1144">IF(F$8=0,0,ROUND(AJ178-(F179-BO179),2))</f>
        <v>0</v>
      </c>
      <c r="AK179" s="270">
        <f t="shared" si="1144"/>
        <v>0</v>
      </c>
      <c r="AL179" s="270">
        <f t="shared" si="1144"/>
        <v>0</v>
      </c>
      <c r="AM179" s="270">
        <f t="shared" si="1144"/>
        <v>0</v>
      </c>
      <c r="AN179" s="270">
        <f t="shared" si="1144"/>
        <v>0</v>
      </c>
      <c r="AO179" s="270">
        <f t="shared" si="1144"/>
        <v>0</v>
      </c>
      <c r="AP179" s="270">
        <v>0.0</v>
      </c>
      <c r="AQ179" s="270">
        <f t="shared" ref="AQ179:AS179" si="1145">IF(M$8=0,0,ROUND(AQ178-(M179-BV179),2))</f>
        <v>0</v>
      </c>
      <c r="AR179" s="270">
        <f t="shared" si="1145"/>
        <v>0</v>
      </c>
      <c r="AS179" s="270">
        <f t="shared" si="1145"/>
        <v>0</v>
      </c>
      <c r="AT179" s="270">
        <f t="shared" si="605"/>
        <v>-6.22</v>
      </c>
      <c r="AU179" s="270">
        <f t="shared" ref="AU179:BK179" si="1146">IF(Q$8=0,0,ROUND(AU178-(Q179-BY179),2))</f>
        <v>-11.98</v>
      </c>
      <c r="AV179" s="270">
        <f t="shared" si="1146"/>
        <v>0</v>
      </c>
      <c r="AW179" s="270">
        <f t="shared" si="1146"/>
        <v>0</v>
      </c>
      <c r="AX179" s="270">
        <f t="shared" si="1146"/>
        <v>0</v>
      </c>
      <c r="AY179" s="270">
        <f t="shared" si="1146"/>
        <v>0</v>
      </c>
      <c r="AZ179" s="270">
        <f t="shared" si="1146"/>
        <v>0</v>
      </c>
      <c r="BA179" s="270">
        <f t="shared" si="1146"/>
        <v>0</v>
      </c>
      <c r="BB179" s="270">
        <f t="shared" si="1146"/>
        <v>0</v>
      </c>
      <c r="BC179" s="270">
        <f t="shared" si="1146"/>
        <v>0</v>
      </c>
      <c r="BD179" s="270">
        <f t="shared" si="1146"/>
        <v>0</v>
      </c>
      <c r="BE179" s="270">
        <f t="shared" si="1146"/>
        <v>0</v>
      </c>
      <c r="BF179" s="270">
        <f t="shared" si="1146"/>
        <v>0</v>
      </c>
      <c r="BG179" s="270">
        <f t="shared" si="1146"/>
        <v>0</v>
      </c>
      <c r="BH179" s="270">
        <f t="shared" si="1146"/>
        <v>0</v>
      </c>
      <c r="BI179" s="270">
        <f t="shared" si="1146"/>
        <v>0</v>
      </c>
      <c r="BJ179" s="270">
        <f t="shared" si="1146"/>
        <v>0</v>
      </c>
      <c r="BK179" s="270">
        <f t="shared" si="1146"/>
        <v>0</v>
      </c>
      <c r="BL179" s="265">
        <f t="shared" si="16"/>
        <v>-18.2</v>
      </c>
      <c r="BM179" s="215"/>
      <c r="BN179" s="270">
        <f t="shared" ref="BN179:CP179" si="1147">ROUND(AI178*E$9/12,2)</f>
        <v>0</v>
      </c>
      <c r="BO179" s="270">
        <f t="shared" si="1147"/>
        <v>0</v>
      </c>
      <c r="BP179" s="270">
        <f t="shared" si="1147"/>
        <v>0</v>
      </c>
      <c r="BQ179" s="270">
        <f t="shared" si="1147"/>
        <v>0</v>
      </c>
      <c r="BR179" s="270">
        <f t="shared" si="1147"/>
        <v>0</v>
      </c>
      <c r="BS179" s="270">
        <f t="shared" si="1147"/>
        <v>0</v>
      </c>
      <c r="BT179" s="270">
        <f t="shared" si="1147"/>
        <v>0</v>
      </c>
      <c r="BU179" s="270">
        <f t="shared" si="1147"/>
        <v>0</v>
      </c>
      <c r="BV179" s="270">
        <f t="shared" si="1147"/>
        <v>0</v>
      </c>
      <c r="BW179" s="270">
        <f t="shared" si="1147"/>
        <v>0</v>
      </c>
      <c r="BX179" s="270">
        <f t="shared" si="1147"/>
        <v>0</v>
      </c>
      <c r="BY179" s="270">
        <f t="shared" si="1147"/>
        <v>-0.05</v>
      </c>
      <c r="BZ179" s="270">
        <f t="shared" si="1147"/>
        <v>-0.04</v>
      </c>
      <c r="CA179" s="270">
        <f t="shared" si="1147"/>
        <v>0</v>
      </c>
      <c r="CB179" s="270">
        <f t="shared" si="1147"/>
        <v>0</v>
      </c>
      <c r="CC179" s="270">
        <f t="shared" si="1147"/>
        <v>0</v>
      </c>
      <c r="CD179" s="270">
        <f t="shared" si="1147"/>
        <v>0</v>
      </c>
      <c r="CE179" s="270">
        <f t="shared" si="1147"/>
        <v>0</v>
      </c>
      <c r="CF179" s="270">
        <f t="shared" si="1147"/>
        <v>0</v>
      </c>
      <c r="CG179" s="270">
        <f t="shared" si="1147"/>
        <v>0</v>
      </c>
      <c r="CH179" s="270">
        <f t="shared" si="1147"/>
        <v>0</v>
      </c>
      <c r="CI179" s="270">
        <f t="shared" si="1147"/>
        <v>0</v>
      </c>
      <c r="CJ179" s="270">
        <f t="shared" si="1147"/>
        <v>0</v>
      </c>
      <c r="CK179" s="270">
        <f t="shared" si="1147"/>
        <v>0</v>
      </c>
      <c r="CL179" s="270">
        <f t="shared" si="1147"/>
        <v>0</v>
      </c>
      <c r="CM179" s="270">
        <f t="shared" si="1147"/>
        <v>0</v>
      </c>
      <c r="CN179" s="270">
        <f t="shared" si="1147"/>
        <v>0</v>
      </c>
      <c r="CO179" s="270">
        <f t="shared" si="1147"/>
        <v>0</v>
      </c>
      <c r="CP179" s="270">
        <f t="shared" si="1147"/>
        <v>0</v>
      </c>
      <c r="CQ179" s="215"/>
      <c r="CR179" s="270">
        <f t="shared" si="27"/>
        <v>-0.09</v>
      </c>
      <c r="CS179" s="215"/>
      <c r="CT179" s="270">
        <f t="shared" ref="CT179:DX179" si="1148">IF(AI178&gt;0,IF((AI178+BN179)&lt;E$10,AI178+BN179,E$10),0)</f>
        <v>0</v>
      </c>
      <c r="CU179" s="270">
        <f t="shared" si="1148"/>
        <v>0</v>
      </c>
      <c r="CV179" s="270">
        <f t="shared" si="1148"/>
        <v>0</v>
      </c>
      <c r="CW179" s="270">
        <f t="shared" si="1148"/>
        <v>0</v>
      </c>
      <c r="CX179" s="270">
        <f t="shared" si="1148"/>
        <v>0</v>
      </c>
      <c r="CY179" s="270">
        <f t="shared" si="1148"/>
        <v>0</v>
      </c>
      <c r="CZ179" s="270">
        <f t="shared" si="1148"/>
        <v>0</v>
      </c>
      <c r="DA179" s="270">
        <f t="shared" si="1148"/>
        <v>0</v>
      </c>
      <c r="DB179" s="270">
        <f t="shared" si="1148"/>
        <v>0</v>
      </c>
      <c r="DC179" s="270">
        <f t="shared" si="1148"/>
        <v>0</v>
      </c>
      <c r="DD179" s="270">
        <f t="shared" si="1148"/>
        <v>0</v>
      </c>
      <c r="DE179" s="270">
        <f t="shared" si="1148"/>
        <v>0</v>
      </c>
      <c r="DF179" s="270">
        <f t="shared" si="1148"/>
        <v>0</v>
      </c>
      <c r="DG179" s="270">
        <f t="shared" si="1148"/>
        <v>0</v>
      </c>
      <c r="DH179" s="270">
        <f t="shared" si="1148"/>
        <v>0</v>
      </c>
      <c r="DI179" s="270">
        <f t="shared" si="1148"/>
        <v>0</v>
      </c>
      <c r="DJ179" s="270">
        <f t="shared" si="1148"/>
        <v>0</v>
      </c>
      <c r="DK179" s="270">
        <f t="shared" si="1148"/>
        <v>0</v>
      </c>
      <c r="DL179" s="270">
        <f t="shared" si="1148"/>
        <v>0</v>
      </c>
      <c r="DM179" s="270">
        <f t="shared" si="1148"/>
        <v>0</v>
      </c>
      <c r="DN179" s="270">
        <f t="shared" si="1148"/>
        <v>0</v>
      </c>
      <c r="DO179" s="270">
        <f t="shared" si="1148"/>
        <v>0</v>
      </c>
      <c r="DP179" s="270">
        <f t="shared" si="1148"/>
        <v>0</v>
      </c>
      <c r="DQ179" s="270">
        <f t="shared" si="1148"/>
        <v>0</v>
      </c>
      <c r="DR179" s="270">
        <f t="shared" si="1148"/>
        <v>0</v>
      </c>
      <c r="DS179" s="270">
        <f t="shared" si="1148"/>
        <v>0</v>
      </c>
      <c r="DT179" s="270">
        <f t="shared" si="1148"/>
        <v>0</v>
      </c>
      <c r="DU179" s="270">
        <f t="shared" si="1148"/>
        <v>0</v>
      </c>
      <c r="DV179" s="270">
        <f t="shared" si="1148"/>
        <v>0</v>
      </c>
      <c r="DW179" s="270">
        <f t="shared" si="1148"/>
        <v>0</v>
      </c>
      <c r="DX179" s="270">
        <f t="shared" si="1148"/>
        <v>0</v>
      </c>
      <c r="DY179" s="270">
        <f t="shared" si="29"/>
        <v>0</v>
      </c>
      <c r="DZ179" s="274"/>
      <c r="EA179" s="275">
        <f t="shared" si="38"/>
        <v>0</v>
      </c>
      <c r="EB179" s="270">
        <f t="shared" ref="EB179:FC179" si="1149">IF(AJ177&lt;=0,0,IF($C178&lt;=SUM($EA179:EA179),0,IF(CU178+$C178-SUM($EA179:EA179)&gt;AJ177+BO178,AJ177+BO178-CU178,$C178-SUM($EA179:EA179))))</f>
        <v>0</v>
      </c>
      <c r="EC179" s="270">
        <f t="shared" si="1149"/>
        <v>0</v>
      </c>
      <c r="ED179" s="270">
        <f t="shared" si="1149"/>
        <v>0</v>
      </c>
      <c r="EE179" s="270">
        <f t="shared" si="1149"/>
        <v>0</v>
      </c>
      <c r="EF179" s="270">
        <f t="shared" si="1149"/>
        <v>0</v>
      </c>
      <c r="EG179" s="270">
        <f t="shared" si="1149"/>
        <v>0</v>
      </c>
      <c r="EH179" s="270">
        <f t="shared" si="1149"/>
        <v>0</v>
      </c>
      <c r="EI179" s="270">
        <f t="shared" si="1149"/>
        <v>0</v>
      </c>
      <c r="EJ179" s="270">
        <f t="shared" si="1149"/>
        <v>0</v>
      </c>
      <c r="EK179" s="270">
        <f t="shared" si="1149"/>
        <v>0</v>
      </c>
      <c r="EL179" s="270">
        <f t="shared" si="1149"/>
        <v>0</v>
      </c>
      <c r="EM179" s="270">
        <f t="shared" si="1149"/>
        <v>0</v>
      </c>
      <c r="EN179" s="270">
        <f t="shared" si="1149"/>
        <v>0</v>
      </c>
      <c r="EO179" s="270">
        <f t="shared" si="1149"/>
        <v>0</v>
      </c>
      <c r="EP179" s="270">
        <f t="shared" si="1149"/>
        <v>0</v>
      </c>
      <c r="EQ179" s="270">
        <f t="shared" si="1149"/>
        <v>0</v>
      </c>
      <c r="ER179" s="270">
        <f t="shared" si="1149"/>
        <v>0</v>
      </c>
      <c r="ES179" s="270">
        <f t="shared" si="1149"/>
        <v>0</v>
      </c>
      <c r="ET179" s="270">
        <f t="shared" si="1149"/>
        <v>0</v>
      </c>
      <c r="EU179" s="270">
        <f t="shared" si="1149"/>
        <v>0</v>
      </c>
      <c r="EV179" s="270">
        <f t="shared" si="1149"/>
        <v>0</v>
      </c>
      <c r="EW179" s="270">
        <f t="shared" si="1149"/>
        <v>0</v>
      </c>
      <c r="EX179" s="270">
        <f t="shared" si="1149"/>
        <v>0</v>
      </c>
      <c r="EY179" s="270">
        <f t="shared" si="1149"/>
        <v>0</v>
      </c>
      <c r="EZ179" s="270">
        <f t="shared" si="1149"/>
        <v>0</v>
      </c>
      <c r="FA179" s="270">
        <f t="shared" si="1149"/>
        <v>0</v>
      </c>
      <c r="FB179" s="270">
        <f t="shared" si="1149"/>
        <v>0</v>
      </c>
      <c r="FC179" s="270">
        <f t="shared" si="1149"/>
        <v>0</v>
      </c>
      <c r="FD179" s="271"/>
      <c r="FE179" s="271"/>
      <c r="FF179" s="271"/>
      <c r="FG179" s="215"/>
      <c r="FH179" s="215"/>
    </row>
    <row r="180" ht="11.25" customHeight="1">
      <c r="A180" s="215" t="str">
        <f t="shared" si="19"/>
        <v/>
      </c>
      <c r="B180" s="241" t="str">
        <f t="shared" si="600"/>
        <v>#N/A</v>
      </c>
      <c r="C180" s="271" t="str">
        <f>IF(A180="","",IF(Calculator!snowball,IF(($E$5-DY180)&lt;0,0,$E$5-DY180),0)+D180)</f>
        <v/>
      </c>
      <c r="D180" s="271"/>
      <c r="E180" s="270">
        <f t="shared" si="40"/>
        <v>0</v>
      </c>
      <c r="F180" s="270">
        <f t="shared" ref="F180:AG180" si="1150">CU180+EB181</f>
        <v>0</v>
      </c>
      <c r="G180" s="270">
        <f t="shared" si="1150"/>
        <v>0</v>
      </c>
      <c r="H180" s="270">
        <f t="shared" si="1150"/>
        <v>0</v>
      </c>
      <c r="I180" s="270">
        <f t="shared" si="1150"/>
        <v>0</v>
      </c>
      <c r="J180" s="270">
        <f t="shared" si="1150"/>
        <v>0</v>
      </c>
      <c r="K180" s="270">
        <f t="shared" si="1150"/>
        <v>0</v>
      </c>
      <c r="L180" s="270">
        <f t="shared" si="1150"/>
        <v>0</v>
      </c>
      <c r="M180" s="270">
        <f t="shared" si="1150"/>
        <v>0</v>
      </c>
      <c r="N180" s="270">
        <f t="shared" si="1150"/>
        <v>0</v>
      </c>
      <c r="O180" s="270">
        <f t="shared" si="1150"/>
        <v>0</v>
      </c>
      <c r="P180" s="272">
        <f t="shared" si="1150"/>
        <v>0</v>
      </c>
      <c r="Q180" s="272">
        <f t="shared" si="1150"/>
        <v>0</v>
      </c>
      <c r="R180" s="272">
        <f t="shared" si="1150"/>
        <v>0</v>
      </c>
      <c r="S180" s="272">
        <f t="shared" si="1150"/>
        <v>0</v>
      </c>
      <c r="T180" s="272">
        <f t="shared" si="1150"/>
        <v>0</v>
      </c>
      <c r="U180" s="270">
        <f t="shared" si="1150"/>
        <v>0</v>
      </c>
      <c r="V180" s="270">
        <f t="shared" si="1150"/>
        <v>0</v>
      </c>
      <c r="W180" s="270">
        <f t="shared" si="1150"/>
        <v>0</v>
      </c>
      <c r="X180" s="270">
        <f t="shared" si="1150"/>
        <v>0</v>
      </c>
      <c r="Y180" s="270">
        <f t="shared" si="1150"/>
        <v>0</v>
      </c>
      <c r="Z180" s="270">
        <f t="shared" si="1150"/>
        <v>0</v>
      </c>
      <c r="AA180" s="270">
        <f t="shared" si="1150"/>
        <v>0</v>
      </c>
      <c r="AB180" s="270">
        <f t="shared" si="1150"/>
        <v>0</v>
      </c>
      <c r="AC180" s="270">
        <f t="shared" si="1150"/>
        <v>0</v>
      </c>
      <c r="AD180" s="270">
        <f t="shared" si="1150"/>
        <v>0</v>
      </c>
      <c r="AE180" s="270">
        <f t="shared" si="1150"/>
        <v>0</v>
      </c>
      <c r="AF180" s="270">
        <f t="shared" si="1150"/>
        <v>0</v>
      </c>
      <c r="AG180" s="270">
        <f t="shared" si="1150"/>
        <v>0</v>
      </c>
      <c r="AH180" s="279">
        <f t="shared" si="602"/>
        <v>0</v>
      </c>
      <c r="AI180" s="270">
        <f t="shared" si="43"/>
        <v>0</v>
      </c>
      <c r="AJ180" s="270">
        <f t="shared" ref="AJ180:AO180" si="1151">IF(F$8=0,0,ROUND(AJ179-(F180-BO180),2))</f>
        <v>0</v>
      </c>
      <c r="AK180" s="270">
        <f t="shared" si="1151"/>
        <v>0</v>
      </c>
      <c r="AL180" s="270">
        <f t="shared" si="1151"/>
        <v>0</v>
      </c>
      <c r="AM180" s="270">
        <f t="shared" si="1151"/>
        <v>0</v>
      </c>
      <c r="AN180" s="270">
        <f t="shared" si="1151"/>
        <v>0</v>
      </c>
      <c r="AO180" s="270">
        <f t="shared" si="1151"/>
        <v>0</v>
      </c>
      <c r="AP180" s="270">
        <v>0.0</v>
      </c>
      <c r="AQ180" s="270">
        <f t="shared" ref="AQ180:AS180" si="1152">IF(M$8=0,0,ROUND(AQ179-(M180-BV180),2))</f>
        <v>0</v>
      </c>
      <c r="AR180" s="270">
        <f t="shared" si="1152"/>
        <v>0</v>
      </c>
      <c r="AS180" s="270">
        <f t="shared" si="1152"/>
        <v>0</v>
      </c>
      <c r="AT180" s="270">
        <f t="shared" si="605"/>
        <v>-6.22</v>
      </c>
      <c r="AU180" s="270">
        <f t="shared" ref="AU180:BK180" si="1153">IF(Q$8=0,0,ROUND(AU179-(Q180-BY180),2))</f>
        <v>-12.03</v>
      </c>
      <c r="AV180" s="270">
        <f t="shared" si="1153"/>
        <v>0</v>
      </c>
      <c r="AW180" s="270">
        <f t="shared" si="1153"/>
        <v>0</v>
      </c>
      <c r="AX180" s="270">
        <f t="shared" si="1153"/>
        <v>0</v>
      </c>
      <c r="AY180" s="270">
        <f t="shared" si="1153"/>
        <v>0</v>
      </c>
      <c r="AZ180" s="270">
        <f t="shared" si="1153"/>
        <v>0</v>
      </c>
      <c r="BA180" s="270">
        <f t="shared" si="1153"/>
        <v>0</v>
      </c>
      <c r="BB180" s="270">
        <f t="shared" si="1153"/>
        <v>0</v>
      </c>
      <c r="BC180" s="270">
        <f t="shared" si="1153"/>
        <v>0</v>
      </c>
      <c r="BD180" s="270">
        <f t="shared" si="1153"/>
        <v>0</v>
      </c>
      <c r="BE180" s="270">
        <f t="shared" si="1153"/>
        <v>0</v>
      </c>
      <c r="BF180" s="270">
        <f t="shared" si="1153"/>
        <v>0</v>
      </c>
      <c r="BG180" s="270">
        <f t="shared" si="1153"/>
        <v>0</v>
      </c>
      <c r="BH180" s="270">
        <f t="shared" si="1153"/>
        <v>0</v>
      </c>
      <c r="BI180" s="270">
        <f t="shared" si="1153"/>
        <v>0</v>
      </c>
      <c r="BJ180" s="270">
        <f t="shared" si="1153"/>
        <v>0</v>
      </c>
      <c r="BK180" s="270">
        <f t="shared" si="1153"/>
        <v>0</v>
      </c>
      <c r="BL180" s="265">
        <f t="shared" si="16"/>
        <v>-18.25</v>
      </c>
      <c r="BM180" s="215"/>
      <c r="BN180" s="270">
        <f t="shared" ref="BN180:CP180" si="1154">ROUND(AI179*E$9/12,2)</f>
        <v>0</v>
      </c>
      <c r="BO180" s="270">
        <f t="shared" si="1154"/>
        <v>0</v>
      </c>
      <c r="BP180" s="270">
        <f t="shared" si="1154"/>
        <v>0</v>
      </c>
      <c r="BQ180" s="270">
        <f t="shared" si="1154"/>
        <v>0</v>
      </c>
      <c r="BR180" s="270">
        <f t="shared" si="1154"/>
        <v>0</v>
      </c>
      <c r="BS180" s="270">
        <f t="shared" si="1154"/>
        <v>0</v>
      </c>
      <c r="BT180" s="270">
        <f t="shared" si="1154"/>
        <v>0</v>
      </c>
      <c r="BU180" s="270">
        <f t="shared" si="1154"/>
        <v>0</v>
      </c>
      <c r="BV180" s="270">
        <f t="shared" si="1154"/>
        <v>0</v>
      </c>
      <c r="BW180" s="270">
        <f t="shared" si="1154"/>
        <v>0</v>
      </c>
      <c r="BX180" s="270">
        <f t="shared" si="1154"/>
        <v>0</v>
      </c>
      <c r="BY180" s="270">
        <f t="shared" si="1154"/>
        <v>-0.05</v>
      </c>
      <c r="BZ180" s="270">
        <f t="shared" si="1154"/>
        <v>-0.04</v>
      </c>
      <c r="CA180" s="270">
        <f t="shared" si="1154"/>
        <v>0</v>
      </c>
      <c r="CB180" s="270">
        <f t="shared" si="1154"/>
        <v>0</v>
      </c>
      <c r="CC180" s="270">
        <f t="shared" si="1154"/>
        <v>0</v>
      </c>
      <c r="CD180" s="270">
        <f t="shared" si="1154"/>
        <v>0</v>
      </c>
      <c r="CE180" s="270">
        <f t="shared" si="1154"/>
        <v>0</v>
      </c>
      <c r="CF180" s="270">
        <f t="shared" si="1154"/>
        <v>0</v>
      </c>
      <c r="CG180" s="270">
        <f t="shared" si="1154"/>
        <v>0</v>
      </c>
      <c r="CH180" s="270">
        <f t="shared" si="1154"/>
        <v>0</v>
      </c>
      <c r="CI180" s="270">
        <f t="shared" si="1154"/>
        <v>0</v>
      </c>
      <c r="CJ180" s="270">
        <f t="shared" si="1154"/>
        <v>0</v>
      </c>
      <c r="CK180" s="270">
        <f t="shared" si="1154"/>
        <v>0</v>
      </c>
      <c r="CL180" s="270">
        <f t="shared" si="1154"/>
        <v>0</v>
      </c>
      <c r="CM180" s="270">
        <f t="shared" si="1154"/>
        <v>0</v>
      </c>
      <c r="CN180" s="270">
        <f t="shared" si="1154"/>
        <v>0</v>
      </c>
      <c r="CO180" s="270">
        <f t="shared" si="1154"/>
        <v>0</v>
      </c>
      <c r="CP180" s="270">
        <f t="shared" si="1154"/>
        <v>0</v>
      </c>
      <c r="CQ180" s="215"/>
      <c r="CR180" s="270">
        <f t="shared" si="27"/>
        <v>-0.09</v>
      </c>
      <c r="CS180" s="215"/>
      <c r="CT180" s="270">
        <f t="shared" ref="CT180:DX180" si="1155">IF(AI179&gt;0,IF((AI179+BN180)&lt;E$10,AI179+BN180,E$10),0)</f>
        <v>0</v>
      </c>
      <c r="CU180" s="270">
        <f t="shared" si="1155"/>
        <v>0</v>
      </c>
      <c r="CV180" s="270">
        <f t="shared" si="1155"/>
        <v>0</v>
      </c>
      <c r="CW180" s="270">
        <f t="shared" si="1155"/>
        <v>0</v>
      </c>
      <c r="CX180" s="270">
        <f t="shared" si="1155"/>
        <v>0</v>
      </c>
      <c r="CY180" s="270">
        <f t="shared" si="1155"/>
        <v>0</v>
      </c>
      <c r="CZ180" s="270">
        <f t="shared" si="1155"/>
        <v>0</v>
      </c>
      <c r="DA180" s="270">
        <f t="shared" si="1155"/>
        <v>0</v>
      </c>
      <c r="DB180" s="270">
        <f t="shared" si="1155"/>
        <v>0</v>
      </c>
      <c r="DC180" s="270">
        <f t="shared" si="1155"/>
        <v>0</v>
      </c>
      <c r="DD180" s="270">
        <f t="shared" si="1155"/>
        <v>0</v>
      </c>
      <c r="DE180" s="270">
        <f t="shared" si="1155"/>
        <v>0</v>
      </c>
      <c r="DF180" s="270">
        <f t="shared" si="1155"/>
        <v>0</v>
      </c>
      <c r="DG180" s="270">
        <f t="shared" si="1155"/>
        <v>0</v>
      </c>
      <c r="DH180" s="270">
        <f t="shared" si="1155"/>
        <v>0</v>
      </c>
      <c r="DI180" s="270">
        <f t="shared" si="1155"/>
        <v>0</v>
      </c>
      <c r="DJ180" s="270">
        <f t="shared" si="1155"/>
        <v>0</v>
      </c>
      <c r="DK180" s="270">
        <f t="shared" si="1155"/>
        <v>0</v>
      </c>
      <c r="DL180" s="270">
        <f t="shared" si="1155"/>
        <v>0</v>
      </c>
      <c r="DM180" s="270">
        <f t="shared" si="1155"/>
        <v>0</v>
      </c>
      <c r="DN180" s="270">
        <f t="shared" si="1155"/>
        <v>0</v>
      </c>
      <c r="DO180" s="270">
        <f t="shared" si="1155"/>
        <v>0</v>
      </c>
      <c r="DP180" s="270">
        <f t="shared" si="1155"/>
        <v>0</v>
      </c>
      <c r="DQ180" s="270">
        <f t="shared" si="1155"/>
        <v>0</v>
      </c>
      <c r="DR180" s="270">
        <f t="shared" si="1155"/>
        <v>0</v>
      </c>
      <c r="DS180" s="270">
        <f t="shared" si="1155"/>
        <v>0</v>
      </c>
      <c r="DT180" s="270">
        <f t="shared" si="1155"/>
        <v>0</v>
      </c>
      <c r="DU180" s="270">
        <f t="shared" si="1155"/>
        <v>0</v>
      </c>
      <c r="DV180" s="270">
        <f t="shared" si="1155"/>
        <v>0</v>
      </c>
      <c r="DW180" s="270">
        <f t="shared" si="1155"/>
        <v>0</v>
      </c>
      <c r="DX180" s="270">
        <f t="shared" si="1155"/>
        <v>0</v>
      </c>
      <c r="DY180" s="270">
        <f t="shared" si="29"/>
        <v>0</v>
      </c>
      <c r="DZ180" s="274"/>
      <c r="EA180" s="275">
        <f t="shared" si="38"/>
        <v>0</v>
      </c>
      <c r="EB180" s="270">
        <f t="shared" ref="EB180:FC180" si="1156">IF(AJ178&lt;=0,0,IF($C179&lt;=SUM($EA180:EA180),0,IF(CU179+$C179-SUM($EA180:EA180)&gt;AJ178+BO179,AJ178+BO179-CU179,$C179-SUM($EA180:EA180))))</f>
        <v>0</v>
      </c>
      <c r="EC180" s="270">
        <f t="shared" si="1156"/>
        <v>0</v>
      </c>
      <c r="ED180" s="270">
        <f t="shared" si="1156"/>
        <v>0</v>
      </c>
      <c r="EE180" s="270">
        <f t="shared" si="1156"/>
        <v>0</v>
      </c>
      <c r="EF180" s="270">
        <f t="shared" si="1156"/>
        <v>0</v>
      </c>
      <c r="EG180" s="270">
        <f t="shared" si="1156"/>
        <v>0</v>
      </c>
      <c r="EH180" s="270">
        <f t="shared" si="1156"/>
        <v>0</v>
      </c>
      <c r="EI180" s="270">
        <f t="shared" si="1156"/>
        <v>0</v>
      </c>
      <c r="EJ180" s="270">
        <f t="shared" si="1156"/>
        <v>0</v>
      </c>
      <c r="EK180" s="270">
        <f t="shared" si="1156"/>
        <v>0</v>
      </c>
      <c r="EL180" s="270">
        <f t="shared" si="1156"/>
        <v>0</v>
      </c>
      <c r="EM180" s="270">
        <f t="shared" si="1156"/>
        <v>0</v>
      </c>
      <c r="EN180" s="270">
        <f t="shared" si="1156"/>
        <v>0</v>
      </c>
      <c r="EO180" s="270">
        <f t="shared" si="1156"/>
        <v>0</v>
      </c>
      <c r="EP180" s="270">
        <f t="shared" si="1156"/>
        <v>0</v>
      </c>
      <c r="EQ180" s="270">
        <f t="shared" si="1156"/>
        <v>0</v>
      </c>
      <c r="ER180" s="270">
        <f t="shared" si="1156"/>
        <v>0</v>
      </c>
      <c r="ES180" s="270">
        <f t="shared" si="1156"/>
        <v>0</v>
      </c>
      <c r="ET180" s="270">
        <f t="shared" si="1156"/>
        <v>0</v>
      </c>
      <c r="EU180" s="270">
        <f t="shared" si="1156"/>
        <v>0</v>
      </c>
      <c r="EV180" s="270">
        <f t="shared" si="1156"/>
        <v>0</v>
      </c>
      <c r="EW180" s="270">
        <f t="shared" si="1156"/>
        <v>0</v>
      </c>
      <c r="EX180" s="270">
        <f t="shared" si="1156"/>
        <v>0</v>
      </c>
      <c r="EY180" s="270">
        <f t="shared" si="1156"/>
        <v>0</v>
      </c>
      <c r="EZ180" s="270">
        <f t="shared" si="1156"/>
        <v>0</v>
      </c>
      <c r="FA180" s="270">
        <f t="shared" si="1156"/>
        <v>0</v>
      </c>
      <c r="FB180" s="270">
        <f t="shared" si="1156"/>
        <v>0</v>
      </c>
      <c r="FC180" s="270">
        <f t="shared" si="1156"/>
        <v>0</v>
      </c>
      <c r="FD180" s="271"/>
      <c r="FE180" s="271"/>
      <c r="FF180" s="271"/>
      <c r="FG180" s="215"/>
      <c r="FH180" s="215"/>
    </row>
    <row r="181" ht="11.25" customHeight="1">
      <c r="A181" s="215" t="str">
        <f t="shared" si="19"/>
        <v/>
      </c>
      <c r="B181" s="241" t="str">
        <f t="shared" si="600"/>
        <v>#N/A</v>
      </c>
      <c r="C181" s="271" t="str">
        <f>IF(A181="","",IF(Calculator!snowball,IF(($E$5-DY181)&lt;0,0,$E$5-DY181),0)+D181)</f>
        <v/>
      </c>
      <c r="D181" s="271"/>
      <c r="E181" s="270">
        <f t="shared" si="40"/>
        <v>0</v>
      </c>
      <c r="F181" s="270">
        <f t="shared" ref="F181:AG181" si="1157">CU181+EB182</f>
        <v>0</v>
      </c>
      <c r="G181" s="270">
        <f t="shared" si="1157"/>
        <v>0</v>
      </c>
      <c r="H181" s="270">
        <f t="shared" si="1157"/>
        <v>0</v>
      </c>
      <c r="I181" s="270">
        <f t="shared" si="1157"/>
        <v>0</v>
      </c>
      <c r="J181" s="270">
        <f t="shared" si="1157"/>
        <v>0</v>
      </c>
      <c r="K181" s="270">
        <f t="shared" si="1157"/>
        <v>0</v>
      </c>
      <c r="L181" s="270">
        <f t="shared" si="1157"/>
        <v>0</v>
      </c>
      <c r="M181" s="270">
        <f t="shared" si="1157"/>
        <v>0</v>
      </c>
      <c r="N181" s="270">
        <f t="shared" si="1157"/>
        <v>0</v>
      </c>
      <c r="O181" s="270">
        <f t="shared" si="1157"/>
        <v>0</v>
      </c>
      <c r="P181" s="272">
        <f t="shared" si="1157"/>
        <v>0</v>
      </c>
      <c r="Q181" s="272">
        <f t="shared" si="1157"/>
        <v>0</v>
      </c>
      <c r="R181" s="272">
        <f t="shared" si="1157"/>
        <v>0</v>
      </c>
      <c r="S181" s="272">
        <f t="shared" si="1157"/>
        <v>0</v>
      </c>
      <c r="T181" s="272">
        <f t="shared" si="1157"/>
        <v>0</v>
      </c>
      <c r="U181" s="270">
        <f t="shared" si="1157"/>
        <v>0</v>
      </c>
      <c r="V181" s="270">
        <f t="shared" si="1157"/>
        <v>0</v>
      </c>
      <c r="W181" s="270">
        <f t="shared" si="1157"/>
        <v>0</v>
      </c>
      <c r="X181" s="270">
        <f t="shared" si="1157"/>
        <v>0</v>
      </c>
      <c r="Y181" s="270">
        <f t="shared" si="1157"/>
        <v>0</v>
      </c>
      <c r="Z181" s="270">
        <f t="shared" si="1157"/>
        <v>0</v>
      </c>
      <c r="AA181" s="270">
        <f t="shared" si="1157"/>
        <v>0</v>
      </c>
      <c r="AB181" s="270">
        <f t="shared" si="1157"/>
        <v>0</v>
      </c>
      <c r="AC181" s="270">
        <f t="shared" si="1157"/>
        <v>0</v>
      </c>
      <c r="AD181" s="270">
        <f t="shared" si="1157"/>
        <v>0</v>
      </c>
      <c r="AE181" s="270">
        <f t="shared" si="1157"/>
        <v>0</v>
      </c>
      <c r="AF181" s="270">
        <f t="shared" si="1157"/>
        <v>0</v>
      </c>
      <c r="AG181" s="270">
        <f t="shared" si="1157"/>
        <v>0</v>
      </c>
      <c r="AH181" s="279">
        <f t="shared" si="602"/>
        <v>0</v>
      </c>
      <c r="AI181" s="270">
        <f t="shared" si="43"/>
        <v>0</v>
      </c>
      <c r="AJ181" s="270">
        <f t="shared" ref="AJ181:AO181" si="1158">IF(F$8=0,0,ROUND(AJ180-(F181-BO181),2))</f>
        <v>0</v>
      </c>
      <c r="AK181" s="270">
        <f t="shared" si="1158"/>
        <v>0</v>
      </c>
      <c r="AL181" s="270">
        <f t="shared" si="1158"/>
        <v>0</v>
      </c>
      <c r="AM181" s="270">
        <f t="shared" si="1158"/>
        <v>0</v>
      </c>
      <c r="AN181" s="270">
        <f t="shared" si="1158"/>
        <v>0</v>
      </c>
      <c r="AO181" s="270">
        <f t="shared" si="1158"/>
        <v>0</v>
      </c>
      <c r="AP181" s="270">
        <v>0.0</v>
      </c>
      <c r="AQ181" s="270">
        <f t="shared" ref="AQ181:AS181" si="1159">IF(M$8=0,0,ROUND(AQ180-(M181-BV181),2))</f>
        <v>0</v>
      </c>
      <c r="AR181" s="270">
        <f t="shared" si="1159"/>
        <v>0</v>
      </c>
      <c r="AS181" s="270">
        <f t="shared" si="1159"/>
        <v>0</v>
      </c>
      <c r="AT181" s="270">
        <f t="shared" si="605"/>
        <v>-6.22</v>
      </c>
      <c r="AU181" s="270">
        <f t="shared" ref="AU181:BK181" si="1160">IF(Q$8=0,0,ROUND(AU180-(Q181-BY181),2))</f>
        <v>-12.08</v>
      </c>
      <c r="AV181" s="270">
        <f t="shared" si="1160"/>
        <v>0</v>
      </c>
      <c r="AW181" s="270">
        <f t="shared" si="1160"/>
        <v>0</v>
      </c>
      <c r="AX181" s="270">
        <f t="shared" si="1160"/>
        <v>0</v>
      </c>
      <c r="AY181" s="270">
        <f t="shared" si="1160"/>
        <v>0</v>
      </c>
      <c r="AZ181" s="270">
        <f t="shared" si="1160"/>
        <v>0</v>
      </c>
      <c r="BA181" s="270">
        <f t="shared" si="1160"/>
        <v>0</v>
      </c>
      <c r="BB181" s="270">
        <f t="shared" si="1160"/>
        <v>0</v>
      </c>
      <c r="BC181" s="270">
        <f t="shared" si="1160"/>
        <v>0</v>
      </c>
      <c r="BD181" s="270">
        <f t="shared" si="1160"/>
        <v>0</v>
      </c>
      <c r="BE181" s="270">
        <f t="shared" si="1160"/>
        <v>0</v>
      </c>
      <c r="BF181" s="270">
        <f t="shared" si="1160"/>
        <v>0</v>
      </c>
      <c r="BG181" s="270">
        <f t="shared" si="1160"/>
        <v>0</v>
      </c>
      <c r="BH181" s="270">
        <f t="shared" si="1160"/>
        <v>0</v>
      </c>
      <c r="BI181" s="270">
        <f t="shared" si="1160"/>
        <v>0</v>
      </c>
      <c r="BJ181" s="270">
        <f t="shared" si="1160"/>
        <v>0</v>
      </c>
      <c r="BK181" s="270">
        <f t="shared" si="1160"/>
        <v>0</v>
      </c>
      <c r="BL181" s="265">
        <f t="shared" si="16"/>
        <v>-18.3</v>
      </c>
      <c r="BM181" s="215"/>
      <c r="BN181" s="270">
        <f t="shared" ref="BN181:CP181" si="1161">ROUND(AI180*E$9/12,2)</f>
        <v>0</v>
      </c>
      <c r="BO181" s="270">
        <f t="shared" si="1161"/>
        <v>0</v>
      </c>
      <c r="BP181" s="270">
        <f t="shared" si="1161"/>
        <v>0</v>
      </c>
      <c r="BQ181" s="270">
        <f t="shared" si="1161"/>
        <v>0</v>
      </c>
      <c r="BR181" s="270">
        <f t="shared" si="1161"/>
        <v>0</v>
      </c>
      <c r="BS181" s="270">
        <f t="shared" si="1161"/>
        <v>0</v>
      </c>
      <c r="BT181" s="270">
        <f t="shared" si="1161"/>
        <v>0</v>
      </c>
      <c r="BU181" s="270">
        <f t="shared" si="1161"/>
        <v>0</v>
      </c>
      <c r="BV181" s="270">
        <f t="shared" si="1161"/>
        <v>0</v>
      </c>
      <c r="BW181" s="270">
        <f t="shared" si="1161"/>
        <v>0</v>
      </c>
      <c r="BX181" s="270">
        <f t="shared" si="1161"/>
        <v>0</v>
      </c>
      <c r="BY181" s="270">
        <f t="shared" si="1161"/>
        <v>-0.05</v>
      </c>
      <c r="BZ181" s="270">
        <f t="shared" si="1161"/>
        <v>-0.04</v>
      </c>
      <c r="CA181" s="270">
        <f t="shared" si="1161"/>
        <v>0</v>
      </c>
      <c r="CB181" s="270">
        <f t="shared" si="1161"/>
        <v>0</v>
      </c>
      <c r="CC181" s="270">
        <f t="shared" si="1161"/>
        <v>0</v>
      </c>
      <c r="CD181" s="270">
        <f t="shared" si="1161"/>
        <v>0</v>
      </c>
      <c r="CE181" s="270">
        <f t="shared" si="1161"/>
        <v>0</v>
      </c>
      <c r="CF181" s="270">
        <f t="shared" si="1161"/>
        <v>0</v>
      </c>
      <c r="CG181" s="270">
        <f t="shared" si="1161"/>
        <v>0</v>
      </c>
      <c r="CH181" s="270">
        <f t="shared" si="1161"/>
        <v>0</v>
      </c>
      <c r="CI181" s="270">
        <f t="shared" si="1161"/>
        <v>0</v>
      </c>
      <c r="CJ181" s="270">
        <f t="shared" si="1161"/>
        <v>0</v>
      </c>
      <c r="CK181" s="270">
        <f t="shared" si="1161"/>
        <v>0</v>
      </c>
      <c r="CL181" s="270">
        <f t="shared" si="1161"/>
        <v>0</v>
      </c>
      <c r="CM181" s="270">
        <f t="shared" si="1161"/>
        <v>0</v>
      </c>
      <c r="CN181" s="270">
        <f t="shared" si="1161"/>
        <v>0</v>
      </c>
      <c r="CO181" s="270">
        <f t="shared" si="1161"/>
        <v>0</v>
      </c>
      <c r="CP181" s="270">
        <f t="shared" si="1161"/>
        <v>0</v>
      </c>
      <c r="CQ181" s="215"/>
      <c r="CR181" s="270">
        <f t="shared" si="27"/>
        <v>-0.09</v>
      </c>
      <c r="CS181" s="215"/>
      <c r="CT181" s="270">
        <f t="shared" ref="CT181:DX181" si="1162">IF(AI180&gt;0,IF((AI180+BN181)&lt;E$10,AI180+BN181,E$10),0)</f>
        <v>0</v>
      </c>
      <c r="CU181" s="270">
        <f t="shared" si="1162"/>
        <v>0</v>
      </c>
      <c r="CV181" s="270">
        <f t="shared" si="1162"/>
        <v>0</v>
      </c>
      <c r="CW181" s="270">
        <f t="shared" si="1162"/>
        <v>0</v>
      </c>
      <c r="CX181" s="270">
        <f t="shared" si="1162"/>
        <v>0</v>
      </c>
      <c r="CY181" s="270">
        <f t="shared" si="1162"/>
        <v>0</v>
      </c>
      <c r="CZ181" s="270">
        <f t="shared" si="1162"/>
        <v>0</v>
      </c>
      <c r="DA181" s="270">
        <f t="shared" si="1162"/>
        <v>0</v>
      </c>
      <c r="DB181" s="270">
        <f t="shared" si="1162"/>
        <v>0</v>
      </c>
      <c r="DC181" s="270">
        <f t="shared" si="1162"/>
        <v>0</v>
      </c>
      <c r="DD181" s="270">
        <f t="shared" si="1162"/>
        <v>0</v>
      </c>
      <c r="DE181" s="270">
        <f t="shared" si="1162"/>
        <v>0</v>
      </c>
      <c r="DF181" s="270">
        <f t="shared" si="1162"/>
        <v>0</v>
      </c>
      <c r="DG181" s="270">
        <f t="shared" si="1162"/>
        <v>0</v>
      </c>
      <c r="DH181" s="270">
        <f t="shared" si="1162"/>
        <v>0</v>
      </c>
      <c r="DI181" s="270">
        <f t="shared" si="1162"/>
        <v>0</v>
      </c>
      <c r="DJ181" s="270">
        <f t="shared" si="1162"/>
        <v>0</v>
      </c>
      <c r="DK181" s="270">
        <f t="shared" si="1162"/>
        <v>0</v>
      </c>
      <c r="DL181" s="270">
        <f t="shared" si="1162"/>
        <v>0</v>
      </c>
      <c r="DM181" s="270">
        <f t="shared" si="1162"/>
        <v>0</v>
      </c>
      <c r="DN181" s="270">
        <f t="shared" si="1162"/>
        <v>0</v>
      </c>
      <c r="DO181" s="270">
        <f t="shared" si="1162"/>
        <v>0</v>
      </c>
      <c r="DP181" s="270">
        <f t="shared" si="1162"/>
        <v>0</v>
      </c>
      <c r="DQ181" s="270">
        <f t="shared" si="1162"/>
        <v>0</v>
      </c>
      <c r="DR181" s="270">
        <f t="shared" si="1162"/>
        <v>0</v>
      </c>
      <c r="DS181" s="270">
        <f t="shared" si="1162"/>
        <v>0</v>
      </c>
      <c r="DT181" s="270">
        <f t="shared" si="1162"/>
        <v>0</v>
      </c>
      <c r="DU181" s="270">
        <f t="shared" si="1162"/>
        <v>0</v>
      </c>
      <c r="DV181" s="270">
        <f t="shared" si="1162"/>
        <v>0</v>
      </c>
      <c r="DW181" s="270">
        <f t="shared" si="1162"/>
        <v>0</v>
      </c>
      <c r="DX181" s="270">
        <f t="shared" si="1162"/>
        <v>0</v>
      </c>
      <c r="DY181" s="270">
        <f t="shared" si="29"/>
        <v>0</v>
      </c>
      <c r="DZ181" s="274"/>
      <c r="EA181" s="275">
        <f t="shared" si="38"/>
        <v>0</v>
      </c>
      <c r="EB181" s="270">
        <f t="shared" ref="EB181:FC181" si="1163">IF(AJ179&lt;=0,0,IF($C180&lt;=SUM($EA181:EA181),0,IF(CU180+$C180-SUM($EA181:EA181)&gt;AJ179+BO180,AJ179+BO180-CU180,$C180-SUM($EA181:EA181))))</f>
        <v>0</v>
      </c>
      <c r="EC181" s="270">
        <f t="shared" si="1163"/>
        <v>0</v>
      </c>
      <c r="ED181" s="270">
        <f t="shared" si="1163"/>
        <v>0</v>
      </c>
      <c r="EE181" s="270">
        <f t="shared" si="1163"/>
        <v>0</v>
      </c>
      <c r="EF181" s="270">
        <f t="shared" si="1163"/>
        <v>0</v>
      </c>
      <c r="EG181" s="270">
        <f t="shared" si="1163"/>
        <v>0</v>
      </c>
      <c r="EH181" s="270">
        <f t="shared" si="1163"/>
        <v>0</v>
      </c>
      <c r="EI181" s="270">
        <f t="shared" si="1163"/>
        <v>0</v>
      </c>
      <c r="EJ181" s="270">
        <f t="shared" si="1163"/>
        <v>0</v>
      </c>
      <c r="EK181" s="270">
        <f t="shared" si="1163"/>
        <v>0</v>
      </c>
      <c r="EL181" s="270">
        <f t="shared" si="1163"/>
        <v>0</v>
      </c>
      <c r="EM181" s="270">
        <f t="shared" si="1163"/>
        <v>0</v>
      </c>
      <c r="EN181" s="270">
        <f t="shared" si="1163"/>
        <v>0</v>
      </c>
      <c r="EO181" s="270">
        <f t="shared" si="1163"/>
        <v>0</v>
      </c>
      <c r="EP181" s="270">
        <f t="shared" si="1163"/>
        <v>0</v>
      </c>
      <c r="EQ181" s="270">
        <f t="shared" si="1163"/>
        <v>0</v>
      </c>
      <c r="ER181" s="270">
        <f t="shared" si="1163"/>
        <v>0</v>
      </c>
      <c r="ES181" s="270">
        <f t="shared" si="1163"/>
        <v>0</v>
      </c>
      <c r="ET181" s="270">
        <f t="shared" si="1163"/>
        <v>0</v>
      </c>
      <c r="EU181" s="270">
        <f t="shared" si="1163"/>
        <v>0</v>
      </c>
      <c r="EV181" s="270">
        <f t="shared" si="1163"/>
        <v>0</v>
      </c>
      <c r="EW181" s="270">
        <f t="shared" si="1163"/>
        <v>0</v>
      </c>
      <c r="EX181" s="270">
        <f t="shared" si="1163"/>
        <v>0</v>
      </c>
      <c r="EY181" s="270">
        <f t="shared" si="1163"/>
        <v>0</v>
      </c>
      <c r="EZ181" s="270">
        <f t="shared" si="1163"/>
        <v>0</v>
      </c>
      <c r="FA181" s="270">
        <f t="shared" si="1163"/>
        <v>0</v>
      </c>
      <c r="FB181" s="270">
        <f t="shared" si="1163"/>
        <v>0</v>
      </c>
      <c r="FC181" s="270">
        <f t="shared" si="1163"/>
        <v>0</v>
      </c>
      <c r="FD181" s="271"/>
      <c r="FE181" s="271"/>
      <c r="FF181" s="271"/>
      <c r="FG181" s="215"/>
      <c r="FH181" s="215"/>
    </row>
    <row r="182" ht="11.25" customHeight="1">
      <c r="A182" s="215" t="str">
        <f t="shared" si="19"/>
        <v/>
      </c>
      <c r="B182" s="241" t="str">
        <f t="shared" si="600"/>
        <v>#N/A</v>
      </c>
      <c r="C182" s="271" t="str">
        <f>IF(A182="","",IF(Calculator!snowball,IF(($E$5-DY182)&lt;0,0,$E$5-DY182),0)+D182)</f>
        <v/>
      </c>
      <c r="D182" s="271"/>
      <c r="E182" s="270">
        <f t="shared" si="40"/>
        <v>0</v>
      </c>
      <c r="F182" s="270">
        <f t="shared" ref="F182:AG182" si="1164">CU182+EB183</f>
        <v>0</v>
      </c>
      <c r="G182" s="270">
        <f t="shared" si="1164"/>
        <v>0</v>
      </c>
      <c r="H182" s="270">
        <f t="shared" si="1164"/>
        <v>0</v>
      </c>
      <c r="I182" s="270">
        <f t="shared" si="1164"/>
        <v>0</v>
      </c>
      <c r="J182" s="270">
        <f t="shared" si="1164"/>
        <v>0</v>
      </c>
      <c r="K182" s="270">
        <f t="shared" si="1164"/>
        <v>0</v>
      </c>
      <c r="L182" s="270">
        <f t="shared" si="1164"/>
        <v>0</v>
      </c>
      <c r="M182" s="270">
        <f t="shared" si="1164"/>
        <v>0</v>
      </c>
      <c r="N182" s="270">
        <f t="shared" si="1164"/>
        <v>0</v>
      </c>
      <c r="O182" s="270">
        <f t="shared" si="1164"/>
        <v>0</v>
      </c>
      <c r="P182" s="272">
        <f t="shared" si="1164"/>
        <v>0</v>
      </c>
      <c r="Q182" s="272">
        <f t="shared" si="1164"/>
        <v>0</v>
      </c>
      <c r="R182" s="272">
        <f t="shared" si="1164"/>
        <v>0</v>
      </c>
      <c r="S182" s="272">
        <f t="shared" si="1164"/>
        <v>0</v>
      </c>
      <c r="T182" s="272">
        <f t="shared" si="1164"/>
        <v>0</v>
      </c>
      <c r="U182" s="270">
        <f t="shared" si="1164"/>
        <v>0</v>
      </c>
      <c r="V182" s="270">
        <f t="shared" si="1164"/>
        <v>0</v>
      </c>
      <c r="W182" s="270">
        <f t="shared" si="1164"/>
        <v>0</v>
      </c>
      <c r="X182" s="270">
        <f t="shared" si="1164"/>
        <v>0</v>
      </c>
      <c r="Y182" s="270">
        <f t="shared" si="1164"/>
        <v>0</v>
      </c>
      <c r="Z182" s="270">
        <f t="shared" si="1164"/>
        <v>0</v>
      </c>
      <c r="AA182" s="270">
        <f t="shared" si="1164"/>
        <v>0</v>
      </c>
      <c r="AB182" s="270">
        <f t="shared" si="1164"/>
        <v>0</v>
      </c>
      <c r="AC182" s="270">
        <f t="shared" si="1164"/>
        <v>0</v>
      </c>
      <c r="AD182" s="270">
        <f t="shared" si="1164"/>
        <v>0</v>
      </c>
      <c r="AE182" s="270">
        <f t="shared" si="1164"/>
        <v>0</v>
      </c>
      <c r="AF182" s="270">
        <f t="shared" si="1164"/>
        <v>0</v>
      </c>
      <c r="AG182" s="270">
        <f t="shared" si="1164"/>
        <v>0</v>
      </c>
      <c r="AH182" s="279">
        <f t="shared" si="602"/>
        <v>0</v>
      </c>
      <c r="AI182" s="270">
        <f t="shared" si="43"/>
        <v>0</v>
      </c>
      <c r="AJ182" s="270">
        <f t="shared" ref="AJ182:AO182" si="1165">IF(F$8=0,0,ROUND(AJ181-(F182-BO182),2))</f>
        <v>0</v>
      </c>
      <c r="AK182" s="270">
        <f t="shared" si="1165"/>
        <v>0</v>
      </c>
      <c r="AL182" s="270">
        <f t="shared" si="1165"/>
        <v>0</v>
      </c>
      <c r="AM182" s="270">
        <f t="shared" si="1165"/>
        <v>0</v>
      </c>
      <c r="AN182" s="270">
        <f t="shared" si="1165"/>
        <v>0</v>
      </c>
      <c r="AO182" s="270">
        <f t="shared" si="1165"/>
        <v>0</v>
      </c>
      <c r="AP182" s="270">
        <v>0.0</v>
      </c>
      <c r="AQ182" s="270">
        <f t="shared" ref="AQ182:AS182" si="1166">IF(M$8=0,0,ROUND(AQ181-(M182-BV182),2))</f>
        <v>0</v>
      </c>
      <c r="AR182" s="270">
        <f t="shared" si="1166"/>
        <v>0</v>
      </c>
      <c r="AS182" s="270">
        <f t="shared" si="1166"/>
        <v>0</v>
      </c>
      <c r="AT182" s="270">
        <f t="shared" si="605"/>
        <v>-6.22</v>
      </c>
      <c r="AU182" s="270">
        <f t="shared" ref="AU182:BK182" si="1167">IF(Q$8=0,0,ROUND(AU181-(Q182-BY182),2))</f>
        <v>-12.13</v>
      </c>
      <c r="AV182" s="270">
        <f t="shared" si="1167"/>
        <v>0</v>
      </c>
      <c r="AW182" s="270">
        <f t="shared" si="1167"/>
        <v>0</v>
      </c>
      <c r="AX182" s="270">
        <f t="shared" si="1167"/>
        <v>0</v>
      </c>
      <c r="AY182" s="270">
        <f t="shared" si="1167"/>
        <v>0</v>
      </c>
      <c r="AZ182" s="270">
        <f t="shared" si="1167"/>
        <v>0</v>
      </c>
      <c r="BA182" s="270">
        <f t="shared" si="1167"/>
        <v>0</v>
      </c>
      <c r="BB182" s="270">
        <f t="shared" si="1167"/>
        <v>0</v>
      </c>
      <c r="BC182" s="270">
        <f t="shared" si="1167"/>
        <v>0</v>
      </c>
      <c r="BD182" s="270">
        <f t="shared" si="1167"/>
        <v>0</v>
      </c>
      <c r="BE182" s="270">
        <f t="shared" si="1167"/>
        <v>0</v>
      </c>
      <c r="BF182" s="270">
        <f t="shared" si="1167"/>
        <v>0</v>
      </c>
      <c r="BG182" s="270">
        <f t="shared" si="1167"/>
        <v>0</v>
      </c>
      <c r="BH182" s="270">
        <f t="shared" si="1167"/>
        <v>0</v>
      </c>
      <c r="BI182" s="270">
        <f t="shared" si="1167"/>
        <v>0</v>
      </c>
      <c r="BJ182" s="270">
        <f t="shared" si="1167"/>
        <v>0</v>
      </c>
      <c r="BK182" s="270">
        <f t="shared" si="1167"/>
        <v>0</v>
      </c>
      <c r="BL182" s="265">
        <f t="shared" si="16"/>
        <v>-18.35</v>
      </c>
      <c r="BM182" s="215"/>
      <c r="BN182" s="270">
        <f t="shared" ref="BN182:CP182" si="1168">ROUND(AI181*E$9/12,2)</f>
        <v>0</v>
      </c>
      <c r="BO182" s="270">
        <f t="shared" si="1168"/>
        <v>0</v>
      </c>
      <c r="BP182" s="270">
        <f t="shared" si="1168"/>
        <v>0</v>
      </c>
      <c r="BQ182" s="270">
        <f t="shared" si="1168"/>
        <v>0</v>
      </c>
      <c r="BR182" s="270">
        <f t="shared" si="1168"/>
        <v>0</v>
      </c>
      <c r="BS182" s="270">
        <f t="shared" si="1168"/>
        <v>0</v>
      </c>
      <c r="BT182" s="270">
        <f t="shared" si="1168"/>
        <v>0</v>
      </c>
      <c r="BU182" s="270">
        <f t="shared" si="1168"/>
        <v>0</v>
      </c>
      <c r="BV182" s="270">
        <f t="shared" si="1168"/>
        <v>0</v>
      </c>
      <c r="BW182" s="270">
        <f t="shared" si="1168"/>
        <v>0</v>
      </c>
      <c r="BX182" s="270">
        <f t="shared" si="1168"/>
        <v>0</v>
      </c>
      <c r="BY182" s="270">
        <f t="shared" si="1168"/>
        <v>-0.05</v>
      </c>
      <c r="BZ182" s="270">
        <f t="shared" si="1168"/>
        <v>-0.04</v>
      </c>
      <c r="CA182" s="270">
        <f t="shared" si="1168"/>
        <v>0</v>
      </c>
      <c r="CB182" s="270">
        <f t="shared" si="1168"/>
        <v>0</v>
      </c>
      <c r="CC182" s="270">
        <f t="shared" si="1168"/>
        <v>0</v>
      </c>
      <c r="CD182" s="270">
        <f t="shared" si="1168"/>
        <v>0</v>
      </c>
      <c r="CE182" s="270">
        <f t="shared" si="1168"/>
        <v>0</v>
      </c>
      <c r="CF182" s="270">
        <f t="shared" si="1168"/>
        <v>0</v>
      </c>
      <c r="CG182" s="270">
        <f t="shared" si="1168"/>
        <v>0</v>
      </c>
      <c r="CH182" s="270">
        <f t="shared" si="1168"/>
        <v>0</v>
      </c>
      <c r="CI182" s="270">
        <f t="shared" si="1168"/>
        <v>0</v>
      </c>
      <c r="CJ182" s="270">
        <f t="shared" si="1168"/>
        <v>0</v>
      </c>
      <c r="CK182" s="270">
        <f t="shared" si="1168"/>
        <v>0</v>
      </c>
      <c r="CL182" s="270">
        <f t="shared" si="1168"/>
        <v>0</v>
      </c>
      <c r="CM182" s="270">
        <f t="shared" si="1168"/>
        <v>0</v>
      </c>
      <c r="CN182" s="270">
        <f t="shared" si="1168"/>
        <v>0</v>
      </c>
      <c r="CO182" s="270">
        <f t="shared" si="1168"/>
        <v>0</v>
      </c>
      <c r="CP182" s="270">
        <f t="shared" si="1168"/>
        <v>0</v>
      </c>
      <c r="CQ182" s="215"/>
      <c r="CR182" s="270">
        <f t="shared" si="27"/>
        <v>-0.09</v>
      </c>
      <c r="CS182" s="215"/>
      <c r="CT182" s="270">
        <f t="shared" ref="CT182:DX182" si="1169">IF(AI181&gt;0,IF((AI181+BN182)&lt;E$10,AI181+BN182,E$10),0)</f>
        <v>0</v>
      </c>
      <c r="CU182" s="270">
        <f t="shared" si="1169"/>
        <v>0</v>
      </c>
      <c r="CV182" s="270">
        <f t="shared" si="1169"/>
        <v>0</v>
      </c>
      <c r="CW182" s="270">
        <f t="shared" si="1169"/>
        <v>0</v>
      </c>
      <c r="CX182" s="270">
        <f t="shared" si="1169"/>
        <v>0</v>
      </c>
      <c r="CY182" s="270">
        <f t="shared" si="1169"/>
        <v>0</v>
      </c>
      <c r="CZ182" s="270">
        <f t="shared" si="1169"/>
        <v>0</v>
      </c>
      <c r="DA182" s="270">
        <f t="shared" si="1169"/>
        <v>0</v>
      </c>
      <c r="DB182" s="270">
        <f t="shared" si="1169"/>
        <v>0</v>
      </c>
      <c r="DC182" s="270">
        <f t="shared" si="1169"/>
        <v>0</v>
      </c>
      <c r="DD182" s="270">
        <f t="shared" si="1169"/>
        <v>0</v>
      </c>
      <c r="DE182" s="270">
        <f t="shared" si="1169"/>
        <v>0</v>
      </c>
      <c r="DF182" s="270">
        <f t="shared" si="1169"/>
        <v>0</v>
      </c>
      <c r="DG182" s="270">
        <f t="shared" si="1169"/>
        <v>0</v>
      </c>
      <c r="DH182" s="270">
        <f t="shared" si="1169"/>
        <v>0</v>
      </c>
      <c r="DI182" s="270">
        <f t="shared" si="1169"/>
        <v>0</v>
      </c>
      <c r="DJ182" s="270">
        <f t="shared" si="1169"/>
        <v>0</v>
      </c>
      <c r="DK182" s="270">
        <f t="shared" si="1169"/>
        <v>0</v>
      </c>
      <c r="DL182" s="270">
        <f t="shared" si="1169"/>
        <v>0</v>
      </c>
      <c r="DM182" s="270">
        <f t="shared" si="1169"/>
        <v>0</v>
      </c>
      <c r="DN182" s="270">
        <f t="shared" si="1169"/>
        <v>0</v>
      </c>
      <c r="DO182" s="270">
        <f t="shared" si="1169"/>
        <v>0</v>
      </c>
      <c r="DP182" s="270">
        <f t="shared" si="1169"/>
        <v>0</v>
      </c>
      <c r="DQ182" s="270">
        <f t="shared" si="1169"/>
        <v>0</v>
      </c>
      <c r="DR182" s="270">
        <f t="shared" si="1169"/>
        <v>0</v>
      </c>
      <c r="DS182" s="270">
        <f t="shared" si="1169"/>
        <v>0</v>
      </c>
      <c r="DT182" s="270">
        <f t="shared" si="1169"/>
        <v>0</v>
      </c>
      <c r="DU182" s="270">
        <f t="shared" si="1169"/>
        <v>0</v>
      </c>
      <c r="DV182" s="270">
        <f t="shared" si="1169"/>
        <v>0</v>
      </c>
      <c r="DW182" s="270">
        <f t="shared" si="1169"/>
        <v>0</v>
      </c>
      <c r="DX182" s="270">
        <f t="shared" si="1169"/>
        <v>0</v>
      </c>
      <c r="DY182" s="270">
        <f t="shared" si="29"/>
        <v>0</v>
      </c>
      <c r="DZ182" s="274"/>
      <c r="EA182" s="275">
        <f t="shared" si="38"/>
        <v>0</v>
      </c>
      <c r="EB182" s="270">
        <f t="shared" ref="EB182:FC182" si="1170">IF(AJ180&lt;=0,0,IF($C181&lt;=SUM($EA182:EA182),0,IF(CU181+$C181-SUM($EA182:EA182)&gt;AJ180+BO181,AJ180+BO181-CU181,$C181-SUM($EA182:EA182))))</f>
        <v>0</v>
      </c>
      <c r="EC182" s="270">
        <f t="shared" si="1170"/>
        <v>0</v>
      </c>
      <c r="ED182" s="270">
        <f t="shared" si="1170"/>
        <v>0</v>
      </c>
      <c r="EE182" s="270">
        <f t="shared" si="1170"/>
        <v>0</v>
      </c>
      <c r="EF182" s="270">
        <f t="shared" si="1170"/>
        <v>0</v>
      </c>
      <c r="EG182" s="270">
        <f t="shared" si="1170"/>
        <v>0</v>
      </c>
      <c r="EH182" s="270">
        <f t="shared" si="1170"/>
        <v>0</v>
      </c>
      <c r="EI182" s="270">
        <f t="shared" si="1170"/>
        <v>0</v>
      </c>
      <c r="EJ182" s="270">
        <f t="shared" si="1170"/>
        <v>0</v>
      </c>
      <c r="EK182" s="270">
        <f t="shared" si="1170"/>
        <v>0</v>
      </c>
      <c r="EL182" s="270">
        <f t="shared" si="1170"/>
        <v>0</v>
      </c>
      <c r="EM182" s="270">
        <f t="shared" si="1170"/>
        <v>0</v>
      </c>
      <c r="EN182" s="270">
        <f t="shared" si="1170"/>
        <v>0</v>
      </c>
      <c r="EO182" s="270">
        <f t="shared" si="1170"/>
        <v>0</v>
      </c>
      <c r="EP182" s="270">
        <f t="shared" si="1170"/>
        <v>0</v>
      </c>
      <c r="EQ182" s="270">
        <f t="shared" si="1170"/>
        <v>0</v>
      </c>
      <c r="ER182" s="270">
        <f t="shared" si="1170"/>
        <v>0</v>
      </c>
      <c r="ES182" s="270">
        <f t="shared" si="1170"/>
        <v>0</v>
      </c>
      <c r="ET182" s="270">
        <f t="shared" si="1170"/>
        <v>0</v>
      </c>
      <c r="EU182" s="270">
        <f t="shared" si="1170"/>
        <v>0</v>
      </c>
      <c r="EV182" s="270">
        <f t="shared" si="1170"/>
        <v>0</v>
      </c>
      <c r="EW182" s="270">
        <f t="shared" si="1170"/>
        <v>0</v>
      </c>
      <c r="EX182" s="270">
        <f t="shared" si="1170"/>
        <v>0</v>
      </c>
      <c r="EY182" s="270">
        <f t="shared" si="1170"/>
        <v>0</v>
      </c>
      <c r="EZ182" s="270">
        <f t="shared" si="1170"/>
        <v>0</v>
      </c>
      <c r="FA182" s="270">
        <f t="shared" si="1170"/>
        <v>0</v>
      </c>
      <c r="FB182" s="270">
        <f t="shared" si="1170"/>
        <v>0</v>
      </c>
      <c r="FC182" s="270">
        <f t="shared" si="1170"/>
        <v>0</v>
      </c>
      <c r="FD182" s="271"/>
      <c r="FE182" s="271"/>
      <c r="FF182" s="271"/>
      <c r="FG182" s="215"/>
      <c r="FH182" s="215"/>
    </row>
    <row r="183" ht="11.25" customHeight="1">
      <c r="A183" s="215" t="str">
        <f t="shared" si="19"/>
        <v/>
      </c>
      <c r="B183" s="241" t="str">
        <f t="shared" si="600"/>
        <v>#N/A</v>
      </c>
      <c r="C183" s="271" t="str">
        <f>IF(A183="","",IF(Calculator!snowball,IF(($E$5-DY183)&lt;0,0,$E$5-DY183),0)+D183)</f>
        <v/>
      </c>
      <c r="D183" s="271"/>
      <c r="E183" s="270">
        <f t="shared" si="40"/>
        <v>0</v>
      </c>
      <c r="F183" s="270">
        <f t="shared" ref="F183:AG183" si="1171">CU183+EB184</f>
        <v>0</v>
      </c>
      <c r="G183" s="270">
        <f t="shared" si="1171"/>
        <v>0</v>
      </c>
      <c r="H183" s="270">
        <f t="shared" si="1171"/>
        <v>0</v>
      </c>
      <c r="I183" s="270">
        <f t="shared" si="1171"/>
        <v>0</v>
      </c>
      <c r="J183" s="270">
        <f t="shared" si="1171"/>
        <v>0</v>
      </c>
      <c r="K183" s="270">
        <f t="shared" si="1171"/>
        <v>0</v>
      </c>
      <c r="L183" s="270">
        <f t="shared" si="1171"/>
        <v>0</v>
      </c>
      <c r="M183" s="270">
        <f t="shared" si="1171"/>
        <v>0</v>
      </c>
      <c r="N183" s="270">
        <f t="shared" si="1171"/>
        <v>0</v>
      </c>
      <c r="O183" s="270">
        <f t="shared" si="1171"/>
        <v>0</v>
      </c>
      <c r="P183" s="272">
        <f t="shared" si="1171"/>
        <v>0</v>
      </c>
      <c r="Q183" s="272">
        <f t="shared" si="1171"/>
        <v>0</v>
      </c>
      <c r="R183" s="272">
        <f t="shared" si="1171"/>
        <v>0</v>
      </c>
      <c r="S183" s="272">
        <f t="shared" si="1171"/>
        <v>0</v>
      </c>
      <c r="T183" s="272">
        <f t="shared" si="1171"/>
        <v>0</v>
      </c>
      <c r="U183" s="270">
        <f t="shared" si="1171"/>
        <v>0</v>
      </c>
      <c r="V183" s="270">
        <f t="shared" si="1171"/>
        <v>0</v>
      </c>
      <c r="W183" s="270">
        <f t="shared" si="1171"/>
        <v>0</v>
      </c>
      <c r="X183" s="270">
        <f t="shared" si="1171"/>
        <v>0</v>
      </c>
      <c r="Y183" s="270">
        <f t="shared" si="1171"/>
        <v>0</v>
      </c>
      <c r="Z183" s="270">
        <f t="shared" si="1171"/>
        <v>0</v>
      </c>
      <c r="AA183" s="270">
        <f t="shared" si="1171"/>
        <v>0</v>
      </c>
      <c r="AB183" s="270">
        <f t="shared" si="1171"/>
        <v>0</v>
      </c>
      <c r="AC183" s="270">
        <f t="shared" si="1171"/>
        <v>0</v>
      </c>
      <c r="AD183" s="270">
        <f t="shared" si="1171"/>
        <v>0</v>
      </c>
      <c r="AE183" s="270">
        <f t="shared" si="1171"/>
        <v>0</v>
      </c>
      <c r="AF183" s="270">
        <f t="shared" si="1171"/>
        <v>0</v>
      </c>
      <c r="AG183" s="270">
        <f t="shared" si="1171"/>
        <v>0</v>
      </c>
      <c r="AH183" s="279">
        <f t="shared" si="602"/>
        <v>0</v>
      </c>
      <c r="AI183" s="270">
        <f t="shared" si="43"/>
        <v>0</v>
      </c>
      <c r="AJ183" s="270">
        <f t="shared" ref="AJ183:AO183" si="1172">IF(F$8=0,0,ROUND(AJ182-(F183-BO183),2))</f>
        <v>0</v>
      </c>
      <c r="AK183" s="270">
        <f t="shared" si="1172"/>
        <v>0</v>
      </c>
      <c r="AL183" s="270">
        <f t="shared" si="1172"/>
        <v>0</v>
      </c>
      <c r="AM183" s="270">
        <f t="shared" si="1172"/>
        <v>0</v>
      </c>
      <c r="AN183" s="270">
        <f t="shared" si="1172"/>
        <v>0</v>
      </c>
      <c r="AO183" s="270">
        <f t="shared" si="1172"/>
        <v>0</v>
      </c>
      <c r="AP183" s="270">
        <v>0.0</v>
      </c>
      <c r="AQ183" s="270">
        <f t="shared" ref="AQ183:AS183" si="1173">IF(M$8=0,0,ROUND(AQ182-(M183-BV183),2))</f>
        <v>0</v>
      </c>
      <c r="AR183" s="270">
        <f t="shared" si="1173"/>
        <v>0</v>
      </c>
      <c r="AS183" s="270">
        <f t="shared" si="1173"/>
        <v>0</v>
      </c>
      <c r="AT183" s="270">
        <f t="shared" si="605"/>
        <v>-6.22</v>
      </c>
      <c r="AU183" s="270">
        <f t="shared" ref="AU183:BK183" si="1174">IF(Q$8=0,0,ROUND(AU182-(Q183-BY183),2))</f>
        <v>-12.18</v>
      </c>
      <c r="AV183" s="270">
        <f t="shared" si="1174"/>
        <v>0</v>
      </c>
      <c r="AW183" s="270">
        <f t="shared" si="1174"/>
        <v>0</v>
      </c>
      <c r="AX183" s="270">
        <f t="shared" si="1174"/>
        <v>0</v>
      </c>
      <c r="AY183" s="270">
        <f t="shared" si="1174"/>
        <v>0</v>
      </c>
      <c r="AZ183" s="270">
        <f t="shared" si="1174"/>
        <v>0</v>
      </c>
      <c r="BA183" s="270">
        <f t="shared" si="1174"/>
        <v>0</v>
      </c>
      <c r="BB183" s="270">
        <f t="shared" si="1174"/>
        <v>0</v>
      </c>
      <c r="BC183" s="270">
        <f t="shared" si="1174"/>
        <v>0</v>
      </c>
      <c r="BD183" s="270">
        <f t="shared" si="1174"/>
        <v>0</v>
      </c>
      <c r="BE183" s="270">
        <f t="shared" si="1174"/>
        <v>0</v>
      </c>
      <c r="BF183" s="270">
        <f t="shared" si="1174"/>
        <v>0</v>
      </c>
      <c r="BG183" s="270">
        <f t="shared" si="1174"/>
        <v>0</v>
      </c>
      <c r="BH183" s="270">
        <f t="shared" si="1174"/>
        <v>0</v>
      </c>
      <c r="BI183" s="270">
        <f t="shared" si="1174"/>
        <v>0</v>
      </c>
      <c r="BJ183" s="270">
        <f t="shared" si="1174"/>
        <v>0</v>
      </c>
      <c r="BK183" s="270">
        <f t="shared" si="1174"/>
        <v>0</v>
      </c>
      <c r="BL183" s="265">
        <f t="shared" si="16"/>
        <v>-18.4</v>
      </c>
      <c r="BM183" s="215"/>
      <c r="BN183" s="270">
        <f t="shared" ref="BN183:CP183" si="1175">ROUND(AI182*E$9/12,2)</f>
        <v>0</v>
      </c>
      <c r="BO183" s="270">
        <f t="shared" si="1175"/>
        <v>0</v>
      </c>
      <c r="BP183" s="270">
        <f t="shared" si="1175"/>
        <v>0</v>
      </c>
      <c r="BQ183" s="270">
        <f t="shared" si="1175"/>
        <v>0</v>
      </c>
      <c r="BR183" s="270">
        <f t="shared" si="1175"/>
        <v>0</v>
      </c>
      <c r="BS183" s="270">
        <f t="shared" si="1175"/>
        <v>0</v>
      </c>
      <c r="BT183" s="270">
        <f t="shared" si="1175"/>
        <v>0</v>
      </c>
      <c r="BU183" s="270">
        <f t="shared" si="1175"/>
        <v>0</v>
      </c>
      <c r="BV183" s="270">
        <f t="shared" si="1175"/>
        <v>0</v>
      </c>
      <c r="BW183" s="270">
        <f t="shared" si="1175"/>
        <v>0</v>
      </c>
      <c r="BX183" s="270">
        <f t="shared" si="1175"/>
        <v>0</v>
      </c>
      <c r="BY183" s="270">
        <f t="shared" si="1175"/>
        <v>-0.05</v>
      </c>
      <c r="BZ183" s="270">
        <f t="shared" si="1175"/>
        <v>-0.04</v>
      </c>
      <c r="CA183" s="270">
        <f t="shared" si="1175"/>
        <v>0</v>
      </c>
      <c r="CB183" s="270">
        <f t="shared" si="1175"/>
        <v>0</v>
      </c>
      <c r="CC183" s="270">
        <f t="shared" si="1175"/>
        <v>0</v>
      </c>
      <c r="CD183" s="270">
        <f t="shared" si="1175"/>
        <v>0</v>
      </c>
      <c r="CE183" s="270">
        <f t="shared" si="1175"/>
        <v>0</v>
      </c>
      <c r="CF183" s="270">
        <f t="shared" si="1175"/>
        <v>0</v>
      </c>
      <c r="CG183" s="270">
        <f t="shared" si="1175"/>
        <v>0</v>
      </c>
      <c r="CH183" s="270">
        <f t="shared" si="1175"/>
        <v>0</v>
      </c>
      <c r="CI183" s="270">
        <f t="shared" si="1175"/>
        <v>0</v>
      </c>
      <c r="CJ183" s="270">
        <f t="shared" si="1175"/>
        <v>0</v>
      </c>
      <c r="CK183" s="270">
        <f t="shared" si="1175"/>
        <v>0</v>
      </c>
      <c r="CL183" s="270">
        <f t="shared" si="1175"/>
        <v>0</v>
      </c>
      <c r="CM183" s="270">
        <f t="shared" si="1175"/>
        <v>0</v>
      </c>
      <c r="CN183" s="270">
        <f t="shared" si="1175"/>
        <v>0</v>
      </c>
      <c r="CO183" s="270">
        <f t="shared" si="1175"/>
        <v>0</v>
      </c>
      <c r="CP183" s="270">
        <f t="shared" si="1175"/>
        <v>0</v>
      </c>
      <c r="CQ183" s="215"/>
      <c r="CR183" s="270">
        <f t="shared" si="27"/>
        <v>-0.09</v>
      </c>
      <c r="CS183" s="215"/>
      <c r="CT183" s="270">
        <f t="shared" ref="CT183:DX183" si="1176">IF(AI182&gt;0,IF((AI182+BN183)&lt;E$10,AI182+BN183,E$10),0)</f>
        <v>0</v>
      </c>
      <c r="CU183" s="270">
        <f t="shared" si="1176"/>
        <v>0</v>
      </c>
      <c r="CV183" s="270">
        <f t="shared" si="1176"/>
        <v>0</v>
      </c>
      <c r="CW183" s="270">
        <f t="shared" si="1176"/>
        <v>0</v>
      </c>
      <c r="CX183" s="270">
        <f t="shared" si="1176"/>
        <v>0</v>
      </c>
      <c r="CY183" s="270">
        <f t="shared" si="1176"/>
        <v>0</v>
      </c>
      <c r="CZ183" s="270">
        <f t="shared" si="1176"/>
        <v>0</v>
      </c>
      <c r="DA183" s="270">
        <f t="shared" si="1176"/>
        <v>0</v>
      </c>
      <c r="DB183" s="270">
        <f t="shared" si="1176"/>
        <v>0</v>
      </c>
      <c r="DC183" s="270">
        <f t="shared" si="1176"/>
        <v>0</v>
      </c>
      <c r="DD183" s="270">
        <f t="shared" si="1176"/>
        <v>0</v>
      </c>
      <c r="DE183" s="270">
        <f t="shared" si="1176"/>
        <v>0</v>
      </c>
      <c r="DF183" s="270">
        <f t="shared" si="1176"/>
        <v>0</v>
      </c>
      <c r="DG183" s="270">
        <f t="shared" si="1176"/>
        <v>0</v>
      </c>
      <c r="DH183" s="270">
        <f t="shared" si="1176"/>
        <v>0</v>
      </c>
      <c r="DI183" s="270">
        <f t="shared" si="1176"/>
        <v>0</v>
      </c>
      <c r="DJ183" s="270">
        <f t="shared" si="1176"/>
        <v>0</v>
      </c>
      <c r="DK183" s="270">
        <f t="shared" si="1176"/>
        <v>0</v>
      </c>
      <c r="DL183" s="270">
        <f t="shared" si="1176"/>
        <v>0</v>
      </c>
      <c r="DM183" s="270">
        <f t="shared" si="1176"/>
        <v>0</v>
      </c>
      <c r="DN183" s="270">
        <f t="shared" si="1176"/>
        <v>0</v>
      </c>
      <c r="DO183" s="270">
        <f t="shared" si="1176"/>
        <v>0</v>
      </c>
      <c r="DP183" s="270">
        <f t="shared" si="1176"/>
        <v>0</v>
      </c>
      <c r="DQ183" s="270">
        <f t="shared" si="1176"/>
        <v>0</v>
      </c>
      <c r="DR183" s="270">
        <f t="shared" si="1176"/>
        <v>0</v>
      </c>
      <c r="DS183" s="270">
        <f t="shared" si="1176"/>
        <v>0</v>
      </c>
      <c r="DT183" s="270">
        <f t="shared" si="1176"/>
        <v>0</v>
      </c>
      <c r="DU183" s="270">
        <f t="shared" si="1176"/>
        <v>0</v>
      </c>
      <c r="DV183" s="270">
        <f t="shared" si="1176"/>
        <v>0</v>
      </c>
      <c r="DW183" s="270">
        <f t="shared" si="1176"/>
        <v>0</v>
      </c>
      <c r="DX183" s="270">
        <f t="shared" si="1176"/>
        <v>0</v>
      </c>
      <c r="DY183" s="270">
        <f t="shared" si="29"/>
        <v>0</v>
      </c>
      <c r="DZ183" s="274"/>
      <c r="EA183" s="275">
        <f t="shared" si="38"/>
        <v>0</v>
      </c>
      <c r="EB183" s="270">
        <f t="shared" ref="EB183:FC183" si="1177">IF(AJ181&lt;=0,0,IF($C182&lt;=SUM($EA183:EA183),0,IF(CU182+$C182-SUM($EA183:EA183)&gt;AJ181+BO182,AJ181+BO182-CU182,$C182-SUM($EA183:EA183))))</f>
        <v>0</v>
      </c>
      <c r="EC183" s="270">
        <f t="shared" si="1177"/>
        <v>0</v>
      </c>
      <c r="ED183" s="270">
        <f t="shared" si="1177"/>
        <v>0</v>
      </c>
      <c r="EE183" s="270">
        <f t="shared" si="1177"/>
        <v>0</v>
      </c>
      <c r="EF183" s="270">
        <f t="shared" si="1177"/>
        <v>0</v>
      </c>
      <c r="EG183" s="270">
        <f t="shared" si="1177"/>
        <v>0</v>
      </c>
      <c r="EH183" s="270">
        <f t="shared" si="1177"/>
        <v>0</v>
      </c>
      <c r="EI183" s="270">
        <f t="shared" si="1177"/>
        <v>0</v>
      </c>
      <c r="EJ183" s="270">
        <f t="shared" si="1177"/>
        <v>0</v>
      </c>
      <c r="EK183" s="270">
        <f t="shared" si="1177"/>
        <v>0</v>
      </c>
      <c r="EL183" s="270">
        <f t="shared" si="1177"/>
        <v>0</v>
      </c>
      <c r="EM183" s="270">
        <f t="shared" si="1177"/>
        <v>0</v>
      </c>
      <c r="EN183" s="270">
        <f t="shared" si="1177"/>
        <v>0</v>
      </c>
      <c r="EO183" s="270">
        <f t="shared" si="1177"/>
        <v>0</v>
      </c>
      <c r="EP183" s="270">
        <f t="shared" si="1177"/>
        <v>0</v>
      </c>
      <c r="EQ183" s="270">
        <f t="shared" si="1177"/>
        <v>0</v>
      </c>
      <c r="ER183" s="270">
        <f t="shared" si="1177"/>
        <v>0</v>
      </c>
      <c r="ES183" s="270">
        <f t="shared" si="1177"/>
        <v>0</v>
      </c>
      <c r="ET183" s="270">
        <f t="shared" si="1177"/>
        <v>0</v>
      </c>
      <c r="EU183" s="270">
        <f t="shared" si="1177"/>
        <v>0</v>
      </c>
      <c r="EV183" s="270">
        <f t="shared" si="1177"/>
        <v>0</v>
      </c>
      <c r="EW183" s="270">
        <f t="shared" si="1177"/>
        <v>0</v>
      </c>
      <c r="EX183" s="270">
        <f t="shared" si="1177"/>
        <v>0</v>
      </c>
      <c r="EY183" s="270">
        <f t="shared" si="1177"/>
        <v>0</v>
      </c>
      <c r="EZ183" s="270">
        <f t="shared" si="1177"/>
        <v>0</v>
      </c>
      <c r="FA183" s="270">
        <f t="shared" si="1177"/>
        <v>0</v>
      </c>
      <c r="FB183" s="270">
        <f t="shared" si="1177"/>
        <v>0</v>
      </c>
      <c r="FC183" s="270">
        <f t="shared" si="1177"/>
        <v>0</v>
      </c>
      <c r="FD183" s="271"/>
      <c r="FE183" s="271"/>
      <c r="FF183" s="271"/>
      <c r="FG183" s="215"/>
      <c r="FH183" s="215"/>
    </row>
    <row r="184" ht="11.25" customHeight="1">
      <c r="A184" s="215" t="str">
        <f t="shared" si="19"/>
        <v/>
      </c>
      <c r="B184" s="241" t="str">
        <f t="shared" si="600"/>
        <v>#N/A</v>
      </c>
      <c r="C184" s="271" t="str">
        <f>IF(A184="","",IF(Calculator!snowball,IF(($E$5-DY184)&lt;0,0,$E$5-DY184),0)+D184)</f>
        <v/>
      </c>
      <c r="D184" s="271"/>
      <c r="E184" s="270">
        <f t="shared" si="40"/>
        <v>0</v>
      </c>
      <c r="F184" s="270">
        <f t="shared" ref="F184:AG184" si="1178">CU184+EB185</f>
        <v>0</v>
      </c>
      <c r="G184" s="270">
        <f t="shared" si="1178"/>
        <v>0</v>
      </c>
      <c r="H184" s="270">
        <f t="shared" si="1178"/>
        <v>0</v>
      </c>
      <c r="I184" s="270">
        <f t="shared" si="1178"/>
        <v>0</v>
      </c>
      <c r="J184" s="270">
        <f t="shared" si="1178"/>
        <v>0</v>
      </c>
      <c r="K184" s="270">
        <f t="shared" si="1178"/>
        <v>0</v>
      </c>
      <c r="L184" s="270">
        <f t="shared" si="1178"/>
        <v>0</v>
      </c>
      <c r="M184" s="270">
        <f t="shared" si="1178"/>
        <v>0</v>
      </c>
      <c r="N184" s="270">
        <f t="shared" si="1178"/>
        <v>0</v>
      </c>
      <c r="O184" s="270">
        <f t="shared" si="1178"/>
        <v>0</v>
      </c>
      <c r="P184" s="272">
        <f t="shared" si="1178"/>
        <v>0</v>
      </c>
      <c r="Q184" s="272">
        <f t="shared" si="1178"/>
        <v>0</v>
      </c>
      <c r="R184" s="272">
        <f t="shared" si="1178"/>
        <v>0</v>
      </c>
      <c r="S184" s="272">
        <f t="shared" si="1178"/>
        <v>0</v>
      </c>
      <c r="T184" s="272">
        <f t="shared" si="1178"/>
        <v>0</v>
      </c>
      <c r="U184" s="270">
        <f t="shared" si="1178"/>
        <v>0</v>
      </c>
      <c r="V184" s="270">
        <f t="shared" si="1178"/>
        <v>0</v>
      </c>
      <c r="W184" s="270">
        <f t="shared" si="1178"/>
        <v>0</v>
      </c>
      <c r="X184" s="270">
        <f t="shared" si="1178"/>
        <v>0</v>
      </c>
      <c r="Y184" s="270">
        <f t="shared" si="1178"/>
        <v>0</v>
      </c>
      <c r="Z184" s="270">
        <f t="shared" si="1178"/>
        <v>0</v>
      </c>
      <c r="AA184" s="270">
        <f t="shared" si="1178"/>
        <v>0</v>
      </c>
      <c r="AB184" s="270">
        <f t="shared" si="1178"/>
        <v>0</v>
      </c>
      <c r="AC184" s="270">
        <f t="shared" si="1178"/>
        <v>0</v>
      </c>
      <c r="AD184" s="270">
        <f t="shared" si="1178"/>
        <v>0</v>
      </c>
      <c r="AE184" s="270">
        <f t="shared" si="1178"/>
        <v>0</v>
      </c>
      <c r="AF184" s="270">
        <f t="shared" si="1178"/>
        <v>0</v>
      </c>
      <c r="AG184" s="270">
        <f t="shared" si="1178"/>
        <v>0</v>
      </c>
      <c r="AH184" s="279">
        <f t="shared" si="602"/>
        <v>0</v>
      </c>
      <c r="AI184" s="270">
        <f t="shared" si="43"/>
        <v>0</v>
      </c>
      <c r="AJ184" s="270">
        <f t="shared" ref="AJ184:AO184" si="1179">IF(F$8=0,0,ROUND(AJ183-(F184-BO184),2))</f>
        <v>0</v>
      </c>
      <c r="AK184" s="270">
        <f t="shared" si="1179"/>
        <v>0</v>
      </c>
      <c r="AL184" s="270">
        <f t="shared" si="1179"/>
        <v>0</v>
      </c>
      <c r="AM184" s="270">
        <f t="shared" si="1179"/>
        <v>0</v>
      </c>
      <c r="AN184" s="270">
        <f t="shared" si="1179"/>
        <v>0</v>
      </c>
      <c r="AO184" s="270">
        <f t="shared" si="1179"/>
        <v>0</v>
      </c>
      <c r="AP184" s="270">
        <v>0.0</v>
      </c>
      <c r="AQ184" s="270">
        <f t="shared" ref="AQ184:AS184" si="1180">IF(M$8=0,0,ROUND(AQ183-(M184-BV184),2))</f>
        <v>0</v>
      </c>
      <c r="AR184" s="270">
        <f t="shared" si="1180"/>
        <v>0</v>
      </c>
      <c r="AS184" s="270">
        <f t="shared" si="1180"/>
        <v>0</v>
      </c>
      <c r="AT184" s="270">
        <f t="shared" si="605"/>
        <v>-6.22</v>
      </c>
      <c r="AU184" s="270">
        <f t="shared" ref="AU184:BK184" si="1181">IF(Q$8=0,0,ROUND(AU183-(Q184-BY184),2))</f>
        <v>-12.23</v>
      </c>
      <c r="AV184" s="270">
        <f t="shared" si="1181"/>
        <v>0</v>
      </c>
      <c r="AW184" s="270">
        <f t="shared" si="1181"/>
        <v>0</v>
      </c>
      <c r="AX184" s="270">
        <f t="shared" si="1181"/>
        <v>0</v>
      </c>
      <c r="AY184" s="270">
        <f t="shared" si="1181"/>
        <v>0</v>
      </c>
      <c r="AZ184" s="270">
        <f t="shared" si="1181"/>
        <v>0</v>
      </c>
      <c r="BA184" s="270">
        <f t="shared" si="1181"/>
        <v>0</v>
      </c>
      <c r="BB184" s="270">
        <f t="shared" si="1181"/>
        <v>0</v>
      </c>
      <c r="BC184" s="270">
        <f t="shared" si="1181"/>
        <v>0</v>
      </c>
      <c r="BD184" s="270">
        <f t="shared" si="1181"/>
        <v>0</v>
      </c>
      <c r="BE184" s="270">
        <f t="shared" si="1181"/>
        <v>0</v>
      </c>
      <c r="BF184" s="270">
        <f t="shared" si="1181"/>
        <v>0</v>
      </c>
      <c r="BG184" s="270">
        <f t="shared" si="1181"/>
        <v>0</v>
      </c>
      <c r="BH184" s="270">
        <f t="shared" si="1181"/>
        <v>0</v>
      </c>
      <c r="BI184" s="270">
        <f t="shared" si="1181"/>
        <v>0</v>
      </c>
      <c r="BJ184" s="270">
        <f t="shared" si="1181"/>
        <v>0</v>
      </c>
      <c r="BK184" s="270">
        <f t="shared" si="1181"/>
        <v>0</v>
      </c>
      <c r="BL184" s="265">
        <f t="shared" si="16"/>
        <v>-18.45</v>
      </c>
      <c r="BM184" s="215"/>
      <c r="BN184" s="270">
        <f t="shared" ref="BN184:CP184" si="1182">ROUND(AI183*E$9/12,2)</f>
        <v>0</v>
      </c>
      <c r="BO184" s="270">
        <f t="shared" si="1182"/>
        <v>0</v>
      </c>
      <c r="BP184" s="270">
        <f t="shared" si="1182"/>
        <v>0</v>
      </c>
      <c r="BQ184" s="270">
        <f t="shared" si="1182"/>
        <v>0</v>
      </c>
      <c r="BR184" s="270">
        <f t="shared" si="1182"/>
        <v>0</v>
      </c>
      <c r="BS184" s="270">
        <f t="shared" si="1182"/>
        <v>0</v>
      </c>
      <c r="BT184" s="270">
        <f t="shared" si="1182"/>
        <v>0</v>
      </c>
      <c r="BU184" s="270">
        <f t="shared" si="1182"/>
        <v>0</v>
      </c>
      <c r="BV184" s="270">
        <f t="shared" si="1182"/>
        <v>0</v>
      </c>
      <c r="BW184" s="270">
        <f t="shared" si="1182"/>
        <v>0</v>
      </c>
      <c r="BX184" s="270">
        <f t="shared" si="1182"/>
        <v>0</v>
      </c>
      <c r="BY184" s="270">
        <f t="shared" si="1182"/>
        <v>-0.05</v>
      </c>
      <c r="BZ184" s="270">
        <f t="shared" si="1182"/>
        <v>-0.04</v>
      </c>
      <c r="CA184" s="270">
        <f t="shared" si="1182"/>
        <v>0</v>
      </c>
      <c r="CB184" s="270">
        <f t="shared" si="1182"/>
        <v>0</v>
      </c>
      <c r="CC184" s="270">
        <f t="shared" si="1182"/>
        <v>0</v>
      </c>
      <c r="CD184" s="270">
        <f t="shared" si="1182"/>
        <v>0</v>
      </c>
      <c r="CE184" s="270">
        <f t="shared" si="1182"/>
        <v>0</v>
      </c>
      <c r="CF184" s="270">
        <f t="shared" si="1182"/>
        <v>0</v>
      </c>
      <c r="CG184" s="270">
        <f t="shared" si="1182"/>
        <v>0</v>
      </c>
      <c r="CH184" s="270">
        <f t="shared" si="1182"/>
        <v>0</v>
      </c>
      <c r="CI184" s="270">
        <f t="shared" si="1182"/>
        <v>0</v>
      </c>
      <c r="CJ184" s="270">
        <f t="shared" si="1182"/>
        <v>0</v>
      </c>
      <c r="CK184" s="270">
        <f t="shared" si="1182"/>
        <v>0</v>
      </c>
      <c r="CL184" s="270">
        <f t="shared" si="1182"/>
        <v>0</v>
      </c>
      <c r="CM184" s="270">
        <f t="shared" si="1182"/>
        <v>0</v>
      </c>
      <c r="CN184" s="270">
        <f t="shared" si="1182"/>
        <v>0</v>
      </c>
      <c r="CO184" s="270">
        <f t="shared" si="1182"/>
        <v>0</v>
      </c>
      <c r="CP184" s="270">
        <f t="shared" si="1182"/>
        <v>0</v>
      </c>
      <c r="CQ184" s="215"/>
      <c r="CR184" s="270">
        <f t="shared" si="27"/>
        <v>-0.09</v>
      </c>
      <c r="CS184" s="215"/>
      <c r="CT184" s="270">
        <f t="shared" ref="CT184:DX184" si="1183">IF(AI183&gt;0,IF((AI183+BN184)&lt;E$10,AI183+BN184,E$10),0)</f>
        <v>0</v>
      </c>
      <c r="CU184" s="270">
        <f t="shared" si="1183"/>
        <v>0</v>
      </c>
      <c r="CV184" s="270">
        <f t="shared" si="1183"/>
        <v>0</v>
      </c>
      <c r="CW184" s="270">
        <f t="shared" si="1183"/>
        <v>0</v>
      </c>
      <c r="CX184" s="270">
        <f t="shared" si="1183"/>
        <v>0</v>
      </c>
      <c r="CY184" s="270">
        <f t="shared" si="1183"/>
        <v>0</v>
      </c>
      <c r="CZ184" s="270">
        <f t="shared" si="1183"/>
        <v>0</v>
      </c>
      <c r="DA184" s="270">
        <f t="shared" si="1183"/>
        <v>0</v>
      </c>
      <c r="DB184" s="270">
        <f t="shared" si="1183"/>
        <v>0</v>
      </c>
      <c r="DC184" s="270">
        <f t="shared" si="1183"/>
        <v>0</v>
      </c>
      <c r="DD184" s="270">
        <f t="shared" si="1183"/>
        <v>0</v>
      </c>
      <c r="DE184" s="270">
        <f t="shared" si="1183"/>
        <v>0</v>
      </c>
      <c r="DF184" s="270">
        <f t="shared" si="1183"/>
        <v>0</v>
      </c>
      <c r="DG184" s="270">
        <f t="shared" si="1183"/>
        <v>0</v>
      </c>
      <c r="DH184" s="270">
        <f t="shared" si="1183"/>
        <v>0</v>
      </c>
      <c r="DI184" s="270">
        <f t="shared" si="1183"/>
        <v>0</v>
      </c>
      <c r="DJ184" s="270">
        <f t="shared" si="1183"/>
        <v>0</v>
      </c>
      <c r="DK184" s="270">
        <f t="shared" si="1183"/>
        <v>0</v>
      </c>
      <c r="DL184" s="270">
        <f t="shared" si="1183"/>
        <v>0</v>
      </c>
      <c r="DM184" s="270">
        <f t="shared" si="1183"/>
        <v>0</v>
      </c>
      <c r="DN184" s="270">
        <f t="shared" si="1183"/>
        <v>0</v>
      </c>
      <c r="DO184" s="270">
        <f t="shared" si="1183"/>
        <v>0</v>
      </c>
      <c r="DP184" s="270">
        <f t="shared" si="1183"/>
        <v>0</v>
      </c>
      <c r="DQ184" s="270">
        <f t="shared" si="1183"/>
        <v>0</v>
      </c>
      <c r="DR184" s="270">
        <f t="shared" si="1183"/>
        <v>0</v>
      </c>
      <c r="DS184" s="270">
        <f t="shared" si="1183"/>
        <v>0</v>
      </c>
      <c r="DT184" s="270">
        <f t="shared" si="1183"/>
        <v>0</v>
      </c>
      <c r="DU184" s="270">
        <f t="shared" si="1183"/>
        <v>0</v>
      </c>
      <c r="DV184" s="270">
        <f t="shared" si="1183"/>
        <v>0</v>
      </c>
      <c r="DW184" s="270">
        <f t="shared" si="1183"/>
        <v>0</v>
      </c>
      <c r="DX184" s="270">
        <f t="shared" si="1183"/>
        <v>0</v>
      </c>
      <c r="DY184" s="270">
        <f t="shared" si="29"/>
        <v>0</v>
      </c>
      <c r="DZ184" s="274"/>
      <c r="EA184" s="275">
        <f t="shared" si="38"/>
        <v>0</v>
      </c>
      <c r="EB184" s="270">
        <f t="shared" ref="EB184:FC184" si="1184">IF(AJ182&lt;=0,0,IF($C183&lt;=SUM($EA184:EA184),0,IF(CU183+$C183-SUM($EA184:EA184)&gt;AJ182+BO183,AJ182+BO183-CU183,$C183-SUM($EA184:EA184))))</f>
        <v>0</v>
      </c>
      <c r="EC184" s="270">
        <f t="shared" si="1184"/>
        <v>0</v>
      </c>
      <c r="ED184" s="270">
        <f t="shared" si="1184"/>
        <v>0</v>
      </c>
      <c r="EE184" s="270">
        <f t="shared" si="1184"/>
        <v>0</v>
      </c>
      <c r="EF184" s="270">
        <f t="shared" si="1184"/>
        <v>0</v>
      </c>
      <c r="EG184" s="270">
        <f t="shared" si="1184"/>
        <v>0</v>
      </c>
      <c r="EH184" s="270">
        <f t="shared" si="1184"/>
        <v>0</v>
      </c>
      <c r="EI184" s="270">
        <f t="shared" si="1184"/>
        <v>0</v>
      </c>
      <c r="EJ184" s="270">
        <f t="shared" si="1184"/>
        <v>0</v>
      </c>
      <c r="EK184" s="270">
        <f t="shared" si="1184"/>
        <v>0</v>
      </c>
      <c r="EL184" s="270">
        <f t="shared" si="1184"/>
        <v>0</v>
      </c>
      <c r="EM184" s="270">
        <f t="shared" si="1184"/>
        <v>0</v>
      </c>
      <c r="EN184" s="270">
        <f t="shared" si="1184"/>
        <v>0</v>
      </c>
      <c r="EO184" s="270">
        <f t="shared" si="1184"/>
        <v>0</v>
      </c>
      <c r="EP184" s="270">
        <f t="shared" si="1184"/>
        <v>0</v>
      </c>
      <c r="EQ184" s="270">
        <f t="shared" si="1184"/>
        <v>0</v>
      </c>
      <c r="ER184" s="270">
        <f t="shared" si="1184"/>
        <v>0</v>
      </c>
      <c r="ES184" s="270">
        <f t="shared" si="1184"/>
        <v>0</v>
      </c>
      <c r="ET184" s="270">
        <f t="shared" si="1184"/>
        <v>0</v>
      </c>
      <c r="EU184" s="270">
        <f t="shared" si="1184"/>
        <v>0</v>
      </c>
      <c r="EV184" s="270">
        <f t="shared" si="1184"/>
        <v>0</v>
      </c>
      <c r="EW184" s="270">
        <f t="shared" si="1184"/>
        <v>0</v>
      </c>
      <c r="EX184" s="270">
        <f t="shared" si="1184"/>
        <v>0</v>
      </c>
      <c r="EY184" s="270">
        <f t="shared" si="1184"/>
        <v>0</v>
      </c>
      <c r="EZ184" s="270">
        <f t="shared" si="1184"/>
        <v>0</v>
      </c>
      <c r="FA184" s="270">
        <f t="shared" si="1184"/>
        <v>0</v>
      </c>
      <c r="FB184" s="270">
        <f t="shared" si="1184"/>
        <v>0</v>
      </c>
      <c r="FC184" s="270">
        <f t="shared" si="1184"/>
        <v>0</v>
      </c>
      <c r="FD184" s="271"/>
      <c r="FE184" s="271"/>
      <c r="FF184" s="271"/>
      <c r="FG184" s="215"/>
      <c r="FH184" s="215"/>
    </row>
    <row r="185" ht="11.25" customHeight="1">
      <c r="A185" s="215" t="str">
        <f t="shared" si="19"/>
        <v/>
      </c>
      <c r="B185" s="241" t="str">
        <f t="shared" si="600"/>
        <v>#N/A</v>
      </c>
      <c r="C185" s="271" t="str">
        <f>IF(A185="","",IF(Calculator!snowball,IF(($E$5-DY185)&lt;0,0,$E$5-DY185),0)+D185)</f>
        <v/>
      </c>
      <c r="D185" s="271"/>
      <c r="E185" s="270">
        <f t="shared" si="40"/>
        <v>0</v>
      </c>
      <c r="F185" s="270">
        <f t="shared" ref="F185:AG185" si="1185">CU185+EB186</f>
        <v>0</v>
      </c>
      <c r="G185" s="270">
        <f t="shared" si="1185"/>
        <v>0</v>
      </c>
      <c r="H185" s="270">
        <f t="shared" si="1185"/>
        <v>0</v>
      </c>
      <c r="I185" s="270">
        <f t="shared" si="1185"/>
        <v>0</v>
      </c>
      <c r="J185" s="270">
        <f t="shared" si="1185"/>
        <v>0</v>
      </c>
      <c r="K185" s="270">
        <f t="shared" si="1185"/>
        <v>0</v>
      </c>
      <c r="L185" s="270">
        <f t="shared" si="1185"/>
        <v>0</v>
      </c>
      <c r="M185" s="270">
        <f t="shared" si="1185"/>
        <v>0</v>
      </c>
      <c r="N185" s="270">
        <f t="shared" si="1185"/>
        <v>0</v>
      </c>
      <c r="O185" s="270">
        <f t="shared" si="1185"/>
        <v>0</v>
      </c>
      <c r="P185" s="272">
        <f t="shared" si="1185"/>
        <v>0</v>
      </c>
      <c r="Q185" s="272">
        <f t="shared" si="1185"/>
        <v>0</v>
      </c>
      <c r="R185" s="272">
        <f t="shared" si="1185"/>
        <v>0</v>
      </c>
      <c r="S185" s="272">
        <f t="shared" si="1185"/>
        <v>0</v>
      </c>
      <c r="T185" s="272">
        <f t="shared" si="1185"/>
        <v>0</v>
      </c>
      <c r="U185" s="270">
        <f t="shared" si="1185"/>
        <v>0</v>
      </c>
      <c r="V185" s="270">
        <f t="shared" si="1185"/>
        <v>0</v>
      </c>
      <c r="W185" s="270">
        <f t="shared" si="1185"/>
        <v>0</v>
      </c>
      <c r="X185" s="270">
        <f t="shared" si="1185"/>
        <v>0</v>
      </c>
      <c r="Y185" s="270">
        <f t="shared" si="1185"/>
        <v>0</v>
      </c>
      <c r="Z185" s="270">
        <f t="shared" si="1185"/>
        <v>0</v>
      </c>
      <c r="AA185" s="270">
        <f t="shared" si="1185"/>
        <v>0</v>
      </c>
      <c r="AB185" s="270">
        <f t="shared" si="1185"/>
        <v>0</v>
      </c>
      <c r="AC185" s="270">
        <f t="shared" si="1185"/>
        <v>0</v>
      </c>
      <c r="AD185" s="270">
        <f t="shared" si="1185"/>
        <v>0</v>
      </c>
      <c r="AE185" s="270">
        <f t="shared" si="1185"/>
        <v>0</v>
      </c>
      <c r="AF185" s="270">
        <f t="shared" si="1185"/>
        <v>0</v>
      </c>
      <c r="AG185" s="270">
        <f t="shared" si="1185"/>
        <v>0</v>
      </c>
      <c r="AH185" s="279">
        <f t="shared" si="602"/>
        <v>0</v>
      </c>
      <c r="AI185" s="270">
        <f t="shared" si="43"/>
        <v>0</v>
      </c>
      <c r="AJ185" s="270">
        <f t="shared" ref="AJ185:AO185" si="1186">IF(F$8=0,0,ROUND(AJ184-(F185-BO185),2))</f>
        <v>0</v>
      </c>
      <c r="AK185" s="270">
        <f t="shared" si="1186"/>
        <v>0</v>
      </c>
      <c r="AL185" s="270">
        <f t="shared" si="1186"/>
        <v>0</v>
      </c>
      <c r="AM185" s="270">
        <f t="shared" si="1186"/>
        <v>0</v>
      </c>
      <c r="AN185" s="270">
        <f t="shared" si="1186"/>
        <v>0</v>
      </c>
      <c r="AO185" s="270">
        <f t="shared" si="1186"/>
        <v>0</v>
      </c>
      <c r="AP185" s="270">
        <v>0.0</v>
      </c>
      <c r="AQ185" s="270">
        <f t="shared" ref="AQ185:AS185" si="1187">IF(M$8=0,0,ROUND(AQ184-(M185-BV185),2))</f>
        <v>0</v>
      </c>
      <c r="AR185" s="270">
        <f t="shared" si="1187"/>
        <v>0</v>
      </c>
      <c r="AS185" s="270">
        <f t="shared" si="1187"/>
        <v>0</v>
      </c>
      <c r="AT185" s="270">
        <f t="shared" si="605"/>
        <v>-6.22</v>
      </c>
      <c r="AU185" s="270">
        <f t="shared" ref="AU185:BK185" si="1188">IF(Q$8=0,0,ROUND(AU184-(Q185-BY185),2))</f>
        <v>-12.28</v>
      </c>
      <c r="AV185" s="270">
        <f t="shared" si="1188"/>
        <v>0</v>
      </c>
      <c r="AW185" s="270">
        <f t="shared" si="1188"/>
        <v>0</v>
      </c>
      <c r="AX185" s="270">
        <f t="shared" si="1188"/>
        <v>0</v>
      </c>
      <c r="AY185" s="270">
        <f t="shared" si="1188"/>
        <v>0</v>
      </c>
      <c r="AZ185" s="270">
        <f t="shared" si="1188"/>
        <v>0</v>
      </c>
      <c r="BA185" s="270">
        <f t="shared" si="1188"/>
        <v>0</v>
      </c>
      <c r="BB185" s="270">
        <f t="shared" si="1188"/>
        <v>0</v>
      </c>
      <c r="BC185" s="270">
        <f t="shared" si="1188"/>
        <v>0</v>
      </c>
      <c r="BD185" s="270">
        <f t="shared" si="1188"/>
        <v>0</v>
      </c>
      <c r="BE185" s="270">
        <f t="shared" si="1188"/>
        <v>0</v>
      </c>
      <c r="BF185" s="270">
        <f t="shared" si="1188"/>
        <v>0</v>
      </c>
      <c r="BG185" s="270">
        <f t="shared" si="1188"/>
        <v>0</v>
      </c>
      <c r="BH185" s="270">
        <f t="shared" si="1188"/>
        <v>0</v>
      </c>
      <c r="BI185" s="270">
        <f t="shared" si="1188"/>
        <v>0</v>
      </c>
      <c r="BJ185" s="270">
        <f t="shared" si="1188"/>
        <v>0</v>
      </c>
      <c r="BK185" s="270">
        <f t="shared" si="1188"/>
        <v>0</v>
      </c>
      <c r="BL185" s="265">
        <f t="shared" si="16"/>
        <v>-18.5</v>
      </c>
      <c r="BM185" s="215"/>
      <c r="BN185" s="270">
        <f t="shared" ref="BN185:CP185" si="1189">ROUND(AI184*E$9/12,2)</f>
        <v>0</v>
      </c>
      <c r="BO185" s="270">
        <f t="shared" si="1189"/>
        <v>0</v>
      </c>
      <c r="BP185" s="270">
        <f t="shared" si="1189"/>
        <v>0</v>
      </c>
      <c r="BQ185" s="270">
        <f t="shared" si="1189"/>
        <v>0</v>
      </c>
      <c r="BR185" s="270">
        <f t="shared" si="1189"/>
        <v>0</v>
      </c>
      <c r="BS185" s="270">
        <f t="shared" si="1189"/>
        <v>0</v>
      </c>
      <c r="BT185" s="270">
        <f t="shared" si="1189"/>
        <v>0</v>
      </c>
      <c r="BU185" s="270">
        <f t="shared" si="1189"/>
        <v>0</v>
      </c>
      <c r="BV185" s="270">
        <f t="shared" si="1189"/>
        <v>0</v>
      </c>
      <c r="BW185" s="270">
        <f t="shared" si="1189"/>
        <v>0</v>
      </c>
      <c r="BX185" s="270">
        <f t="shared" si="1189"/>
        <v>0</v>
      </c>
      <c r="BY185" s="270">
        <f t="shared" si="1189"/>
        <v>-0.05</v>
      </c>
      <c r="BZ185" s="270">
        <f t="shared" si="1189"/>
        <v>-0.04</v>
      </c>
      <c r="CA185" s="270">
        <f t="shared" si="1189"/>
        <v>0</v>
      </c>
      <c r="CB185" s="270">
        <f t="shared" si="1189"/>
        <v>0</v>
      </c>
      <c r="CC185" s="270">
        <f t="shared" si="1189"/>
        <v>0</v>
      </c>
      <c r="CD185" s="270">
        <f t="shared" si="1189"/>
        <v>0</v>
      </c>
      <c r="CE185" s="270">
        <f t="shared" si="1189"/>
        <v>0</v>
      </c>
      <c r="CF185" s="270">
        <f t="shared" si="1189"/>
        <v>0</v>
      </c>
      <c r="CG185" s="270">
        <f t="shared" si="1189"/>
        <v>0</v>
      </c>
      <c r="CH185" s="270">
        <f t="shared" si="1189"/>
        <v>0</v>
      </c>
      <c r="CI185" s="270">
        <f t="shared" si="1189"/>
        <v>0</v>
      </c>
      <c r="CJ185" s="270">
        <f t="shared" si="1189"/>
        <v>0</v>
      </c>
      <c r="CK185" s="270">
        <f t="shared" si="1189"/>
        <v>0</v>
      </c>
      <c r="CL185" s="270">
        <f t="shared" si="1189"/>
        <v>0</v>
      </c>
      <c r="CM185" s="270">
        <f t="shared" si="1189"/>
        <v>0</v>
      </c>
      <c r="CN185" s="270">
        <f t="shared" si="1189"/>
        <v>0</v>
      </c>
      <c r="CO185" s="270">
        <f t="shared" si="1189"/>
        <v>0</v>
      </c>
      <c r="CP185" s="270">
        <f t="shared" si="1189"/>
        <v>0</v>
      </c>
      <c r="CQ185" s="215"/>
      <c r="CR185" s="270">
        <f t="shared" si="27"/>
        <v>-0.09</v>
      </c>
      <c r="CS185" s="215"/>
      <c r="CT185" s="270">
        <f t="shared" ref="CT185:DX185" si="1190">IF(AI184&gt;0,IF((AI184+BN185)&lt;E$10,AI184+BN185,E$10),0)</f>
        <v>0</v>
      </c>
      <c r="CU185" s="270">
        <f t="shared" si="1190"/>
        <v>0</v>
      </c>
      <c r="CV185" s="270">
        <f t="shared" si="1190"/>
        <v>0</v>
      </c>
      <c r="CW185" s="270">
        <f t="shared" si="1190"/>
        <v>0</v>
      </c>
      <c r="CX185" s="270">
        <f t="shared" si="1190"/>
        <v>0</v>
      </c>
      <c r="CY185" s="270">
        <f t="shared" si="1190"/>
        <v>0</v>
      </c>
      <c r="CZ185" s="270">
        <f t="shared" si="1190"/>
        <v>0</v>
      </c>
      <c r="DA185" s="270">
        <f t="shared" si="1190"/>
        <v>0</v>
      </c>
      <c r="DB185" s="270">
        <f t="shared" si="1190"/>
        <v>0</v>
      </c>
      <c r="DC185" s="270">
        <f t="shared" si="1190"/>
        <v>0</v>
      </c>
      <c r="DD185" s="270">
        <f t="shared" si="1190"/>
        <v>0</v>
      </c>
      <c r="DE185" s="270">
        <f t="shared" si="1190"/>
        <v>0</v>
      </c>
      <c r="DF185" s="270">
        <f t="shared" si="1190"/>
        <v>0</v>
      </c>
      <c r="DG185" s="270">
        <f t="shared" si="1190"/>
        <v>0</v>
      </c>
      <c r="DH185" s="270">
        <f t="shared" si="1190"/>
        <v>0</v>
      </c>
      <c r="DI185" s="270">
        <f t="shared" si="1190"/>
        <v>0</v>
      </c>
      <c r="DJ185" s="270">
        <f t="shared" si="1190"/>
        <v>0</v>
      </c>
      <c r="DK185" s="270">
        <f t="shared" si="1190"/>
        <v>0</v>
      </c>
      <c r="DL185" s="270">
        <f t="shared" si="1190"/>
        <v>0</v>
      </c>
      <c r="DM185" s="270">
        <f t="shared" si="1190"/>
        <v>0</v>
      </c>
      <c r="DN185" s="270">
        <f t="shared" si="1190"/>
        <v>0</v>
      </c>
      <c r="DO185" s="270">
        <f t="shared" si="1190"/>
        <v>0</v>
      </c>
      <c r="DP185" s="270">
        <f t="shared" si="1190"/>
        <v>0</v>
      </c>
      <c r="DQ185" s="270">
        <f t="shared" si="1190"/>
        <v>0</v>
      </c>
      <c r="DR185" s="270">
        <f t="shared" si="1190"/>
        <v>0</v>
      </c>
      <c r="DS185" s="270">
        <f t="shared" si="1190"/>
        <v>0</v>
      </c>
      <c r="DT185" s="270">
        <f t="shared" si="1190"/>
        <v>0</v>
      </c>
      <c r="DU185" s="270">
        <f t="shared" si="1190"/>
        <v>0</v>
      </c>
      <c r="DV185" s="270">
        <f t="shared" si="1190"/>
        <v>0</v>
      </c>
      <c r="DW185" s="270">
        <f t="shared" si="1190"/>
        <v>0</v>
      </c>
      <c r="DX185" s="270">
        <f t="shared" si="1190"/>
        <v>0</v>
      </c>
      <c r="DY185" s="270">
        <f t="shared" si="29"/>
        <v>0</v>
      </c>
      <c r="DZ185" s="274"/>
      <c r="EA185" s="275">
        <f t="shared" si="38"/>
        <v>0</v>
      </c>
      <c r="EB185" s="270">
        <f t="shared" ref="EB185:FC185" si="1191">IF(AJ183&lt;=0,0,IF($C184&lt;=SUM($EA185:EA185),0,IF(CU184+$C184-SUM($EA185:EA185)&gt;AJ183+BO184,AJ183+BO184-CU184,$C184-SUM($EA185:EA185))))</f>
        <v>0</v>
      </c>
      <c r="EC185" s="270">
        <f t="shared" si="1191"/>
        <v>0</v>
      </c>
      <c r="ED185" s="270">
        <f t="shared" si="1191"/>
        <v>0</v>
      </c>
      <c r="EE185" s="270">
        <f t="shared" si="1191"/>
        <v>0</v>
      </c>
      <c r="EF185" s="270">
        <f t="shared" si="1191"/>
        <v>0</v>
      </c>
      <c r="EG185" s="270">
        <f t="shared" si="1191"/>
        <v>0</v>
      </c>
      <c r="EH185" s="270">
        <f t="shared" si="1191"/>
        <v>0</v>
      </c>
      <c r="EI185" s="270">
        <f t="shared" si="1191"/>
        <v>0</v>
      </c>
      <c r="EJ185" s="270">
        <f t="shared" si="1191"/>
        <v>0</v>
      </c>
      <c r="EK185" s="270">
        <f t="shared" si="1191"/>
        <v>0</v>
      </c>
      <c r="EL185" s="270">
        <f t="shared" si="1191"/>
        <v>0</v>
      </c>
      <c r="EM185" s="270">
        <f t="shared" si="1191"/>
        <v>0</v>
      </c>
      <c r="EN185" s="270">
        <f t="shared" si="1191"/>
        <v>0</v>
      </c>
      <c r="EO185" s="270">
        <f t="shared" si="1191"/>
        <v>0</v>
      </c>
      <c r="EP185" s="270">
        <f t="shared" si="1191"/>
        <v>0</v>
      </c>
      <c r="EQ185" s="270">
        <f t="shared" si="1191"/>
        <v>0</v>
      </c>
      <c r="ER185" s="270">
        <f t="shared" si="1191"/>
        <v>0</v>
      </c>
      <c r="ES185" s="270">
        <f t="shared" si="1191"/>
        <v>0</v>
      </c>
      <c r="ET185" s="270">
        <f t="shared" si="1191"/>
        <v>0</v>
      </c>
      <c r="EU185" s="270">
        <f t="shared" si="1191"/>
        <v>0</v>
      </c>
      <c r="EV185" s="270">
        <f t="shared" si="1191"/>
        <v>0</v>
      </c>
      <c r="EW185" s="270">
        <f t="shared" si="1191"/>
        <v>0</v>
      </c>
      <c r="EX185" s="270">
        <f t="shared" si="1191"/>
        <v>0</v>
      </c>
      <c r="EY185" s="270">
        <f t="shared" si="1191"/>
        <v>0</v>
      </c>
      <c r="EZ185" s="270">
        <f t="shared" si="1191"/>
        <v>0</v>
      </c>
      <c r="FA185" s="270">
        <f t="shared" si="1191"/>
        <v>0</v>
      </c>
      <c r="FB185" s="270">
        <f t="shared" si="1191"/>
        <v>0</v>
      </c>
      <c r="FC185" s="270">
        <f t="shared" si="1191"/>
        <v>0</v>
      </c>
      <c r="FD185" s="271"/>
      <c r="FE185" s="271"/>
      <c r="FF185" s="271"/>
      <c r="FG185" s="215"/>
      <c r="FH185" s="215"/>
    </row>
    <row r="186" ht="11.25" customHeight="1">
      <c r="A186" s="215" t="str">
        <f t="shared" si="19"/>
        <v/>
      </c>
      <c r="B186" s="241" t="str">
        <f t="shared" si="600"/>
        <v>#N/A</v>
      </c>
      <c r="C186" s="271" t="str">
        <f>IF(A186="","",IF(Calculator!snowball,IF(($E$5-DY186)&lt;0,0,$E$5-DY186),0)+D186)</f>
        <v/>
      </c>
      <c r="D186" s="271"/>
      <c r="E186" s="270">
        <f t="shared" si="40"/>
        <v>0</v>
      </c>
      <c r="F186" s="270">
        <f t="shared" ref="F186:AG186" si="1192">CU186+EB187</f>
        <v>0</v>
      </c>
      <c r="G186" s="270">
        <f t="shared" si="1192"/>
        <v>0</v>
      </c>
      <c r="H186" s="270">
        <f t="shared" si="1192"/>
        <v>0</v>
      </c>
      <c r="I186" s="270">
        <f t="shared" si="1192"/>
        <v>0</v>
      </c>
      <c r="J186" s="270">
        <f t="shared" si="1192"/>
        <v>0</v>
      </c>
      <c r="K186" s="270">
        <f t="shared" si="1192"/>
        <v>0</v>
      </c>
      <c r="L186" s="270">
        <f t="shared" si="1192"/>
        <v>0</v>
      </c>
      <c r="M186" s="270">
        <f t="shared" si="1192"/>
        <v>0</v>
      </c>
      <c r="N186" s="270">
        <f t="shared" si="1192"/>
        <v>0</v>
      </c>
      <c r="O186" s="270">
        <f t="shared" si="1192"/>
        <v>0</v>
      </c>
      <c r="P186" s="272">
        <f t="shared" si="1192"/>
        <v>0</v>
      </c>
      <c r="Q186" s="272">
        <f t="shared" si="1192"/>
        <v>0</v>
      </c>
      <c r="R186" s="272">
        <f t="shared" si="1192"/>
        <v>0</v>
      </c>
      <c r="S186" s="272">
        <f t="shared" si="1192"/>
        <v>0</v>
      </c>
      <c r="T186" s="272">
        <f t="shared" si="1192"/>
        <v>0</v>
      </c>
      <c r="U186" s="270">
        <f t="shared" si="1192"/>
        <v>0</v>
      </c>
      <c r="V186" s="270">
        <f t="shared" si="1192"/>
        <v>0</v>
      </c>
      <c r="W186" s="270">
        <f t="shared" si="1192"/>
        <v>0</v>
      </c>
      <c r="X186" s="270">
        <f t="shared" si="1192"/>
        <v>0</v>
      </c>
      <c r="Y186" s="270">
        <f t="shared" si="1192"/>
        <v>0</v>
      </c>
      <c r="Z186" s="270">
        <f t="shared" si="1192"/>
        <v>0</v>
      </c>
      <c r="AA186" s="270">
        <f t="shared" si="1192"/>
        <v>0</v>
      </c>
      <c r="AB186" s="270">
        <f t="shared" si="1192"/>
        <v>0</v>
      </c>
      <c r="AC186" s="270">
        <f t="shared" si="1192"/>
        <v>0</v>
      </c>
      <c r="AD186" s="270">
        <f t="shared" si="1192"/>
        <v>0</v>
      </c>
      <c r="AE186" s="270">
        <f t="shared" si="1192"/>
        <v>0</v>
      </c>
      <c r="AF186" s="270">
        <f t="shared" si="1192"/>
        <v>0</v>
      </c>
      <c r="AG186" s="270">
        <f t="shared" si="1192"/>
        <v>0</v>
      </c>
      <c r="AH186" s="279">
        <f t="shared" si="602"/>
        <v>0</v>
      </c>
      <c r="AI186" s="270">
        <f t="shared" si="43"/>
        <v>0</v>
      </c>
      <c r="AJ186" s="270">
        <f t="shared" ref="AJ186:AO186" si="1193">IF(F$8=0,0,ROUND(AJ185-(F186-BO186),2))</f>
        <v>0</v>
      </c>
      <c r="AK186" s="270">
        <f t="shared" si="1193"/>
        <v>0</v>
      </c>
      <c r="AL186" s="270">
        <f t="shared" si="1193"/>
        <v>0</v>
      </c>
      <c r="AM186" s="270">
        <f t="shared" si="1193"/>
        <v>0</v>
      </c>
      <c r="AN186" s="270">
        <f t="shared" si="1193"/>
        <v>0</v>
      </c>
      <c r="AO186" s="270">
        <f t="shared" si="1193"/>
        <v>0</v>
      </c>
      <c r="AP186" s="270">
        <v>0.0</v>
      </c>
      <c r="AQ186" s="270">
        <f t="shared" ref="AQ186:AS186" si="1194">IF(M$8=0,0,ROUND(AQ185-(M186-BV186),2))</f>
        <v>0</v>
      </c>
      <c r="AR186" s="270">
        <f t="shared" si="1194"/>
        <v>0</v>
      </c>
      <c r="AS186" s="270">
        <f t="shared" si="1194"/>
        <v>0</v>
      </c>
      <c r="AT186" s="270">
        <f t="shared" si="605"/>
        <v>-6.22</v>
      </c>
      <c r="AU186" s="270">
        <f t="shared" ref="AU186:BK186" si="1195">IF(Q$8=0,0,ROUND(AU185-(Q186-BY186),2))</f>
        <v>-12.33</v>
      </c>
      <c r="AV186" s="270">
        <f t="shared" si="1195"/>
        <v>0</v>
      </c>
      <c r="AW186" s="270">
        <f t="shared" si="1195"/>
        <v>0</v>
      </c>
      <c r="AX186" s="270">
        <f t="shared" si="1195"/>
        <v>0</v>
      </c>
      <c r="AY186" s="270">
        <f t="shared" si="1195"/>
        <v>0</v>
      </c>
      <c r="AZ186" s="270">
        <f t="shared" si="1195"/>
        <v>0</v>
      </c>
      <c r="BA186" s="270">
        <f t="shared" si="1195"/>
        <v>0</v>
      </c>
      <c r="BB186" s="270">
        <f t="shared" si="1195"/>
        <v>0</v>
      </c>
      <c r="BC186" s="270">
        <f t="shared" si="1195"/>
        <v>0</v>
      </c>
      <c r="BD186" s="270">
        <f t="shared" si="1195"/>
        <v>0</v>
      </c>
      <c r="BE186" s="270">
        <f t="shared" si="1195"/>
        <v>0</v>
      </c>
      <c r="BF186" s="270">
        <f t="shared" si="1195"/>
        <v>0</v>
      </c>
      <c r="BG186" s="270">
        <f t="shared" si="1195"/>
        <v>0</v>
      </c>
      <c r="BH186" s="270">
        <f t="shared" si="1195"/>
        <v>0</v>
      </c>
      <c r="BI186" s="270">
        <f t="shared" si="1195"/>
        <v>0</v>
      </c>
      <c r="BJ186" s="270">
        <f t="shared" si="1195"/>
        <v>0</v>
      </c>
      <c r="BK186" s="270">
        <f t="shared" si="1195"/>
        <v>0</v>
      </c>
      <c r="BL186" s="265">
        <f t="shared" si="16"/>
        <v>-18.55</v>
      </c>
      <c r="BM186" s="215"/>
      <c r="BN186" s="270">
        <f t="shared" ref="BN186:CP186" si="1196">ROUND(AI185*E$9/12,2)</f>
        <v>0</v>
      </c>
      <c r="BO186" s="270">
        <f t="shared" si="1196"/>
        <v>0</v>
      </c>
      <c r="BP186" s="270">
        <f t="shared" si="1196"/>
        <v>0</v>
      </c>
      <c r="BQ186" s="270">
        <f t="shared" si="1196"/>
        <v>0</v>
      </c>
      <c r="BR186" s="270">
        <f t="shared" si="1196"/>
        <v>0</v>
      </c>
      <c r="BS186" s="270">
        <f t="shared" si="1196"/>
        <v>0</v>
      </c>
      <c r="BT186" s="270">
        <f t="shared" si="1196"/>
        <v>0</v>
      </c>
      <c r="BU186" s="270">
        <f t="shared" si="1196"/>
        <v>0</v>
      </c>
      <c r="BV186" s="270">
        <f t="shared" si="1196"/>
        <v>0</v>
      </c>
      <c r="BW186" s="270">
        <f t="shared" si="1196"/>
        <v>0</v>
      </c>
      <c r="BX186" s="270">
        <f t="shared" si="1196"/>
        <v>0</v>
      </c>
      <c r="BY186" s="270">
        <f t="shared" si="1196"/>
        <v>-0.05</v>
      </c>
      <c r="BZ186" s="270">
        <f t="shared" si="1196"/>
        <v>-0.04</v>
      </c>
      <c r="CA186" s="270">
        <f t="shared" si="1196"/>
        <v>0</v>
      </c>
      <c r="CB186" s="270">
        <f t="shared" si="1196"/>
        <v>0</v>
      </c>
      <c r="CC186" s="270">
        <f t="shared" si="1196"/>
        <v>0</v>
      </c>
      <c r="CD186" s="270">
        <f t="shared" si="1196"/>
        <v>0</v>
      </c>
      <c r="CE186" s="270">
        <f t="shared" si="1196"/>
        <v>0</v>
      </c>
      <c r="CF186" s="270">
        <f t="shared" si="1196"/>
        <v>0</v>
      </c>
      <c r="CG186" s="270">
        <f t="shared" si="1196"/>
        <v>0</v>
      </c>
      <c r="CH186" s="270">
        <f t="shared" si="1196"/>
        <v>0</v>
      </c>
      <c r="CI186" s="270">
        <f t="shared" si="1196"/>
        <v>0</v>
      </c>
      <c r="CJ186" s="270">
        <f t="shared" si="1196"/>
        <v>0</v>
      </c>
      <c r="CK186" s="270">
        <f t="shared" si="1196"/>
        <v>0</v>
      </c>
      <c r="CL186" s="270">
        <f t="shared" si="1196"/>
        <v>0</v>
      </c>
      <c r="CM186" s="270">
        <f t="shared" si="1196"/>
        <v>0</v>
      </c>
      <c r="CN186" s="270">
        <f t="shared" si="1196"/>
        <v>0</v>
      </c>
      <c r="CO186" s="270">
        <f t="shared" si="1196"/>
        <v>0</v>
      </c>
      <c r="CP186" s="270">
        <f t="shared" si="1196"/>
        <v>0</v>
      </c>
      <c r="CQ186" s="215"/>
      <c r="CR186" s="270">
        <f t="shared" si="27"/>
        <v>-0.09</v>
      </c>
      <c r="CS186" s="215"/>
      <c r="CT186" s="270">
        <f t="shared" ref="CT186:DX186" si="1197">IF(AI185&gt;0,IF((AI185+BN186)&lt;E$10,AI185+BN186,E$10),0)</f>
        <v>0</v>
      </c>
      <c r="CU186" s="270">
        <f t="shared" si="1197"/>
        <v>0</v>
      </c>
      <c r="CV186" s="270">
        <f t="shared" si="1197"/>
        <v>0</v>
      </c>
      <c r="CW186" s="270">
        <f t="shared" si="1197"/>
        <v>0</v>
      </c>
      <c r="CX186" s="270">
        <f t="shared" si="1197"/>
        <v>0</v>
      </c>
      <c r="CY186" s="270">
        <f t="shared" si="1197"/>
        <v>0</v>
      </c>
      <c r="CZ186" s="270">
        <f t="shared" si="1197"/>
        <v>0</v>
      </c>
      <c r="DA186" s="270">
        <f t="shared" si="1197"/>
        <v>0</v>
      </c>
      <c r="DB186" s="270">
        <f t="shared" si="1197"/>
        <v>0</v>
      </c>
      <c r="DC186" s="270">
        <f t="shared" si="1197"/>
        <v>0</v>
      </c>
      <c r="DD186" s="270">
        <f t="shared" si="1197"/>
        <v>0</v>
      </c>
      <c r="DE186" s="270">
        <f t="shared" si="1197"/>
        <v>0</v>
      </c>
      <c r="DF186" s="270">
        <f t="shared" si="1197"/>
        <v>0</v>
      </c>
      <c r="DG186" s="270">
        <f t="shared" si="1197"/>
        <v>0</v>
      </c>
      <c r="DH186" s="270">
        <f t="shared" si="1197"/>
        <v>0</v>
      </c>
      <c r="DI186" s="270">
        <f t="shared" si="1197"/>
        <v>0</v>
      </c>
      <c r="DJ186" s="270">
        <f t="shared" si="1197"/>
        <v>0</v>
      </c>
      <c r="DK186" s="270">
        <f t="shared" si="1197"/>
        <v>0</v>
      </c>
      <c r="DL186" s="270">
        <f t="shared" si="1197"/>
        <v>0</v>
      </c>
      <c r="DM186" s="270">
        <f t="shared" si="1197"/>
        <v>0</v>
      </c>
      <c r="DN186" s="270">
        <f t="shared" si="1197"/>
        <v>0</v>
      </c>
      <c r="DO186" s="270">
        <f t="shared" si="1197"/>
        <v>0</v>
      </c>
      <c r="DP186" s="270">
        <f t="shared" si="1197"/>
        <v>0</v>
      </c>
      <c r="DQ186" s="270">
        <f t="shared" si="1197"/>
        <v>0</v>
      </c>
      <c r="DR186" s="270">
        <f t="shared" si="1197"/>
        <v>0</v>
      </c>
      <c r="DS186" s="270">
        <f t="shared" si="1197"/>
        <v>0</v>
      </c>
      <c r="DT186" s="270">
        <f t="shared" si="1197"/>
        <v>0</v>
      </c>
      <c r="DU186" s="270">
        <f t="shared" si="1197"/>
        <v>0</v>
      </c>
      <c r="DV186" s="270">
        <f t="shared" si="1197"/>
        <v>0</v>
      </c>
      <c r="DW186" s="270">
        <f t="shared" si="1197"/>
        <v>0</v>
      </c>
      <c r="DX186" s="270">
        <f t="shared" si="1197"/>
        <v>0</v>
      </c>
      <c r="DY186" s="270">
        <f t="shared" si="29"/>
        <v>0</v>
      </c>
      <c r="DZ186" s="274"/>
      <c r="EA186" s="275">
        <f t="shared" si="38"/>
        <v>0</v>
      </c>
      <c r="EB186" s="270">
        <f t="shared" ref="EB186:FC186" si="1198">IF(AJ184&lt;=0,0,IF($C185&lt;=SUM($EA186:EA186),0,IF(CU185+$C185-SUM($EA186:EA186)&gt;AJ184+BO185,AJ184+BO185-CU185,$C185-SUM($EA186:EA186))))</f>
        <v>0</v>
      </c>
      <c r="EC186" s="270">
        <f t="shared" si="1198"/>
        <v>0</v>
      </c>
      <c r="ED186" s="270">
        <f t="shared" si="1198"/>
        <v>0</v>
      </c>
      <c r="EE186" s="270">
        <f t="shared" si="1198"/>
        <v>0</v>
      </c>
      <c r="EF186" s="270">
        <f t="shared" si="1198"/>
        <v>0</v>
      </c>
      <c r="EG186" s="270">
        <f t="shared" si="1198"/>
        <v>0</v>
      </c>
      <c r="EH186" s="270">
        <f t="shared" si="1198"/>
        <v>0</v>
      </c>
      <c r="EI186" s="270">
        <f t="shared" si="1198"/>
        <v>0</v>
      </c>
      <c r="EJ186" s="270">
        <f t="shared" si="1198"/>
        <v>0</v>
      </c>
      <c r="EK186" s="270">
        <f t="shared" si="1198"/>
        <v>0</v>
      </c>
      <c r="EL186" s="270">
        <f t="shared" si="1198"/>
        <v>0</v>
      </c>
      <c r="EM186" s="270">
        <f t="shared" si="1198"/>
        <v>0</v>
      </c>
      <c r="EN186" s="270">
        <f t="shared" si="1198"/>
        <v>0</v>
      </c>
      <c r="EO186" s="270">
        <f t="shared" si="1198"/>
        <v>0</v>
      </c>
      <c r="EP186" s="270">
        <f t="shared" si="1198"/>
        <v>0</v>
      </c>
      <c r="EQ186" s="270">
        <f t="shared" si="1198"/>
        <v>0</v>
      </c>
      <c r="ER186" s="270">
        <f t="shared" si="1198"/>
        <v>0</v>
      </c>
      <c r="ES186" s="270">
        <f t="shared" si="1198"/>
        <v>0</v>
      </c>
      <c r="ET186" s="270">
        <f t="shared" si="1198"/>
        <v>0</v>
      </c>
      <c r="EU186" s="270">
        <f t="shared" si="1198"/>
        <v>0</v>
      </c>
      <c r="EV186" s="270">
        <f t="shared" si="1198"/>
        <v>0</v>
      </c>
      <c r="EW186" s="270">
        <f t="shared" si="1198"/>
        <v>0</v>
      </c>
      <c r="EX186" s="270">
        <f t="shared" si="1198"/>
        <v>0</v>
      </c>
      <c r="EY186" s="270">
        <f t="shared" si="1198"/>
        <v>0</v>
      </c>
      <c r="EZ186" s="270">
        <f t="shared" si="1198"/>
        <v>0</v>
      </c>
      <c r="FA186" s="270">
        <f t="shared" si="1198"/>
        <v>0</v>
      </c>
      <c r="FB186" s="270">
        <f t="shared" si="1198"/>
        <v>0</v>
      </c>
      <c r="FC186" s="270">
        <f t="shared" si="1198"/>
        <v>0</v>
      </c>
      <c r="FD186" s="271"/>
      <c r="FE186" s="271"/>
      <c r="FF186" s="271"/>
      <c r="FG186" s="215"/>
      <c r="FH186" s="215"/>
    </row>
    <row r="187" ht="11.25" customHeight="1">
      <c r="A187" s="215" t="str">
        <f t="shared" si="19"/>
        <v/>
      </c>
      <c r="B187" s="241" t="str">
        <f t="shared" si="600"/>
        <v>#N/A</v>
      </c>
      <c r="C187" s="271" t="str">
        <f>IF(A187="","",IF(Calculator!snowball,IF(($E$5-DY187)&lt;0,0,$E$5-DY187),0)+D187)</f>
        <v/>
      </c>
      <c r="D187" s="271"/>
      <c r="E187" s="270">
        <f t="shared" si="40"/>
        <v>0</v>
      </c>
      <c r="F187" s="270">
        <f t="shared" ref="F187:AG187" si="1199">CU187+EB188</f>
        <v>0</v>
      </c>
      <c r="G187" s="270">
        <f t="shared" si="1199"/>
        <v>0</v>
      </c>
      <c r="H187" s="270">
        <f t="shared" si="1199"/>
        <v>0</v>
      </c>
      <c r="I187" s="270">
        <f t="shared" si="1199"/>
        <v>0</v>
      </c>
      <c r="J187" s="270">
        <f t="shared" si="1199"/>
        <v>0</v>
      </c>
      <c r="K187" s="270">
        <f t="shared" si="1199"/>
        <v>0</v>
      </c>
      <c r="L187" s="270">
        <f t="shared" si="1199"/>
        <v>0</v>
      </c>
      <c r="M187" s="270">
        <f t="shared" si="1199"/>
        <v>0</v>
      </c>
      <c r="N187" s="270">
        <f t="shared" si="1199"/>
        <v>0</v>
      </c>
      <c r="O187" s="270">
        <f t="shared" si="1199"/>
        <v>0</v>
      </c>
      <c r="P187" s="272">
        <f t="shared" si="1199"/>
        <v>0</v>
      </c>
      <c r="Q187" s="272">
        <f t="shared" si="1199"/>
        <v>0</v>
      </c>
      <c r="R187" s="272">
        <f t="shared" si="1199"/>
        <v>0</v>
      </c>
      <c r="S187" s="272">
        <f t="shared" si="1199"/>
        <v>0</v>
      </c>
      <c r="T187" s="272">
        <f t="shared" si="1199"/>
        <v>0</v>
      </c>
      <c r="U187" s="270">
        <f t="shared" si="1199"/>
        <v>0</v>
      </c>
      <c r="V187" s="270">
        <f t="shared" si="1199"/>
        <v>0</v>
      </c>
      <c r="W187" s="270">
        <f t="shared" si="1199"/>
        <v>0</v>
      </c>
      <c r="X187" s="270">
        <f t="shared" si="1199"/>
        <v>0</v>
      </c>
      <c r="Y187" s="270">
        <f t="shared" si="1199"/>
        <v>0</v>
      </c>
      <c r="Z187" s="270">
        <f t="shared" si="1199"/>
        <v>0</v>
      </c>
      <c r="AA187" s="270">
        <f t="shared" si="1199"/>
        <v>0</v>
      </c>
      <c r="AB187" s="270">
        <f t="shared" si="1199"/>
        <v>0</v>
      </c>
      <c r="AC187" s="270">
        <f t="shared" si="1199"/>
        <v>0</v>
      </c>
      <c r="AD187" s="270">
        <f t="shared" si="1199"/>
        <v>0</v>
      </c>
      <c r="AE187" s="270">
        <f t="shared" si="1199"/>
        <v>0</v>
      </c>
      <c r="AF187" s="270">
        <f t="shared" si="1199"/>
        <v>0</v>
      </c>
      <c r="AG187" s="270">
        <f t="shared" si="1199"/>
        <v>0</v>
      </c>
      <c r="AH187" s="279">
        <f t="shared" si="602"/>
        <v>0</v>
      </c>
      <c r="AI187" s="270">
        <f t="shared" si="43"/>
        <v>0</v>
      </c>
      <c r="AJ187" s="270">
        <f t="shared" ref="AJ187:AO187" si="1200">IF(F$8=0,0,ROUND(AJ186-(F187-BO187),2))</f>
        <v>0</v>
      </c>
      <c r="AK187" s="270">
        <f t="shared" si="1200"/>
        <v>0</v>
      </c>
      <c r="AL187" s="270">
        <f t="shared" si="1200"/>
        <v>0</v>
      </c>
      <c r="AM187" s="270">
        <f t="shared" si="1200"/>
        <v>0</v>
      </c>
      <c r="AN187" s="270">
        <f t="shared" si="1200"/>
        <v>0</v>
      </c>
      <c r="AO187" s="270">
        <f t="shared" si="1200"/>
        <v>0</v>
      </c>
      <c r="AP187" s="270">
        <v>0.0</v>
      </c>
      <c r="AQ187" s="270">
        <f t="shared" ref="AQ187:AS187" si="1201">IF(M$8=0,0,ROUND(AQ186-(M187-BV187),2))</f>
        <v>0</v>
      </c>
      <c r="AR187" s="270">
        <f t="shared" si="1201"/>
        <v>0</v>
      </c>
      <c r="AS187" s="270">
        <f t="shared" si="1201"/>
        <v>0</v>
      </c>
      <c r="AT187" s="270">
        <f t="shared" si="605"/>
        <v>-6.22</v>
      </c>
      <c r="AU187" s="270">
        <f t="shared" ref="AU187:BK187" si="1202">IF(Q$8=0,0,ROUND(AU186-(Q187-BY187),2))</f>
        <v>-12.38</v>
      </c>
      <c r="AV187" s="270">
        <f t="shared" si="1202"/>
        <v>0</v>
      </c>
      <c r="AW187" s="270">
        <f t="shared" si="1202"/>
        <v>0</v>
      </c>
      <c r="AX187" s="270">
        <f t="shared" si="1202"/>
        <v>0</v>
      </c>
      <c r="AY187" s="270">
        <f t="shared" si="1202"/>
        <v>0</v>
      </c>
      <c r="AZ187" s="270">
        <f t="shared" si="1202"/>
        <v>0</v>
      </c>
      <c r="BA187" s="270">
        <f t="shared" si="1202"/>
        <v>0</v>
      </c>
      <c r="BB187" s="270">
        <f t="shared" si="1202"/>
        <v>0</v>
      </c>
      <c r="BC187" s="270">
        <f t="shared" si="1202"/>
        <v>0</v>
      </c>
      <c r="BD187" s="270">
        <f t="shared" si="1202"/>
        <v>0</v>
      </c>
      <c r="BE187" s="270">
        <f t="shared" si="1202"/>
        <v>0</v>
      </c>
      <c r="BF187" s="270">
        <f t="shared" si="1202"/>
        <v>0</v>
      </c>
      <c r="BG187" s="270">
        <f t="shared" si="1202"/>
        <v>0</v>
      </c>
      <c r="BH187" s="270">
        <f t="shared" si="1202"/>
        <v>0</v>
      </c>
      <c r="BI187" s="270">
        <f t="shared" si="1202"/>
        <v>0</v>
      </c>
      <c r="BJ187" s="270">
        <f t="shared" si="1202"/>
        <v>0</v>
      </c>
      <c r="BK187" s="270">
        <f t="shared" si="1202"/>
        <v>0</v>
      </c>
      <c r="BL187" s="265">
        <f t="shared" si="16"/>
        <v>-18.6</v>
      </c>
      <c r="BM187" s="215"/>
      <c r="BN187" s="270">
        <f t="shared" ref="BN187:CP187" si="1203">ROUND(AI186*E$9/12,2)</f>
        <v>0</v>
      </c>
      <c r="BO187" s="270">
        <f t="shared" si="1203"/>
        <v>0</v>
      </c>
      <c r="BP187" s="270">
        <f t="shared" si="1203"/>
        <v>0</v>
      </c>
      <c r="BQ187" s="270">
        <f t="shared" si="1203"/>
        <v>0</v>
      </c>
      <c r="BR187" s="270">
        <f t="shared" si="1203"/>
        <v>0</v>
      </c>
      <c r="BS187" s="270">
        <f t="shared" si="1203"/>
        <v>0</v>
      </c>
      <c r="BT187" s="270">
        <f t="shared" si="1203"/>
        <v>0</v>
      </c>
      <c r="BU187" s="270">
        <f t="shared" si="1203"/>
        <v>0</v>
      </c>
      <c r="BV187" s="270">
        <f t="shared" si="1203"/>
        <v>0</v>
      </c>
      <c r="BW187" s="270">
        <f t="shared" si="1203"/>
        <v>0</v>
      </c>
      <c r="BX187" s="270">
        <f t="shared" si="1203"/>
        <v>0</v>
      </c>
      <c r="BY187" s="270">
        <f t="shared" si="1203"/>
        <v>-0.05</v>
      </c>
      <c r="BZ187" s="270">
        <f t="shared" si="1203"/>
        <v>-0.04</v>
      </c>
      <c r="CA187" s="270">
        <f t="shared" si="1203"/>
        <v>0</v>
      </c>
      <c r="CB187" s="270">
        <f t="shared" si="1203"/>
        <v>0</v>
      </c>
      <c r="CC187" s="270">
        <f t="shared" si="1203"/>
        <v>0</v>
      </c>
      <c r="CD187" s="270">
        <f t="shared" si="1203"/>
        <v>0</v>
      </c>
      <c r="CE187" s="270">
        <f t="shared" si="1203"/>
        <v>0</v>
      </c>
      <c r="CF187" s="270">
        <f t="shared" si="1203"/>
        <v>0</v>
      </c>
      <c r="CG187" s="270">
        <f t="shared" si="1203"/>
        <v>0</v>
      </c>
      <c r="CH187" s="270">
        <f t="shared" si="1203"/>
        <v>0</v>
      </c>
      <c r="CI187" s="270">
        <f t="shared" si="1203"/>
        <v>0</v>
      </c>
      <c r="CJ187" s="270">
        <f t="shared" si="1203"/>
        <v>0</v>
      </c>
      <c r="CK187" s="270">
        <f t="shared" si="1203"/>
        <v>0</v>
      </c>
      <c r="CL187" s="270">
        <f t="shared" si="1203"/>
        <v>0</v>
      </c>
      <c r="CM187" s="270">
        <f t="shared" si="1203"/>
        <v>0</v>
      </c>
      <c r="CN187" s="270">
        <f t="shared" si="1203"/>
        <v>0</v>
      </c>
      <c r="CO187" s="270">
        <f t="shared" si="1203"/>
        <v>0</v>
      </c>
      <c r="CP187" s="270">
        <f t="shared" si="1203"/>
        <v>0</v>
      </c>
      <c r="CQ187" s="215"/>
      <c r="CR187" s="270">
        <f t="shared" si="27"/>
        <v>-0.09</v>
      </c>
      <c r="CS187" s="215"/>
      <c r="CT187" s="270">
        <f t="shared" ref="CT187:DX187" si="1204">IF(AI186&gt;0,IF((AI186+BN187)&lt;E$10,AI186+BN187,E$10),0)</f>
        <v>0</v>
      </c>
      <c r="CU187" s="270">
        <f t="shared" si="1204"/>
        <v>0</v>
      </c>
      <c r="CV187" s="270">
        <f t="shared" si="1204"/>
        <v>0</v>
      </c>
      <c r="CW187" s="270">
        <f t="shared" si="1204"/>
        <v>0</v>
      </c>
      <c r="CX187" s="270">
        <f t="shared" si="1204"/>
        <v>0</v>
      </c>
      <c r="CY187" s="270">
        <f t="shared" si="1204"/>
        <v>0</v>
      </c>
      <c r="CZ187" s="270">
        <f t="shared" si="1204"/>
        <v>0</v>
      </c>
      <c r="DA187" s="270">
        <f t="shared" si="1204"/>
        <v>0</v>
      </c>
      <c r="DB187" s="270">
        <f t="shared" si="1204"/>
        <v>0</v>
      </c>
      <c r="DC187" s="270">
        <f t="shared" si="1204"/>
        <v>0</v>
      </c>
      <c r="DD187" s="270">
        <f t="shared" si="1204"/>
        <v>0</v>
      </c>
      <c r="DE187" s="270">
        <f t="shared" si="1204"/>
        <v>0</v>
      </c>
      <c r="DF187" s="270">
        <f t="shared" si="1204"/>
        <v>0</v>
      </c>
      <c r="DG187" s="270">
        <f t="shared" si="1204"/>
        <v>0</v>
      </c>
      <c r="DH187" s="270">
        <f t="shared" si="1204"/>
        <v>0</v>
      </c>
      <c r="DI187" s="270">
        <f t="shared" si="1204"/>
        <v>0</v>
      </c>
      <c r="DJ187" s="270">
        <f t="shared" si="1204"/>
        <v>0</v>
      </c>
      <c r="DK187" s="270">
        <f t="shared" si="1204"/>
        <v>0</v>
      </c>
      <c r="DL187" s="270">
        <f t="shared" si="1204"/>
        <v>0</v>
      </c>
      <c r="DM187" s="270">
        <f t="shared" si="1204"/>
        <v>0</v>
      </c>
      <c r="DN187" s="270">
        <f t="shared" si="1204"/>
        <v>0</v>
      </c>
      <c r="DO187" s="270">
        <f t="shared" si="1204"/>
        <v>0</v>
      </c>
      <c r="DP187" s="270">
        <f t="shared" si="1204"/>
        <v>0</v>
      </c>
      <c r="DQ187" s="270">
        <f t="shared" si="1204"/>
        <v>0</v>
      </c>
      <c r="DR187" s="270">
        <f t="shared" si="1204"/>
        <v>0</v>
      </c>
      <c r="DS187" s="270">
        <f t="shared" si="1204"/>
        <v>0</v>
      </c>
      <c r="DT187" s="270">
        <f t="shared" si="1204"/>
        <v>0</v>
      </c>
      <c r="DU187" s="270">
        <f t="shared" si="1204"/>
        <v>0</v>
      </c>
      <c r="DV187" s="270">
        <f t="shared" si="1204"/>
        <v>0</v>
      </c>
      <c r="DW187" s="270">
        <f t="shared" si="1204"/>
        <v>0</v>
      </c>
      <c r="DX187" s="270">
        <f t="shared" si="1204"/>
        <v>0</v>
      </c>
      <c r="DY187" s="270">
        <f t="shared" si="29"/>
        <v>0</v>
      </c>
      <c r="DZ187" s="274"/>
      <c r="EA187" s="275">
        <f t="shared" si="38"/>
        <v>0</v>
      </c>
      <c r="EB187" s="270">
        <f t="shared" ref="EB187:FC187" si="1205">IF(AJ185&lt;=0,0,IF($C186&lt;=SUM($EA187:EA187),0,IF(CU186+$C186-SUM($EA187:EA187)&gt;AJ185+BO186,AJ185+BO186-CU186,$C186-SUM($EA187:EA187))))</f>
        <v>0</v>
      </c>
      <c r="EC187" s="270">
        <f t="shared" si="1205"/>
        <v>0</v>
      </c>
      <c r="ED187" s="270">
        <f t="shared" si="1205"/>
        <v>0</v>
      </c>
      <c r="EE187" s="270">
        <f t="shared" si="1205"/>
        <v>0</v>
      </c>
      <c r="EF187" s="270">
        <f t="shared" si="1205"/>
        <v>0</v>
      </c>
      <c r="EG187" s="270">
        <f t="shared" si="1205"/>
        <v>0</v>
      </c>
      <c r="EH187" s="270">
        <f t="shared" si="1205"/>
        <v>0</v>
      </c>
      <c r="EI187" s="270">
        <f t="shared" si="1205"/>
        <v>0</v>
      </c>
      <c r="EJ187" s="270">
        <f t="shared" si="1205"/>
        <v>0</v>
      </c>
      <c r="EK187" s="270">
        <f t="shared" si="1205"/>
        <v>0</v>
      </c>
      <c r="EL187" s="270">
        <f t="shared" si="1205"/>
        <v>0</v>
      </c>
      <c r="EM187" s="270">
        <f t="shared" si="1205"/>
        <v>0</v>
      </c>
      <c r="EN187" s="270">
        <f t="shared" si="1205"/>
        <v>0</v>
      </c>
      <c r="EO187" s="270">
        <f t="shared" si="1205"/>
        <v>0</v>
      </c>
      <c r="EP187" s="270">
        <f t="shared" si="1205"/>
        <v>0</v>
      </c>
      <c r="EQ187" s="270">
        <f t="shared" si="1205"/>
        <v>0</v>
      </c>
      <c r="ER187" s="270">
        <f t="shared" si="1205"/>
        <v>0</v>
      </c>
      <c r="ES187" s="270">
        <f t="shared" si="1205"/>
        <v>0</v>
      </c>
      <c r="ET187" s="270">
        <f t="shared" si="1205"/>
        <v>0</v>
      </c>
      <c r="EU187" s="270">
        <f t="shared" si="1205"/>
        <v>0</v>
      </c>
      <c r="EV187" s="270">
        <f t="shared" si="1205"/>
        <v>0</v>
      </c>
      <c r="EW187" s="270">
        <f t="shared" si="1205"/>
        <v>0</v>
      </c>
      <c r="EX187" s="270">
        <f t="shared" si="1205"/>
        <v>0</v>
      </c>
      <c r="EY187" s="270">
        <f t="shared" si="1205"/>
        <v>0</v>
      </c>
      <c r="EZ187" s="270">
        <f t="shared" si="1205"/>
        <v>0</v>
      </c>
      <c r="FA187" s="270">
        <f t="shared" si="1205"/>
        <v>0</v>
      </c>
      <c r="FB187" s="270">
        <f t="shared" si="1205"/>
        <v>0</v>
      </c>
      <c r="FC187" s="270">
        <f t="shared" si="1205"/>
        <v>0</v>
      </c>
      <c r="FD187" s="271"/>
      <c r="FE187" s="271"/>
      <c r="FF187" s="271"/>
      <c r="FG187" s="215"/>
      <c r="FH187" s="215"/>
    </row>
    <row r="188" ht="11.25" customHeight="1">
      <c r="A188" s="215" t="str">
        <f t="shared" si="19"/>
        <v/>
      </c>
      <c r="B188" s="241" t="str">
        <f t="shared" si="600"/>
        <v>#N/A</v>
      </c>
      <c r="C188" s="271" t="str">
        <f>IF(A188="","",IF(Calculator!snowball,IF(($E$5-DY188)&lt;0,0,$E$5-DY188),0)+D188)</f>
        <v/>
      </c>
      <c r="D188" s="271"/>
      <c r="E188" s="270">
        <f t="shared" si="40"/>
        <v>0</v>
      </c>
      <c r="F188" s="270">
        <f t="shared" ref="F188:AG188" si="1206">CU188+EB189</f>
        <v>0</v>
      </c>
      <c r="G188" s="270">
        <f t="shared" si="1206"/>
        <v>0</v>
      </c>
      <c r="H188" s="270">
        <f t="shared" si="1206"/>
        <v>0</v>
      </c>
      <c r="I188" s="270">
        <f t="shared" si="1206"/>
        <v>0</v>
      </c>
      <c r="J188" s="270">
        <f t="shared" si="1206"/>
        <v>0</v>
      </c>
      <c r="K188" s="270">
        <f t="shared" si="1206"/>
        <v>0</v>
      </c>
      <c r="L188" s="270">
        <f t="shared" si="1206"/>
        <v>0</v>
      </c>
      <c r="M188" s="270">
        <f t="shared" si="1206"/>
        <v>0</v>
      </c>
      <c r="N188" s="270">
        <f t="shared" si="1206"/>
        <v>0</v>
      </c>
      <c r="O188" s="270">
        <f t="shared" si="1206"/>
        <v>0</v>
      </c>
      <c r="P188" s="272">
        <f t="shared" si="1206"/>
        <v>0</v>
      </c>
      <c r="Q188" s="272">
        <f t="shared" si="1206"/>
        <v>0</v>
      </c>
      <c r="R188" s="272">
        <f t="shared" si="1206"/>
        <v>0</v>
      </c>
      <c r="S188" s="272">
        <f t="shared" si="1206"/>
        <v>0</v>
      </c>
      <c r="T188" s="272">
        <f t="shared" si="1206"/>
        <v>0</v>
      </c>
      <c r="U188" s="270">
        <f t="shared" si="1206"/>
        <v>0</v>
      </c>
      <c r="V188" s="270">
        <f t="shared" si="1206"/>
        <v>0</v>
      </c>
      <c r="W188" s="270">
        <f t="shared" si="1206"/>
        <v>0</v>
      </c>
      <c r="X188" s="270">
        <f t="shared" si="1206"/>
        <v>0</v>
      </c>
      <c r="Y188" s="270">
        <f t="shared" si="1206"/>
        <v>0</v>
      </c>
      <c r="Z188" s="270">
        <f t="shared" si="1206"/>
        <v>0</v>
      </c>
      <c r="AA188" s="270">
        <f t="shared" si="1206"/>
        <v>0</v>
      </c>
      <c r="AB188" s="270">
        <f t="shared" si="1206"/>
        <v>0</v>
      </c>
      <c r="AC188" s="270">
        <f t="shared" si="1206"/>
        <v>0</v>
      </c>
      <c r="AD188" s="270">
        <f t="shared" si="1206"/>
        <v>0</v>
      </c>
      <c r="AE188" s="270">
        <f t="shared" si="1206"/>
        <v>0</v>
      </c>
      <c r="AF188" s="270">
        <f t="shared" si="1206"/>
        <v>0</v>
      </c>
      <c r="AG188" s="270">
        <f t="shared" si="1206"/>
        <v>0</v>
      </c>
      <c r="AH188" s="279">
        <f t="shared" si="602"/>
        <v>0</v>
      </c>
      <c r="AI188" s="270">
        <f t="shared" si="43"/>
        <v>0</v>
      </c>
      <c r="AJ188" s="270">
        <f t="shared" ref="AJ188:AO188" si="1207">IF(F$8=0,0,ROUND(AJ187-(F188-BO188),2))</f>
        <v>0</v>
      </c>
      <c r="AK188" s="270">
        <f t="shared" si="1207"/>
        <v>0</v>
      </c>
      <c r="AL188" s="270">
        <f t="shared" si="1207"/>
        <v>0</v>
      </c>
      <c r="AM188" s="270">
        <f t="shared" si="1207"/>
        <v>0</v>
      </c>
      <c r="AN188" s="270">
        <f t="shared" si="1207"/>
        <v>0</v>
      </c>
      <c r="AO188" s="270">
        <f t="shared" si="1207"/>
        <v>0</v>
      </c>
      <c r="AP188" s="270">
        <v>0.0</v>
      </c>
      <c r="AQ188" s="270">
        <f t="shared" ref="AQ188:AS188" si="1208">IF(M$8=0,0,ROUND(AQ187-(M188-BV188),2))</f>
        <v>0</v>
      </c>
      <c r="AR188" s="270">
        <f t="shared" si="1208"/>
        <v>0</v>
      </c>
      <c r="AS188" s="270">
        <f t="shared" si="1208"/>
        <v>0</v>
      </c>
      <c r="AT188" s="270">
        <f t="shared" si="605"/>
        <v>-6.22</v>
      </c>
      <c r="AU188" s="270">
        <f t="shared" ref="AU188:BK188" si="1209">IF(Q$8=0,0,ROUND(AU187-(Q188-BY188),2))</f>
        <v>-12.43</v>
      </c>
      <c r="AV188" s="270">
        <f t="shared" si="1209"/>
        <v>0</v>
      </c>
      <c r="AW188" s="270">
        <f t="shared" si="1209"/>
        <v>0</v>
      </c>
      <c r="AX188" s="270">
        <f t="shared" si="1209"/>
        <v>0</v>
      </c>
      <c r="AY188" s="270">
        <f t="shared" si="1209"/>
        <v>0</v>
      </c>
      <c r="AZ188" s="270">
        <f t="shared" si="1209"/>
        <v>0</v>
      </c>
      <c r="BA188" s="270">
        <f t="shared" si="1209"/>
        <v>0</v>
      </c>
      <c r="BB188" s="270">
        <f t="shared" si="1209"/>
        <v>0</v>
      </c>
      <c r="BC188" s="270">
        <f t="shared" si="1209"/>
        <v>0</v>
      </c>
      <c r="BD188" s="270">
        <f t="shared" si="1209"/>
        <v>0</v>
      </c>
      <c r="BE188" s="270">
        <f t="shared" si="1209"/>
        <v>0</v>
      </c>
      <c r="BF188" s="270">
        <f t="shared" si="1209"/>
        <v>0</v>
      </c>
      <c r="BG188" s="270">
        <f t="shared" si="1209"/>
        <v>0</v>
      </c>
      <c r="BH188" s="270">
        <f t="shared" si="1209"/>
        <v>0</v>
      </c>
      <c r="BI188" s="270">
        <f t="shared" si="1209"/>
        <v>0</v>
      </c>
      <c r="BJ188" s="270">
        <f t="shared" si="1209"/>
        <v>0</v>
      </c>
      <c r="BK188" s="270">
        <f t="shared" si="1209"/>
        <v>0</v>
      </c>
      <c r="BL188" s="265">
        <f t="shared" si="16"/>
        <v>-18.65</v>
      </c>
      <c r="BM188" s="215"/>
      <c r="BN188" s="270">
        <f t="shared" ref="BN188:CP188" si="1210">ROUND(AI187*E$9/12,2)</f>
        <v>0</v>
      </c>
      <c r="BO188" s="270">
        <f t="shared" si="1210"/>
        <v>0</v>
      </c>
      <c r="BP188" s="270">
        <f t="shared" si="1210"/>
        <v>0</v>
      </c>
      <c r="BQ188" s="270">
        <f t="shared" si="1210"/>
        <v>0</v>
      </c>
      <c r="BR188" s="270">
        <f t="shared" si="1210"/>
        <v>0</v>
      </c>
      <c r="BS188" s="270">
        <f t="shared" si="1210"/>
        <v>0</v>
      </c>
      <c r="BT188" s="270">
        <f t="shared" si="1210"/>
        <v>0</v>
      </c>
      <c r="BU188" s="270">
        <f t="shared" si="1210"/>
        <v>0</v>
      </c>
      <c r="BV188" s="270">
        <f t="shared" si="1210"/>
        <v>0</v>
      </c>
      <c r="BW188" s="270">
        <f t="shared" si="1210"/>
        <v>0</v>
      </c>
      <c r="BX188" s="270">
        <f t="shared" si="1210"/>
        <v>0</v>
      </c>
      <c r="BY188" s="270">
        <f t="shared" si="1210"/>
        <v>-0.05</v>
      </c>
      <c r="BZ188" s="270">
        <f t="shared" si="1210"/>
        <v>-0.04</v>
      </c>
      <c r="CA188" s="270">
        <f t="shared" si="1210"/>
        <v>0</v>
      </c>
      <c r="CB188" s="270">
        <f t="shared" si="1210"/>
        <v>0</v>
      </c>
      <c r="CC188" s="270">
        <f t="shared" si="1210"/>
        <v>0</v>
      </c>
      <c r="CD188" s="270">
        <f t="shared" si="1210"/>
        <v>0</v>
      </c>
      <c r="CE188" s="270">
        <f t="shared" si="1210"/>
        <v>0</v>
      </c>
      <c r="CF188" s="270">
        <f t="shared" si="1210"/>
        <v>0</v>
      </c>
      <c r="CG188" s="270">
        <f t="shared" si="1210"/>
        <v>0</v>
      </c>
      <c r="CH188" s="270">
        <f t="shared" si="1210"/>
        <v>0</v>
      </c>
      <c r="CI188" s="270">
        <f t="shared" si="1210"/>
        <v>0</v>
      </c>
      <c r="CJ188" s="270">
        <f t="shared" si="1210"/>
        <v>0</v>
      </c>
      <c r="CK188" s="270">
        <f t="shared" si="1210"/>
        <v>0</v>
      </c>
      <c r="CL188" s="270">
        <f t="shared" si="1210"/>
        <v>0</v>
      </c>
      <c r="CM188" s="270">
        <f t="shared" si="1210"/>
        <v>0</v>
      </c>
      <c r="CN188" s="270">
        <f t="shared" si="1210"/>
        <v>0</v>
      </c>
      <c r="CO188" s="270">
        <f t="shared" si="1210"/>
        <v>0</v>
      </c>
      <c r="CP188" s="270">
        <f t="shared" si="1210"/>
        <v>0</v>
      </c>
      <c r="CQ188" s="215"/>
      <c r="CR188" s="270">
        <f t="shared" si="27"/>
        <v>-0.09</v>
      </c>
      <c r="CS188" s="215"/>
      <c r="CT188" s="270">
        <f t="shared" ref="CT188:DX188" si="1211">IF(AI187&gt;0,IF((AI187+BN188)&lt;E$10,AI187+BN188,E$10),0)</f>
        <v>0</v>
      </c>
      <c r="CU188" s="270">
        <f t="shared" si="1211"/>
        <v>0</v>
      </c>
      <c r="CV188" s="270">
        <f t="shared" si="1211"/>
        <v>0</v>
      </c>
      <c r="CW188" s="270">
        <f t="shared" si="1211"/>
        <v>0</v>
      </c>
      <c r="CX188" s="270">
        <f t="shared" si="1211"/>
        <v>0</v>
      </c>
      <c r="CY188" s="270">
        <f t="shared" si="1211"/>
        <v>0</v>
      </c>
      <c r="CZ188" s="270">
        <f t="shared" si="1211"/>
        <v>0</v>
      </c>
      <c r="DA188" s="270">
        <f t="shared" si="1211"/>
        <v>0</v>
      </c>
      <c r="DB188" s="270">
        <f t="shared" si="1211"/>
        <v>0</v>
      </c>
      <c r="DC188" s="270">
        <f t="shared" si="1211"/>
        <v>0</v>
      </c>
      <c r="DD188" s="270">
        <f t="shared" si="1211"/>
        <v>0</v>
      </c>
      <c r="DE188" s="270">
        <f t="shared" si="1211"/>
        <v>0</v>
      </c>
      <c r="DF188" s="270">
        <f t="shared" si="1211"/>
        <v>0</v>
      </c>
      <c r="DG188" s="270">
        <f t="shared" si="1211"/>
        <v>0</v>
      </c>
      <c r="DH188" s="270">
        <f t="shared" si="1211"/>
        <v>0</v>
      </c>
      <c r="DI188" s="270">
        <f t="shared" si="1211"/>
        <v>0</v>
      </c>
      <c r="DJ188" s="270">
        <f t="shared" si="1211"/>
        <v>0</v>
      </c>
      <c r="DK188" s="270">
        <f t="shared" si="1211"/>
        <v>0</v>
      </c>
      <c r="DL188" s="270">
        <f t="shared" si="1211"/>
        <v>0</v>
      </c>
      <c r="DM188" s="270">
        <f t="shared" si="1211"/>
        <v>0</v>
      </c>
      <c r="DN188" s="270">
        <f t="shared" si="1211"/>
        <v>0</v>
      </c>
      <c r="DO188" s="270">
        <f t="shared" si="1211"/>
        <v>0</v>
      </c>
      <c r="DP188" s="270">
        <f t="shared" si="1211"/>
        <v>0</v>
      </c>
      <c r="DQ188" s="270">
        <f t="shared" si="1211"/>
        <v>0</v>
      </c>
      <c r="DR188" s="270">
        <f t="shared" si="1211"/>
        <v>0</v>
      </c>
      <c r="DS188" s="270">
        <f t="shared" si="1211"/>
        <v>0</v>
      </c>
      <c r="DT188" s="270">
        <f t="shared" si="1211"/>
        <v>0</v>
      </c>
      <c r="DU188" s="270">
        <f t="shared" si="1211"/>
        <v>0</v>
      </c>
      <c r="DV188" s="270">
        <f t="shared" si="1211"/>
        <v>0</v>
      </c>
      <c r="DW188" s="270">
        <f t="shared" si="1211"/>
        <v>0</v>
      </c>
      <c r="DX188" s="270">
        <f t="shared" si="1211"/>
        <v>0</v>
      </c>
      <c r="DY188" s="270">
        <f t="shared" si="29"/>
        <v>0</v>
      </c>
      <c r="DZ188" s="274"/>
      <c r="EA188" s="275">
        <f t="shared" si="38"/>
        <v>0</v>
      </c>
      <c r="EB188" s="270">
        <f t="shared" ref="EB188:FC188" si="1212">IF(AJ186&lt;=0,0,IF($C187&lt;=SUM($EA188:EA188),0,IF(CU187+$C187-SUM($EA188:EA188)&gt;AJ186+BO187,AJ186+BO187-CU187,$C187-SUM($EA188:EA188))))</f>
        <v>0</v>
      </c>
      <c r="EC188" s="270">
        <f t="shared" si="1212"/>
        <v>0</v>
      </c>
      <c r="ED188" s="270">
        <f t="shared" si="1212"/>
        <v>0</v>
      </c>
      <c r="EE188" s="270">
        <f t="shared" si="1212"/>
        <v>0</v>
      </c>
      <c r="EF188" s="270">
        <f t="shared" si="1212"/>
        <v>0</v>
      </c>
      <c r="EG188" s="270">
        <f t="shared" si="1212"/>
        <v>0</v>
      </c>
      <c r="EH188" s="270">
        <f t="shared" si="1212"/>
        <v>0</v>
      </c>
      <c r="EI188" s="270">
        <f t="shared" si="1212"/>
        <v>0</v>
      </c>
      <c r="EJ188" s="270">
        <f t="shared" si="1212"/>
        <v>0</v>
      </c>
      <c r="EK188" s="270">
        <f t="shared" si="1212"/>
        <v>0</v>
      </c>
      <c r="EL188" s="270">
        <f t="shared" si="1212"/>
        <v>0</v>
      </c>
      <c r="EM188" s="270">
        <f t="shared" si="1212"/>
        <v>0</v>
      </c>
      <c r="EN188" s="270">
        <f t="shared" si="1212"/>
        <v>0</v>
      </c>
      <c r="EO188" s="270">
        <f t="shared" si="1212"/>
        <v>0</v>
      </c>
      <c r="EP188" s="270">
        <f t="shared" si="1212"/>
        <v>0</v>
      </c>
      <c r="EQ188" s="270">
        <f t="shared" si="1212"/>
        <v>0</v>
      </c>
      <c r="ER188" s="270">
        <f t="shared" si="1212"/>
        <v>0</v>
      </c>
      <c r="ES188" s="270">
        <f t="shared" si="1212"/>
        <v>0</v>
      </c>
      <c r="ET188" s="270">
        <f t="shared" si="1212"/>
        <v>0</v>
      </c>
      <c r="EU188" s="270">
        <f t="shared" si="1212"/>
        <v>0</v>
      </c>
      <c r="EV188" s="270">
        <f t="shared" si="1212"/>
        <v>0</v>
      </c>
      <c r="EW188" s="270">
        <f t="shared" si="1212"/>
        <v>0</v>
      </c>
      <c r="EX188" s="270">
        <f t="shared" si="1212"/>
        <v>0</v>
      </c>
      <c r="EY188" s="270">
        <f t="shared" si="1212"/>
        <v>0</v>
      </c>
      <c r="EZ188" s="270">
        <f t="shared" si="1212"/>
        <v>0</v>
      </c>
      <c r="FA188" s="270">
        <f t="shared" si="1212"/>
        <v>0</v>
      </c>
      <c r="FB188" s="270">
        <f t="shared" si="1212"/>
        <v>0</v>
      </c>
      <c r="FC188" s="270">
        <f t="shared" si="1212"/>
        <v>0</v>
      </c>
      <c r="FD188" s="271"/>
      <c r="FE188" s="271"/>
      <c r="FF188" s="271"/>
      <c r="FG188" s="215"/>
      <c r="FH188" s="215"/>
    </row>
    <row r="189" ht="11.25" customHeight="1">
      <c r="A189" s="215" t="str">
        <f t="shared" si="19"/>
        <v/>
      </c>
      <c r="B189" s="241" t="str">
        <f t="shared" si="600"/>
        <v>#N/A</v>
      </c>
      <c r="C189" s="271" t="str">
        <f>IF(A189="","",IF(Calculator!snowball,IF(($E$5-DY189)&lt;0,0,$E$5-DY189),0)+D189)</f>
        <v/>
      </c>
      <c r="D189" s="271"/>
      <c r="E189" s="270">
        <f t="shared" si="40"/>
        <v>0</v>
      </c>
      <c r="F189" s="270">
        <f t="shared" ref="F189:AG189" si="1213">CU189+EB190</f>
        <v>0</v>
      </c>
      <c r="G189" s="270">
        <f t="shared" si="1213"/>
        <v>0</v>
      </c>
      <c r="H189" s="270">
        <f t="shared" si="1213"/>
        <v>0</v>
      </c>
      <c r="I189" s="270">
        <f t="shared" si="1213"/>
        <v>0</v>
      </c>
      <c r="J189" s="270">
        <f t="shared" si="1213"/>
        <v>0</v>
      </c>
      <c r="K189" s="270">
        <f t="shared" si="1213"/>
        <v>0</v>
      </c>
      <c r="L189" s="270">
        <f t="shared" si="1213"/>
        <v>0</v>
      </c>
      <c r="M189" s="270">
        <f t="shared" si="1213"/>
        <v>0</v>
      </c>
      <c r="N189" s="270">
        <f t="shared" si="1213"/>
        <v>0</v>
      </c>
      <c r="O189" s="270">
        <f t="shared" si="1213"/>
        <v>0</v>
      </c>
      <c r="P189" s="272">
        <f t="shared" si="1213"/>
        <v>0</v>
      </c>
      <c r="Q189" s="272">
        <f t="shared" si="1213"/>
        <v>0</v>
      </c>
      <c r="R189" s="272">
        <f t="shared" si="1213"/>
        <v>0</v>
      </c>
      <c r="S189" s="272">
        <f t="shared" si="1213"/>
        <v>0</v>
      </c>
      <c r="T189" s="272">
        <f t="shared" si="1213"/>
        <v>0</v>
      </c>
      <c r="U189" s="270">
        <f t="shared" si="1213"/>
        <v>0</v>
      </c>
      <c r="V189" s="270">
        <f t="shared" si="1213"/>
        <v>0</v>
      </c>
      <c r="W189" s="270">
        <f t="shared" si="1213"/>
        <v>0</v>
      </c>
      <c r="X189" s="270">
        <f t="shared" si="1213"/>
        <v>0</v>
      </c>
      <c r="Y189" s="270">
        <f t="shared" si="1213"/>
        <v>0</v>
      </c>
      <c r="Z189" s="270">
        <f t="shared" si="1213"/>
        <v>0</v>
      </c>
      <c r="AA189" s="270">
        <f t="shared" si="1213"/>
        <v>0</v>
      </c>
      <c r="AB189" s="270">
        <f t="shared" si="1213"/>
        <v>0</v>
      </c>
      <c r="AC189" s="270">
        <f t="shared" si="1213"/>
        <v>0</v>
      </c>
      <c r="AD189" s="270">
        <f t="shared" si="1213"/>
        <v>0</v>
      </c>
      <c r="AE189" s="270">
        <f t="shared" si="1213"/>
        <v>0</v>
      </c>
      <c r="AF189" s="270">
        <f t="shared" si="1213"/>
        <v>0</v>
      </c>
      <c r="AG189" s="270">
        <f t="shared" si="1213"/>
        <v>0</v>
      </c>
      <c r="AH189" s="279">
        <f t="shared" si="602"/>
        <v>0</v>
      </c>
      <c r="AI189" s="270">
        <f t="shared" si="43"/>
        <v>0</v>
      </c>
      <c r="AJ189" s="270">
        <f t="shared" ref="AJ189:AO189" si="1214">IF(F$8=0,0,ROUND(AJ188-(F189-BO189),2))</f>
        <v>0</v>
      </c>
      <c r="AK189" s="270">
        <f t="shared" si="1214"/>
        <v>0</v>
      </c>
      <c r="AL189" s="270">
        <f t="shared" si="1214"/>
        <v>0</v>
      </c>
      <c r="AM189" s="270">
        <f t="shared" si="1214"/>
        <v>0</v>
      </c>
      <c r="AN189" s="270">
        <f t="shared" si="1214"/>
        <v>0</v>
      </c>
      <c r="AO189" s="270">
        <f t="shared" si="1214"/>
        <v>0</v>
      </c>
      <c r="AP189" s="270">
        <v>0.0</v>
      </c>
      <c r="AQ189" s="270">
        <f t="shared" ref="AQ189:AS189" si="1215">IF(M$8=0,0,ROUND(AQ188-(M189-BV189),2))</f>
        <v>0</v>
      </c>
      <c r="AR189" s="270">
        <f t="shared" si="1215"/>
        <v>0</v>
      </c>
      <c r="AS189" s="270">
        <f t="shared" si="1215"/>
        <v>0</v>
      </c>
      <c r="AT189" s="270">
        <f t="shared" si="605"/>
        <v>-6.22</v>
      </c>
      <c r="AU189" s="270">
        <f t="shared" ref="AU189:BK189" si="1216">IF(Q$8=0,0,ROUND(AU188-(Q189-BY189),2))</f>
        <v>-12.48</v>
      </c>
      <c r="AV189" s="270">
        <f t="shared" si="1216"/>
        <v>0</v>
      </c>
      <c r="AW189" s="270">
        <f t="shared" si="1216"/>
        <v>0</v>
      </c>
      <c r="AX189" s="270">
        <f t="shared" si="1216"/>
        <v>0</v>
      </c>
      <c r="AY189" s="270">
        <f t="shared" si="1216"/>
        <v>0</v>
      </c>
      <c r="AZ189" s="270">
        <f t="shared" si="1216"/>
        <v>0</v>
      </c>
      <c r="BA189" s="270">
        <f t="shared" si="1216"/>
        <v>0</v>
      </c>
      <c r="BB189" s="270">
        <f t="shared" si="1216"/>
        <v>0</v>
      </c>
      <c r="BC189" s="270">
        <f t="shared" si="1216"/>
        <v>0</v>
      </c>
      <c r="BD189" s="270">
        <f t="shared" si="1216"/>
        <v>0</v>
      </c>
      <c r="BE189" s="270">
        <f t="shared" si="1216"/>
        <v>0</v>
      </c>
      <c r="BF189" s="270">
        <f t="shared" si="1216"/>
        <v>0</v>
      </c>
      <c r="BG189" s="270">
        <f t="shared" si="1216"/>
        <v>0</v>
      </c>
      <c r="BH189" s="270">
        <f t="shared" si="1216"/>
        <v>0</v>
      </c>
      <c r="BI189" s="270">
        <f t="shared" si="1216"/>
        <v>0</v>
      </c>
      <c r="BJ189" s="270">
        <f t="shared" si="1216"/>
        <v>0</v>
      </c>
      <c r="BK189" s="270">
        <f t="shared" si="1216"/>
        <v>0</v>
      </c>
      <c r="BL189" s="265">
        <f t="shared" si="16"/>
        <v>-18.7</v>
      </c>
      <c r="BM189" s="215"/>
      <c r="BN189" s="270">
        <f t="shared" ref="BN189:CP189" si="1217">ROUND(AI188*E$9/12,2)</f>
        <v>0</v>
      </c>
      <c r="BO189" s="270">
        <f t="shared" si="1217"/>
        <v>0</v>
      </c>
      <c r="BP189" s="270">
        <f t="shared" si="1217"/>
        <v>0</v>
      </c>
      <c r="BQ189" s="270">
        <f t="shared" si="1217"/>
        <v>0</v>
      </c>
      <c r="BR189" s="270">
        <f t="shared" si="1217"/>
        <v>0</v>
      </c>
      <c r="BS189" s="270">
        <f t="shared" si="1217"/>
        <v>0</v>
      </c>
      <c r="BT189" s="270">
        <f t="shared" si="1217"/>
        <v>0</v>
      </c>
      <c r="BU189" s="270">
        <f t="shared" si="1217"/>
        <v>0</v>
      </c>
      <c r="BV189" s="270">
        <f t="shared" si="1217"/>
        <v>0</v>
      </c>
      <c r="BW189" s="270">
        <f t="shared" si="1217"/>
        <v>0</v>
      </c>
      <c r="BX189" s="270">
        <f t="shared" si="1217"/>
        <v>0</v>
      </c>
      <c r="BY189" s="270">
        <f t="shared" si="1217"/>
        <v>-0.05</v>
      </c>
      <c r="BZ189" s="270">
        <f t="shared" si="1217"/>
        <v>-0.04</v>
      </c>
      <c r="CA189" s="270">
        <f t="shared" si="1217"/>
        <v>0</v>
      </c>
      <c r="CB189" s="270">
        <f t="shared" si="1217"/>
        <v>0</v>
      </c>
      <c r="CC189" s="270">
        <f t="shared" si="1217"/>
        <v>0</v>
      </c>
      <c r="CD189" s="270">
        <f t="shared" si="1217"/>
        <v>0</v>
      </c>
      <c r="CE189" s="270">
        <f t="shared" si="1217"/>
        <v>0</v>
      </c>
      <c r="CF189" s="270">
        <f t="shared" si="1217"/>
        <v>0</v>
      </c>
      <c r="CG189" s="270">
        <f t="shared" si="1217"/>
        <v>0</v>
      </c>
      <c r="CH189" s="270">
        <f t="shared" si="1217"/>
        <v>0</v>
      </c>
      <c r="CI189" s="270">
        <f t="shared" si="1217"/>
        <v>0</v>
      </c>
      <c r="CJ189" s="270">
        <f t="shared" si="1217"/>
        <v>0</v>
      </c>
      <c r="CK189" s="270">
        <f t="shared" si="1217"/>
        <v>0</v>
      </c>
      <c r="CL189" s="270">
        <f t="shared" si="1217"/>
        <v>0</v>
      </c>
      <c r="CM189" s="270">
        <f t="shared" si="1217"/>
        <v>0</v>
      </c>
      <c r="CN189" s="270">
        <f t="shared" si="1217"/>
        <v>0</v>
      </c>
      <c r="CO189" s="270">
        <f t="shared" si="1217"/>
        <v>0</v>
      </c>
      <c r="CP189" s="270">
        <f t="shared" si="1217"/>
        <v>0</v>
      </c>
      <c r="CQ189" s="215"/>
      <c r="CR189" s="270">
        <f t="shared" si="27"/>
        <v>-0.09</v>
      </c>
      <c r="CS189" s="215"/>
      <c r="CT189" s="270">
        <f t="shared" ref="CT189:DX189" si="1218">IF(AI188&gt;0,IF((AI188+BN189)&lt;E$10,AI188+BN189,E$10),0)</f>
        <v>0</v>
      </c>
      <c r="CU189" s="270">
        <f t="shared" si="1218"/>
        <v>0</v>
      </c>
      <c r="CV189" s="270">
        <f t="shared" si="1218"/>
        <v>0</v>
      </c>
      <c r="CW189" s="270">
        <f t="shared" si="1218"/>
        <v>0</v>
      </c>
      <c r="CX189" s="270">
        <f t="shared" si="1218"/>
        <v>0</v>
      </c>
      <c r="CY189" s="270">
        <f t="shared" si="1218"/>
        <v>0</v>
      </c>
      <c r="CZ189" s="270">
        <f t="shared" si="1218"/>
        <v>0</v>
      </c>
      <c r="DA189" s="270">
        <f t="shared" si="1218"/>
        <v>0</v>
      </c>
      <c r="DB189" s="270">
        <f t="shared" si="1218"/>
        <v>0</v>
      </c>
      <c r="DC189" s="270">
        <f t="shared" si="1218"/>
        <v>0</v>
      </c>
      <c r="DD189" s="270">
        <f t="shared" si="1218"/>
        <v>0</v>
      </c>
      <c r="DE189" s="270">
        <f t="shared" si="1218"/>
        <v>0</v>
      </c>
      <c r="DF189" s="270">
        <f t="shared" si="1218"/>
        <v>0</v>
      </c>
      <c r="DG189" s="270">
        <f t="shared" si="1218"/>
        <v>0</v>
      </c>
      <c r="DH189" s="270">
        <f t="shared" si="1218"/>
        <v>0</v>
      </c>
      <c r="DI189" s="270">
        <f t="shared" si="1218"/>
        <v>0</v>
      </c>
      <c r="DJ189" s="270">
        <f t="shared" si="1218"/>
        <v>0</v>
      </c>
      <c r="DK189" s="270">
        <f t="shared" si="1218"/>
        <v>0</v>
      </c>
      <c r="DL189" s="270">
        <f t="shared" si="1218"/>
        <v>0</v>
      </c>
      <c r="DM189" s="270">
        <f t="shared" si="1218"/>
        <v>0</v>
      </c>
      <c r="DN189" s="270">
        <f t="shared" si="1218"/>
        <v>0</v>
      </c>
      <c r="DO189" s="270">
        <f t="shared" si="1218"/>
        <v>0</v>
      </c>
      <c r="DP189" s="270">
        <f t="shared" si="1218"/>
        <v>0</v>
      </c>
      <c r="DQ189" s="270">
        <f t="shared" si="1218"/>
        <v>0</v>
      </c>
      <c r="DR189" s="270">
        <f t="shared" si="1218"/>
        <v>0</v>
      </c>
      <c r="DS189" s="270">
        <f t="shared" si="1218"/>
        <v>0</v>
      </c>
      <c r="DT189" s="270">
        <f t="shared" si="1218"/>
        <v>0</v>
      </c>
      <c r="DU189" s="270">
        <f t="shared" si="1218"/>
        <v>0</v>
      </c>
      <c r="DV189" s="270">
        <f t="shared" si="1218"/>
        <v>0</v>
      </c>
      <c r="DW189" s="270">
        <f t="shared" si="1218"/>
        <v>0</v>
      </c>
      <c r="DX189" s="270">
        <f t="shared" si="1218"/>
        <v>0</v>
      </c>
      <c r="DY189" s="270">
        <f t="shared" si="29"/>
        <v>0</v>
      </c>
      <c r="DZ189" s="274"/>
      <c r="EA189" s="275">
        <f t="shared" si="38"/>
        <v>0</v>
      </c>
      <c r="EB189" s="270">
        <f t="shared" ref="EB189:FC189" si="1219">IF(AJ187&lt;=0,0,IF($C188&lt;=SUM($EA189:EA189),0,IF(CU188+$C188-SUM($EA189:EA189)&gt;AJ187+BO188,AJ187+BO188-CU188,$C188-SUM($EA189:EA189))))</f>
        <v>0</v>
      </c>
      <c r="EC189" s="270">
        <f t="shared" si="1219"/>
        <v>0</v>
      </c>
      <c r="ED189" s="270">
        <f t="shared" si="1219"/>
        <v>0</v>
      </c>
      <c r="EE189" s="270">
        <f t="shared" si="1219"/>
        <v>0</v>
      </c>
      <c r="EF189" s="270">
        <f t="shared" si="1219"/>
        <v>0</v>
      </c>
      <c r="EG189" s="270">
        <f t="shared" si="1219"/>
        <v>0</v>
      </c>
      <c r="EH189" s="270">
        <f t="shared" si="1219"/>
        <v>0</v>
      </c>
      <c r="EI189" s="270">
        <f t="shared" si="1219"/>
        <v>0</v>
      </c>
      <c r="EJ189" s="270">
        <f t="shared" si="1219"/>
        <v>0</v>
      </c>
      <c r="EK189" s="270">
        <f t="shared" si="1219"/>
        <v>0</v>
      </c>
      <c r="EL189" s="270">
        <f t="shared" si="1219"/>
        <v>0</v>
      </c>
      <c r="EM189" s="270">
        <f t="shared" si="1219"/>
        <v>0</v>
      </c>
      <c r="EN189" s="270">
        <f t="shared" si="1219"/>
        <v>0</v>
      </c>
      <c r="EO189" s="270">
        <f t="shared" si="1219"/>
        <v>0</v>
      </c>
      <c r="EP189" s="270">
        <f t="shared" si="1219"/>
        <v>0</v>
      </c>
      <c r="EQ189" s="270">
        <f t="shared" si="1219"/>
        <v>0</v>
      </c>
      <c r="ER189" s="270">
        <f t="shared" si="1219"/>
        <v>0</v>
      </c>
      <c r="ES189" s="270">
        <f t="shared" si="1219"/>
        <v>0</v>
      </c>
      <c r="ET189" s="270">
        <f t="shared" si="1219"/>
        <v>0</v>
      </c>
      <c r="EU189" s="270">
        <f t="shared" si="1219"/>
        <v>0</v>
      </c>
      <c r="EV189" s="270">
        <f t="shared" si="1219"/>
        <v>0</v>
      </c>
      <c r="EW189" s="270">
        <f t="shared" si="1219"/>
        <v>0</v>
      </c>
      <c r="EX189" s="270">
        <f t="shared" si="1219"/>
        <v>0</v>
      </c>
      <c r="EY189" s="270">
        <f t="shared" si="1219"/>
        <v>0</v>
      </c>
      <c r="EZ189" s="270">
        <f t="shared" si="1219"/>
        <v>0</v>
      </c>
      <c r="FA189" s="270">
        <f t="shared" si="1219"/>
        <v>0</v>
      </c>
      <c r="FB189" s="270">
        <f t="shared" si="1219"/>
        <v>0</v>
      </c>
      <c r="FC189" s="270">
        <f t="shared" si="1219"/>
        <v>0</v>
      </c>
      <c r="FD189" s="271"/>
      <c r="FE189" s="271"/>
      <c r="FF189" s="271"/>
      <c r="FG189" s="215"/>
      <c r="FH189" s="215"/>
    </row>
    <row r="190" ht="11.25" customHeight="1">
      <c r="A190" s="215" t="str">
        <f t="shared" si="19"/>
        <v/>
      </c>
      <c r="B190" s="241" t="str">
        <f t="shared" si="600"/>
        <v>#N/A</v>
      </c>
      <c r="C190" s="271" t="str">
        <f>IF(A190="","",IF(Calculator!snowball,IF(($E$5-DY190)&lt;0,0,$E$5-DY190),0)+D190)</f>
        <v/>
      </c>
      <c r="D190" s="271"/>
      <c r="E190" s="270">
        <f t="shared" si="40"/>
        <v>0</v>
      </c>
      <c r="F190" s="270">
        <f t="shared" ref="F190:AG190" si="1220">CU190+EB191</f>
        <v>0</v>
      </c>
      <c r="G190" s="270">
        <f t="shared" si="1220"/>
        <v>0</v>
      </c>
      <c r="H190" s="270">
        <f t="shared" si="1220"/>
        <v>0</v>
      </c>
      <c r="I190" s="270">
        <f t="shared" si="1220"/>
        <v>0</v>
      </c>
      <c r="J190" s="270">
        <f t="shared" si="1220"/>
        <v>0</v>
      </c>
      <c r="K190" s="270">
        <f t="shared" si="1220"/>
        <v>0</v>
      </c>
      <c r="L190" s="270">
        <f t="shared" si="1220"/>
        <v>0</v>
      </c>
      <c r="M190" s="270">
        <f t="shared" si="1220"/>
        <v>0</v>
      </c>
      <c r="N190" s="270">
        <f t="shared" si="1220"/>
        <v>0</v>
      </c>
      <c r="O190" s="270">
        <f t="shared" si="1220"/>
        <v>0</v>
      </c>
      <c r="P190" s="272">
        <f t="shared" si="1220"/>
        <v>0</v>
      </c>
      <c r="Q190" s="272">
        <f t="shared" si="1220"/>
        <v>0</v>
      </c>
      <c r="R190" s="272">
        <f t="shared" si="1220"/>
        <v>0</v>
      </c>
      <c r="S190" s="272">
        <f t="shared" si="1220"/>
        <v>0</v>
      </c>
      <c r="T190" s="272">
        <f t="shared" si="1220"/>
        <v>0</v>
      </c>
      <c r="U190" s="270">
        <f t="shared" si="1220"/>
        <v>0</v>
      </c>
      <c r="V190" s="270">
        <f t="shared" si="1220"/>
        <v>0</v>
      </c>
      <c r="W190" s="270">
        <f t="shared" si="1220"/>
        <v>0</v>
      </c>
      <c r="X190" s="270">
        <f t="shared" si="1220"/>
        <v>0</v>
      </c>
      <c r="Y190" s="270">
        <f t="shared" si="1220"/>
        <v>0</v>
      </c>
      <c r="Z190" s="270">
        <f t="shared" si="1220"/>
        <v>0</v>
      </c>
      <c r="AA190" s="270">
        <f t="shared" si="1220"/>
        <v>0</v>
      </c>
      <c r="AB190" s="270">
        <f t="shared" si="1220"/>
        <v>0</v>
      </c>
      <c r="AC190" s="270">
        <f t="shared" si="1220"/>
        <v>0</v>
      </c>
      <c r="AD190" s="270">
        <f t="shared" si="1220"/>
        <v>0</v>
      </c>
      <c r="AE190" s="270">
        <f t="shared" si="1220"/>
        <v>0</v>
      </c>
      <c r="AF190" s="270">
        <f t="shared" si="1220"/>
        <v>0</v>
      </c>
      <c r="AG190" s="270">
        <f t="shared" si="1220"/>
        <v>0</v>
      </c>
      <c r="AH190" s="279">
        <f t="shared" si="602"/>
        <v>0</v>
      </c>
      <c r="AI190" s="270">
        <f t="shared" si="43"/>
        <v>0</v>
      </c>
      <c r="AJ190" s="270">
        <f t="shared" ref="AJ190:AO190" si="1221">IF(F$8=0,0,ROUND(AJ189-(F190-BO190),2))</f>
        <v>0</v>
      </c>
      <c r="AK190" s="270">
        <f t="shared" si="1221"/>
        <v>0</v>
      </c>
      <c r="AL190" s="270">
        <f t="shared" si="1221"/>
        <v>0</v>
      </c>
      <c r="AM190" s="270">
        <f t="shared" si="1221"/>
        <v>0</v>
      </c>
      <c r="AN190" s="270">
        <f t="shared" si="1221"/>
        <v>0</v>
      </c>
      <c r="AO190" s="270">
        <f t="shared" si="1221"/>
        <v>0</v>
      </c>
      <c r="AP190" s="270">
        <v>0.0</v>
      </c>
      <c r="AQ190" s="270">
        <f t="shared" ref="AQ190:AS190" si="1222">IF(M$8=0,0,ROUND(AQ189-(M190-BV190),2))</f>
        <v>0</v>
      </c>
      <c r="AR190" s="270">
        <f t="shared" si="1222"/>
        <v>0</v>
      </c>
      <c r="AS190" s="270">
        <f t="shared" si="1222"/>
        <v>0</v>
      </c>
      <c r="AT190" s="270">
        <f t="shared" si="605"/>
        <v>-6.22</v>
      </c>
      <c r="AU190" s="270">
        <f t="shared" ref="AU190:BK190" si="1223">IF(Q$8=0,0,ROUND(AU189-(Q190-BY190),2))</f>
        <v>-12.53</v>
      </c>
      <c r="AV190" s="270">
        <f t="shared" si="1223"/>
        <v>0</v>
      </c>
      <c r="AW190" s="270">
        <f t="shared" si="1223"/>
        <v>0</v>
      </c>
      <c r="AX190" s="270">
        <f t="shared" si="1223"/>
        <v>0</v>
      </c>
      <c r="AY190" s="270">
        <f t="shared" si="1223"/>
        <v>0</v>
      </c>
      <c r="AZ190" s="270">
        <f t="shared" si="1223"/>
        <v>0</v>
      </c>
      <c r="BA190" s="270">
        <f t="shared" si="1223"/>
        <v>0</v>
      </c>
      <c r="BB190" s="270">
        <f t="shared" si="1223"/>
        <v>0</v>
      </c>
      <c r="BC190" s="270">
        <f t="shared" si="1223"/>
        <v>0</v>
      </c>
      <c r="BD190" s="270">
        <f t="shared" si="1223"/>
        <v>0</v>
      </c>
      <c r="BE190" s="270">
        <f t="shared" si="1223"/>
        <v>0</v>
      </c>
      <c r="BF190" s="270">
        <f t="shared" si="1223"/>
        <v>0</v>
      </c>
      <c r="BG190" s="270">
        <f t="shared" si="1223"/>
        <v>0</v>
      </c>
      <c r="BH190" s="270">
        <f t="shared" si="1223"/>
        <v>0</v>
      </c>
      <c r="BI190" s="270">
        <f t="shared" si="1223"/>
        <v>0</v>
      </c>
      <c r="BJ190" s="270">
        <f t="shared" si="1223"/>
        <v>0</v>
      </c>
      <c r="BK190" s="270">
        <f t="shared" si="1223"/>
        <v>0</v>
      </c>
      <c r="BL190" s="265">
        <f t="shared" si="16"/>
        <v>-18.75</v>
      </c>
      <c r="BM190" s="215"/>
      <c r="BN190" s="270">
        <f t="shared" ref="BN190:CP190" si="1224">ROUND(AI189*E$9/12,2)</f>
        <v>0</v>
      </c>
      <c r="BO190" s="270">
        <f t="shared" si="1224"/>
        <v>0</v>
      </c>
      <c r="BP190" s="270">
        <f t="shared" si="1224"/>
        <v>0</v>
      </c>
      <c r="BQ190" s="270">
        <f t="shared" si="1224"/>
        <v>0</v>
      </c>
      <c r="BR190" s="270">
        <f t="shared" si="1224"/>
        <v>0</v>
      </c>
      <c r="BS190" s="270">
        <f t="shared" si="1224"/>
        <v>0</v>
      </c>
      <c r="BT190" s="270">
        <f t="shared" si="1224"/>
        <v>0</v>
      </c>
      <c r="BU190" s="270">
        <f t="shared" si="1224"/>
        <v>0</v>
      </c>
      <c r="BV190" s="270">
        <f t="shared" si="1224"/>
        <v>0</v>
      </c>
      <c r="BW190" s="270">
        <f t="shared" si="1224"/>
        <v>0</v>
      </c>
      <c r="BX190" s="270">
        <f t="shared" si="1224"/>
        <v>0</v>
      </c>
      <c r="BY190" s="270">
        <f t="shared" si="1224"/>
        <v>-0.05</v>
      </c>
      <c r="BZ190" s="270">
        <f t="shared" si="1224"/>
        <v>-0.04</v>
      </c>
      <c r="CA190" s="270">
        <f t="shared" si="1224"/>
        <v>0</v>
      </c>
      <c r="CB190" s="270">
        <f t="shared" si="1224"/>
        <v>0</v>
      </c>
      <c r="CC190" s="270">
        <f t="shared" si="1224"/>
        <v>0</v>
      </c>
      <c r="CD190" s="270">
        <f t="shared" si="1224"/>
        <v>0</v>
      </c>
      <c r="CE190" s="270">
        <f t="shared" si="1224"/>
        <v>0</v>
      </c>
      <c r="CF190" s="270">
        <f t="shared" si="1224"/>
        <v>0</v>
      </c>
      <c r="CG190" s="270">
        <f t="shared" si="1224"/>
        <v>0</v>
      </c>
      <c r="CH190" s="270">
        <f t="shared" si="1224"/>
        <v>0</v>
      </c>
      <c r="CI190" s="270">
        <f t="shared" si="1224"/>
        <v>0</v>
      </c>
      <c r="CJ190" s="270">
        <f t="shared" si="1224"/>
        <v>0</v>
      </c>
      <c r="CK190" s="270">
        <f t="shared" si="1224"/>
        <v>0</v>
      </c>
      <c r="CL190" s="270">
        <f t="shared" si="1224"/>
        <v>0</v>
      </c>
      <c r="CM190" s="270">
        <f t="shared" si="1224"/>
        <v>0</v>
      </c>
      <c r="CN190" s="270">
        <f t="shared" si="1224"/>
        <v>0</v>
      </c>
      <c r="CO190" s="270">
        <f t="shared" si="1224"/>
        <v>0</v>
      </c>
      <c r="CP190" s="270">
        <f t="shared" si="1224"/>
        <v>0</v>
      </c>
      <c r="CQ190" s="215"/>
      <c r="CR190" s="270">
        <f t="shared" si="27"/>
        <v>-0.09</v>
      </c>
      <c r="CS190" s="215"/>
      <c r="CT190" s="270">
        <f t="shared" ref="CT190:DX190" si="1225">IF(AI189&gt;0,IF((AI189+BN190)&lt;E$10,AI189+BN190,E$10),0)</f>
        <v>0</v>
      </c>
      <c r="CU190" s="270">
        <f t="shared" si="1225"/>
        <v>0</v>
      </c>
      <c r="CV190" s="270">
        <f t="shared" si="1225"/>
        <v>0</v>
      </c>
      <c r="CW190" s="270">
        <f t="shared" si="1225"/>
        <v>0</v>
      </c>
      <c r="CX190" s="270">
        <f t="shared" si="1225"/>
        <v>0</v>
      </c>
      <c r="CY190" s="270">
        <f t="shared" si="1225"/>
        <v>0</v>
      </c>
      <c r="CZ190" s="270">
        <f t="shared" si="1225"/>
        <v>0</v>
      </c>
      <c r="DA190" s="270">
        <f t="shared" si="1225"/>
        <v>0</v>
      </c>
      <c r="DB190" s="270">
        <f t="shared" si="1225"/>
        <v>0</v>
      </c>
      <c r="DC190" s="270">
        <f t="shared" si="1225"/>
        <v>0</v>
      </c>
      <c r="DD190" s="270">
        <f t="shared" si="1225"/>
        <v>0</v>
      </c>
      <c r="DE190" s="270">
        <f t="shared" si="1225"/>
        <v>0</v>
      </c>
      <c r="DF190" s="270">
        <f t="shared" si="1225"/>
        <v>0</v>
      </c>
      <c r="DG190" s="270">
        <f t="shared" si="1225"/>
        <v>0</v>
      </c>
      <c r="DH190" s="270">
        <f t="shared" si="1225"/>
        <v>0</v>
      </c>
      <c r="DI190" s="270">
        <f t="shared" si="1225"/>
        <v>0</v>
      </c>
      <c r="DJ190" s="270">
        <f t="shared" si="1225"/>
        <v>0</v>
      </c>
      <c r="DK190" s="270">
        <f t="shared" si="1225"/>
        <v>0</v>
      </c>
      <c r="DL190" s="270">
        <f t="shared" si="1225"/>
        <v>0</v>
      </c>
      <c r="DM190" s="270">
        <f t="shared" si="1225"/>
        <v>0</v>
      </c>
      <c r="DN190" s="270">
        <f t="shared" si="1225"/>
        <v>0</v>
      </c>
      <c r="DO190" s="270">
        <f t="shared" si="1225"/>
        <v>0</v>
      </c>
      <c r="DP190" s="270">
        <f t="shared" si="1225"/>
        <v>0</v>
      </c>
      <c r="DQ190" s="270">
        <f t="shared" si="1225"/>
        <v>0</v>
      </c>
      <c r="DR190" s="270">
        <f t="shared" si="1225"/>
        <v>0</v>
      </c>
      <c r="DS190" s="270">
        <f t="shared" si="1225"/>
        <v>0</v>
      </c>
      <c r="DT190" s="270">
        <f t="shared" si="1225"/>
        <v>0</v>
      </c>
      <c r="DU190" s="270">
        <f t="shared" si="1225"/>
        <v>0</v>
      </c>
      <c r="DV190" s="270">
        <f t="shared" si="1225"/>
        <v>0</v>
      </c>
      <c r="DW190" s="270">
        <f t="shared" si="1225"/>
        <v>0</v>
      </c>
      <c r="DX190" s="270">
        <f t="shared" si="1225"/>
        <v>0</v>
      </c>
      <c r="DY190" s="270">
        <f t="shared" si="29"/>
        <v>0</v>
      </c>
      <c r="DZ190" s="274"/>
      <c r="EA190" s="275">
        <f t="shared" si="38"/>
        <v>0</v>
      </c>
      <c r="EB190" s="270">
        <f t="shared" ref="EB190:FC190" si="1226">IF(AJ188&lt;=0,0,IF($C189&lt;=SUM($EA190:EA190),0,IF(CU189+$C189-SUM($EA190:EA190)&gt;AJ188+BO189,AJ188+BO189-CU189,$C189-SUM($EA190:EA190))))</f>
        <v>0</v>
      </c>
      <c r="EC190" s="270">
        <f t="shared" si="1226"/>
        <v>0</v>
      </c>
      <c r="ED190" s="270">
        <f t="shared" si="1226"/>
        <v>0</v>
      </c>
      <c r="EE190" s="270">
        <f t="shared" si="1226"/>
        <v>0</v>
      </c>
      <c r="EF190" s="270">
        <f t="shared" si="1226"/>
        <v>0</v>
      </c>
      <c r="EG190" s="270">
        <f t="shared" si="1226"/>
        <v>0</v>
      </c>
      <c r="EH190" s="270">
        <f t="shared" si="1226"/>
        <v>0</v>
      </c>
      <c r="EI190" s="270">
        <f t="shared" si="1226"/>
        <v>0</v>
      </c>
      <c r="EJ190" s="270">
        <f t="shared" si="1226"/>
        <v>0</v>
      </c>
      <c r="EK190" s="270">
        <f t="shared" si="1226"/>
        <v>0</v>
      </c>
      <c r="EL190" s="270">
        <f t="shared" si="1226"/>
        <v>0</v>
      </c>
      <c r="EM190" s="270">
        <f t="shared" si="1226"/>
        <v>0</v>
      </c>
      <c r="EN190" s="270">
        <f t="shared" si="1226"/>
        <v>0</v>
      </c>
      <c r="EO190" s="270">
        <f t="shared" si="1226"/>
        <v>0</v>
      </c>
      <c r="EP190" s="270">
        <f t="shared" si="1226"/>
        <v>0</v>
      </c>
      <c r="EQ190" s="270">
        <f t="shared" si="1226"/>
        <v>0</v>
      </c>
      <c r="ER190" s="270">
        <f t="shared" si="1226"/>
        <v>0</v>
      </c>
      <c r="ES190" s="270">
        <f t="shared" si="1226"/>
        <v>0</v>
      </c>
      <c r="ET190" s="270">
        <f t="shared" si="1226"/>
        <v>0</v>
      </c>
      <c r="EU190" s="270">
        <f t="shared" si="1226"/>
        <v>0</v>
      </c>
      <c r="EV190" s="270">
        <f t="shared" si="1226"/>
        <v>0</v>
      </c>
      <c r="EW190" s="270">
        <f t="shared" si="1226"/>
        <v>0</v>
      </c>
      <c r="EX190" s="270">
        <f t="shared" si="1226"/>
        <v>0</v>
      </c>
      <c r="EY190" s="270">
        <f t="shared" si="1226"/>
        <v>0</v>
      </c>
      <c r="EZ190" s="270">
        <f t="shared" si="1226"/>
        <v>0</v>
      </c>
      <c r="FA190" s="270">
        <f t="shared" si="1226"/>
        <v>0</v>
      </c>
      <c r="FB190" s="270">
        <f t="shared" si="1226"/>
        <v>0</v>
      </c>
      <c r="FC190" s="270">
        <f t="shared" si="1226"/>
        <v>0</v>
      </c>
      <c r="FD190" s="271"/>
      <c r="FE190" s="271"/>
      <c r="FF190" s="271"/>
      <c r="FG190" s="215"/>
      <c r="FH190" s="215"/>
    </row>
    <row r="191" ht="11.25" customHeight="1">
      <c r="A191" s="215" t="str">
        <f t="shared" si="19"/>
        <v/>
      </c>
      <c r="B191" s="241" t="str">
        <f t="shared" si="600"/>
        <v>#N/A</v>
      </c>
      <c r="C191" s="271" t="str">
        <f>IF(A191="","",IF(Calculator!snowball,IF(($E$5-DY191)&lt;0,0,$E$5-DY191),0)+D191)</f>
        <v/>
      </c>
      <c r="D191" s="271"/>
      <c r="E191" s="270">
        <f t="shared" si="40"/>
        <v>0</v>
      </c>
      <c r="F191" s="270">
        <f t="shared" ref="F191:AG191" si="1227">CU191+EB192</f>
        <v>0</v>
      </c>
      <c r="G191" s="270">
        <f t="shared" si="1227"/>
        <v>0</v>
      </c>
      <c r="H191" s="270">
        <f t="shared" si="1227"/>
        <v>0</v>
      </c>
      <c r="I191" s="270">
        <f t="shared" si="1227"/>
        <v>0</v>
      </c>
      <c r="J191" s="270">
        <f t="shared" si="1227"/>
        <v>0</v>
      </c>
      <c r="K191" s="270">
        <f t="shared" si="1227"/>
        <v>0</v>
      </c>
      <c r="L191" s="270">
        <f t="shared" si="1227"/>
        <v>0</v>
      </c>
      <c r="M191" s="270">
        <f t="shared" si="1227"/>
        <v>0</v>
      </c>
      <c r="N191" s="270">
        <f t="shared" si="1227"/>
        <v>0</v>
      </c>
      <c r="O191" s="270">
        <f t="shared" si="1227"/>
        <v>0</v>
      </c>
      <c r="P191" s="272">
        <f t="shared" si="1227"/>
        <v>0</v>
      </c>
      <c r="Q191" s="272">
        <f t="shared" si="1227"/>
        <v>0</v>
      </c>
      <c r="R191" s="272">
        <f t="shared" si="1227"/>
        <v>0</v>
      </c>
      <c r="S191" s="272">
        <f t="shared" si="1227"/>
        <v>0</v>
      </c>
      <c r="T191" s="272">
        <f t="shared" si="1227"/>
        <v>0</v>
      </c>
      <c r="U191" s="270">
        <f t="shared" si="1227"/>
        <v>0</v>
      </c>
      <c r="V191" s="270">
        <f t="shared" si="1227"/>
        <v>0</v>
      </c>
      <c r="W191" s="270">
        <f t="shared" si="1227"/>
        <v>0</v>
      </c>
      <c r="X191" s="270">
        <f t="shared" si="1227"/>
        <v>0</v>
      </c>
      <c r="Y191" s="270">
        <f t="shared" si="1227"/>
        <v>0</v>
      </c>
      <c r="Z191" s="270">
        <f t="shared" si="1227"/>
        <v>0</v>
      </c>
      <c r="AA191" s="270">
        <f t="shared" si="1227"/>
        <v>0</v>
      </c>
      <c r="AB191" s="270">
        <f t="shared" si="1227"/>
        <v>0</v>
      </c>
      <c r="AC191" s="270">
        <f t="shared" si="1227"/>
        <v>0</v>
      </c>
      <c r="AD191" s="270">
        <f t="shared" si="1227"/>
        <v>0</v>
      </c>
      <c r="AE191" s="270">
        <f t="shared" si="1227"/>
        <v>0</v>
      </c>
      <c r="AF191" s="270">
        <f t="shared" si="1227"/>
        <v>0</v>
      </c>
      <c r="AG191" s="270">
        <f t="shared" si="1227"/>
        <v>0</v>
      </c>
      <c r="AH191" s="279">
        <f t="shared" si="602"/>
        <v>0</v>
      </c>
      <c r="AI191" s="270">
        <f t="shared" si="43"/>
        <v>0</v>
      </c>
      <c r="AJ191" s="270">
        <f t="shared" ref="AJ191:AO191" si="1228">IF(F$8=0,0,ROUND(AJ190-(F191-BO191),2))</f>
        <v>0</v>
      </c>
      <c r="AK191" s="270">
        <f t="shared" si="1228"/>
        <v>0</v>
      </c>
      <c r="AL191" s="270">
        <f t="shared" si="1228"/>
        <v>0</v>
      </c>
      <c r="AM191" s="270">
        <f t="shared" si="1228"/>
        <v>0</v>
      </c>
      <c r="AN191" s="270">
        <f t="shared" si="1228"/>
        <v>0</v>
      </c>
      <c r="AO191" s="270">
        <f t="shared" si="1228"/>
        <v>0</v>
      </c>
      <c r="AP191" s="270">
        <v>0.0</v>
      </c>
      <c r="AQ191" s="270">
        <f t="shared" ref="AQ191:AS191" si="1229">IF(M$8=0,0,ROUND(AQ190-(M191-BV191),2))</f>
        <v>0</v>
      </c>
      <c r="AR191" s="270">
        <f t="shared" si="1229"/>
        <v>0</v>
      </c>
      <c r="AS191" s="270">
        <f t="shared" si="1229"/>
        <v>0</v>
      </c>
      <c r="AT191" s="270">
        <f t="shared" si="605"/>
        <v>-6.22</v>
      </c>
      <c r="AU191" s="270">
        <f t="shared" ref="AU191:BK191" si="1230">IF(Q$8=0,0,ROUND(AU190-(Q191-BY191),2))</f>
        <v>-12.58</v>
      </c>
      <c r="AV191" s="270">
        <f t="shared" si="1230"/>
        <v>0</v>
      </c>
      <c r="AW191" s="270">
        <f t="shared" si="1230"/>
        <v>0</v>
      </c>
      <c r="AX191" s="270">
        <f t="shared" si="1230"/>
        <v>0</v>
      </c>
      <c r="AY191" s="270">
        <f t="shared" si="1230"/>
        <v>0</v>
      </c>
      <c r="AZ191" s="270">
        <f t="shared" si="1230"/>
        <v>0</v>
      </c>
      <c r="BA191" s="270">
        <f t="shared" si="1230"/>
        <v>0</v>
      </c>
      <c r="BB191" s="270">
        <f t="shared" si="1230"/>
        <v>0</v>
      </c>
      <c r="BC191" s="270">
        <f t="shared" si="1230"/>
        <v>0</v>
      </c>
      <c r="BD191" s="270">
        <f t="shared" si="1230"/>
        <v>0</v>
      </c>
      <c r="BE191" s="270">
        <f t="shared" si="1230"/>
        <v>0</v>
      </c>
      <c r="BF191" s="270">
        <f t="shared" si="1230"/>
        <v>0</v>
      </c>
      <c r="BG191" s="270">
        <f t="shared" si="1230"/>
        <v>0</v>
      </c>
      <c r="BH191" s="270">
        <f t="shared" si="1230"/>
        <v>0</v>
      </c>
      <c r="BI191" s="270">
        <f t="shared" si="1230"/>
        <v>0</v>
      </c>
      <c r="BJ191" s="270">
        <f t="shared" si="1230"/>
        <v>0</v>
      </c>
      <c r="BK191" s="270">
        <f t="shared" si="1230"/>
        <v>0</v>
      </c>
      <c r="BL191" s="265">
        <f t="shared" si="16"/>
        <v>-18.8</v>
      </c>
      <c r="BM191" s="215"/>
      <c r="BN191" s="270">
        <f t="shared" ref="BN191:CP191" si="1231">ROUND(AI190*E$9/12,2)</f>
        <v>0</v>
      </c>
      <c r="BO191" s="270">
        <f t="shared" si="1231"/>
        <v>0</v>
      </c>
      <c r="BP191" s="270">
        <f t="shared" si="1231"/>
        <v>0</v>
      </c>
      <c r="BQ191" s="270">
        <f t="shared" si="1231"/>
        <v>0</v>
      </c>
      <c r="BR191" s="270">
        <f t="shared" si="1231"/>
        <v>0</v>
      </c>
      <c r="BS191" s="270">
        <f t="shared" si="1231"/>
        <v>0</v>
      </c>
      <c r="BT191" s="270">
        <f t="shared" si="1231"/>
        <v>0</v>
      </c>
      <c r="BU191" s="270">
        <f t="shared" si="1231"/>
        <v>0</v>
      </c>
      <c r="BV191" s="270">
        <f t="shared" si="1231"/>
        <v>0</v>
      </c>
      <c r="BW191" s="270">
        <f t="shared" si="1231"/>
        <v>0</v>
      </c>
      <c r="BX191" s="270">
        <f t="shared" si="1231"/>
        <v>0</v>
      </c>
      <c r="BY191" s="270">
        <f t="shared" si="1231"/>
        <v>-0.05</v>
      </c>
      <c r="BZ191" s="270">
        <f t="shared" si="1231"/>
        <v>-0.04</v>
      </c>
      <c r="CA191" s="270">
        <f t="shared" si="1231"/>
        <v>0</v>
      </c>
      <c r="CB191" s="270">
        <f t="shared" si="1231"/>
        <v>0</v>
      </c>
      <c r="CC191" s="270">
        <f t="shared" si="1231"/>
        <v>0</v>
      </c>
      <c r="CD191" s="270">
        <f t="shared" si="1231"/>
        <v>0</v>
      </c>
      <c r="CE191" s="270">
        <f t="shared" si="1231"/>
        <v>0</v>
      </c>
      <c r="CF191" s="270">
        <f t="shared" si="1231"/>
        <v>0</v>
      </c>
      <c r="CG191" s="270">
        <f t="shared" si="1231"/>
        <v>0</v>
      </c>
      <c r="CH191" s="270">
        <f t="shared" si="1231"/>
        <v>0</v>
      </c>
      <c r="CI191" s="270">
        <f t="shared" si="1231"/>
        <v>0</v>
      </c>
      <c r="CJ191" s="270">
        <f t="shared" si="1231"/>
        <v>0</v>
      </c>
      <c r="CK191" s="270">
        <f t="shared" si="1231"/>
        <v>0</v>
      </c>
      <c r="CL191" s="270">
        <f t="shared" si="1231"/>
        <v>0</v>
      </c>
      <c r="CM191" s="270">
        <f t="shared" si="1231"/>
        <v>0</v>
      </c>
      <c r="CN191" s="270">
        <f t="shared" si="1231"/>
        <v>0</v>
      </c>
      <c r="CO191" s="270">
        <f t="shared" si="1231"/>
        <v>0</v>
      </c>
      <c r="CP191" s="270">
        <f t="shared" si="1231"/>
        <v>0</v>
      </c>
      <c r="CQ191" s="215"/>
      <c r="CR191" s="270">
        <f t="shared" si="27"/>
        <v>-0.09</v>
      </c>
      <c r="CS191" s="215"/>
      <c r="CT191" s="270">
        <f t="shared" ref="CT191:DX191" si="1232">IF(AI190&gt;0,IF((AI190+BN191)&lt;E$10,AI190+BN191,E$10),0)</f>
        <v>0</v>
      </c>
      <c r="CU191" s="270">
        <f t="shared" si="1232"/>
        <v>0</v>
      </c>
      <c r="CV191" s="270">
        <f t="shared" si="1232"/>
        <v>0</v>
      </c>
      <c r="CW191" s="270">
        <f t="shared" si="1232"/>
        <v>0</v>
      </c>
      <c r="CX191" s="270">
        <f t="shared" si="1232"/>
        <v>0</v>
      </c>
      <c r="CY191" s="270">
        <f t="shared" si="1232"/>
        <v>0</v>
      </c>
      <c r="CZ191" s="270">
        <f t="shared" si="1232"/>
        <v>0</v>
      </c>
      <c r="DA191" s="270">
        <f t="shared" si="1232"/>
        <v>0</v>
      </c>
      <c r="DB191" s="270">
        <f t="shared" si="1232"/>
        <v>0</v>
      </c>
      <c r="DC191" s="270">
        <f t="shared" si="1232"/>
        <v>0</v>
      </c>
      <c r="DD191" s="270">
        <f t="shared" si="1232"/>
        <v>0</v>
      </c>
      <c r="DE191" s="270">
        <f t="shared" si="1232"/>
        <v>0</v>
      </c>
      <c r="DF191" s="270">
        <f t="shared" si="1232"/>
        <v>0</v>
      </c>
      <c r="DG191" s="270">
        <f t="shared" si="1232"/>
        <v>0</v>
      </c>
      <c r="DH191" s="270">
        <f t="shared" si="1232"/>
        <v>0</v>
      </c>
      <c r="DI191" s="270">
        <f t="shared" si="1232"/>
        <v>0</v>
      </c>
      <c r="DJ191" s="270">
        <f t="shared" si="1232"/>
        <v>0</v>
      </c>
      <c r="DK191" s="270">
        <f t="shared" si="1232"/>
        <v>0</v>
      </c>
      <c r="DL191" s="270">
        <f t="shared" si="1232"/>
        <v>0</v>
      </c>
      <c r="DM191" s="270">
        <f t="shared" si="1232"/>
        <v>0</v>
      </c>
      <c r="DN191" s="270">
        <f t="shared" si="1232"/>
        <v>0</v>
      </c>
      <c r="DO191" s="270">
        <f t="shared" si="1232"/>
        <v>0</v>
      </c>
      <c r="DP191" s="270">
        <f t="shared" si="1232"/>
        <v>0</v>
      </c>
      <c r="DQ191" s="270">
        <f t="shared" si="1232"/>
        <v>0</v>
      </c>
      <c r="DR191" s="270">
        <f t="shared" si="1232"/>
        <v>0</v>
      </c>
      <c r="DS191" s="270">
        <f t="shared" si="1232"/>
        <v>0</v>
      </c>
      <c r="DT191" s="270">
        <f t="shared" si="1232"/>
        <v>0</v>
      </c>
      <c r="DU191" s="270">
        <f t="shared" si="1232"/>
        <v>0</v>
      </c>
      <c r="DV191" s="270">
        <f t="shared" si="1232"/>
        <v>0</v>
      </c>
      <c r="DW191" s="270">
        <f t="shared" si="1232"/>
        <v>0</v>
      </c>
      <c r="DX191" s="270">
        <f t="shared" si="1232"/>
        <v>0</v>
      </c>
      <c r="DY191" s="270">
        <f t="shared" si="29"/>
        <v>0</v>
      </c>
      <c r="DZ191" s="274"/>
      <c r="EA191" s="275">
        <f t="shared" si="38"/>
        <v>0</v>
      </c>
      <c r="EB191" s="270">
        <f t="shared" ref="EB191:FC191" si="1233">IF(AJ189&lt;=0,0,IF($C190&lt;=SUM($EA191:EA191),0,IF(CU190+$C190-SUM($EA191:EA191)&gt;AJ189+BO190,AJ189+BO190-CU190,$C190-SUM($EA191:EA191))))</f>
        <v>0</v>
      </c>
      <c r="EC191" s="270">
        <f t="shared" si="1233"/>
        <v>0</v>
      </c>
      <c r="ED191" s="270">
        <f t="shared" si="1233"/>
        <v>0</v>
      </c>
      <c r="EE191" s="270">
        <f t="shared" si="1233"/>
        <v>0</v>
      </c>
      <c r="EF191" s="270">
        <f t="shared" si="1233"/>
        <v>0</v>
      </c>
      <c r="EG191" s="270">
        <f t="shared" si="1233"/>
        <v>0</v>
      </c>
      <c r="EH191" s="270">
        <f t="shared" si="1233"/>
        <v>0</v>
      </c>
      <c r="EI191" s="270">
        <f t="shared" si="1233"/>
        <v>0</v>
      </c>
      <c r="EJ191" s="270">
        <f t="shared" si="1233"/>
        <v>0</v>
      </c>
      <c r="EK191" s="270">
        <f t="shared" si="1233"/>
        <v>0</v>
      </c>
      <c r="EL191" s="270">
        <f t="shared" si="1233"/>
        <v>0</v>
      </c>
      <c r="EM191" s="270">
        <f t="shared" si="1233"/>
        <v>0</v>
      </c>
      <c r="EN191" s="270">
        <f t="shared" si="1233"/>
        <v>0</v>
      </c>
      <c r="EO191" s="270">
        <f t="shared" si="1233"/>
        <v>0</v>
      </c>
      <c r="EP191" s="270">
        <f t="shared" si="1233"/>
        <v>0</v>
      </c>
      <c r="EQ191" s="270">
        <f t="shared" si="1233"/>
        <v>0</v>
      </c>
      <c r="ER191" s="270">
        <f t="shared" si="1233"/>
        <v>0</v>
      </c>
      <c r="ES191" s="270">
        <f t="shared" si="1233"/>
        <v>0</v>
      </c>
      <c r="ET191" s="270">
        <f t="shared" si="1233"/>
        <v>0</v>
      </c>
      <c r="EU191" s="270">
        <f t="shared" si="1233"/>
        <v>0</v>
      </c>
      <c r="EV191" s="270">
        <f t="shared" si="1233"/>
        <v>0</v>
      </c>
      <c r="EW191" s="270">
        <f t="shared" si="1233"/>
        <v>0</v>
      </c>
      <c r="EX191" s="270">
        <f t="shared" si="1233"/>
        <v>0</v>
      </c>
      <c r="EY191" s="270">
        <f t="shared" si="1233"/>
        <v>0</v>
      </c>
      <c r="EZ191" s="270">
        <f t="shared" si="1233"/>
        <v>0</v>
      </c>
      <c r="FA191" s="270">
        <f t="shared" si="1233"/>
        <v>0</v>
      </c>
      <c r="FB191" s="270">
        <f t="shared" si="1233"/>
        <v>0</v>
      </c>
      <c r="FC191" s="270">
        <f t="shared" si="1233"/>
        <v>0</v>
      </c>
      <c r="FD191" s="271"/>
      <c r="FE191" s="271"/>
      <c r="FF191" s="271"/>
      <c r="FG191" s="215"/>
      <c r="FH191" s="215"/>
    </row>
    <row r="192" ht="11.25" customHeight="1">
      <c r="A192" s="215" t="str">
        <f t="shared" si="19"/>
        <v/>
      </c>
      <c r="B192" s="241" t="str">
        <f t="shared" si="600"/>
        <v>#N/A</v>
      </c>
      <c r="C192" s="271" t="str">
        <f>IF(A192="","",IF(Calculator!snowball,IF(($E$5-DY192)&lt;0,0,$E$5-DY192),0)+D192)</f>
        <v/>
      </c>
      <c r="D192" s="271"/>
      <c r="E192" s="270">
        <f t="shared" si="40"/>
        <v>0</v>
      </c>
      <c r="F192" s="270">
        <f t="shared" ref="F192:AG192" si="1234">CU192+EB193</f>
        <v>0</v>
      </c>
      <c r="G192" s="270">
        <f t="shared" si="1234"/>
        <v>0</v>
      </c>
      <c r="H192" s="270">
        <f t="shared" si="1234"/>
        <v>0</v>
      </c>
      <c r="I192" s="270">
        <f t="shared" si="1234"/>
        <v>0</v>
      </c>
      <c r="J192" s="270">
        <f t="shared" si="1234"/>
        <v>0</v>
      </c>
      <c r="K192" s="270">
        <f t="shared" si="1234"/>
        <v>0</v>
      </c>
      <c r="L192" s="270">
        <f t="shared" si="1234"/>
        <v>0</v>
      </c>
      <c r="M192" s="270">
        <f t="shared" si="1234"/>
        <v>0</v>
      </c>
      <c r="N192" s="270">
        <f t="shared" si="1234"/>
        <v>0</v>
      </c>
      <c r="O192" s="270">
        <f t="shared" si="1234"/>
        <v>0</v>
      </c>
      <c r="P192" s="272">
        <f t="shared" si="1234"/>
        <v>0</v>
      </c>
      <c r="Q192" s="272">
        <f t="shared" si="1234"/>
        <v>0</v>
      </c>
      <c r="R192" s="272">
        <f t="shared" si="1234"/>
        <v>0</v>
      </c>
      <c r="S192" s="272">
        <f t="shared" si="1234"/>
        <v>0</v>
      </c>
      <c r="T192" s="272">
        <f t="shared" si="1234"/>
        <v>0</v>
      </c>
      <c r="U192" s="270">
        <f t="shared" si="1234"/>
        <v>0</v>
      </c>
      <c r="V192" s="270">
        <f t="shared" si="1234"/>
        <v>0</v>
      </c>
      <c r="W192" s="270">
        <f t="shared" si="1234"/>
        <v>0</v>
      </c>
      <c r="X192" s="270">
        <f t="shared" si="1234"/>
        <v>0</v>
      </c>
      <c r="Y192" s="270">
        <f t="shared" si="1234"/>
        <v>0</v>
      </c>
      <c r="Z192" s="270">
        <f t="shared" si="1234"/>
        <v>0</v>
      </c>
      <c r="AA192" s="270">
        <f t="shared" si="1234"/>
        <v>0</v>
      </c>
      <c r="AB192" s="270">
        <f t="shared" si="1234"/>
        <v>0</v>
      </c>
      <c r="AC192" s="270">
        <f t="shared" si="1234"/>
        <v>0</v>
      </c>
      <c r="AD192" s="270">
        <f t="shared" si="1234"/>
        <v>0</v>
      </c>
      <c r="AE192" s="270">
        <f t="shared" si="1234"/>
        <v>0</v>
      </c>
      <c r="AF192" s="270">
        <f t="shared" si="1234"/>
        <v>0</v>
      </c>
      <c r="AG192" s="270">
        <f t="shared" si="1234"/>
        <v>0</v>
      </c>
      <c r="AH192" s="279">
        <f t="shared" si="602"/>
        <v>0</v>
      </c>
      <c r="AI192" s="270">
        <f t="shared" si="43"/>
        <v>0</v>
      </c>
      <c r="AJ192" s="270">
        <f t="shared" ref="AJ192:AO192" si="1235">IF(F$8=0,0,ROUND(AJ191-(F192-BO192),2))</f>
        <v>0</v>
      </c>
      <c r="AK192" s="270">
        <f t="shared" si="1235"/>
        <v>0</v>
      </c>
      <c r="AL192" s="270">
        <f t="shared" si="1235"/>
        <v>0</v>
      </c>
      <c r="AM192" s="270">
        <f t="shared" si="1235"/>
        <v>0</v>
      </c>
      <c r="AN192" s="270">
        <f t="shared" si="1235"/>
        <v>0</v>
      </c>
      <c r="AO192" s="270">
        <f t="shared" si="1235"/>
        <v>0</v>
      </c>
      <c r="AP192" s="270">
        <v>0.0</v>
      </c>
      <c r="AQ192" s="270">
        <f t="shared" ref="AQ192:AS192" si="1236">IF(M$8=0,0,ROUND(AQ191-(M192-BV192),2))</f>
        <v>0</v>
      </c>
      <c r="AR192" s="270">
        <f t="shared" si="1236"/>
        <v>0</v>
      </c>
      <c r="AS192" s="270">
        <f t="shared" si="1236"/>
        <v>0</v>
      </c>
      <c r="AT192" s="270">
        <f t="shared" si="605"/>
        <v>-6.22</v>
      </c>
      <c r="AU192" s="270">
        <f t="shared" ref="AU192:BK192" si="1237">IF(Q$8=0,0,ROUND(AU191-(Q192-BY192),2))</f>
        <v>-12.63</v>
      </c>
      <c r="AV192" s="270">
        <f t="shared" si="1237"/>
        <v>0</v>
      </c>
      <c r="AW192" s="270">
        <f t="shared" si="1237"/>
        <v>0</v>
      </c>
      <c r="AX192" s="270">
        <f t="shared" si="1237"/>
        <v>0</v>
      </c>
      <c r="AY192" s="270">
        <f t="shared" si="1237"/>
        <v>0</v>
      </c>
      <c r="AZ192" s="270">
        <f t="shared" si="1237"/>
        <v>0</v>
      </c>
      <c r="BA192" s="270">
        <f t="shared" si="1237"/>
        <v>0</v>
      </c>
      <c r="BB192" s="270">
        <f t="shared" si="1237"/>
        <v>0</v>
      </c>
      <c r="BC192" s="270">
        <f t="shared" si="1237"/>
        <v>0</v>
      </c>
      <c r="BD192" s="270">
        <f t="shared" si="1237"/>
        <v>0</v>
      </c>
      <c r="BE192" s="270">
        <f t="shared" si="1237"/>
        <v>0</v>
      </c>
      <c r="BF192" s="270">
        <f t="shared" si="1237"/>
        <v>0</v>
      </c>
      <c r="BG192" s="270">
        <f t="shared" si="1237"/>
        <v>0</v>
      </c>
      <c r="BH192" s="270">
        <f t="shared" si="1237"/>
        <v>0</v>
      </c>
      <c r="BI192" s="270">
        <f t="shared" si="1237"/>
        <v>0</v>
      </c>
      <c r="BJ192" s="270">
        <f t="shared" si="1237"/>
        <v>0</v>
      </c>
      <c r="BK192" s="270">
        <f t="shared" si="1237"/>
        <v>0</v>
      </c>
      <c r="BL192" s="265">
        <f t="shared" si="16"/>
        <v>-18.85</v>
      </c>
      <c r="BM192" s="215"/>
      <c r="BN192" s="270">
        <f t="shared" ref="BN192:CP192" si="1238">ROUND(AI191*E$9/12,2)</f>
        <v>0</v>
      </c>
      <c r="BO192" s="270">
        <f t="shared" si="1238"/>
        <v>0</v>
      </c>
      <c r="BP192" s="270">
        <f t="shared" si="1238"/>
        <v>0</v>
      </c>
      <c r="BQ192" s="270">
        <f t="shared" si="1238"/>
        <v>0</v>
      </c>
      <c r="BR192" s="270">
        <f t="shared" si="1238"/>
        <v>0</v>
      </c>
      <c r="BS192" s="270">
        <f t="shared" si="1238"/>
        <v>0</v>
      </c>
      <c r="BT192" s="270">
        <f t="shared" si="1238"/>
        <v>0</v>
      </c>
      <c r="BU192" s="270">
        <f t="shared" si="1238"/>
        <v>0</v>
      </c>
      <c r="BV192" s="270">
        <f t="shared" si="1238"/>
        <v>0</v>
      </c>
      <c r="BW192" s="270">
        <f t="shared" si="1238"/>
        <v>0</v>
      </c>
      <c r="BX192" s="270">
        <f t="shared" si="1238"/>
        <v>0</v>
      </c>
      <c r="BY192" s="270">
        <f t="shared" si="1238"/>
        <v>-0.05</v>
      </c>
      <c r="BZ192" s="270">
        <f t="shared" si="1238"/>
        <v>-0.04</v>
      </c>
      <c r="CA192" s="270">
        <f t="shared" si="1238"/>
        <v>0</v>
      </c>
      <c r="CB192" s="270">
        <f t="shared" si="1238"/>
        <v>0</v>
      </c>
      <c r="CC192" s="270">
        <f t="shared" si="1238"/>
        <v>0</v>
      </c>
      <c r="CD192" s="270">
        <f t="shared" si="1238"/>
        <v>0</v>
      </c>
      <c r="CE192" s="270">
        <f t="shared" si="1238"/>
        <v>0</v>
      </c>
      <c r="CF192" s="270">
        <f t="shared" si="1238"/>
        <v>0</v>
      </c>
      <c r="CG192" s="270">
        <f t="shared" si="1238"/>
        <v>0</v>
      </c>
      <c r="CH192" s="270">
        <f t="shared" si="1238"/>
        <v>0</v>
      </c>
      <c r="CI192" s="270">
        <f t="shared" si="1238"/>
        <v>0</v>
      </c>
      <c r="CJ192" s="270">
        <f t="shared" si="1238"/>
        <v>0</v>
      </c>
      <c r="CK192" s="270">
        <f t="shared" si="1238"/>
        <v>0</v>
      </c>
      <c r="CL192" s="270">
        <f t="shared" si="1238"/>
        <v>0</v>
      </c>
      <c r="CM192" s="270">
        <f t="shared" si="1238"/>
        <v>0</v>
      </c>
      <c r="CN192" s="270">
        <f t="shared" si="1238"/>
        <v>0</v>
      </c>
      <c r="CO192" s="270">
        <f t="shared" si="1238"/>
        <v>0</v>
      </c>
      <c r="CP192" s="270">
        <f t="shared" si="1238"/>
        <v>0</v>
      </c>
      <c r="CQ192" s="215"/>
      <c r="CR192" s="270">
        <f t="shared" si="27"/>
        <v>-0.09</v>
      </c>
      <c r="CS192" s="215"/>
      <c r="CT192" s="270">
        <f t="shared" ref="CT192:DX192" si="1239">IF(AI191&gt;0,IF((AI191+BN192)&lt;E$10,AI191+BN192,E$10),0)</f>
        <v>0</v>
      </c>
      <c r="CU192" s="270">
        <f t="shared" si="1239"/>
        <v>0</v>
      </c>
      <c r="CV192" s="270">
        <f t="shared" si="1239"/>
        <v>0</v>
      </c>
      <c r="CW192" s="270">
        <f t="shared" si="1239"/>
        <v>0</v>
      </c>
      <c r="CX192" s="270">
        <f t="shared" si="1239"/>
        <v>0</v>
      </c>
      <c r="CY192" s="270">
        <f t="shared" si="1239"/>
        <v>0</v>
      </c>
      <c r="CZ192" s="270">
        <f t="shared" si="1239"/>
        <v>0</v>
      </c>
      <c r="DA192" s="270">
        <f t="shared" si="1239"/>
        <v>0</v>
      </c>
      <c r="DB192" s="270">
        <f t="shared" si="1239"/>
        <v>0</v>
      </c>
      <c r="DC192" s="270">
        <f t="shared" si="1239"/>
        <v>0</v>
      </c>
      <c r="DD192" s="270">
        <f t="shared" si="1239"/>
        <v>0</v>
      </c>
      <c r="DE192" s="270">
        <f t="shared" si="1239"/>
        <v>0</v>
      </c>
      <c r="DF192" s="270">
        <f t="shared" si="1239"/>
        <v>0</v>
      </c>
      <c r="DG192" s="270">
        <f t="shared" si="1239"/>
        <v>0</v>
      </c>
      <c r="DH192" s="270">
        <f t="shared" si="1239"/>
        <v>0</v>
      </c>
      <c r="DI192" s="270">
        <f t="shared" si="1239"/>
        <v>0</v>
      </c>
      <c r="DJ192" s="270">
        <f t="shared" si="1239"/>
        <v>0</v>
      </c>
      <c r="DK192" s="270">
        <f t="shared" si="1239"/>
        <v>0</v>
      </c>
      <c r="DL192" s="270">
        <f t="shared" si="1239"/>
        <v>0</v>
      </c>
      <c r="DM192" s="270">
        <f t="shared" si="1239"/>
        <v>0</v>
      </c>
      <c r="DN192" s="270">
        <f t="shared" si="1239"/>
        <v>0</v>
      </c>
      <c r="DO192" s="270">
        <f t="shared" si="1239"/>
        <v>0</v>
      </c>
      <c r="DP192" s="270">
        <f t="shared" si="1239"/>
        <v>0</v>
      </c>
      <c r="DQ192" s="270">
        <f t="shared" si="1239"/>
        <v>0</v>
      </c>
      <c r="DR192" s="270">
        <f t="shared" si="1239"/>
        <v>0</v>
      </c>
      <c r="DS192" s="270">
        <f t="shared" si="1239"/>
        <v>0</v>
      </c>
      <c r="DT192" s="270">
        <f t="shared" si="1239"/>
        <v>0</v>
      </c>
      <c r="DU192" s="270">
        <f t="shared" si="1239"/>
        <v>0</v>
      </c>
      <c r="DV192" s="270">
        <f t="shared" si="1239"/>
        <v>0</v>
      </c>
      <c r="DW192" s="270">
        <f t="shared" si="1239"/>
        <v>0</v>
      </c>
      <c r="DX192" s="270">
        <f t="shared" si="1239"/>
        <v>0</v>
      </c>
      <c r="DY192" s="270">
        <f t="shared" si="29"/>
        <v>0</v>
      </c>
      <c r="DZ192" s="274"/>
      <c r="EA192" s="275">
        <f t="shared" si="38"/>
        <v>0</v>
      </c>
      <c r="EB192" s="270">
        <f t="shared" ref="EB192:FC192" si="1240">IF(AJ190&lt;=0,0,IF($C191&lt;=SUM($EA192:EA192),0,IF(CU191+$C191-SUM($EA192:EA192)&gt;AJ190+BO191,AJ190+BO191-CU191,$C191-SUM($EA192:EA192))))</f>
        <v>0</v>
      </c>
      <c r="EC192" s="270">
        <f t="shared" si="1240"/>
        <v>0</v>
      </c>
      <c r="ED192" s="270">
        <f t="shared" si="1240"/>
        <v>0</v>
      </c>
      <c r="EE192" s="270">
        <f t="shared" si="1240"/>
        <v>0</v>
      </c>
      <c r="EF192" s="270">
        <f t="shared" si="1240"/>
        <v>0</v>
      </c>
      <c r="EG192" s="270">
        <f t="shared" si="1240"/>
        <v>0</v>
      </c>
      <c r="EH192" s="270">
        <f t="shared" si="1240"/>
        <v>0</v>
      </c>
      <c r="EI192" s="270">
        <f t="shared" si="1240"/>
        <v>0</v>
      </c>
      <c r="EJ192" s="270">
        <f t="shared" si="1240"/>
        <v>0</v>
      </c>
      <c r="EK192" s="270">
        <f t="shared" si="1240"/>
        <v>0</v>
      </c>
      <c r="EL192" s="270">
        <f t="shared" si="1240"/>
        <v>0</v>
      </c>
      <c r="EM192" s="270">
        <f t="shared" si="1240"/>
        <v>0</v>
      </c>
      <c r="EN192" s="270">
        <f t="shared" si="1240"/>
        <v>0</v>
      </c>
      <c r="EO192" s="270">
        <f t="shared" si="1240"/>
        <v>0</v>
      </c>
      <c r="EP192" s="270">
        <f t="shared" si="1240"/>
        <v>0</v>
      </c>
      <c r="EQ192" s="270">
        <f t="shared" si="1240"/>
        <v>0</v>
      </c>
      <c r="ER192" s="270">
        <f t="shared" si="1240"/>
        <v>0</v>
      </c>
      <c r="ES192" s="270">
        <f t="shared" si="1240"/>
        <v>0</v>
      </c>
      <c r="ET192" s="270">
        <f t="shared" si="1240"/>
        <v>0</v>
      </c>
      <c r="EU192" s="270">
        <f t="shared" si="1240"/>
        <v>0</v>
      </c>
      <c r="EV192" s="270">
        <f t="shared" si="1240"/>
        <v>0</v>
      </c>
      <c r="EW192" s="270">
        <f t="shared" si="1240"/>
        <v>0</v>
      </c>
      <c r="EX192" s="270">
        <f t="shared" si="1240"/>
        <v>0</v>
      </c>
      <c r="EY192" s="270">
        <f t="shared" si="1240"/>
        <v>0</v>
      </c>
      <c r="EZ192" s="270">
        <f t="shared" si="1240"/>
        <v>0</v>
      </c>
      <c r="FA192" s="270">
        <f t="shared" si="1240"/>
        <v>0</v>
      </c>
      <c r="FB192" s="270">
        <f t="shared" si="1240"/>
        <v>0</v>
      </c>
      <c r="FC192" s="270">
        <f t="shared" si="1240"/>
        <v>0</v>
      </c>
      <c r="FD192" s="271"/>
      <c r="FE192" s="271"/>
      <c r="FF192" s="271"/>
      <c r="FG192" s="215"/>
      <c r="FH192" s="215"/>
    </row>
    <row r="193" ht="11.25" customHeight="1">
      <c r="A193" s="215" t="str">
        <f t="shared" si="19"/>
        <v/>
      </c>
      <c r="B193" s="241" t="str">
        <f t="shared" si="600"/>
        <v>#N/A</v>
      </c>
      <c r="C193" s="271" t="str">
        <f>IF(A193="","",IF(Calculator!snowball,IF(($E$5-DY193)&lt;0,0,$E$5-DY193),0)+D193)</f>
        <v/>
      </c>
      <c r="D193" s="271"/>
      <c r="E193" s="270">
        <f t="shared" si="40"/>
        <v>0</v>
      </c>
      <c r="F193" s="270">
        <f t="shared" ref="F193:AG193" si="1241">CU193+EB194</f>
        <v>0</v>
      </c>
      <c r="G193" s="270">
        <f t="shared" si="1241"/>
        <v>0</v>
      </c>
      <c r="H193" s="270">
        <f t="shared" si="1241"/>
        <v>0</v>
      </c>
      <c r="I193" s="270">
        <f t="shared" si="1241"/>
        <v>0</v>
      </c>
      <c r="J193" s="270">
        <f t="shared" si="1241"/>
        <v>0</v>
      </c>
      <c r="K193" s="270">
        <f t="shared" si="1241"/>
        <v>0</v>
      </c>
      <c r="L193" s="270">
        <f t="shared" si="1241"/>
        <v>0</v>
      </c>
      <c r="M193" s="270">
        <f t="shared" si="1241"/>
        <v>0</v>
      </c>
      <c r="N193" s="270">
        <f t="shared" si="1241"/>
        <v>0</v>
      </c>
      <c r="O193" s="270">
        <f t="shared" si="1241"/>
        <v>0</v>
      </c>
      <c r="P193" s="272">
        <f t="shared" si="1241"/>
        <v>0</v>
      </c>
      <c r="Q193" s="272">
        <f t="shared" si="1241"/>
        <v>0</v>
      </c>
      <c r="R193" s="272">
        <f t="shared" si="1241"/>
        <v>0</v>
      </c>
      <c r="S193" s="272">
        <f t="shared" si="1241"/>
        <v>0</v>
      </c>
      <c r="T193" s="272">
        <f t="shared" si="1241"/>
        <v>0</v>
      </c>
      <c r="U193" s="270">
        <f t="shared" si="1241"/>
        <v>0</v>
      </c>
      <c r="V193" s="270">
        <f t="shared" si="1241"/>
        <v>0</v>
      </c>
      <c r="W193" s="270">
        <f t="shared" si="1241"/>
        <v>0</v>
      </c>
      <c r="X193" s="270">
        <f t="shared" si="1241"/>
        <v>0</v>
      </c>
      <c r="Y193" s="270">
        <f t="shared" si="1241"/>
        <v>0</v>
      </c>
      <c r="Z193" s="270">
        <f t="shared" si="1241"/>
        <v>0</v>
      </c>
      <c r="AA193" s="270">
        <f t="shared" si="1241"/>
        <v>0</v>
      </c>
      <c r="AB193" s="270">
        <f t="shared" si="1241"/>
        <v>0</v>
      </c>
      <c r="AC193" s="270">
        <f t="shared" si="1241"/>
        <v>0</v>
      </c>
      <c r="AD193" s="270">
        <f t="shared" si="1241"/>
        <v>0</v>
      </c>
      <c r="AE193" s="270">
        <f t="shared" si="1241"/>
        <v>0</v>
      </c>
      <c r="AF193" s="270">
        <f t="shared" si="1241"/>
        <v>0</v>
      </c>
      <c r="AG193" s="270">
        <f t="shared" si="1241"/>
        <v>0</v>
      </c>
      <c r="AH193" s="279">
        <f t="shared" si="602"/>
        <v>0</v>
      </c>
      <c r="AI193" s="270">
        <f t="shared" si="43"/>
        <v>0</v>
      </c>
      <c r="AJ193" s="270">
        <f t="shared" ref="AJ193:AO193" si="1242">IF(F$8=0,0,ROUND(AJ192-(F193-BO193),2))</f>
        <v>0</v>
      </c>
      <c r="AK193" s="270">
        <f t="shared" si="1242"/>
        <v>0</v>
      </c>
      <c r="AL193" s="270">
        <f t="shared" si="1242"/>
        <v>0</v>
      </c>
      <c r="AM193" s="270">
        <f t="shared" si="1242"/>
        <v>0</v>
      </c>
      <c r="AN193" s="270">
        <f t="shared" si="1242"/>
        <v>0</v>
      </c>
      <c r="AO193" s="270">
        <f t="shared" si="1242"/>
        <v>0</v>
      </c>
      <c r="AP193" s="270">
        <v>0.0</v>
      </c>
      <c r="AQ193" s="270">
        <f t="shared" ref="AQ193:AS193" si="1243">IF(M$8=0,0,ROUND(AQ192-(M193-BV193),2))</f>
        <v>0</v>
      </c>
      <c r="AR193" s="270">
        <f t="shared" si="1243"/>
        <v>0</v>
      </c>
      <c r="AS193" s="270">
        <f t="shared" si="1243"/>
        <v>0</v>
      </c>
      <c r="AT193" s="270">
        <f t="shared" si="605"/>
        <v>-6.22</v>
      </c>
      <c r="AU193" s="270">
        <f t="shared" ref="AU193:BK193" si="1244">IF(Q$8=0,0,ROUND(AU192-(Q193-BY193),2))</f>
        <v>-12.68</v>
      </c>
      <c r="AV193" s="270">
        <f t="shared" si="1244"/>
        <v>0</v>
      </c>
      <c r="AW193" s="270">
        <f t="shared" si="1244"/>
        <v>0</v>
      </c>
      <c r="AX193" s="270">
        <f t="shared" si="1244"/>
        <v>0</v>
      </c>
      <c r="AY193" s="270">
        <f t="shared" si="1244"/>
        <v>0</v>
      </c>
      <c r="AZ193" s="270">
        <f t="shared" si="1244"/>
        <v>0</v>
      </c>
      <c r="BA193" s="270">
        <f t="shared" si="1244"/>
        <v>0</v>
      </c>
      <c r="BB193" s="270">
        <f t="shared" si="1244"/>
        <v>0</v>
      </c>
      <c r="BC193" s="270">
        <f t="shared" si="1244"/>
        <v>0</v>
      </c>
      <c r="BD193" s="270">
        <f t="shared" si="1244"/>
        <v>0</v>
      </c>
      <c r="BE193" s="270">
        <f t="shared" si="1244"/>
        <v>0</v>
      </c>
      <c r="BF193" s="270">
        <f t="shared" si="1244"/>
        <v>0</v>
      </c>
      <c r="BG193" s="270">
        <f t="shared" si="1244"/>
        <v>0</v>
      </c>
      <c r="BH193" s="270">
        <f t="shared" si="1244"/>
        <v>0</v>
      </c>
      <c r="BI193" s="270">
        <f t="shared" si="1244"/>
        <v>0</v>
      </c>
      <c r="BJ193" s="270">
        <f t="shared" si="1244"/>
        <v>0</v>
      </c>
      <c r="BK193" s="270">
        <f t="shared" si="1244"/>
        <v>0</v>
      </c>
      <c r="BL193" s="265">
        <f t="shared" si="16"/>
        <v>-18.9</v>
      </c>
      <c r="BM193" s="215"/>
      <c r="BN193" s="270">
        <f t="shared" ref="BN193:CP193" si="1245">ROUND(AI192*E$9/12,2)</f>
        <v>0</v>
      </c>
      <c r="BO193" s="270">
        <f t="shared" si="1245"/>
        <v>0</v>
      </c>
      <c r="BP193" s="270">
        <f t="shared" si="1245"/>
        <v>0</v>
      </c>
      <c r="BQ193" s="270">
        <f t="shared" si="1245"/>
        <v>0</v>
      </c>
      <c r="BR193" s="270">
        <f t="shared" si="1245"/>
        <v>0</v>
      </c>
      <c r="BS193" s="270">
        <f t="shared" si="1245"/>
        <v>0</v>
      </c>
      <c r="BT193" s="270">
        <f t="shared" si="1245"/>
        <v>0</v>
      </c>
      <c r="BU193" s="270">
        <f t="shared" si="1245"/>
        <v>0</v>
      </c>
      <c r="BV193" s="270">
        <f t="shared" si="1245"/>
        <v>0</v>
      </c>
      <c r="BW193" s="270">
        <f t="shared" si="1245"/>
        <v>0</v>
      </c>
      <c r="BX193" s="270">
        <f t="shared" si="1245"/>
        <v>0</v>
      </c>
      <c r="BY193" s="270">
        <f t="shared" si="1245"/>
        <v>-0.05</v>
      </c>
      <c r="BZ193" s="270">
        <f t="shared" si="1245"/>
        <v>-0.04</v>
      </c>
      <c r="CA193" s="270">
        <f t="shared" si="1245"/>
        <v>0</v>
      </c>
      <c r="CB193" s="270">
        <f t="shared" si="1245"/>
        <v>0</v>
      </c>
      <c r="CC193" s="270">
        <f t="shared" si="1245"/>
        <v>0</v>
      </c>
      <c r="CD193" s="270">
        <f t="shared" si="1245"/>
        <v>0</v>
      </c>
      <c r="CE193" s="270">
        <f t="shared" si="1245"/>
        <v>0</v>
      </c>
      <c r="CF193" s="270">
        <f t="shared" si="1245"/>
        <v>0</v>
      </c>
      <c r="CG193" s="270">
        <f t="shared" si="1245"/>
        <v>0</v>
      </c>
      <c r="CH193" s="270">
        <f t="shared" si="1245"/>
        <v>0</v>
      </c>
      <c r="CI193" s="270">
        <f t="shared" si="1245"/>
        <v>0</v>
      </c>
      <c r="CJ193" s="270">
        <f t="shared" si="1245"/>
        <v>0</v>
      </c>
      <c r="CK193" s="270">
        <f t="shared" si="1245"/>
        <v>0</v>
      </c>
      <c r="CL193" s="270">
        <f t="shared" si="1245"/>
        <v>0</v>
      </c>
      <c r="CM193" s="270">
        <f t="shared" si="1245"/>
        <v>0</v>
      </c>
      <c r="CN193" s="270">
        <f t="shared" si="1245"/>
        <v>0</v>
      </c>
      <c r="CO193" s="270">
        <f t="shared" si="1245"/>
        <v>0</v>
      </c>
      <c r="CP193" s="270">
        <f t="shared" si="1245"/>
        <v>0</v>
      </c>
      <c r="CQ193" s="215"/>
      <c r="CR193" s="270">
        <f t="shared" si="27"/>
        <v>-0.09</v>
      </c>
      <c r="CS193" s="215"/>
      <c r="CT193" s="270">
        <f t="shared" ref="CT193:DX193" si="1246">IF(AI192&gt;0,IF((AI192+BN193)&lt;E$10,AI192+BN193,E$10),0)</f>
        <v>0</v>
      </c>
      <c r="CU193" s="270">
        <f t="shared" si="1246"/>
        <v>0</v>
      </c>
      <c r="CV193" s="270">
        <f t="shared" si="1246"/>
        <v>0</v>
      </c>
      <c r="CW193" s="270">
        <f t="shared" si="1246"/>
        <v>0</v>
      </c>
      <c r="CX193" s="270">
        <f t="shared" si="1246"/>
        <v>0</v>
      </c>
      <c r="CY193" s="270">
        <f t="shared" si="1246"/>
        <v>0</v>
      </c>
      <c r="CZ193" s="270">
        <f t="shared" si="1246"/>
        <v>0</v>
      </c>
      <c r="DA193" s="270">
        <f t="shared" si="1246"/>
        <v>0</v>
      </c>
      <c r="DB193" s="270">
        <f t="shared" si="1246"/>
        <v>0</v>
      </c>
      <c r="DC193" s="270">
        <f t="shared" si="1246"/>
        <v>0</v>
      </c>
      <c r="DD193" s="270">
        <f t="shared" si="1246"/>
        <v>0</v>
      </c>
      <c r="DE193" s="270">
        <f t="shared" si="1246"/>
        <v>0</v>
      </c>
      <c r="DF193" s="270">
        <f t="shared" si="1246"/>
        <v>0</v>
      </c>
      <c r="DG193" s="270">
        <f t="shared" si="1246"/>
        <v>0</v>
      </c>
      <c r="DH193" s="270">
        <f t="shared" si="1246"/>
        <v>0</v>
      </c>
      <c r="DI193" s="270">
        <f t="shared" si="1246"/>
        <v>0</v>
      </c>
      <c r="DJ193" s="270">
        <f t="shared" si="1246"/>
        <v>0</v>
      </c>
      <c r="DK193" s="270">
        <f t="shared" si="1246"/>
        <v>0</v>
      </c>
      <c r="DL193" s="270">
        <f t="shared" si="1246"/>
        <v>0</v>
      </c>
      <c r="DM193" s="270">
        <f t="shared" si="1246"/>
        <v>0</v>
      </c>
      <c r="DN193" s="270">
        <f t="shared" si="1246"/>
        <v>0</v>
      </c>
      <c r="DO193" s="270">
        <f t="shared" si="1246"/>
        <v>0</v>
      </c>
      <c r="DP193" s="270">
        <f t="shared" si="1246"/>
        <v>0</v>
      </c>
      <c r="DQ193" s="270">
        <f t="shared" si="1246"/>
        <v>0</v>
      </c>
      <c r="DR193" s="270">
        <f t="shared" si="1246"/>
        <v>0</v>
      </c>
      <c r="DS193" s="270">
        <f t="shared" si="1246"/>
        <v>0</v>
      </c>
      <c r="DT193" s="270">
        <f t="shared" si="1246"/>
        <v>0</v>
      </c>
      <c r="DU193" s="270">
        <f t="shared" si="1246"/>
        <v>0</v>
      </c>
      <c r="DV193" s="270">
        <f t="shared" si="1246"/>
        <v>0</v>
      </c>
      <c r="DW193" s="270">
        <f t="shared" si="1246"/>
        <v>0</v>
      </c>
      <c r="DX193" s="270">
        <f t="shared" si="1246"/>
        <v>0</v>
      </c>
      <c r="DY193" s="270">
        <f t="shared" si="29"/>
        <v>0</v>
      </c>
      <c r="DZ193" s="274"/>
      <c r="EA193" s="275">
        <f t="shared" si="38"/>
        <v>0</v>
      </c>
      <c r="EB193" s="270">
        <f t="shared" ref="EB193:FC193" si="1247">IF(AJ191&lt;=0,0,IF($C192&lt;=SUM($EA193:EA193),0,IF(CU192+$C192-SUM($EA193:EA193)&gt;AJ191+BO192,AJ191+BO192-CU192,$C192-SUM($EA193:EA193))))</f>
        <v>0</v>
      </c>
      <c r="EC193" s="270">
        <f t="shared" si="1247"/>
        <v>0</v>
      </c>
      <c r="ED193" s="270">
        <f t="shared" si="1247"/>
        <v>0</v>
      </c>
      <c r="EE193" s="270">
        <f t="shared" si="1247"/>
        <v>0</v>
      </c>
      <c r="EF193" s="270">
        <f t="shared" si="1247"/>
        <v>0</v>
      </c>
      <c r="EG193" s="270">
        <f t="shared" si="1247"/>
        <v>0</v>
      </c>
      <c r="EH193" s="270">
        <f t="shared" si="1247"/>
        <v>0</v>
      </c>
      <c r="EI193" s="270">
        <f t="shared" si="1247"/>
        <v>0</v>
      </c>
      <c r="EJ193" s="270">
        <f t="shared" si="1247"/>
        <v>0</v>
      </c>
      <c r="EK193" s="270">
        <f t="shared" si="1247"/>
        <v>0</v>
      </c>
      <c r="EL193" s="270">
        <f t="shared" si="1247"/>
        <v>0</v>
      </c>
      <c r="EM193" s="270">
        <f t="shared" si="1247"/>
        <v>0</v>
      </c>
      <c r="EN193" s="270">
        <f t="shared" si="1247"/>
        <v>0</v>
      </c>
      <c r="EO193" s="270">
        <f t="shared" si="1247"/>
        <v>0</v>
      </c>
      <c r="EP193" s="270">
        <f t="shared" si="1247"/>
        <v>0</v>
      </c>
      <c r="EQ193" s="270">
        <f t="shared" si="1247"/>
        <v>0</v>
      </c>
      <c r="ER193" s="270">
        <f t="shared" si="1247"/>
        <v>0</v>
      </c>
      <c r="ES193" s="270">
        <f t="shared" si="1247"/>
        <v>0</v>
      </c>
      <c r="ET193" s="270">
        <f t="shared" si="1247"/>
        <v>0</v>
      </c>
      <c r="EU193" s="270">
        <f t="shared" si="1247"/>
        <v>0</v>
      </c>
      <c r="EV193" s="270">
        <f t="shared" si="1247"/>
        <v>0</v>
      </c>
      <c r="EW193" s="270">
        <f t="shared" si="1247"/>
        <v>0</v>
      </c>
      <c r="EX193" s="270">
        <f t="shared" si="1247"/>
        <v>0</v>
      </c>
      <c r="EY193" s="270">
        <f t="shared" si="1247"/>
        <v>0</v>
      </c>
      <c r="EZ193" s="270">
        <f t="shared" si="1247"/>
        <v>0</v>
      </c>
      <c r="FA193" s="270">
        <f t="shared" si="1247"/>
        <v>0</v>
      </c>
      <c r="FB193" s="270">
        <f t="shared" si="1247"/>
        <v>0</v>
      </c>
      <c r="FC193" s="270">
        <f t="shared" si="1247"/>
        <v>0</v>
      </c>
      <c r="FD193" s="271"/>
      <c r="FE193" s="271"/>
      <c r="FF193" s="271"/>
      <c r="FG193" s="215"/>
      <c r="FH193" s="215"/>
    </row>
    <row r="194" ht="11.25" customHeight="1">
      <c r="A194" s="215" t="str">
        <f t="shared" si="19"/>
        <v/>
      </c>
      <c r="B194" s="241" t="str">
        <f t="shared" si="600"/>
        <v>#N/A</v>
      </c>
      <c r="C194" s="271" t="str">
        <f>IF(A194="","",IF(Calculator!snowball,IF(($E$5-DY194)&lt;0,0,$E$5-DY194),0)+D194)</f>
        <v/>
      </c>
      <c r="D194" s="271"/>
      <c r="E194" s="270">
        <f t="shared" si="40"/>
        <v>0</v>
      </c>
      <c r="F194" s="270">
        <f t="shared" ref="F194:AG194" si="1248">CU194+EB195</f>
        <v>0</v>
      </c>
      <c r="G194" s="270">
        <f t="shared" si="1248"/>
        <v>0</v>
      </c>
      <c r="H194" s="270">
        <f t="shared" si="1248"/>
        <v>0</v>
      </c>
      <c r="I194" s="270">
        <f t="shared" si="1248"/>
        <v>0</v>
      </c>
      <c r="J194" s="270">
        <f t="shared" si="1248"/>
        <v>0</v>
      </c>
      <c r="K194" s="270">
        <f t="shared" si="1248"/>
        <v>0</v>
      </c>
      <c r="L194" s="270">
        <f t="shared" si="1248"/>
        <v>0</v>
      </c>
      <c r="M194" s="270">
        <f t="shared" si="1248"/>
        <v>0</v>
      </c>
      <c r="N194" s="270">
        <f t="shared" si="1248"/>
        <v>0</v>
      </c>
      <c r="O194" s="270">
        <f t="shared" si="1248"/>
        <v>0</v>
      </c>
      <c r="P194" s="272">
        <f t="shared" si="1248"/>
        <v>0</v>
      </c>
      <c r="Q194" s="272">
        <f t="shared" si="1248"/>
        <v>0</v>
      </c>
      <c r="R194" s="272">
        <f t="shared" si="1248"/>
        <v>0</v>
      </c>
      <c r="S194" s="272">
        <f t="shared" si="1248"/>
        <v>0</v>
      </c>
      <c r="T194" s="272">
        <f t="shared" si="1248"/>
        <v>0</v>
      </c>
      <c r="U194" s="270">
        <f t="shared" si="1248"/>
        <v>0</v>
      </c>
      <c r="V194" s="270">
        <f t="shared" si="1248"/>
        <v>0</v>
      </c>
      <c r="W194" s="270">
        <f t="shared" si="1248"/>
        <v>0</v>
      </c>
      <c r="X194" s="270">
        <f t="shared" si="1248"/>
        <v>0</v>
      </c>
      <c r="Y194" s="270">
        <f t="shared" si="1248"/>
        <v>0</v>
      </c>
      <c r="Z194" s="270">
        <f t="shared" si="1248"/>
        <v>0</v>
      </c>
      <c r="AA194" s="270">
        <f t="shared" si="1248"/>
        <v>0</v>
      </c>
      <c r="AB194" s="270">
        <f t="shared" si="1248"/>
        <v>0</v>
      </c>
      <c r="AC194" s="270">
        <f t="shared" si="1248"/>
        <v>0</v>
      </c>
      <c r="AD194" s="270">
        <f t="shared" si="1248"/>
        <v>0</v>
      </c>
      <c r="AE194" s="270">
        <f t="shared" si="1248"/>
        <v>0</v>
      </c>
      <c r="AF194" s="270">
        <f t="shared" si="1248"/>
        <v>0</v>
      </c>
      <c r="AG194" s="270">
        <f t="shared" si="1248"/>
        <v>0</v>
      </c>
      <c r="AH194" s="279">
        <f t="shared" si="602"/>
        <v>0</v>
      </c>
      <c r="AI194" s="270">
        <f t="shared" si="43"/>
        <v>0</v>
      </c>
      <c r="AJ194" s="270">
        <f t="shared" ref="AJ194:AO194" si="1249">IF(F$8=0,0,ROUND(AJ193-(F194-BO194),2))</f>
        <v>0</v>
      </c>
      <c r="AK194" s="270">
        <f t="shared" si="1249"/>
        <v>0</v>
      </c>
      <c r="AL194" s="270">
        <f t="shared" si="1249"/>
        <v>0</v>
      </c>
      <c r="AM194" s="270">
        <f t="shared" si="1249"/>
        <v>0</v>
      </c>
      <c r="AN194" s="270">
        <f t="shared" si="1249"/>
        <v>0</v>
      </c>
      <c r="AO194" s="270">
        <f t="shared" si="1249"/>
        <v>0</v>
      </c>
      <c r="AP194" s="270">
        <v>0.0</v>
      </c>
      <c r="AQ194" s="270">
        <f t="shared" ref="AQ194:AS194" si="1250">IF(M$8=0,0,ROUND(AQ193-(M194-BV194),2))</f>
        <v>0</v>
      </c>
      <c r="AR194" s="270">
        <f t="shared" si="1250"/>
        <v>0</v>
      </c>
      <c r="AS194" s="270">
        <f t="shared" si="1250"/>
        <v>0</v>
      </c>
      <c r="AT194" s="270">
        <f t="shared" si="605"/>
        <v>-6.22</v>
      </c>
      <c r="AU194" s="270">
        <f t="shared" ref="AU194:BK194" si="1251">IF(Q$8=0,0,ROUND(AU193-(Q194-BY194),2))</f>
        <v>-12.73</v>
      </c>
      <c r="AV194" s="270">
        <f t="shared" si="1251"/>
        <v>0</v>
      </c>
      <c r="AW194" s="270">
        <f t="shared" si="1251"/>
        <v>0</v>
      </c>
      <c r="AX194" s="270">
        <f t="shared" si="1251"/>
        <v>0</v>
      </c>
      <c r="AY194" s="270">
        <f t="shared" si="1251"/>
        <v>0</v>
      </c>
      <c r="AZ194" s="270">
        <f t="shared" si="1251"/>
        <v>0</v>
      </c>
      <c r="BA194" s="270">
        <f t="shared" si="1251"/>
        <v>0</v>
      </c>
      <c r="BB194" s="270">
        <f t="shared" si="1251"/>
        <v>0</v>
      </c>
      <c r="BC194" s="270">
        <f t="shared" si="1251"/>
        <v>0</v>
      </c>
      <c r="BD194" s="270">
        <f t="shared" si="1251"/>
        <v>0</v>
      </c>
      <c r="BE194" s="270">
        <f t="shared" si="1251"/>
        <v>0</v>
      </c>
      <c r="BF194" s="270">
        <f t="shared" si="1251"/>
        <v>0</v>
      </c>
      <c r="BG194" s="270">
        <f t="shared" si="1251"/>
        <v>0</v>
      </c>
      <c r="BH194" s="270">
        <f t="shared" si="1251"/>
        <v>0</v>
      </c>
      <c r="BI194" s="270">
        <f t="shared" si="1251"/>
        <v>0</v>
      </c>
      <c r="BJ194" s="270">
        <f t="shared" si="1251"/>
        <v>0</v>
      </c>
      <c r="BK194" s="270">
        <f t="shared" si="1251"/>
        <v>0</v>
      </c>
      <c r="BL194" s="265">
        <f t="shared" si="16"/>
        <v>-18.95</v>
      </c>
      <c r="BM194" s="215"/>
      <c r="BN194" s="270">
        <f t="shared" ref="BN194:CP194" si="1252">ROUND(AI193*E$9/12,2)</f>
        <v>0</v>
      </c>
      <c r="BO194" s="270">
        <f t="shared" si="1252"/>
        <v>0</v>
      </c>
      <c r="BP194" s="270">
        <f t="shared" si="1252"/>
        <v>0</v>
      </c>
      <c r="BQ194" s="270">
        <f t="shared" si="1252"/>
        <v>0</v>
      </c>
      <c r="BR194" s="270">
        <f t="shared" si="1252"/>
        <v>0</v>
      </c>
      <c r="BS194" s="270">
        <f t="shared" si="1252"/>
        <v>0</v>
      </c>
      <c r="BT194" s="270">
        <f t="shared" si="1252"/>
        <v>0</v>
      </c>
      <c r="BU194" s="270">
        <f t="shared" si="1252"/>
        <v>0</v>
      </c>
      <c r="BV194" s="270">
        <f t="shared" si="1252"/>
        <v>0</v>
      </c>
      <c r="BW194" s="270">
        <f t="shared" si="1252"/>
        <v>0</v>
      </c>
      <c r="BX194" s="270">
        <f t="shared" si="1252"/>
        <v>0</v>
      </c>
      <c r="BY194" s="270">
        <f t="shared" si="1252"/>
        <v>-0.05</v>
      </c>
      <c r="BZ194" s="270">
        <f t="shared" si="1252"/>
        <v>-0.04</v>
      </c>
      <c r="CA194" s="270">
        <f t="shared" si="1252"/>
        <v>0</v>
      </c>
      <c r="CB194" s="270">
        <f t="shared" si="1252"/>
        <v>0</v>
      </c>
      <c r="CC194" s="270">
        <f t="shared" si="1252"/>
        <v>0</v>
      </c>
      <c r="CD194" s="270">
        <f t="shared" si="1252"/>
        <v>0</v>
      </c>
      <c r="CE194" s="270">
        <f t="shared" si="1252"/>
        <v>0</v>
      </c>
      <c r="CF194" s="270">
        <f t="shared" si="1252"/>
        <v>0</v>
      </c>
      <c r="CG194" s="270">
        <f t="shared" si="1252"/>
        <v>0</v>
      </c>
      <c r="CH194" s="270">
        <f t="shared" si="1252"/>
        <v>0</v>
      </c>
      <c r="CI194" s="270">
        <f t="shared" si="1252"/>
        <v>0</v>
      </c>
      <c r="CJ194" s="270">
        <f t="shared" si="1252"/>
        <v>0</v>
      </c>
      <c r="CK194" s="270">
        <f t="shared" si="1252"/>
        <v>0</v>
      </c>
      <c r="CL194" s="270">
        <f t="shared" si="1252"/>
        <v>0</v>
      </c>
      <c r="CM194" s="270">
        <f t="shared" si="1252"/>
        <v>0</v>
      </c>
      <c r="CN194" s="270">
        <f t="shared" si="1252"/>
        <v>0</v>
      </c>
      <c r="CO194" s="270">
        <f t="shared" si="1252"/>
        <v>0</v>
      </c>
      <c r="CP194" s="270">
        <f t="shared" si="1252"/>
        <v>0</v>
      </c>
      <c r="CQ194" s="215"/>
      <c r="CR194" s="270">
        <f t="shared" si="27"/>
        <v>-0.09</v>
      </c>
      <c r="CS194" s="215"/>
      <c r="CT194" s="270">
        <f t="shared" ref="CT194:DX194" si="1253">IF(AI193&gt;0,IF((AI193+BN194)&lt;E$10,AI193+BN194,E$10),0)</f>
        <v>0</v>
      </c>
      <c r="CU194" s="270">
        <f t="shared" si="1253"/>
        <v>0</v>
      </c>
      <c r="CV194" s="270">
        <f t="shared" si="1253"/>
        <v>0</v>
      </c>
      <c r="CW194" s="270">
        <f t="shared" si="1253"/>
        <v>0</v>
      </c>
      <c r="CX194" s="270">
        <f t="shared" si="1253"/>
        <v>0</v>
      </c>
      <c r="CY194" s="270">
        <f t="shared" si="1253"/>
        <v>0</v>
      </c>
      <c r="CZ194" s="270">
        <f t="shared" si="1253"/>
        <v>0</v>
      </c>
      <c r="DA194" s="270">
        <f t="shared" si="1253"/>
        <v>0</v>
      </c>
      <c r="DB194" s="270">
        <f t="shared" si="1253"/>
        <v>0</v>
      </c>
      <c r="DC194" s="270">
        <f t="shared" si="1253"/>
        <v>0</v>
      </c>
      <c r="DD194" s="270">
        <f t="shared" si="1253"/>
        <v>0</v>
      </c>
      <c r="DE194" s="270">
        <f t="shared" si="1253"/>
        <v>0</v>
      </c>
      <c r="DF194" s="270">
        <f t="shared" si="1253"/>
        <v>0</v>
      </c>
      <c r="DG194" s="270">
        <f t="shared" si="1253"/>
        <v>0</v>
      </c>
      <c r="DH194" s="270">
        <f t="shared" si="1253"/>
        <v>0</v>
      </c>
      <c r="DI194" s="270">
        <f t="shared" si="1253"/>
        <v>0</v>
      </c>
      <c r="DJ194" s="270">
        <f t="shared" si="1253"/>
        <v>0</v>
      </c>
      <c r="DK194" s="270">
        <f t="shared" si="1253"/>
        <v>0</v>
      </c>
      <c r="DL194" s="270">
        <f t="shared" si="1253"/>
        <v>0</v>
      </c>
      <c r="DM194" s="270">
        <f t="shared" si="1253"/>
        <v>0</v>
      </c>
      <c r="DN194" s="270">
        <f t="shared" si="1253"/>
        <v>0</v>
      </c>
      <c r="DO194" s="270">
        <f t="shared" si="1253"/>
        <v>0</v>
      </c>
      <c r="DP194" s="270">
        <f t="shared" si="1253"/>
        <v>0</v>
      </c>
      <c r="DQ194" s="270">
        <f t="shared" si="1253"/>
        <v>0</v>
      </c>
      <c r="DR194" s="270">
        <f t="shared" si="1253"/>
        <v>0</v>
      </c>
      <c r="DS194" s="270">
        <f t="shared" si="1253"/>
        <v>0</v>
      </c>
      <c r="DT194" s="270">
        <f t="shared" si="1253"/>
        <v>0</v>
      </c>
      <c r="DU194" s="270">
        <f t="shared" si="1253"/>
        <v>0</v>
      </c>
      <c r="DV194" s="270">
        <f t="shared" si="1253"/>
        <v>0</v>
      </c>
      <c r="DW194" s="270">
        <f t="shared" si="1253"/>
        <v>0</v>
      </c>
      <c r="DX194" s="270">
        <f t="shared" si="1253"/>
        <v>0</v>
      </c>
      <c r="DY194" s="270">
        <f t="shared" si="29"/>
        <v>0</v>
      </c>
      <c r="DZ194" s="274"/>
      <c r="EA194" s="275">
        <f t="shared" si="38"/>
        <v>0</v>
      </c>
      <c r="EB194" s="270">
        <f t="shared" ref="EB194:FC194" si="1254">IF(AJ192&lt;=0,0,IF($C193&lt;=SUM($EA194:EA194),0,IF(CU193+$C193-SUM($EA194:EA194)&gt;AJ192+BO193,AJ192+BO193-CU193,$C193-SUM($EA194:EA194))))</f>
        <v>0</v>
      </c>
      <c r="EC194" s="270">
        <f t="shared" si="1254"/>
        <v>0</v>
      </c>
      <c r="ED194" s="270">
        <f t="shared" si="1254"/>
        <v>0</v>
      </c>
      <c r="EE194" s="270">
        <f t="shared" si="1254"/>
        <v>0</v>
      </c>
      <c r="EF194" s="270">
        <f t="shared" si="1254"/>
        <v>0</v>
      </c>
      <c r="EG194" s="270">
        <f t="shared" si="1254"/>
        <v>0</v>
      </c>
      <c r="EH194" s="270">
        <f t="shared" si="1254"/>
        <v>0</v>
      </c>
      <c r="EI194" s="270">
        <f t="shared" si="1254"/>
        <v>0</v>
      </c>
      <c r="EJ194" s="270">
        <f t="shared" si="1254"/>
        <v>0</v>
      </c>
      <c r="EK194" s="270">
        <f t="shared" si="1254"/>
        <v>0</v>
      </c>
      <c r="EL194" s="270">
        <f t="shared" si="1254"/>
        <v>0</v>
      </c>
      <c r="EM194" s="270">
        <f t="shared" si="1254"/>
        <v>0</v>
      </c>
      <c r="EN194" s="270">
        <f t="shared" si="1254"/>
        <v>0</v>
      </c>
      <c r="EO194" s="270">
        <f t="shared" si="1254"/>
        <v>0</v>
      </c>
      <c r="EP194" s="270">
        <f t="shared" si="1254"/>
        <v>0</v>
      </c>
      <c r="EQ194" s="270">
        <f t="shared" si="1254"/>
        <v>0</v>
      </c>
      <c r="ER194" s="270">
        <f t="shared" si="1254"/>
        <v>0</v>
      </c>
      <c r="ES194" s="270">
        <f t="shared" si="1254"/>
        <v>0</v>
      </c>
      <c r="ET194" s="270">
        <f t="shared" si="1254"/>
        <v>0</v>
      </c>
      <c r="EU194" s="270">
        <f t="shared" si="1254"/>
        <v>0</v>
      </c>
      <c r="EV194" s="270">
        <f t="shared" si="1254"/>
        <v>0</v>
      </c>
      <c r="EW194" s="270">
        <f t="shared" si="1254"/>
        <v>0</v>
      </c>
      <c r="EX194" s="270">
        <f t="shared" si="1254"/>
        <v>0</v>
      </c>
      <c r="EY194" s="270">
        <f t="shared" si="1254"/>
        <v>0</v>
      </c>
      <c r="EZ194" s="270">
        <f t="shared" si="1254"/>
        <v>0</v>
      </c>
      <c r="FA194" s="270">
        <f t="shared" si="1254"/>
        <v>0</v>
      </c>
      <c r="FB194" s="270">
        <f t="shared" si="1254"/>
        <v>0</v>
      </c>
      <c r="FC194" s="270">
        <f t="shared" si="1254"/>
        <v>0</v>
      </c>
      <c r="FD194" s="271"/>
      <c r="FE194" s="271"/>
      <c r="FF194" s="271"/>
      <c r="FG194" s="215"/>
      <c r="FH194" s="215"/>
    </row>
    <row r="195" ht="11.25" customHeight="1">
      <c r="A195" s="215" t="str">
        <f t="shared" si="19"/>
        <v/>
      </c>
      <c r="B195" s="241" t="str">
        <f t="shared" si="600"/>
        <v>#N/A</v>
      </c>
      <c r="C195" s="271" t="str">
        <f>IF(A195="","",IF(Calculator!snowball,IF(($E$5-DY195)&lt;0,0,$E$5-DY195),0)+D195)</f>
        <v/>
      </c>
      <c r="D195" s="271"/>
      <c r="E195" s="270">
        <f t="shared" si="40"/>
        <v>0</v>
      </c>
      <c r="F195" s="270">
        <f t="shared" ref="F195:AG195" si="1255">CU195+EB196</f>
        <v>0</v>
      </c>
      <c r="G195" s="270">
        <f t="shared" si="1255"/>
        <v>0</v>
      </c>
      <c r="H195" s="270">
        <f t="shared" si="1255"/>
        <v>0</v>
      </c>
      <c r="I195" s="270">
        <f t="shared" si="1255"/>
        <v>0</v>
      </c>
      <c r="J195" s="270">
        <f t="shared" si="1255"/>
        <v>0</v>
      </c>
      <c r="K195" s="270">
        <f t="shared" si="1255"/>
        <v>0</v>
      </c>
      <c r="L195" s="270">
        <f t="shared" si="1255"/>
        <v>0</v>
      </c>
      <c r="M195" s="270">
        <f t="shared" si="1255"/>
        <v>0</v>
      </c>
      <c r="N195" s="270">
        <f t="shared" si="1255"/>
        <v>0</v>
      </c>
      <c r="O195" s="270">
        <f t="shared" si="1255"/>
        <v>0</v>
      </c>
      <c r="P195" s="272">
        <f t="shared" si="1255"/>
        <v>0</v>
      </c>
      <c r="Q195" s="272">
        <f t="shared" si="1255"/>
        <v>0</v>
      </c>
      <c r="R195" s="272">
        <f t="shared" si="1255"/>
        <v>0</v>
      </c>
      <c r="S195" s="272">
        <f t="shared" si="1255"/>
        <v>0</v>
      </c>
      <c r="T195" s="272">
        <f t="shared" si="1255"/>
        <v>0</v>
      </c>
      <c r="U195" s="270">
        <f t="shared" si="1255"/>
        <v>0</v>
      </c>
      <c r="V195" s="270">
        <f t="shared" si="1255"/>
        <v>0</v>
      </c>
      <c r="W195" s="270">
        <f t="shared" si="1255"/>
        <v>0</v>
      </c>
      <c r="X195" s="270">
        <f t="shared" si="1255"/>
        <v>0</v>
      </c>
      <c r="Y195" s="270">
        <f t="shared" si="1255"/>
        <v>0</v>
      </c>
      <c r="Z195" s="270">
        <f t="shared" si="1255"/>
        <v>0</v>
      </c>
      <c r="AA195" s="270">
        <f t="shared" si="1255"/>
        <v>0</v>
      </c>
      <c r="AB195" s="270">
        <f t="shared" si="1255"/>
        <v>0</v>
      </c>
      <c r="AC195" s="270">
        <f t="shared" si="1255"/>
        <v>0</v>
      </c>
      <c r="AD195" s="270">
        <f t="shared" si="1255"/>
        <v>0</v>
      </c>
      <c r="AE195" s="270">
        <f t="shared" si="1255"/>
        <v>0</v>
      </c>
      <c r="AF195" s="270">
        <f t="shared" si="1255"/>
        <v>0</v>
      </c>
      <c r="AG195" s="270">
        <f t="shared" si="1255"/>
        <v>0</v>
      </c>
      <c r="AH195" s="279">
        <f t="shared" si="602"/>
        <v>0</v>
      </c>
      <c r="AI195" s="270">
        <f t="shared" si="43"/>
        <v>0</v>
      </c>
      <c r="AJ195" s="270">
        <f t="shared" ref="AJ195:AO195" si="1256">IF(F$8=0,0,ROUND(AJ194-(F195-BO195),2))</f>
        <v>0</v>
      </c>
      <c r="AK195" s="270">
        <f t="shared" si="1256"/>
        <v>0</v>
      </c>
      <c r="AL195" s="270">
        <f t="shared" si="1256"/>
        <v>0</v>
      </c>
      <c r="AM195" s="270">
        <f t="shared" si="1256"/>
        <v>0</v>
      </c>
      <c r="AN195" s="270">
        <f t="shared" si="1256"/>
        <v>0</v>
      </c>
      <c r="AO195" s="270">
        <f t="shared" si="1256"/>
        <v>0</v>
      </c>
      <c r="AP195" s="270">
        <v>0.0</v>
      </c>
      <c r="AQ195" s="270">
        <f t="shared" ref="AQ195:AS195" si="1257">IF(M$8=0,0,ROUND(AQ194-(M195-BV195),2))</f>
        <v>0</v>
      </c>
      <c r="AR195" s="270">
        <f t="shared" si="1257"/>
        <v>0</v>
      </c>
      <c r="AS195" s="270">
        <f t="shared" si="1257"/>
        <v>0</v>
      </c>
      <c r="AT195" s="270">
        <f t="shared" si="605"/>
        <v>-6.22</v>
      </c>
      <c r="AU195" s="270">
        <f t="shared" ref="AU195:BK195" si="1258">IF(Q$8=0,0,ROUND(AU194-(Q195-BY195),2))</f>
        <v>-12.78</v>
      </c>
      <c r="AV195" s="270">
        <f t="shared" si="1258"/>
        <v>0</v>
      </c>
      <c r="AW195" s="270">
        <f t="shared" si="1258"/>
        <v>0</v>
      </c>
      <c r="AX195" s="270">
        <f t="shared" si="1258"/>
        <v>0</v>
      </c>
      <c r="AY195" s="270">
        <f t="shared" si="1258"/>
        <v>0</v>
      </c>
      <c r="AZ195" s="270">
        <f t="shared" si="1258"/>
        <v>0</v>
      </c>
      <c r="BA195" s="270">
        <f t="shared" si="1258"/>
        <v>0</v>
      </c>
      <c r="BB195" s="270">
        <f t="shared" si="1258"/>
        <v>0</v>
      </c>
      <c r="BC195" s="270">
        <f t="shared" si="1258"/>
        <v>0</v>
      </c>
      <c r="BD195" s="270">
        <f t="shared" si="1258"/>
        <v>0</v>
      </c>
      <c r="BE195" s="270">
        <f t="shared" si="1258"/>
        <v>0</v>
      </c>
      <c r="BF195" s="270">
        <f t="shared" si="1258"/>
        <v>0</v>
      </c>
      <c r="BG195" s="270">
        <f t="shared" si="1258"/>
        <v>0</v>
      </c>
      <c r="BH195" s="270">
        <f t="shared" si="1258"/>
        <v>0</v>
      </c>
      <c r="BI195" s="270">
        <f t="shared" si="1258"/>
        <v>0</v>
      </c>
      <c r="BJ195" s="270">
        <f t="shared" si="1258"/>
        <v>0</v>
      </c>
      <c r="BK195" s="270">
        <f t="shared" si="1258"/>
        <v>0</v>
      </c>
      <c r="BL195" s="265">
        <f t="shared" si="16"/>
        <v>-19</v>
      </c>
      <c r="BM195" s="215"/>
      <c r="BN195" s="270">
        <f t="shared" ref="BN195:CP195" si="1259">ROUND(AI194*E$9/12,2)</f>
        <v>0</v>
      </c>
      <c r="BO195" s="270">
        <f t="shared" si="1259"/>
        <v>0</v>
      </c>
      <c r="BP195" s="270">
        <f t="shared" si="1259"/>
        <v>0</v>
      </c>
      <c r="BQ195" s="270">
        <f t="shared" si="1259"/>
        <v>0</v>
      </c>
      <c r="BR195" s="270">
        <f t="shared" si="1259"/>
        <v>0</v>
      </c>
      <c r="BS195" s="270">
        <f t="shared" si="1259"/>
        <v>0</v>
      </c>
      <c r="BT195" s="270">
        <f t="shared" si="1259"/>
        <v>0</v>
      </c>
      <c r="BU195" s="270">
        <f t="shared" si="1259"/>
        <v>0</v>
      </c>
      <c r="BV195" s="270">
        <f t="shared" si="1259"/>
        <v>0</v>
      </c>
      <c r="BW195" s="270">
        <f t="shared" si="1259"/>
        <v>0</v>
      </c>
      <c r="BX195" s="270">
        <f t="shared" si="1259"/>
        <v>0</v>
      </c>
      <c r="BY195" s="270">
        <f t="shared" si="1259"/>
        <v>-0.05</v>
      </c>
      <c r="BZ195" s="270">
        <f t="shared" si="1259"/>
        <v>-0.04</v>
      </c>
      <c r="CA195" s="270">
        <f t="shared" si="1259"/>
        <v>0</v>
      </c>
      <c r="CB195" s="270">
        <f t="shared" si="1259"/>
        <v>0</v>
      </c>
      <c r="CC195" s="270">
        <f t="shared" si="1259"/>
        <v>0</v>
      </c>
      <c r="CD195" s="270">
        <f t="shared" si="1259"/>
        <v>0</v>
      </c>
      <c r="CE195" s="270">
        <f t="shared" si="1259"/>
        <v>0</v>
      </c>
      <c r="CF195" s="270">
        <f t="shared" si="1259"/>
        <v>0</v>
      </c>
      <c r="CG195" s="270">
        <f t="shared" si="1259"/>
        <v>0</v>
      </c>
      <c r="CH195" s="270">
        <f t="shared" si="1259"/>
        <v>0</v>
      </c>
      <c r="CI195" s="270">
        <f t="shared" si="1259"/>
        <v>0</v>
      </c>
      <c r="CJ195" s="270">
        <f t="shared" si="1259"/>
        <v>0</v>
      </c>
      <c r="CK195" s="270">
        <f t="shared" si="1259"/>
        <v>0</v>
      </c>
      <c r="CL195" s="270">
        <f t="shared" si="1259"/>
        <v>0</v>
      </c>
      <c r="CM195" s="270">
        <f t="shared" si="1259"/>
        <v>0</v>
      </c>
      <c r="CN195" s="270">
        <f t="shared" si="1259"/>
        <v>0</v>
      </c>
      <c r="CO195" s="270">
        <f t="shared" si="1259"/>
        <v>0</v>
      </c>
      <c r="CP195" s="270">
        <f t="shared" si="1259"/>
        <v>0</v>
      </c>
      <c r="CQ195" s="215"/>
      <c r="CR195" s="270">
        <f t="shared" si="27"/>
        <v>-0.09</v>
      </c>
      <c r="CS195" s="215"/>
      <c r="CT195" s="270">
        <f t="shared" ref="CT195:DX195" si="1260">IF(AI194&gt;0,IF((AI194+BN195)&lt;E$10,AI194+BN195,E$10),0)</f>
        <v>0</v>
      </c>
      <c r="CU195" s="270">
        <f t="shared" si="1260"/>
        <v>0</v>
      </c>
      <c r="CV195" s="270">
        <f t="shared" si="1260"/>
        <v>0</v>
      </c>
      <c r="CW195" s="270">
        <f t="shared" si="1260"/>
        <v>0</v>
      </c>
      <c r="CX195" s="270">
        <f t="shared" si="1260"/>
        <v>0</v>
      </c>
      <c r="CY195" s="270">
        <f t="shared" si="1260"/>
        <v>0</v>
      </c>
      <c r="CZ195" s="270">
        <f t="shared" si="1260"/>
        <v>0</v>
      </c>
      <c r="DA195" s="270">
        <f t="shared" si="1260"/>
        <v>0</v>
      </c>
      <c r="DB195" s="270">
        <f t="shared" si="1260"/>
        <v>0</v>
      </c>
      <c r="DC195" s="270">
        <f t="shared" si="1260"/>
        <v>0</v>
      </c>
      <c r="DD195" s="270">
        <f t="shared" si="1260"/>
        <v>0</v>
      </c>
      <c r="DE195" s="270">
        <f t="shared" si="1260"/>
        <v>0</v>
      </c>
      <c r="DF195" s="270">
        <f t="shared" si="1260"/>
        <v>0</v>
      </c>
      <c r="DG195" s="270">
        <f t="shared" si="1260"/>
        <v>0</v>
      </c>
      <c r="DH195" s="270">
        <f t="shared" si="1260"/>
        <v>0</v>
      </c>
      <c r="DI195" s="270">
        <f t="shared" si="1260"/>
        <v>0</v>
      </c>
      <c r="DJ195" s="270">
        <f t="shared" si="1260"/>
        <v>0</v>
      </c>
      <c r="DK195" s="270">
        <f t="shared" si="1260"/>
        <v>0</v>
      </c>
      <c r="DL195" s="270">
        <f t="shared" si="1260"/>
        <v>0</v>
      </c>
      <c r="DM195" s="270">
        <f t="shared" si="1260"/>
        <v>0</v>
      </c>
      <c r="DN195" s="270">
        <f t="shared" si="1260"/>
        <v>0</v>
      </c>
      <c r="DO195" s="270">
        <f t="shared" si="1260"/>
        <v>0</v>
      </c>
      <c r="DP195" s="270">
        <f t="shared" si="1260"/>
        <v>0</v>
      </c>
      <c r="DQ195" s="270">
        <f t="shared" si="1260"/>
        <v>0</v>
      </c>
      <c r="DR195" s="270">
        <f t="shared" si="1260"/>
        <v>0</v>
      </c>
      <c r="DS195" s="270">
        <f t="shared" si="1260"/>
        <v>0</v>
      </c>
      <c r="DT195" s="270">
        <f t="shared" si="1260"/>
        <v>0</v>
      </c>
      <c r="DU195" s="270">
        <f t="shared" si="1260"/>
        <v>0</v>
      </c>
      <c r="DV195" s="270">
        <f t="shared" si="1260"/>
        <v>0</v>
      </c>
      <c r="DW195" s="270">
        <f t="shared" si="1260"/>
        <v>0</v>
      </c>
      <c r="DX195" s="270">
        <f t="shared" si="1260"/>
        <v>0</v>
      </c>
      <c r="DY195" s="270">
        <f t="shared" si="29"/>
        <v>0</v>
      </c>
      <c r="DZ195" s="274"/>
      <c r="EA195" s="275">
        <f t="shared" si="38"/>
        <v>0</v>
      </c>
      <c r="EB195" s="270">
        <f t="shared" ref="EB195:FC195" si="1261">IF(AJ193&lt;=0,0,IF($C194&lt;=SUM($EA195:EA195),0,IF(CU194+$C194-SUM($EA195:EA195)&gt;AJ193+BO194,AJ193+BO194-CU194,$C194-SUM($EA195:EA195))))</f>
        <v>0</v>
      </c>
      <c r="EC195" s="270">
        <f t="shared" si="1261"/>
        <v>0</v>
      </c>
      <c r="ED195" s="270">
        <f t="shared" si="1261"/>
        <v>0</v>
      </c>
      <c r="EE195" s="270">
        <f t="shared" si="1261"/>
        <v>0</v>
      </c>
      <c r="EF195" s="270">
        <f t="shared" si="1261"/>
        <v>0</v>
      </c>
      <c r="EG195" s="270">
        <f t="shared" si="1261"/>
        <v>0</v>
      </c>
      <c r="EH195" s="270">
        <f t="shared" si="1261"/>
        <v>0</v>
      </c>
      <c r="EI195" s="270">
        <f t="shared" si="1261"/>
        <v>0</v>
      </c>
      <c r="EJ195" s="270">
        <f t="shared" si="1261"/>
        <v>0</v>
      </c>
      <c r="EK195" s="270">
        <f t="shared" si="1261"/>
        <v>0</v>
      </c>
      <c r="EL195" s="270">
        <f t="shared" si="1261"/>
        <v>0</v>
      </c>
      <c r="EM195" s="270">
        <f t="shared" si="1261"/>
        <v>0</v>
      </c>
      <c r="EN195" s="270">
        <f t="shared" si="1261"/>
        <v>0</v>
      </c>
      <c r="EO195" s="270">
        <f t="shared" si="1261"/>
        <v>0</v>
      </c>
      <c r="EP195" s="270">
        <f t="shared" si="1261"/>
        <v>0</v>
      </c>
      <c r="EQ195" s="270">
        <f t="shared" si="1261"/>
        <v>0</v>
      </c>
      <c r="ER195" s="270">
        <f t="shared" si="1261"/>
        <v>0</v>
      </c>
      <c r="ES195" s="270">
        <f t="shared" si="1261"/>
        <v>0</v>
      </c>
      <c r="ET195" s="270">
        <f t="shared" si="1261"/>
        <v>0</v>
      </c>
      <c r="EU195" s="270">
        <f t="shared" si="1261"/>
        <v>0</v>
      </c>
      <c r="EV195" s="270">
        <f t="shared" si="1261"/>
        <v>0</v>
      </c>
      <c r="EW195" s="270">
        <f t="shared" si="1261"/>
        <v>0</v>
      </c>
      <c r="EX195" s="270">
        <f t="shared" si="1261"/>
        <v>0</v>
      </c>
      <c r="EY195" s="270">
        <f t="shared" si="1261"/>
        <v>0</v>
      </c>
      <c r="EZ195" s="270">
        <f t="shared" si="1261"/>
        <v>0</v>
      </c>
      <c r="FA195" s="270">
        <f t="shared" si="1261"/>
        <v>0</v>
      </c>
      <c r="FB195" s="270">
        <f t="shared" si="1261"/>
        <v>0</v>
      </c>
      <c r="FC195" s="270">
        <f t="shared" si="1261"/>
        <v>0</v>
      </c>
      <c r="FD195" s="271"/>
      <c r="FE195" s="271"/>
      <c r="FF195" s="271"/>
      <c r="FG195" s="215"/>
      <c r="FH195" s="215"/>
    </row>
    <row r="196" ht="11.25" customHeight="1">
      <c r="A196" s="215" t="str">
        <f t="shared" si="19"/>
        <v/>
      </c>
      <c r="B196" s="241" t="str">
        <f t="shared" si="600"/>
        <v>#N/A</v>
      </c>
      <c r="C196" s="271" t="str">
        <f>IF(A196="","",IF(Calculator!snowball,IF(($E$5-DY196)&lt;0,0,$E$5-DY196),0)+D196)</f>
        <v/>
      </c>
      <c r="D196" s="271"/>
      <c r="E196" s="270">
        <f t="shared" si="40"/>
        <v>0</v>
      </c>
      <c r="F196" s="270">
        <f t="shared" ref="F196:AG196" si="1262">CU196+EB197</f>
        <v>0</v>
      </c>
      <c r="G196" s="270">
        <f t="shared" si="1262"/>
        <v>0</v>
      </c>
      <c r="H196" s="270">
        <f t="shared" si="1262"/>
        <v>0</v>
      </c>
      <c r="I196" s="270">
        <f t="shared" si="1262"/>
        <v>0</v>
      </c>
      <c r="J196" s="270">
        <f t="shared" si="1262"/>
        <v>0</v>
      </c>
      <c r="K196" s="270">
        <f t="shared" si="1262"/>
        <v>0</v>
      </c>
      <c r="L196" s="270">
        <f t="shared" si="1262"/>
        <v>0</v>
      </c>
      <c r="M196" s="270">
        <f t="shared" si="1262"/>
        <v>0</v>
      </c>
      <c r="N196" s="270">
        <f t="shared" si="1262"/>
        <v>0</v>
      </c>
      <c r="O196" s="270">
        <f t="shared" si="1262"/>
        <v>0</v>
      </c>
      <c r="P196" s="272">
        <f t="shared" si="1262"/>
        <v>0</v>
      </c>
      <c r="Q196" s="272">
        <f t="shared" si="1262"/>
        <v>0</v>
      </c>
      <c r="R196" s="272">
        <f t="shared" si="1262"/>
        <v>0</v>
      </c>
      <c r="S196" s="272">
        <f t="shared" si="1262"/>
        <v>0</v>
      </c>
      <c r="T196" s="272">
        <f t="shared" si="1262"/>
        <v>0</v>
      </c>
      <c r="U196" s="270">
        <f t="shared" si="1262"/>
        <v>0</v>
      </c>
      <c r="V196" s="270">
        <f t="shared" si="1262"/>
        <v>0</v>
      </c>
      <c r="W196" s="270">
        <f t="shared" si="1262"/>
        <v>0</v>
      </c>
      <c r="X196" s="270">
        <f t="shared" si="1262"/>
        <v>0</v>
      </c>
      <c r="Y196" s="270">
        <f t="shared" si="1262"/>
        <v>0</v>
      </c>
      <c r="Z196" s="270">
        <f t="shared" si="1262"/>
        <v>0</v>
      </c>
      <c r="AA196" s="270">
        <f t="shared" si="1262"/>
        <v>0</v>
      </c>
      <c r="AB196" s="270">
        <f t="shared" si="1262"/>
        <v>0</v>
      </c>
      <c r="AC196" s="270">
        <f t="shared" si="1262"/>
        <v>0</v>
      </c>
      <c r="AD196" s="270">
        <f t="shared" si="1262"/>
        <v>0</v>
      </c>
      <c r="AE196" s="270">
        <f t="shared" si="1262"/>
        <v>0</v>
      </c>
      <c r="AF196" s="270">
        <f t="shared" si="1262"/>
        <v>0</v>
      </c>
      <c r="AG196" s="270">
        <f t="shared" si="1262"/>
        <v>0</v>
      </c>
      <c r="AH196" s="279">
        <f t="shared" si="602"/>
        <v>0</v>
      </c>
      <c r="AI196" s="270">
        <f t="shared" si="43"/>
        <v>0</v>
      </c>
      <c r="AJ196" s="270">
        <f t="shared" ref="AJ196:AO196" si="1263">IF(F$8=0,0,ROUND(AJ195-(F196-BO196),2))</f>
        <v>0</v>
      </c>
      <c r="AK196" s="270">
        <f t="shared" si="1263"/>
        <v>0</v>
      </c>
      <c r="AL196" s="270">
        <f t="shared" si="1263"/>
        <v>0</v>
      </c>
      <c r="AM196" s="270">
        <f t="shared" si="1263"/>
        <v>0</v>
      </c>
      <c r="AN196" s="270">
        <f t="shared" si="1263"/>
        <v>0</v>
      </c>
      <c r="AO196" s="270">
        <f t="shared" si="1263"/>
        <v>0</v>
      </c>
      <c r="AP196" s="270">
        <v>0.0</v>
      </c>
      <c r="AQ196" s="270">
        <f t="shared" ref="AQ196:AS196" si="1264">IF(M$8=0,0,ROUND(AQ195-(M196-BV196),2))</f>
        <v>0</v>
      </c>
      <c r="AR196" s="270">
        <f t="shared" si="1264"/>
        <v>0</v>
      </c>
      <c r="AS196" s="270">
        <f t="shared" si="1264"/>
        <v>0</v>
      </c>
      <c r="AT196" s="270">
        <f t="shared" si="605"/>
        <v>-6.22</v>
      </c>
      <c r="AU196" s="270">
        <f t="shared" ref="AU196:BK196" si="1265">IF(Q$8=0,0,ROUND(AU195-(Q196-BY196),2))</f>
        <v>-12.83</v>
      </c>
      <c r="AV196" s="270">
        <f t="shared" si="1265"/>
        <v>0</v>
      </c>
      <c r="AW196" s="270">
        <f t="shared" si="1265"/>
        <v>0</v>
      </c>
      <c r="AX196" s="270">
        <f t="shared" si="1265"/>
        <v>0</v>
      </c>
      <c r="AY196" s="270">
        <f t="shared" si="1265"/>
        <v>0</v>
      </c>
      <c r="AZ196" s="270">
        <f t="shared" si="1265"/>
        <v>0</v>
      </c>
      <c r="BA196" s="270">
        <f t="shared" si="1265"/>
        <v>0</v>
      </c>
      <c r="BB196" s="270">
        <f t="shared" si="1265"/>
        <v>0</v>
      </c>
      <c r="BC196" s="270">
        <f t="shared" si="1265"/>
        <v>0</v>
      </c>
      <c r="BD196" s="270">
        <f t="shared" si="1265"/>
        <v>0</v>
      </c>
      <c r="BE196" s="270">
        <f t="shared" si="1265"/>
        <v>0</v>
      </c>
      <c r="BF196" s="270">
        <f t="shared" si="1265"/>
        <v>0</v>
      </c>
      <c r="BG196" s="270">
        <f t="shared" si="1265"/>
        <v>0</v>
      </c>
      <c r="BH196" s="270">
        <f t="shared" si="1265"/>
        <v>0</v>
      </c>
      <c r="BI196" s="270">
        <f t="shared" si="1265"/>
        <v>0</v>
      </c>
      <c r="BJ196" s="270">
        <f t="shared" si="1265"/>
        <v>0</v>
      </c>
      <c r="BK196" s="270">
        <f t="shared" si="1265"/>
        <v>0</v>
      </c>
      <c r="BL196" s="265">
        <f t="shared" si="16"/>
        <v>-19.05</v>
      </c>
      <c r="BM196" s="215"/>
      <c r="BN196" s="270">
        <f t="shared" ref="BN196:CP196" si="1266">ROUND(AI195*E$9/12,2)</f>
        <v>0</v>
      </c>
      <c r="BO196" s="270">
        <f t="shared" si="1266"/>
        <v>0</v>
      </c>
      <c r="BP196" s="270">
        <f t="shared" si="1266"/>
        <v>0</v>
      </c>
      <c r="BQ196" s="270">
        <f t="shared" si="1266"/>
        <v>0</v>
      </c>
      <c r="BR196" s="270">
        <f t="shared" si="1266"/>
        <v>0</v>
      </c>
      <c r="BS196" s="270">
        <f t="shared" si="1266"/>
        <v>0</v>
      </c>
      <c r="BT196" s="270">
        <f t="shared" si="1266"/>
        <v>0</v>
      </c>
      <c r="BU196" s="270">
        <f t="shared" si="1266"/>
        <v>0</v>
      </c>
      <c r="BV196" s="270">
        <f t="shared" si="1266"/>
        <v>0</v>
      </c>
      <c r="BW196" s="270">
        <f t="shared" si="1266"/>
        <v>0</v>
      </c>
      <c r="BX196" s="270">
        <f t="shared" si="1266"/>
        <v>0</v>
      </c>
      <c r="BY196" s="270">
        <f t="shared" si="1266"/>
        <v>-0.05</v>
      </c>
      <c r="BZ196" s="270">
        <f t="shared" si="1266"/>
        <v>-0.04</v>
      </c>
      <c r="CA196" s="270">
        <f t="shared" si="1266"/>
        <v>0</v>
      </c>
      <c r="CB196" s="270">
        <f t="shared" si="1266"/>
        <v>0</v>
      </c>
      <c r="CC196" s="270">
        <f t="shared" si="1266"/>
        <v>0</v>
      </c>
      <c r="CD196" s="270">
        <f t="shared" si="1266"/>
        <v>0</v>
      </c>
      <c r="CE196" s="270">
        <f t="shared" si="1266"/>
        <v>0</v>
      </c>
      <c r="CF196" s="270">
        <f t="shared" si="1266"/>
        <v>0</v>
      </c>
      <c r="CG196" s="270">
        <f t="shared" si="1266"/>
        <v>0</v>
      </c>
      <c r="CH196" s="270">
        <f t="shared" si="1266"/>
        <v>0</v>
      </c>
      <c r="CI196" s="270">
        <f t="shared" si="1266"/>
        <v>0</v>
      </c>
      <c r="CJ196" s="270">
        <f t="shared" si="1266"/>
        <v>0</v>
      </c>
      <c r="CK196" s="270">
        <f t="shared" si="1266"/>
        <v>0</v>
      </c>
      <c r="CL196" s="270">
        <f t="shared" si="1266"/>
        <v>0</v>
      </c>
      <c r="CM196" s="270">
        <f t="shared" si="1266"/>
        <v>0</v>
      </c>
      <c r="CN196" s="270">
        <f t="shared" si="1266"/>
        <v>0</v>
      </c>
      <c r="CO196" s="270">
        <f t="shared" si="1266"/>
        <v>0</v>
      </c>
      <c r="CP196" s="270">
        <f t="shared" si="1266"/>
        <v>0</v>
      </c>
      <c r="CQ196" s="215"/>
      <c r="CR196" s="270">
        <f t="shared" si="27"/>
        <v>-0.09</v>
      </c>
      <c r="CS196" s="215"/>
      <c r="CT196" s="270">
        <f t="shared" ref="CT196:DX196" si="1267">IF(AI195&gt;0,IF((AI195+BN196)&lt;E$10,AI195+BN196,E$10),0)</f>
        <v>0</v>
      </c>
      <c r="CU196" s="270">
        <f t="shared" si="1267"/>
        <v>0</v>
      </c>
      <c r="CV196" s="270">
        <f t="shared" si="1267"/>
        <v>0</v>
      </c>
      <c r="CW196" s="270">
        <f t="shared" si="1267"/>
        <v>0</v>
      </c>
      <c r="CX196" s="270">
        <f t="shared" si="1267"/>
        <v>0</v>
      </c>
      <c r="CY196" s="270">
        <f t="shared" si="1267"/>
        <v>0</v>
      </c>
      <c r="CZ196" s="270">
        <f t="shared" si="1267"/>
        <v>0</v>
      </c>
      <c r="DA196" s="270">
        <f t="shared" si="1267"/>
        <v>0</v>
      </c>
      <c r="DB196" s="270">
        <f t="shared" si="1267"/>
        <v>0</v>
      </c>
      <c r="DC196" s="270">
        <f t="shared" si="1267"/>
        <v>0</v>
      </c>
      <c r="DD196" s="270">
        <f t="shared" si="1267"/>
        <v>0</v>
      </c>
      <c r="DE196" s="270">
        <f t="shared" si="1267"/>
        <v>0</v>
      </c>
      <c r="DF196" s="270">
        <f t="shared" si="1267"/>
        <v>0</v>
      </c>
      <c r="DG196" s="270">
        <f t="shared" si="1267"/>
        <v>0</v>
      </c>
      <c r="DH196" s="270">
        <f t="shared" si="1267"/>
        <v>0</v>
      </c>
      <c r="DI196" s="270">
        <f t="shared" si="1267"/>
        <v>0</v>
      </c>
      <c r="DJ196" s="270">
        <f t="shared" si="1267"/>
        <v>0</v>
      </c>
      <c r="DK196" s="270">
        <f t="shared" si="1267"/>
        <v>0</v>
      </c>
      <c r="DL196" s="270">
        <f t="shared" si="1267"/>
        <v>0</v>
      </c>
      <c r="DM196" s="270">
        <f t="shared" si="1267"/>
        <v>0</v>
      </c>
      <c r="DN196" s="270">
        <f t="shared" si="1267"/>
        <v>0</v>
      </c>
      <c r="DO196" s="270">
        <f t="shared" si="1267"/>
        <v>0</v>
      </c>
      <c r="DP196" s="270">
        <f t="shared" si="1267"/>
        <v>0</v>
      </c>
      <c r="DQ196" s="270">
        <f t="shared" si="1267"/>
        <v>0</v>
      </c>
      <c r="DR196" s="270">
        <f t="shared" si="1267"/>
        <v>0</v>
      </c>
      <c r="DS196" s="270">
        <f t="shared" si="1267"/>
        <v>0</v>
      </c>
      <c r="DT196" s="270">
        <f t="shared" si="1267"/>
        <v>0</v>
      </c>
      <c r="DU196" s="270">
        <f t="shared" si="1267"/>
        <v>0</v>
      </c>
      <c r="DV196" s="270">
        <f t="shared" si="1267"/>
        <v>0</v>
      </c>
      <c r="DW196" s="270">
        <f t="shared" si="1267"/>
        <v>0</v>
      </c>
      <c r="DX196" s="270">
        <f t="shared" si="1267"/>
        <v>0</v>
      </c>
      <c r="DY196" s="270">
        <f t="shared" si="29"/>
        <v>0</v>
      </c>
      <c r="DZ196" s="274"/>
      <c r="EA196" s="275">
        <f t="shared" si="38"/>
        <v>0</v>
      </c>
      <c r="EB196" s="270">
        <f t="shared" ref="EB196:FC196" si="1268">IF(AJ194&lt;=0,0,IF($C195&lt;=SUM($EA196:EA196),0,IF(CU195+$C195-SUM($EA196:EA196)&gt;AJ194+BO195,AJ194+BO195-CU195,$C195-SUM($EA196:EA196))))</f>
        <v>0</v>
      </c>
      <c r="EC196" s="270">
        <f t="shared" si="1268"/>
        <v>0</v>
      </c>
      <c r="ED196" s="270">
        <f t="shared" si="1268"/>
        <v>0</v>
      </c>
      <c r="EE196" s="270">
        <f t="shared" si="1268"/>
        <v>0</v>
      </c>
      <c r="EF196" s="270">
        <f t="shared" si="1268"/>
        <v>0</v>
      </c>
      <c r="EG196" s="270">
        <f t="shared" si="1268"/>
        <v>0</v>
      </c>
      <c r="EH196" s="270">
        <f t="shared" si="1268"/>
        <v>0</v>
      </c>
      <c r="EI196" s="270">
        <f t="shared" si="1268"/>
        <v>0</v>
      </c>
      <c r="EJ196" s="270">
        <f t="shared" si="1268"/>
        <v>0</v>
      </c>
      <c r="EK196" s="270">
        <f t="shared" si="1268"/>
        <v>0</v>
      </c>
      <c r="EL196" s="270">
        <f t="shared" si="1268"/>
        <v>0</v>
      </c>
      <c r="EM196" s="270">
        <f t="shared" si="1268"/>
        <v>0</v>
      </c>
      <c r="EN196" s="270">
        <f t="shared" si="1268"/>
        <v>0</v>
      </c>
      <c r="EO196" s="270">
        <f t="shared" si="1268"/>
        <v>0</v>
      </c>
      <c r="EP196" s="270">
        <f t="shared" si="1268"/>
        <v>0</v>
      </c>
      <c r="EQ196" s="270">
        <f t="shared" si="1268"/>
        <v>0</v>
      </c>
      <c r="ER196" s="270">
        <f t="shared" si="1268"/>
        <v>0</v>
      </c>
      <c r="ES196" s="270">
        <f t="shared" si="1268"/>
        <v>0</v>
      </c>
      <c r="ET196" s="270">
        <f t="shared" si="1268"/>
        <v>0</v>
      </c>
      <c r="EU196" s="270">
        <f t="shared" si="1268"/>
        <v>0</v>
      </c>
      <c r="EV196" s="270">
        <f t="shared" si="1268"/>
        <v>0</v>
      </c>
      <c r="EW196" s="270">
        <f t="shared" si="1268"/>
        <v>0</v>
      </c>
      <c r="EX196" s="270">
        <f t="shared" si="1268"/>
        <v>0</v>
      </c>
      <c r="EY196" s="270">
        <f t="shared" si="1268"/>
        <v>0</v>
      </c>
      <c r="EZ196" s="270">
        <f t="shared" si="1268"/>
        <v>0</v>
      </c>
      <c r="FA196" s="270">
        <f t="shared" si="1268"/>
        <v>0</v>
      </c>
      <c r="FB196" s="270">
        <f t="shared" si="1268"/>
        <v>0</v>
      </c>
      <c r="FC196" s="270">
        <f t="shared" si="1268"/>
        <v>0</v>
      </c>
      <c r="FD196" s="271"/>
      <c r="FE196" s="271"/>
      <c r="FF196" s="271"/>
      <c r="FG196" s="215"/>
      <c r="FH196" s="215"/>
    </row>
    <row r="197" ht="11.25" customHeight="1">
      <c r="A197" s="215" t="str">
        <f t="shared" si="19"/>
        <v/>
      </c>
      <c r="B197" s="241" t="str">
        <f t="shared" si="600"/>
        <v>#N/A</v>
      </c>
      <c r="C197" s="271" t="str">
        <f>IF(A197="","",IF(Calculator!snowball,IF(($E$5-DY197)&lt;0,0,$E$5-DY197),0)+D197)</f>
        <v/>
      </c>
      <c r="D197" s="271"/>
      <c r="E197" s="270">
        <f t="shared" si="40"/>
        <v>0</v>
      </c>
      <c r="F197" s="270">
        <f t="shared" ref="F197:AG197" si="1269">CU197+EB198</f>
        <v>0</v>
      </c>
      <c r="G197" s="270">
        <f t="shared" si="1269"/>
        <v>0</v>
      </c>
      <c r="H197" s="270">
        <f t="shared" si="1269"/>
        <v>0</v>
      </c>
      <c r="I197" s="270">
        <f t="shared" si="1269"/>
        <v>0</v>
      </c>
      <c r="J197" s="270">
        <f t="shared" si="1269"/>
        <v>0</v>
      </c>
      <c r="K197" s="270">
        <f t="shared" si="1269"/>
        <v>0</v>
      </c>
      <c r="L197" s="270">
        <f t="shared" si="1269"/>
        <v>0</v>
      </c>
      <c r="M197" s="270">
        <f t="shared" si="1269"/>
        <v>0</v>
      </c>
      <c r="N197" s="270">
        <f t="shared" si="1269"/>
        <v>0</v>
      </c>
      <c r="O197" s="270">
        <f t="shared" si="1269"/>
        <v>0</v>
      </c>
      <c r="P197" s="272">
        <f t="shared" si="1269"/>
        <v>0</v>
      </c>
      <c r="Q197" s="272">
        <f t="shared" si="1269"/>
        <v>0</v>
      </c>
      <c r="R197" s="272">
        <f t="shared" si="1269"/>
        <v>0</v>
      </c>
      <c r="S197" s="272">
        <f t="shared" si="1269"/>
        <v>0</v>
      </c>
      <c r="T197" s="272">
        <f t="shared" si="1269"/>
        <v>0</v>
      </c>
      <c r="U197" s="270">
        <f t="shared" si="1269"/>
        <v>0</v>
      </c>
      <c r="V197" s="270">
        <f t="shared" si="1269"/>
        <v>0</v>
      </c>
      <c r="W197" s="270">
        <f t="shared" si="1269"/>
        <v>0</v>
      </c>
      <c r="X197" s="270">
        <f t="shared" si="1269"/>
        <v>0</v>
      </c>
      <c r="Y197" s="270">
        <f t="shared" si="1269"/>
        <v>0</v>
      </c>
      <c r="Z197" s="270">
        <f t="shared" si="1269"/>
        <v>0</v>
      </c>
      <c r="AA197" s="270">
        <f t="shared" si="1269"/>
        <v>0</v>
      </c>
      <c r="AB197" s="270">
        <f t="shared" si="1269"/>
        <v>0</v>
      </c>
      <c r="AC197" s="270">
        <f t="shared" si="1269"/>
        <v>0</v>
      </c>
      <c r="AD197" s="270">
        <f t="shared" si="1269"/>
        <v>0</v>
      </c>
      <c r="AE197" s="270">
        <f t="shared" si="1269"/>
        <v>0</v>
      </c>
      <c r="AF197" s="270">
        <f t="shared" si="1269"/>
        <v>0</v>
      </c>
      <c r="AG197" s="270">
        <f t="shared" si="1269"/>
        <v>0</v>
      </c>
      <c r="AH197" s="279">
        <f t="shared" si="602"/>
        <v>0</v>
      </c>
      <c r="AI197" s="270">
        <f t="shared" si="43"/>
        <v>0</v>
      </c>
      <c r="AJ197" s="270">
        <f t="shared" ref="AJ197:AO197" si="1270">IF(F$8=0,0,ROUND(AJ196-(F197-BO197),2))</f>
        <v>0</v>
      </c>
      <c r="AK197" s="270">
        <f t="shared" si="1270"/>
        <v>0</v>
      </c>
      <c r="AL197" s="270">
        <f t="shared" si="1270"/>
        <v>0</v>
      </c>
      <c r="AM197" s="270">
        <f t="shared" si="1270"/>
        <v>0</v>
      </c>
      <c r="AN197" s="270">
        <f t="shared" si="1270"/>
        <v>0</v>
      </c>
      <c r="AO197" s="270">
        <f t="shared" si="1270"/>
        <v>0</v>
      </c>
      <c r="AP197" s="270">
        <v>0.0</v>
      </c>
      <c r="AQ197" s="270">
        <f t="shared" ref="AQ197:AS197" si="1271">IF(M$8=0,0,ROUND(AQ196-(M197-BV197),2))</f>
        <v>0</v>
      </c>
      <c r="AR197" s="270">
        <f t="shared" si="1271"/>
        <v>0</v>
      </c>
      <c r="AS197" s="270">
        <f t="shared" si="1271"/>
        <v>0</v>
      </c>
      <c r="AT197" s="270">
        <f t="shared" si="605"/>
        <v>-6.22</v>
      </c>
      <c r="AU197" s="270">
        <f t="shared" ref="AU197:BK197" si="1272">IF(Q$8=0,0,ROUND(AU196-(Q197-BY197),2))</f>
        <v>-12.88</v>
      </c>
      <c r="AV197" s="270">
        <f t="shared" si="1272"/>
        <v>0</v>
      </c>
      <c r="AW197" s="270">
        <f t="shared" si="1272"/>
        <v>0</v>
      </c>
      <c r="AX197" s="270">
        <f t="shared" si="1272"/>
        <v>0</v>
      </c>
      <c r="AY197" s="270">
        <f t="shared" si="1272"/>
        <v>0</v>
      </c>
      <c r="AZ197" s="270">
        <f t="shared" si="1272"/>
        <v>0</v>
      </c>
      <c r="BA197" s="270">
        <f t="shared" si="1272"/>
        <v>0</v>
      </c>
      <c r="BB197" s="270">
        <f t="shared" si="1272"/>
        <v>0</v>
      </c>
      <c r="BC197" s="270">
        <f t="shared" si="1272"/>
        <v>0</v>
      </c>
      <c r="BD197" s="270">
        <f t="shared" si="1272"/>
        <v>0</v>
      </c>
      <c r="BE197" s="270">
        <f t="shared" si="1272"/>
        <v>0</v>
      </c>
      <c r="BF197" s="270">
        <f t="shared" si="1272"/>
        <v>0</v>
      </c>
      <c r="BG197" s="270">
        <f t="shared" si="1272"/>
        <v>0</v>
      </c>
      <c r="BH197" s="270">
        <f t="shared" si="1272"/>
        <v>0</v>
      </c>
      <c r="BI197" s="270">
        <f t="shared" si="1272"/>
        <v>0</v>
      </c>
      <c r="BJ197" s="270">
        <f t="shared" si="1272"/>
        <v>0</v>
      </c>
      <c r="BK197" s="270">
        <f t="shared" si="1272"/>
        <v>0</v>
      </c>
      <c r="BL197" s="265">
        <f t="shared" si="16"/>
        <v>-19.1</v>
      </c>
      <c r="BM197" s="215"/>
      <c r="BN197" s="270">
        <f t="shared" ref="BN197:CP197" si="1273">ROUND(AI196*E$9/12,2)</f>
        <v>0</v>
      </c>
      <c r="BO197" s="270">
        <f t="shared" si="1273"/>
        <v>0</v>
      </c>
      <c r="BP197" s="270">
        <f t="shared" si="1273"/>
        <v>0</v>
      </c>
      <c r="BQ197" s="270">
        <f t="shared" si="1273"/>
        <v>0</v>
      </c>
      <c r="BR197" s="270">
        <f t="shared" si="1273"/>
        <v>0</v>
      </c>
      <c r="BS197" s="270">
        <f t="shared" si="1273"/>
        <v>0</v>
      </c>
      <c r="BT197" s="270">
        <f t="shared" si="1273"/>
        <v>0</v>
      </c>
      <c r="BU197" s="270">
        <f t="shared" si="1273"/>
        <v>0</v>
      </c>
      <c r="BV197" s="270">
        <f t="shared" si="1273"/>
        <v>0</v>
      </c>
      <c r="BW197" s="270">
        <f t="shared" si="1273"/>
        <v>0</v>
      </c>
      <c r="BX197" s="270">
        <f t="shared" si="1273"/>
        <v>0</v>
      </c>
      <c r="BY197" s="270">
        <f t="shared" si="1273"/>
        <v>-0.05</v>
      </c>
      <c r="BZ197" s="270">
        <f t="shared" si="1273"/>
        <v>-0.04</v>
      </c>
      <c r="CA197" s="270">
        <f t="shared" si="1273"/>
        <v>0</v>
      </c>
      <c r="CB197" s="270">
        <f t="shared" si="1273"/>
        <v>0</v>
      </c>
      <c r="CC197" s="270">
        <f t="shared" si="1273"/>
        <v>0</v>
      </c>
      <c r="CD197" s="270">
        <f t="shared" si="1273"/>
        <v>0</v>
      </c>
      <c r="CE197" s="270">
        <f t="shared" si="1273"/>
        <v>0</v>
      </c>
      <c r="CF197" s="270">
        <f t="shared" si="1273"/>
        <v>0</v>
      </c>
      <c r="CG197" s="270">
        <f t="shared" si="1273"/>
        <v>0</v>
      </c>
      <c r="CH197" s="270">
        <f t="shared" si="1273"/>
        <v>0</v>
      </c>
      <c r="CI197" s="270">
        <f t="shared" si="1273"/>
        <v>0</v>
      </c>
      <c r="CJ197" s="270">
        <f t="shared" si="1273"/>
        <v>0</v>
      </c>
      <c r="CK197" s="270">
        <f t="shared" si="1273"/>
        <v>0</v>
      </c>
      <c r="CL197" s="270">
        <f t="shared" si="1273"/>
        <v>0</v>
      </c>
      <c r="CM197" s="270">
        <f t="shared" si="1273"/>
        <v>0</v>
      </c>
      <c r="CN197" s="270">
        <f t="shared" si="1273"/>
        <v>0</v>
      </c>
      <c r="CO197" s="270">
        <f t="shared" si="1273"/>
        <v>0</v>
      </c>
      <c r="CP197" s="270">
        <f t="shared" si="1273"/>
        <v>0</v>
      </c>
      <c r="CQ197" s="215"/>
      <c r="CR197" s="270">
        <f t="shared" si="27"/>
        <v>-0.09</v>
      </c>
      <c r="CS197" s="215"/>
      <c r="CT197" s="270">
        <f t="shared" ref="CT197:DX197" si="1274">IF(AI196&gt;0,IF((AI196+BN197)&lt;E$10,AI196+BN197,E$10),0)</f>
        <v>0</v>
      </c>
      <c r="CU197" s="270">
        <f t="shared" si="1274"/>
        <v>0</v>
      </c>
      <c r="CV197" s="270">
        <f t="shared" si="1274"/>
        <v>0</v>
      </c>
      <c r="CW197" s="270">
        <f t="shared" si="1274"/>
        <v>0</v>
      </c>
      <c r="CX197" s="270">
        <f t="shared" si="1274"/>
        <v>0</v>
      </c>
      <c r="CY197" s="270">
        <f t="shared" si="1274"/>
        <v>0</v>
      </c>
      <c r="CZ197" s="270">
        <f t="shared" si="1274"/>
        <v>0</v>
      </c>
      <c r="DA197" s="270">
        <f t="shared" si="1274"/>
        <v>0</v>
      </c>
      <c r="DB197" s="270">
        <f t="shared" si="1274"/>
        <v>0</v>
      </c>
      <c r="DC197" s="270">
        <f t="shared" si="1274"/>
        <v>0</v>
      </c>
      <c r="DD197" s="270">
        <f t="shared" si="1274"/>
        <v>0</v>
      </c>
      <c r="DE197" s="270">
        <f t="shared" si="1274"/>
        <v>0</v>
      </c>
      <c r="DF197" s="270">
        <f t="shared" si="1274"/>
        <v>0</v>
      </c>
      <c r="DG197" s="270">
        <f t="shared" si="1274"/>
        <v>0</v>
      </c>
      <c r="DH197" s="270">
        <f t="shared" si="1274"/>
        <v>0</v>
      </c>
      <c r="DI197" s="270">
        <f t="shared" si="1274"/>
        <v>0</v>
      </c>
      <c r="DJ197" s="270">
        <f t="shared" si="1274"/>
        <v>0</v>
      </c>
      <c r="DK197" s="270">
        <f t="shared" si="1274"/>
        <v>0</v>
      </c>
      <c r="DL197" s="270">
        <f t="shared" si="1274"/>
        <v>0</v>
      </c>
      <c r="DM197" s="270">
        <f t="shared" si="1274"/>
        <v>0</v>
      </c>
      <c r="DN197" s="270">
        <f t="shared" si="1274"/>
        <v>0</v>
      </c>
      <c r="DO197" s="270">
        <f t="shared" si="1274"/>
        <v>0</v>
      </c>
      <c r="DP197" s="270">
        <f t="shared" si="1274"/>
        <v>0</v>
      </c>
      <c r="DQ197" s="270">
        <f t="shared" si="1274"/>
        <v>0</v>
      </c>
      <c r="DR197" s="270">
        <f t="shared" si="1274"/>
        <v>0</v>
      </c>
      <c r="DS197" s="270">
        <f t="shared" si="1274"/>
        <v>0</v>
      </c>
      <c r="DT197" s="270">
        <f t="shared" si="1274"/>
        <v>0</v>
      </c>
      <c r="DU197" s="270">
        <f t="shared" si="1274"/>
        <v>0</v>
      </c>
      <c r="DV197" s="270">
        <f t="shared" si="1274"/>
        <v>0</v>
      </c>
      <c r="DW197" s="270">
        <f t="shared" si="1274"/>
        <v>0</v>
      </c>
      <c r="DX197" s="270">
        <f t="shared" si="1274"/>
        <v>0</v>
      </c>
      <c r="DY197" s="270">
        <f t="shared" si="29"/>
        <v>0</v>
      </c>
      <c r="DZ197" s="274"/>
      <c r="EA197" s="275">
        <f t="shared" si="38"/>
        <v>0</v>
      </c>
      <c r="EB197" s="270">
        <f t="shared" ref="EB197:FC197" si="1275">IF(AJ195&lt;=0,0,IF($C196&lt;=SUM($EA197:EA197),0,IF(CU196+$C196-SUM($EA197:EA197)&gt;AJ195+BO196,AJ195+BO196-CU196,$C196-SUM($EA197:EA197))))</f>
        <v>0</v>
      </c>
      <c r="EC197" s="270">
        <f t="shared" si="1275"/>
        <v>0</v>
      </c>
      <c r="ED197" s="270">
        <f t="shared" si="1275"/>
        <v>0</v>
      </c>
      <c r="EE197" s="270">
        <f t="shared" si="1275"/>
        <v>0</v>
      </c>
      <c r="EF197" s="270">
        <f t="shared" si="1275"/>
        <v>0</v>
      </c>
      <c r="EG197" s="270">
        <f t="shared" si="1275"/>
        <v>0</v>
      </c>
      <c r="EH197" s="270">
        <f t="shared" si="1275"/>
        <v>0</v>
      </c>
      <c r="EI197" s="270">
        <f t="shared" si="1275"/>
        <v>0</v>
      </c>
      <c r="EJ197" s="270">
        <f t="shared" si="1275"/>
        <v>0</v>
      </c>
      <c r="EK197" s="270">
        <f t="shared" si="1275"/>
        <v>0</v>
      </c>
      <c r="EL197" s="270">
        <f t="shared" si="1275"/>
        <v>0</v>
      </c>
      <c r="EM197" s="270">
        <f t="shared" si="1275"/>
        <v>0</v>
      </c>
      <c r="EN197" s="270">
        <f t="shared" si="1275"/>
        <v>0</v>
      </c>
      <c r="EO197" s="270">
        <f t="shared" si="1275"/>
        <v>0</v>
      </c>
      <c r="EP197" s="270">
        <f t="shared" si="1275"/>
        <v>0</v>
      </c>
      <c r="EQ197" s="270">
        <f t="shared" si="1275"/>
        <v>0</v>
      </c>
      <c r="ER197" s="270">
        <f t="shared" si="1275"/>
        <v>0</v>
      </c>
      <c r="ES197" s="270">
        <f t="shared" si="1275"/>
        <v>0</v>
      </c>
      <c r="ET197" s="270">
        <f t="shared" si="1275"/>
        <v>0</v>
      </c>
      <c r="EU197" s="270">
        <f t="shared" si="1275"/>
        <v>0</v>
      </c>
      <c r="EV197" s="270">
        <f t="shared" si="1275"/>
        <v>0</v>
      </c>
      <c r="EW197" s="270">
        <f t="shared" si="1275"/>
        <v>0</v>
      </c>
      <c r="EX197" s="270">
        <f t="shared" si="1275"/>
        <v>0</v>
      </c>
      <c r="EY197" s="270">
        <f t="shared" si="1275"/>
        <v>0</v>
      </c>
      <c r="EZ197" s="270">
        <f t="shared" si="1275"/>
        <v>0</v>
      </c>
      <c r="FA197" s="270">
        <f t="shared" si="1275"/>
        <v>0</v>
      </c>
      <c r="FB197" s="270">
        <f t="shared" si="1275"/>
        <v>0</v>
      </c>
      <c r="FC197" s="270">
        <f t="shared" si="1275"/>
        <v>0</v>
      </c>
      <c r="FD197" s="271"/>
      <c r="FE197" s="271"/>
      <c r="FF197" s="271"/>
      <c r="FG197" s="215"/>
      <c r="FH197" s="215"/>
    </row>
    <row r="198" ht="11.25" customHeight="1">
      <c r="A198" s="215" t="str">
        <f t="shared" si="19"/>
        <v/>
      </c>
      <c r="B198" s="241" t="str">
        <f t="shared" si="600"/>
        <v>#N/A</v>
      </c>
      <c r="C198" s="271" t="str">
        <f>IF(A198="","",IF(Calculator!snowball,IF(($E$5-DY198)&lt;0,0,$E$5-DY198),0)+D198)</f>
        <v/>
      </c>
      <c r="D198" s="271"/>
      <c r="E198" s="270">
        <f t="shared" si="40"/>
        <v>0</v>
      </c>
      <c r="F198" s="270">
        <f t="shared" ref="F198:AG198" si="1276">CU198+EB199</f>
        <v>0</v>
      </c>
      <c r="G198" s="270">
        <f t="shared" si="1276"/>
        <v>0</v>
      </c>
      <c r="H198" s="270">
        <f t="shared" si="1276"/>
        <v>0</v>
      </c>
      <c r="I198" s="270">
        <f t="shared" si="1276"/>
        <v>0</v>
      </c>
      <c r="J198" s="270">
        <f t="shared" si="1276"/>
        <v>0</v>
      </c>
      <c r="K198" s="270">
        <f t="shared" si="1276"/>
        <v>0</v>
      </c>
      <c r="L198" s="270">
        <f t="shared" si="1276"/>
        <v>0</v>
      </c>
      <c r="M198" s="270">
        <f t="shared" si="1276"/>
        <v>0</v>
      </c>
      <c r="N198" s="270">
        <f t="shared" si="1276"/>
        <v>0</v>
      </c>
      <c r="O198" s="270">
        <f t="shared" si="1276"/>
        <v>0</v>
      </c>
      <c r="P198" s="272">
        <f t="shared" si="1276"/>
        <v>0</v>
      </c>
      <c r="Q198" s="272">
        <f t="shared" si="1276"/>
        <v>0</v>
      </c>
      <c r="R198" s="272">
        <f t="shared" si="1276"/>
        <v>0</v>
      </c>
      <c r="S198" s="272">
        <f t="shared" si="1276"/>
        <v>0</v>
      </c>
      <c r="T198" s="272">
        <f t="shared" si="1276"/>
        <v>0</v>
      </c>
      <c r="U198" s="270">
        <f t="shared" si="1276"/>
        <v>0</v>
      </c>
      <c r="V198" s="270">
        <f t="shared" si="1276"/>
        <v>0</v>
      </c>
      <c r="W198" s="270">
        <f t="shared" si="1276"/>
        <v>0</v>
      </c>
      <c r="X198" s="270">
        <f t="shared" si="1276"/>
        <v>0</v>
      </c>
      <c r="Y198" s="270">
        <f t="shared" si="1276"/>
        <v>0</v>
      </c>
      <c r="Z198" s="270">
        <f t="shared" si="1276"/>
        <v>0</v>
      </c>
      <c r="AA198" s="270">
        <f t="shared" si="1276"/>
        <v>0</v>
      </c>
      <c r="AB198" s="270">
        <f t="shared" si="1276"/>
        <v>0</v>
      </c>
      <c r="AC198" s="270">
        <f t="shared" si="1276"/>
        <v>0</v>
      </c>
      <c r="AD198" s="270">
        <f t="shared" si="1276"/>
        <v>0</v>
      </c>
      <c r="AE198" s="270">
        <f t="shared" si="1276"/>
        <v>0</v>
      </c>
      <c r="AF198" s="270">
        <f t="shared" si="1276"/>
        <v>0</v>
      </c>
      <c r="AG198" s="270">
        <f t="shared" si="1276"/>
        <v>0</v>
      </c>
      <c r="AH198" s="279">
        <f t="shared" si="602"/>
        <v>0</v>
      </c>
      <c r="AI198" s="270">
        <f t="shared" si="43"/>
        <v>0</v>
      </c>
      <c r="AJ198" s="270">
        <f t="shared" ref="AJ198:AO198" si="1277">IF(F$8=0,0,ROUND(AJ197-(F198-BO198),2))</f>
        <v>0</v>
      </c>
      <c r="AK198" s="270">
        <f t="shared" si="1277"/>
        <v>0</v>
      </c>
      <c r="AL198" s="270">
        <f t="shared" si="1277"/>
        <v>0</v>
      </c>
      <c r="AM198" s="270">
        <f t="shared" si="1277"/>
        <v>0</v>
      </c>
      <c r="AN198" s="270">
        <f t="shared" si="1277"/>
        <v>0</v>
      </c>
      <c r="AO198" s="270">
        <f t="shared" si="1277"/>
        <v>0</v>
      </c>
      <c r="AP198" s="270">
        <v>0.0</v>
      </c>
      <c r="AQ198" s="270">
        <f t="shared" ref="AQ198:AS198" si="1278">IF(M$8=0,0,ROUND(AQ197-(M198-BV198),2))</f>
        <v>0</v>
      </c>
      <c r="AR198" s="270">
        <f t="shared" si="1278"/>
        <v>0</v>
      </c>
      <c r="AS198" s="270">
        <f t="shared" si="1278"/>
        <v>0</v>
      </c>
      <c r="AT198" s="270">
        <f t="shared" si="605"/>
        <v>-6.22</v>
      </c>
      <c r="AU198" s="270">
        <f t="shared" ref="AU198:BK198" si="1279">IF(Q$8=0,0,ROUND(AU197-(Q198-BY198),2))</f>
        <v>-12.93</v>
      </c>
      <c r="AV198" s="270">
        <f t="shared" si="1279"/>
        <v>0</v>
      </c>
      <c r="AW198" s="270">
        <f t="shared" si="1279"/>
        <v>0</v>
      </c>
      <c r="AX198" s="270">
        <f t="shared" si="1279"/>
        <v>0</v>
      </c>
      <c r="AY198" s="270">
        <f t="shared" si="1279"/>
        <v>0</v>
      </c>
      <c r="AZ198" s="270">
        <f t="shared" si="1279"/>
        <v>0</v>
      </c>
      <c r="BA198" s="270">
        <f t="shared" si="1279"/>
        <v>0</v>
      </c>
      <c r="BB198" s="270">
        <f t="shared" si="1279"/>
        <v>0</v>
      </c>
      <c r="BC198" s="270">
        <f t="shared" si="1279"/>
        <v>0</v>
      </c>
      <c r="BD198" s="270">
        <f t="shared" si="1279"/>
        <v>0</v>
      </c>
      <c r="BE198" s="270">
        <f t="shared" si="1279"/>
        <v>0</v>
      </c>
      <c r="BF198" s="270">
        <f t="shared" si="1279"/>
        <v>0</v>
      </c>
      <c r="BG198" s="270">
        <f t="shared" si="1279"/>
        <v>0</v>
      </c>
      <c r="BH198" s="270">
        <f t="shared" si="1279"/>
        <v>0</v>
      </c>
      <c r="BI198" s="270">
        <f t="shared" si="1279"/>
        <v>0</v>
      </c>
      <c r="BJ198" s="270">
        <f t="shared" si="1279"/>
        <v>0</v>
      </c>
      <c r="BK198" s="270">
        <f t="shared" si="1279"/>
        <v>0</v>
      </c>
      <c r="BL198" s="265">
        <f t="shared" si="16"/>
        <v>-19.15</v>
      </c>
      <c r="BM198" s="215"/>
      <c r="BN198" s="270">
        <f t="shared" ref="BN198:CP198" si="1280">ROUND(AI197*E$9/12,2)</f>
        <v>0</v>
      </c>
      <c r="BO198" s="270">
        <f t="shared" si="1280"/>
        <v>0</v>
      </c>
      <c r="BP198" s="270">
        <f t="shared" si="1280"/>
        <v>0</v>
      </c>
      <c r="BQ198" s="270">
        <f t="shared" si="1280"/>
        <v>0</v>
      </c>
      <c r="BR198" s="270">
        <f t="shared" si="1280"/>
        <v>0</v>
      </c>
      <c r="BS198" s="270">
        <f t="shared" si="1280"/>
        <v>0</v>
      </c>
      <c r="BT198" s="270">
        <f t="shared" si="1280"/>
        <v>0</v>
      </c>
      <c r="BU198" s="270">
        <f t="shared" si="1280"/>
        <v>0</v>
      </c>
      <c r="BV198" s="270">
        <f t="shared" si="1280"/>
        <v>0</v>
      </c>
      <c r="BW198" s="270">
        <f t="shared" si="1280"/>
        <v>0</v>
      </c>
      <c r="BX198" s="270">
        <f t="shared" si="1280"/>
        <v>0</v>
      </c>
      <c r="BY198" s="270">
        <f t="shared" si="1280"/>
        <v>-0.05</v>
      </c>
      <c r="BZ198" s="270">
        <f t="shared" si="1280"/>
        <v>-0.04</v>
      </c>
      <c r="CA198" s="270">
        <f t="shared" si="1280"/>
        <v>0</v>
      </c>
      <c r="CB198" s="270">
        <f t="shared" si="1280"/>
        <v>0</v>
      </c>
      <c r="CC198" s="270">
        <f t="shared" si="1280"/>
        <v>0</v>
      </c>
      <c r="CD198" s="270">
        <f t="shared" si="1280"/>
        <v>0</v>
      </c>
      <c r="CE198" s="270">
        <f t="shared" si="1280"/>
        <v>0</v>
      </c>
      <c r="CF198" s="270">
        <f t="shared" si="1280"/>
        <v>0</v>
      </c>
      <c r="CG198" s="270">
        <f t="shared" si="1280"/>
        <v>0</v>
      </c>
      <c r="CH198" s="270">
        <f t="shared" si="1280"/>
        <v>0</v>
      </c>
      <c r="CI198" s="270">
        <f t="shared" si="1280"/>
        <v>0</v>
      </c>
      <c r="CJ198" s="270">
        <f t="shared" si="1280"/>
        <v>0</v>
      </c>
      <c r="CK198" s="270">
        <f t="shared" si="1280"/>
        <v>0</v>
      </c>
      <c r="CL198" s="270">
        <f t="shared" si="1280"/>
        <v>0</v>
      </c>
      <c r="CM198" s="270">
        <f t="shared" si="1280"/>
        <v>0</v>
      </c>
      <c r="CN198" s="270">
        <f t="shared" si="1280"/>
        <v>0</v>
      </c>
      <c r="CO198" s="270">
        <f t="shared" si="1280"/>
        <v>0</v>
      </c>
      <c r="CP198" s="270">
        <f t="shared" si="1280"/>
        <v>0</v>
      </c>
      <c r="CQ198" s="215"/>
      <c r="CR198" s="270">
        <f t="shared" si="27"/>
        <v>-0.09</v>
      </c>
      <c r="CS198" s="215"/>
      <c r="CT198" s="270">
        <f t="shared" ref="CT198:DX198" si="1281">IF(AI197&gt;0,IF((AI197+BN198)&lt;E$10,AI197+BN198,E$10),0)</f>
        <v>0</v>
      </c>
      <c r="CU198" s="270">
        <f t="shared" si="1281"/>
        <v>0</v>
      </c>
      <c r="CV198" s="270">
        <f t="shared" si="1281"/>
        <v>0</v>
      </c>
      <c r="CW198" s="270">
        <f t="shared" si="1281"/>
        <v>0</v>
      </c>
      <c r="CX198" s="270">
        <f t="shared" si="1281"/>
        <v>0</v>
      </c>
      <c r="CY198" s="270">
        <f t="shared" si="1281"/>
        <v>0</v>
      </c>
      <c r="CZ198" s="270">
        <f t="shared" si="1281"/>
        <v>0</v>
      </c>
      <c r="DA198" s="270">
        <f t="shared" si="1281"/>
        <v>0</v>
      </c>
      <c r="DB198" s="270">
        <f t="shared" si="1281"/>
        <v>0</v>
      </c>
      <c r="DC198" s="270">
        <f t="shared" si="1281"/>
        <v>0</v>
      </c>
      <c r="DD198" s="270">
        <f t="shared" si="1281"/>
        <v>0</v>
      </c>
      <c r="DE198" s="270">
        <f t="shared" si="1281"/>
        <v>0</v>
      </c>
      <c r="DF198" s="270">
        <f t="shared" si="1281"/>
        <v>0</v>
      </c>
      <c r="DG198" s="270">
        <f t="shared" si="1281"/>
        <v>0</v>
      </c>
      <c r="DH198" s="270">
        <f t="shared" si="1281"/>
        <v>0</v>
      </c>
      <c r="DI198" s="270">
        <f t="shared" si="1281"/>
        <v>0</v>
      </c>
      <c r="DJ198" s="270">
        <f t="shared" si="1281"/>
        <v>0</v>
      </c>
      <c r="DK198" s="270">
        <f t="shared" si="1281"/>
        <v>0</v>
      </c>
      <c r="DL198" s="270">
        <f t="shared" si="1281"/>
        <v>0</v>
      </c>
      <c r="DM198" s="270">
        <f t="shared" si="1281"/>
        <v>0</v>
      </c>
      <c r="DN198" s="270">
        <f t="shared" si="1281"/>
        <v>0</v>
      </c>
      <c r="DO198" s="270">
        <f t="shared" si="1281"/>
        <v>0</v>
      </c>
      <c r="DP198" s="270">
        <f t="shared" si="1281"/>
        <v>0</v>
      </c>
      <c r="DQ198" s="270">
        <f t="shared" si="1281"/>
        <v>0</v>
      </c>
      <c r="DR198" s="270">
        <f t="shared" si="1281"/>
        <v>0</v>
      </c>
      <c r="DS198" s="270">
        <f t="shared" si="1281"/>
        <v>0</v>
      </c>
      <c r="DT198" s="270">
        <f t="shared" si="1281"/>
        <v>0</v>
      </c>
      <c r="DU198" s="270">
        <f t="shared" si="1281"/>
        <v>0</v>
      </c>
      <c r="DV198" s="270">
        <f t="shared" si="1281"/>
        <v>0</v>
      </c>
      <c r="DW198" s="270">
        <f t="shared" si="1281"/>
        <v>0</v>
      </c>
      <c r="DX198" s="270">
        <f t="shared" si="1281"/>
        <v>0</v>
      </c>
      <c r="DY198" s="270">
        <f t="shared" si="29"/>
        <v>0</v>
      </c>
      <c r="DZ198" s="274"/>
      <c r="EA198" s="275">
        <f t="shared" si="38"/>
        <v>0</v>
      </c>
      <c r="EB198" s="270">
        <f t="shared" ref="EB198:FC198" si="1282">IF(AJ196&lt;=0,0,IF($C197&lt;=SUM($EA198:EA198),0,IF(CU197+$C197-SUM($EA198:EA198)&gt;AJ196+BO197,AJ196+BO197-CU197,$C197-SUM($EA198:EA198))))</f>
        <v>0</v>
      </c>
      <c r="EC198" s="270">
        <f t="shared" si="1282"/>
        <v>0</v>
      </c>
      <c r="ED198" s="270">
        <f t="shared" si="1282"/>
        <v>0</v>
      </c>
      <c r="EE198" s="270">
        <f t="shared" si="1282"/>
        <v>0</v>
      </c>
      <c r="EF198" s="270">
        <f t="shared" si="1282"/>
        <v>0</v>
      </c>
      <c r="EG198" s="270">
        <f t="shared" si="1282"/>
        <v>0</v>
      </c>
      <c r="EH198" s="270">
        <f t="shared" si="1282"/>
        <v>0</v>
      </c>
      <c r="EI198" s="270">
        <f t="shared" si="1282"/>
        <v>0</v>
      </c>
      <c r="EJ198" s="270">
        <f t="shared" si="1282"/>
        <v>0</v>
      </c>
      <c r="EK198" s="270">
        <f t="shared" si="1282"/>
        <v>0</v>
      </c>
      <c r="EL198" s="270">
        <f t="shared" si="1282"/>
        <v>0</v>
      </c>
      <c r="EM198" s="270">
        <f t="shared" si="1282"/>
        <v>0</v>
      </c>
      <c r="EN198" s="270">
        <f t="shared" si="1282"/>
        <v>0</v>
      </c>
      <c r="EO198" s="270">
        <f t="shared" si="1282"/>
        <v>0</v>
      </c>
      <c r="EP198" s="270">
        <f t="shared" si="1282"/>
        <v>0</v>
      </c>
      <c r="EQ198" s="270">
        <f t="shared" si="1282"/>
        <v>0</v>
      </c>
      <c r="ER198" s="270">
        <f t="shared" si="1282"/>
        <v>0</v>
      </c>
      <c r="ES198" s="270">
        <f t="shared" si="1282"/>
        <v>0</v>
      </c>
      <c r="ET198" s="270">
        <f t="shared" si="1282"/>
        <v>0</v>
      </c>
      <c r="EU198" s="270">
        <f t="shared" si="1282"/>
        <v>0</v>
      </c>
      <c r="EV198" s="270">
        <f t="shared" si="1282"/>
        <v>0</v>
      </c>
      <c r="EW198" s="270">
        <f t="shared" si="1282"/>
        <v>0</v>
      </c>
      <c r="EX198" s="270">
        <f t="shared" si="1282"/>
        <v>0</v>
      </c>
      <c r="EY198" s="270">
        <f t="shared" si="1282"/>
        <v>0</v>
      </c>
      <c r="EZ198" s="270">
        <f t="shared" si="1282"/>
        <v>0</v>
      </c>
      <c r="FA198" s="270">
        <f t="shared" si="1282"/>
        <v>0</v>
      </c>
      <c r="FB198" s="270">
        <f t="shared" si="1282"/>
        <v>0</v>
      </c>
      <c r="FC198" s="270">
        <f t="shared" si="1282"/>
        <v>0</v>
      </c>
      <c r="FD198" s="271"/>
      <c r="FE198" s="271"/>
      <c r="FF198" s="271"/>
      <c r="FG198" s="215"/>
      <c r="FH198" s="215"/>
    </row>
    <row r="199" ht="11.25" customHeight="1">
      <c r="A199" s="215" t="str">
        <f t="shared" si="19"/>
        <v/>
      </c>
      <c r="B199" s="241" t="str">
        <f t="shared" si="600"/>
        <v>#N/A</v>
      </c>
      <c r="C199" s="271" t="str">
        <f>IF(A199="","",IF(Calculator!snowball,IF(($E$5-DY199)&lt;0,0,$E$5-DY199),0)+D199)</f>
        <v/>
      </c>
      <c r="D199" s="271"/>
      <c r="E199" s="270">
        <f t="shared" si="40"/>
        <v>0</v>
      </c>
      <c r="F199" s="270">
        <f t="shared" ref="F199:AG199" si="1283">CU199+EB200</f>
        <v>0</v>
      </c>
      <c r="G199" s="270">
        <f t="shared" si="1283"/>
        <v>0</v>
      </c>
      <c r="H199" s="270">
        <f t="shared" si="1283"/>
        <v>0</v>
      </c>
      <c r="I199" s="270">
        <f t="shared" si="1283"/>
        <v>0</v>
      </c>
      <c r="J199" s="270">
        <f t="shared" si="1283"/>
        <v>0</v>
      </c>
      <c r="K199" s="270">
        <f t="shared" si="1283"/>
        <v>0</v>
      </c>
      <c r="L199" s="270">
        <f t="shared" si="1283"/>
        <v>0</v>
      </c>
      <c r="M199" s="270">
        <f t="shared" si="1283"/>
        <v>0</v>
      </c>
      <c r="N199" s="270">
        <f t="shared" si="1283"/>
        <v>0</v>
      </c>
      <c r="O199" s="270">
        <f t="shared" si="1283"/>
        <v>0</v>
      </c>
      <c r="P199" s="272">
        <f t="shared" si="1283"/>
        <v>0</v>
      </c>
      <c r="Q199" s="272">
        <f t="shared" si="1283"/>
        <v>0</v>
      </c>
      <c r="R199" s="272">
        <f t="shared" si="1283"/>
        <v>0</v>
      </c>
      <c r="S199" s="272">
        <f t="shared" si="1283"/>
        <v>0</v>
      </c>
      <c r="T199" s="272">
        <f t="shared" si="1283"/>
        <v>0</v>
      </c>
      <c r="U199" s="270">
        <f t="shared" si="1283"/>
        <v>0</v>
      </c>
      <c r="V199" s="270">
        <f t="shared" si="1283"/>
        <v>0</v>
      </c>
      <c r="W199" s="270">
        <f t="shared" si="1283"/>
        <v>0</v>
      </c>
      <c r="X199" s="270">
        <f t="shared" si="1283"/>
        <v>0</v>
      </c>
      <c r="Y199" s="270">
        <f t="shared" si="1283"/>
        <v>0</v>
      </c>
      <c r="Z199" s="270">
        <f t="shared" si="1283"/>
        <v>0</v>
      </c>
      <c r="AA199" s="270">
        <f t="shared" si="1283"/>
        <v>0</v>
      </c>
      <c r="AB199" s="270">
        <f t="shared" si="1283"/>
        <v>0</v>
      </c>
      <c r="AC199" s="270">
        <f t="shared" si="1283"/>
        <v>0</v>
      </c>
      <c r="AD199" s="270">
        <f t="shared" si="1283"/>
        <v>0</v>
      </c>
      <c r="AE199" s="270">
        <f t="shared" si="1283"/>
        <v>0</v>
      </c>
      <c r="AF199" s="270">
        <f t="shared" si="1283"/>
        <v>0</v>
      </c>
      <c r="AG199" s="270">
        <f t="shared" si="1283"/>
        <v>0</v>
      </c>
      <c r="AH199" s="279">
        <f t="shared" si="602"/>
        <v>0</v>
      </c>
      <c r="AI199" s="270">
        <f t="shared" si="43"/>
        <v>0</v>
      </c>
      <c r="AJ199" s="270">
        <f t="shared" ref="AJ199:AO199" si="1284">IF(F$8=0,0,ROUND(AJ198-(F199-BO199),2))</f>
        <v>0</v>
      </c>
      <c r="AK199" s="270">
        <f t="shared" si="1284"/>
        <v>0</v>
      </c>
      <c r="AL199" s="270">
        <f t="shared" si="1284"/>
        <v>0</v>
      </c>
      <c r="AM199" s="270">
        <f t="shared" si="1284"/>
        <v>0</v>
      </c>
      <c r="AN199" s="270">
        <f t="shared" si="1284"/>
        <v>0</v>
      </c>
      <c r="AO199" s="270">
        <f t="shared" si="1284"/>
        <v>0</v>
      </c>
      <c r="AP199" s="270">
        <v>0.0</v>
      </c>
      <c r="AQ199" s="270">
        <f t="shared" ref="AQ199:AS199" si="1285">IF(M$8=0,0,ROUND(AQ198-(M199-BV199),2))</f>
        <v>0</v>
      </c>
      <c r="AR199" s="270">
        <f t="shared" si="1285"/>
        <v>0</v>
      </c>
      <c r="AS199" s="270">
        <f t="shared" si="1285"/>
        <v>0</v>
      </c>
      <c r="AT199" s="270">
        <f t="shared" si="605"/>
        <v>-6.22</v>
      </c>
      <c r="AU199" s="270">
        <f t="shared" ref="AU199:BK199" si="1286">IF(Q$8=0,0,ROUND(AU198-(Q199-BY199),2))</f>
        <v>-12.98</v>
      </c>
      <c r="AV199" s="270">
        <f t="shared" si="1286"/>
        <v>0</v>
      </c>
      <c r="AW199" s="270">
        <f t="shared" si="1286"/>
        <v>0</v>
      </c>
      <c r="AX199" s="270">
        <f t="shared" si="1286"/>
        <v>0</v>
      </c>
      <c r="AY199" s="270">
        <f t="shared" si="1286"/>
        <v>0</v>
      </c>
      <c r="AZ199" s="270">
        <f t="shared" si="1286"/>
        <v>0</v>
      </c>
      <c r="BA199" s="270">
        <f t="shared" si="1286"/>
        <v>0</v>
      </c>
      <c r="BB199" s="270">
        <f t="shared" si="1286"/>
        <v>0</v>
      </c>
      <c r="BC199" s="270">
        <f t="shared" si="1286"/>
        <v>0</v>
      </c>
      <c r="BD199" s="270">
        <f t="shared" si="1286"/>
        <v>0</v>
      </c>
      <c r="BE199" s="270">
        <f t="shared" si="1286"/>
        <v>0</v>
      </c>
      <c r="BF199" s="270">
        <f t="shared" si="1286"/>
        <v>0</v>
      </c>
      <c r="BG199" s="270">
        <f t="shared" si="1286"/>
        <v>0</v>
      </c>
      <c r="BH199" s="270">
        <f t="shared" si="1286"/>
        <v>0</v>
      </c>
      <c r="BI199" s="270">
        <f t="shared" si="1286"/>
        <v>0</v>
      </c>
      <c r="BJ199" s="270">
        <f t="shared" si="1286"/>
        <v>0</v>
      </c>
      <c r="BK199" s="270">
        <f t="shared" si="1286"/>
        <v>0</v>
      </c>
      <c r="BL199" s="265">
        <f t="shared" si="16"/>
        <v>-19.2</v>
      </c>
      <c r="BM199" s="215"/>
      <c r="BN199" s="270">
        <f t="shared" ref="BN199:CP199" si="1287">ROUND(AI198*E$9/12,2)</f>
        <v>0</v>
      </c>
      <c r="BO199" s="270">
        <f t="shared" si="1287"/>
        <v>0</v>
      </c>
      <c r="BP199" s="270">
        <f t="shared" si="1287"/>
        <v>0</v>
      </c>
      <c r="BQ199" s="270">
        <f t="shared" si="1287"/>
        <v>0</v>
      </c>
      <c r="BR199" s="270">
        <f t="shared" si="1287"/>
        <v>0</v>
      </c>
      <c r="BS199" s="270">
        <f t="shared" si="1287"/>
        <v>0</v>
      </c>
      <c r="BT199" s="270">
        <f t="shared" si="1287"/>
        <v>0</v>
      </c>
      <c r="BU199" s="270">
        <f t="shared" si="1287"/>
        <v>0</v>
      </c>
      <c r="BV199" s="270">
        <f t="shared" si="1287"/>
        <v>0</v>
      </c>
      <c r="BW199" s="270">
        <f t="shared" si="1287"/>
        <v>0</v>
      </c>
      <c r="BX199" s="270">
        <f t="shared" si="1287"/>
        <v>0</v>
      </c>
      <c r="BY199" s="270">
        <f t="shared" si="1287"/>
        <v>-0.05</v>
      </c>
      <c r="BZ199" s="270">
        <f t="shared" si="1287"/>
        <v>-0.04</v>
      </c>
      <c r="CA199" s="270">
        <f t="shared" si="1287"/>
        <v>0</v>
      </c>
      <c r="CB199" s="270">
        <f t="shared" si="1287"/>
        <v>0</v>
      </c>
      <c r="CC199" s="270">
        <f t="shared" si="1287"/>
        <v>0</v>
      </c>
      <c r="CD199" s="270">
        <f t="shared" si="1287"/>
        <v>0</v>
      </c>
      <c r="CE199" s="270">
        <f t="shared" si="1287"/>
        <v>0</v>
      </c>
      <c r="CF199" s="270">
        <f t="shared" si="1287"/>
        <v>0</v>
      </c>
      <c r="CG199" s="270">
        <f t="shared" si="1287"/>
        <v>0</v>
      </c>
      <c r="CH199" s="270">
        <f t="shared" si="1287"/>
        <v>0</v>
      </c>
      <c r="CI199" s="270">
        <f t="shared" si="1287"/>
        <v>0</v>
      </c>
      <c r="CJ199" s="270">
        <f t="shared" si="1287"/>
        <v>0</v>
      </c>
      <c r="CK199" s="270">
        <f t="shared" si="1287"/>
        <v>0</v>
      </c>
      <c r="CL199" s="270">
        <f t="shared" si="1287"/>
        <v>0</v>
      </c>
      <c r="CM199" s="270">
        <f t="shared" si="1287"/>
        <v>0</v>
      </c>
      <c r="CN199" s="270">
        <f t="shared" si="1287"/>
        <v>0</v>
      </c>
      <c r="CO199" s="270">
        <f t="shared" si="1287"/>
        <v>0</v>
      </c>
      <c r="CP199" s="270">
        <f t="shared" si="1287"/>
        <v>0</v>
      </c>
      <c r="CQ199" s="215"/>
      <c r="CR199" s="270">
        <f t="shared" si="27"/>
        <v>-0.09</v>
      </c>
      <c r="CS199" s="215"/>
      <c r="CT199" s="270">
        <f t="shared" ref="CT199:DX199" si="1288">IF(AI198&gt;0,IF((AI198+BN199)&lt;E$10,AI198+BN199,E$10),0)</f>
        <v>0</v>
      </c>
      <c r="CU199" s="270">
        <f t="shared" si="1288"/>
        <v>0</v>
      </c>
      <c r="CV199" s="270">
        <f t="shared" si="1288"/>
        <v>0</v>
      </c>
      <c r="CW199" s="270">
        <f t="shared" si="1288"/>
        <v>0</v>
      </c>
      <c r="CX199" s="270">
        <f t="shared" si="1288"/>
        <v>0</v>
      </c>
      <c r="CY199" s="270">
        <f t="shared" si="1288"/>
        <v>0</v>
      </c>
      <c r="CZ199" s="270">
        <f t="shared" si="1288"/>
        <v>0</v>
      </c>
      <c r="DA199" s="270">
        <f t="shared" si="1288"/>
        <v>0</v>
      </c>
      <c r="DB199" s="270">
        <f t="shared" si="1288"/>
        <v>0</v>
      </c>
      <c r="DC199" s="270">
        <f t="shared" si="1288"/>
        <v>0</v>
      </c>
      <c r="DD199" s="270">
        <f t="shared" si="1288"/>
        <v>0</v>
      </c>
      <c r="DE199" s="270">
        <f t="shared" si="1288"/>
        <v>0</v>
      </c>
      <c r="DF199" s="270">
        <f t="shared" si="1288"/>
        <v>0</v>
      </c>
      <c r="DG199" s="270">
        <f t="shared" si="1288"/>
        <v>0</v>
      </c>
      <c r="DH199" s="270">
        <f t="shared" si="1288"/>
        <v>0</v>
      </c>
      <c r="DI199" s="270">
        <f t="shared" si="1288"/>
        <v>0</v>
      </c>
      <c r="DJ199" s="270">
        <f t="shared" si="1288"/>
        <v>0</v>
      </c>
      <c r="DK199" s="270">
        <f t="shared" si="1288"/>
        <v>0</v>
      </c>
      <c r="DL199" s="270">
        <f t="shared" si="1288"/>
        <v>0</v>
      </c>
      <c r="DM199" s="270">
        <f t="shared" si="1288"/>
        <v>0</v>
      </c>
      <c r="DN199" s="270">
        <f t="shared" si="1288"/>
        <v>0</v>
      </c>
      <c r="DO199" s="270">
        <f t="shared" si="1288"/>
        <v>0</v>
      </c>
      <c r="DP199" s="270">
        <f t="shared" si="1288"/>
        <v>0</v>
      </c>
      <c r="DQ199" s="270">
        <f t="shared" si="1288"/>
        <v>0</v>
      </c>
      <c r="DR199" s="270">
        <f t="shared" si="1288"/>
        <v>0</v>
      </c>
      <c r="DS199" s="270">
        <f t="shared" si="1288"/>
        <v>0</v>
      </c>
      <c r="DT199" s="270">
        <f t="shared" si="1288"/>
        <v>0</v>
      </c>
      <c r="DU199" s="270">
        <f t="shared" si="1288"/>
        <v>0</v>
      </c>
      <c r="DV199" s="270">
        <f t="shared" si="1288"/>
        <v>0</v>
      </c>
      <c r="DW199" s="270">
        <f t="shared" si="1288"/>
        <v>0</v>
      </c>
      <c r="DX199" s="270">
        <f t="shared" si="1288"/>
        <v>0</v>
      </c>
      <c r="DY199" s="270">
        <f t="shared" si="29"/>
        <v>0</v>
      </c>
      <c r="DZ199" s="274"/>
      <c r="EA199" s="275">
        <f t="shared" si="38"/>
        <v>0</v>
      </c>
      <c r="EB199" s="270">
        <f t="shared" ref="EB199:FC199" si="1289">IF(AJ197&lt;=0,0,IF($C198&lt;=SUM($EA199:EA199),0,IF(CU198+$C198-SUM($EA199:EA199)&gt;AJ197+BO198,AJ197+BO198-CU198,$C198-SUM($EA199:EA199))))</f>
        <v>0</v>
      </c>
      <c r="EC199" s="270">
        <f t="shared" si="1289"/>
        <v>0</v>
      </c>
      <c r="ED199" s="270">
        <f t="shared" si="1289"/>
        <v>0</v>
      </c>
      <c r="EE199" s="270">
        <f t="shared" si="1289"/>
        <v>0</v>
      </c>
      <c r="EF199" s="270">
        <f t="shared" si="1289"/>
        <v>0</v>
      </c>
      <c r="EG199" s="270">
        <f t="shared" si="1289"/>
        <v>0</v>
      </c>
      <c r="EH199" s="270">
        <f t="shared" si="1289"/>
        <v>0</v>
      </c>
      <c r="EI199" s="270">
        <f t="shared" si="1289"/>
        <v>0</v>
      </c>
      <c r="EJ199" s="270">
        <f t="shared" si="1289"/>
        <v>0</v>
      </c>
      <c r="EK199" s="270">
        <f t="shared" si="1289"/>
        <v>0</v>
      </c>
      <c r="EL199" s="270">
        <f t="shared" si="1289"/>
        <v>0</v>
      </c>
      <c r="EM199" s="270">
        <f t="shared" si="1289"/>
        <v>0</v>
      </c>
      <c r="EN199" s="270">
        <f t="shared" si="1289"/>
        <v>0</v>
      </c>
      <c r="EO199" s="270">
        <f t="shared" si="1289"/>
        <v>0</v>
      </c>
      <c r="EP199" s="270">
        <f t="shared" si="1289"/>
        <v>0</v>
      </c>
      <c r="EQ199" s="270">
        <f t="shared" si="1289"/>
        <v>0</v>
      </c>
      <c r="ER199" s="270">
        <f t="shared" si="1289"/>
        <v>0</v>
      </c>
      <c r="ES199" s="270">
        <f t="shared" si="1289"/>
        <v>0</v>
      </c>
      <c r="ET199" s="270">
        <f t="shared" si="1289"/>
        <v>0</v>
      </c>
      <c r="EU199" s="270">
        <f t="shared" si="1289"/>
        <v>0</v>
      </c>
      <c r="EV199" s="270">
        <f t="shared" si="1289"/>
        <v>0</v>
      </c>
      <c r="EW199" s="270">
        <f t="shared" si="1289"/>
        <v>0</v>
      </c>
      <c r="EX199" s="270">
        <f t="shared" si="1289"/>
        <v>0</v>
      </c>
      <c r="EY199" s="270">
        <f t="shared" si="1289"/>
        <v>0</v>
      </c>
      <c r="EZ199" s="270">
        <f t="shared" si="1289"/>
        <v>0</v>
      </c>
      <c r="FA199" s="270">
        <f t="shared" si="1289"/>
        <v>0</v>
      </c>
      <c r="FB199" s="270">
        <f t="shared" si="1289"/>
        <v>0</v>
      </c>
      <c r="FC199" s="270">
        <f t="shared" si="1289"/>
        <v>0</v>
      </c>
      <c r="FD199" s="271"/>
      <c r="FE199" s="271"/>
      <c r="FF199" s="271"/>
      <c r="FG199" s="215"/>
      <c r="FH199" s="215"/>
    </row>
    <row r="200" ht="11.25" customHeight="1">
      <c r="A200" s="215" t="str">
        <f t="shared" si="19"/>
        <v/>
      </c>
      <c r="B200" s="241" t="str">
        <f t="shared" si="600"/>
        <v>#N/A</v>
      </c>
      <c r="C200" s="271" t="str">
        <f>IF(A200="","",IF(Calculator!snowball,IF(($E$5-DY200)&lt;0,0,$E$5-DY200),0)+D200)</f>
        <v/>
      </c>
      <c r="D200" s="271"/>
      <c r="E200" s="270">
        <f t="shared" si="40"/>
        <v>0</v>
      </c>
      <c r="F200" s="270">
        <f t="shared" ref="F200:AG200" si="1290">CU200+EB201</f>
        <v>0</v>
      </c>
      <c r="G200" s="270">
        <f t="shared" si="1290"/>
        <v>0</v>
      </c>
      <c r="H200" s="270">
        <f t="shared" si="1290"/>
        <v>0</v>
      </c>
      <c r="I200" s="270">
        <f t="shared" si="1290"/>
        <v>0</v>
      </c>
      <c r="J200" s="270">
        <f t="shared" si="1290"/>
        <v>0</v>
      </c>
      <c r="K200" s="270">
        <f t="shared" si="1290"/>
        <v>0</v>
      </c>
      <c r="L200" s="270">
        <f t="shared" si="1290"/>
        <v>0</v>
      </c>
      <c r="M200" s="270">
        <f t="shared" si="1290"/>
        <v>0</v>
      </c>
      <c r="N200" s="270">
        <f t="shared" si="1290"/>
        <v>0</v>
      </c>
      <c r="O200" s="270">
        <f t="shared" si="1290"/>
        <v>0</v>
      </c>
      <c r="P200" s="272">
        <f t="shared" si="1290"/>
        <v>0</v>
      </c>
      <c r="Q200" s="272">
        <f t="shared" si="1290"/>
        <v>0</v>
      </c>
      <c r="R200" s="272">
        <f t="shared" si="1290"/>
        <v>0</v>
      </c>
      <c r="S200" s="272">
        <f t="shared" si="1290"/>
        <v>0</v>
      </c>
      <c r="T200" s="272">
        <f t="shared" si="1290"/>
        <v>0</v>
      </c>
      <c r="U200" s="270">
        <f t="shared" si="1290"/>
        <v>0</v>
      </c>
      <c r="V200" s="270">
        <f t="shared" si="1290"/>
        <v>0</v>
      </c>
      <c r="W200" s="270">
        <f t="shared" si="1290"/>
        <v>0</v>
      </c>
      <c r="X200" s="270">
        <f t="shared" si="1290"/>
        <v>0</v>
      </c>
      <c r="Y200" s="270">
        <f t="shared" si="1290"/>
        <v>0</v>
      </c>
      <c r="Z200" s="270">
        <f t="shared" si="1290"/>
        <v>0</v>
      </c>
      <c r="AA200" s="270">
        <f t="shared" si="1290"/>
        <v>0</v>
      </c>
      <c r="AB200" s="270">
        <f t="shared" si="1290"/>
        <v>0</v>
      </c>
      <c r="AC200" s="270">
        <f t="shared" si="1290"/>
        <v>0</v>
      </c>
      <c r="AD200" s="270">
        <f t="shared" si="1290"/>
        <v>0</v>
      </c>
      <c r="AE200" s="270">
        <f t="shared" si="1290"/>
        <v>0</v>
      </c>
      <c r="AF200" s="270">
        <f t="shared" si="1290"/>
        <v>0</v>
      </c>
      <c r="AG200" s="270">
        <f t="shared" si="1290"/>
        <v>0</v>
      </c>
      <c r="AH200" s="279">
        <f t="shared" si="602"/>
        <v>0</v>
      </c>
      <c r="AI200" s="270">
        <f t="shared" si="43"/>
        <v>0</v>
      </c>
      <c r="AJ200" s="270">
        <f t="shared" ref="AJ200:AO200" si="1291">IF(F$8=0,0,ROUND(AJ199-(F200-BO200),2))</f>
        <v>0</v>
      </c>
      <c r="AK200" s="270">
        <f t="shared" si="1291"/>
        <v>0</v>
      </c>
      <c r="AL200" s="270">
        <f t="shared" si="1291"/>
        <v>0</v>
      </c>
      <c r="AM200" s="270">
        <f t="shared" si="1291"/>
        <v>0</v>
      </c>
      <c r="AN200" s="270">
        <f t="shared" si="1291"/>
        <v>0</v>
      </c>
      <c r="AO200" s="270">
        <f t="shared" si="1291"/>
        <v>0</v>
      </c>
      <c r="AP200" s="270">
        <v>0.0</v>
      </c>
      <c r="AQ200" s="270">
        <f t="shared" ref="AQ200:AS200" si="1292">IF(M$8=0,0,ROUND(AQ199-(M200-BV200),2))</f>
        <v>0</v>
      </c>
      <c r="AR200" s="270">
        <f t="shared" si="1292"/>
        <v>0</v>
      </c>
      <c r="AS200" s="270">
        <f t="shared" si="1292"/>
        <v>0</v>
      </c>
      <c r="AT200" s="270">
        <f t="shared" si="605"/>
        <v>-6.22</v>
      </c>
      <c r="AU200" s="270">
        <f t="shared" ref="AU200:BK200" si="1293">IF(Q$8=0,0,ROUND(AU199-(Q200-BY200),2))</f>
        <v>-13.03</v>
      </c>
      <c r="AV200" s="270">
        <f t="shared" si="1293"/>
        <v>0</v>
      </c>
      <c r="AW200" s="270">
        <f t="shared" si="1293"/>
        <v>0</v>
      </c>
      <c r="AX200" s="270">
        <f t="shared" si="1293"/>
        <v>0</v>
      </c>
      <c r="AY200" s="270">
        <f t="shared" si="1293"/>
        <v>0</v>
      </c>
      <c r="AZ200" s="270">
        <f t="shared" si="1293"/>
        <v>0</v>
      </c>
      <c r="BA200" s="270">
        <f t="shared" si="1293"/>
        <v>0</v>
      </c>
      <c r="BB200" s="270">
        <f t="shared" si="1293"/>
        <v>0</v>
      </c>
      <c r="BC200" s="270">
        <f t="shared" si="1293"/>
        <v>0</v>
      </c>
      <c r="BD200" s="270">
        <f t="shared" si="1293"/>
        <v>0</v>
      </c>
      <c r="BE200" s="270">
        <f t="shared" si="1293"/>
        <v>0</v>
      </c>
      <c r="BF200" s="270">
        <f t="shared" si="1293"/>
        <v>0</v>
      </c>
      <c r="BG200" s="270">
        <f t="shared" si="1293"/>
        <v>0</v>
      </c>
      <c r="BH200" s="270">
        <f t="shared" si="1293"/>
        <v>0</v>
      </c>
      <c r="BI200" s="270">
        <f t="shared" si="1293"/>
        <v>0</v>
      </c>
      <c r="BJ200" s="270">
        <f t="shared" si="1293"/>
        <v>0</v>
      </c>
      <c r="BK200" s="270">
        <f t="shared" si="1293"/>
        <v>0</v>
      </c>
      <c r="BL200" s="265">
        <f t="shared" si="16"/>
        <v>-19.25</v>
      </c>
      <c r="BM200" s="215"/>
      <c r="BN200" s="270">
        <f t="shared" ref="BN200:CP200" si="1294">ROUND(AI199*E$9/12,2)</f>
        <v>0</v>
      </c>
      <c r="BO200" s="270">
        <f t="shared" si="1294"/>
        <v>0</v>
      </c>
      <c r="BP200" s="270">
        <f t="shared" si="1294"/>
        <v>0</v>
      </c>
      <c r="BQ200" s="270">
        <f t="shared" si="1294"/>
        <v>0</v>
      </c>
      <c r="BR200" s="270">
        <f t="shared" si="1294"/>
        <v>0</v>
      </c>
      <c r="BS200" s="270">
        <f t="shared" si="1294"/>
        <v>0</v>
      </c>
      <c r="BT200" s="270">
        <f t="shared" si="1294"/>
        <v>0</v>
      </c>
      <c r="BU200" s="270">
        <f t="shared" si="1294"/>
        <v>0</v>
      </c>
      <c r="BV200" s="270">
        <f t="shared" si="1294"/>
        <v>0</v>
      </c>
      <c r="BW200" s="270">
        <f t="shared" si="1294"/>
        <v>0</v>
      </c>
      <c r="BX200" s="270">
        <f t="shared" si="1294"/>
        <v>0</v>
      </c>
      <c r="BY200" s="270">
        <f t="shared" si="1294"/>
        <v>-0.05</v>
      </c>
      <c r="BZ200" s="270">
        <f t="shared" si="1294"/>
        <v>-0.04</v>
      </c>
      <c r="CA200" s="270">
        <f t="shared" si="1294"/>
        <v>0</v>
      </c>
      <c r="CB200" s="270">
        <f t="shared" si="1294"/>
        <v>0</v>
      </c>
      <c r="CC200" s="270">
        <f t="shared" si="1294"/>
        <v>0</v>
      </c>
      <c r="CD200" s="270">
        <f t="shared" si="1294"/>
        <v>0</v>
      </c>
      <c r="CE200" s="270">
        <f t="shared" si="1294"/>
        <v>0</v>
      </c>
      <c r="CF200" s="270">
        <f t="shared" si="1294"/>
        <v>0</v>
      </c>
      <c r="CG200" s="270">
        <f t="shared" si="1294"/>
        <v>0</v>
      </c>
      <c r="CH200" s="270">
        <f t="shared" si="1294"/>
        <v>0</v>
      </c>
      <c r="CI200" s="270">
        <f t="shared" si="1294"/>
        <v>0</v>
      </c>
      <c r="CJ200" s="270">
        <f t="shared" si="1294"/>
        <v>0</v>
      </c>
      <c r="CK200" s="270">
        <f t="shared" si="1294"/>
        <v>0</v>
      </c>
      <c r="CL200" s="270">
        <f t="shared" si="1294"/>
        <v>0</v>
      </c>
      <c r="CM200" s="270">
        <f t="shared" si="1294"/>
        <v>0</v>
      </c>
      <c r="CN200" s="270">
        <f t="shared" si="1294"/>
        <v>0</v>
      </c>
      <c r="CO200" s="270">
        <f t="shared" si="1294"/>
        <v>0</v>
      </c>
      <c r="CP200" s="270">
        <f t="shared" si="1294"/>
        <v>0</v>
      </c>
      <c r="CQ200" s="215"/>
      <c r="CR200" s="270">
        <f t="shared" si="27"/>
        <v>-0.09</v>
      </c>
      <c r="CS200" s="215"/>
      <c r="CT200" s="270">
        <f t="shared" ref="CT200:DX200" si="1295">IF(AI199&gt;0,IF((AI199+BN200)&lt;E$10,AI199+BN200,E$10),0)</f>
        <v>0</v>
      </c>
      <c r="CU200" s="270">
        <f t="shared" si="1295"/>
        <v>0</v>
      </c>
      <c r="CV200" s="270">
        <f t="shared" si="1295"/>
        <v>0</v>
      </c>
      <c r="CW200" s="270">
        <f t="shared" si="1295"/>
        <v>0</v>
      </c>
      <c r="CX200" s="270">
        <f t="shared" si="1295"/>
        <v>0</v>
      </c>
      <c r="CY200" s="270">
        <f t="shared" si="1295"/>
        <v>0</v>
      </c>
      <c r="CZ200" s="270">
        <f t="shared" si="1295"/>
        <v>0</v>
      </c>
      <c r="DA200" s="270">
        <f t="shared" si="1295"/>
        <v>0</v>
      </c>
      <c r="DB200" s="270">
        <f t="shared" si="1295"/>
        <v>0</v>
      </c>
      <c r="DC200" s="270">
        <f t="shared" si="1295"/>
        <v>0</v>
      </c>
      <c r="DD200" s="270">
        <f t="shared" si="1295"/>
        <v>0</v>
      </c>
      <c r="DE200" s="270">
        <f t="shared" si="1295"/>
        <v>0</v>
      </c>
      <c r="DF200" s="270">
        <f t="shared" si="1295"/>
        <v>0</v>
      </c>
      <c r="DG200" s="270">
        <f t="shared" si="1295"/>
        <v>0</v>
      </c>
      <c r="DH200" s="270">
        <f t="shared" si="1295"/>
        <v>0</v>
      </c>
      <c r="DI200" s="270">
        <f t="shared" si="1295"/>
        <v>0</v>
      </c>
      <c r="DJ200" s="270">
        <f t="shared" si="1295"/>
        <v>0</v>
      </c>
      <c r="DK200" s="270">
        <f t="shared" si="1295"/>
        <v>0</v>
      </c>
      <c r="DL200" s="270">
        <f t="shared" si="1295"/>
        <v>0</v>
      </c>
      <c r="DM200" s="270">
        <f t="shared" si="1295"/>
        <v>0</v>
      </c>
      <c r="DN200" s="270">
        <f t="shared" si="1295"/>
        <v>0</v>
      </c>
      <c r="DO200" s="270">
        <f t="shared" si="1295"/>
        <v>0</v>
      </c>
      <c r="DP200" s="270">
        <f t="shared" si="1295"/>
        <v>0</v>
      </c>
      <c r="DQ200" s="270">
        <f t="shared" si="1295"/>
        <v>0</v>
      </c>
      <c r="DR200" s="270">
        <f t="shared" si="1295"/>
        <v>0</v>
      </c>
      <c r="DS200" s="270">
        <f t="shared" si="1295"/>
        <v>0</v>
      </c>
      <c r="DT200" s="270">
        <f t="shared" si="1295"/>
        <v>0</v>
      </c>
      <c r="DU200" s="270">
        <f t="shared" si="1295"/>
        <v>0</v>
      </c>
      <c r="DV200" s="270">
        <f t="shared" si="1295"/>
        <v>0</v>
      </c>
      <c r="DW200" s="270">
        <f t="shared" si="1295"/>
        <v>0</v>
      </c>
      <c r="DX200" s="270">
        <f t="shared" si="1295"/>
        <v>0</v>
      </c>
      <c r="DY200" s="270">
        <f t="shared" si="29"/>
        <v>0</v>
      </c>
      <c r="DZ200" s="274"/>
      <c r="EA200" s="275">
        <f t="shared" si="38"/>
        <v>0</v>
      </c>
      <c r="EB200" s="270">
        <f t="shared" ref="EB200:FC200" si="1296">IF(AJ198&lt;=0,0,IF($C199&lt;=SUM($EA200:EA200),0,IF(CU199+$C199-SUM($EA200:EA200)&gt;AJ198+BO199,AJ198+BO199-CU199,$C199-SUM($EA200:EA200))))</f>
        <v>0</v>
      </c>
      <c r="EC200" s="270">
        <f t="shared" si="1296"/>
        <v>0</v>
      </c>
      <c r="ED200" s="270">
        <f t="shared" si="1296"/>
        <v>0</v>
      </c>
      <c r="EE200" s="270">
        <f t="shared" si="1296"/>
        <v>0</v>
      </c>
      <c r="EF200" s="270">
        <f t="shared" si="1296"/>
        <v>0</v>
      </c>
      <c r="EG200" s="270">
        <f t="shared" si="1296"/>
        <v>0</v>
      </c>
      <c r="EH200" s="270">
        <f t="shared" si="1296"/>
        <v>0</v>
      </c>
      <c r="EI200" s="270">
        <f t="shared" si="1296"/>
        <v>0</v>
      </c>
      <c r="EJ200" s="270">
        <f t="shared" si="1296"/>
        <v>0</v>
      </c>
      <c r="EK200" s="270">
        <f t="shared" si="1296"/>
        <v>0</v>
      </c>
      <c r="EL200" s="270">
        <f t="shared" si="1296"/>
        <v>0</v>
      </c>
      <c r="EM200" s="270">
        <f t="shared" si="1296"/>
        <v>0</v>
      </c>
      <c r="EN200" s="270">
        <f t="shared" si="1296"/>
        <v>0</v>
      </c>
      <c r="EO200" s="270">
        <f t="shared" si="1296"/>
        <v>0</v>
      </c>
      <c r="EP200" s="270">
        <f t="shared" si="1296"/>
        <v>0</v>
      </c>
      <c r="EQ200" s="270">
        <f t="shared" si="1296"/>
        <v>0</v>
      </c>
      <c r="ER200" s="270">
        <f t="shared" si="1296"/>
        <v>0</v>
      </c>
      <c r="ES200" s="270">
        <f t="shared" si="1296"/>
        <v>0</v>
      </c>
      <c r="ET200" s="270">
        <f t="shared" si="1296"/>
        <v>0</v>
      </c>
      <c r="EU200" s="270">
        <f t="shared" si="1296"/>
        <v>0</v>
      </c>
      <c r="EV200" s="270">
        <f t="shared" si="1296"/>
        <v>0</v>
      </c>
      <c r="EW200" s="270">
        <f t="shared" si="1296"/>
        <v>0</v>
      </c>
      <c r="EX200" s="270">
        <f t="shared" si="1296"/>
        <v>0</v>
      </c>
      <c r="EY200" s="270">
        <f t="shared" si="1296"/>
        <v>0</v>
      </c>
      <c r="EZ200" s="270">
        <f t="shared" si="1296"/>
        <v>0</v>
      </c>
      <c r="FA200" s="270">
        <f t="shared" si="1296"/>
        <v>0</v>
      </c>
      <c r="FB200" s="270">
        <f t="shared" si="1296"/>
        <v>0</v>
      </c>
      <c r="FC200" s="270">
        <f t="shared" si="1296"/>
        <v>0</v>
      </c>
      <c r="FD200" s="271"/>
      <c r="FE200" s="271"/>
      <c r="FF200" s="271"/>
      <c r="FG200" s="215"/>
      <c r="FH200" s="215"/>
    </row>
    <row r="201" ht="11.25" customHeight="1">
      <c r="A201" s="215" t="str">
        <f t="shared" si="19"/>
        <v/>
      </c>
      <c r="B201" s="241" t="str">
        <f t="shared" si="600"/>
        <v>#N/A</v>
      </c>
      <c r="C201" s="271" t="str">
        <f>IF(A201="","",IF(Calculator!snowball,IF(($E$5-DY201)&lt;0,0,$E$5-DY201),0)+D201)</f>
        <v/>
      </c>
      <c r="D201" s="271"/>
      <c r="E201" s="270">
        <f t="shared" si="40"/>
        <v>0</v>
      </c>
      <c r="F201" s="270">
        <f t="shared" ref="F201:AG201" si="1297">CU201+EB202</f>
        <v>0</v>
      </c>
      <c r="G201" s="270">
        <f t="shared" si="1297"/>
        <v>0</v>
      </c>
      <c r="H201" s="270">
        <f t="shared" si="1297"/>
        <v>0</v>
      </c>
      <c r="I201" s="270">
        <f t="shared" si="1297"/>
        <v>0</v>
      </c>
      <c r="J201" s="270">
        <f t="shared" si="1297"/>
        <v>0</v>
      </c>
      <c r="K201" s="270">
        <f t="shared" si="1297"/>
        <v>0</v>
      </c>
      <c r="L201" s="270">
        <f t="shared" si="1297"/>
        <v>0</v>
      </c>
      <c r="M201" s="270">
        <f t="shared" si="1297"/>
        <v>0</v>
      </c>
      <c r="N201" s="270">
        <f t="shared" si="1297"/>
        <v>0</v>
      </c>
      <c r="O201" s="270">
        <f t="shared" si="1297"/>
        <v>0</v>
      </c>
      <c r="P201" s="272">
        <f t="shared" si="1297"/>
        <v>0</v>
      </c>
      <c r="Q201" s="272">
        <f t="shared" si="1297"/>
        <v>0</v>
      </c>
      <c r="R201" s="272">
        <f t="shared" si="1297"/>
        <v>0</v>
      </c>
      <c r="S201" s="272">
        <f t="shared" si="1297"/>
        <v>0</v>
      </c>
      <c r="T201" s="272">
        <f t="shared" si="1297"/>
        <v>0</v>
      </c>
      <c r="U201" s="270">
        <f t="shared" si="1297"/>
        <v>0</v>
      </c>
      <c r="V201" s="270">
        <f t="shared" si="1297"/>
        <v>0</v>
      </c>
      <c r="W201" s="270">
        <f t="shared" si="1297"/>
        <v>0</v>
      </c>
      <c r="X201" s="270">
        <f t="shared" si="1297"/>
        <v>0</v>
      </c>
      <c r="Y201" s="270">
        <f t="shared" si="1297"/>
        <v>0</v>
      </c>
      <c r="Z201" s="270">
        <f t="shared" si="1297"/>
        <v>0</v>
      </c>
      <c r="AA201" s="270">
        <f t="shared" si="1297"/>
        <v>0</v>
      </c>
      <c r="AB201" s="270">
        <f t="shared" si="1297"/>
        <v>0</v>
      </c>
      <c r="AC201" s="270">
        <f t="shared" si="1297"/>
        <v>0</v>
      </c>
      <c r="AD201" s="270">
        <f t="shared" si="1297"/>
        <v>0</v>
      </c>
      <c r="AE201" s="270">
        <f t="shared" si="1297"/>
        <v>0</v>
      </c>
      <c r="AF201" s="270">
        <f t="shared" si="1297"/>
        <v>0</v>
      </c>
      <c r="AG201" s="270">
        <f t="shared" si="1297"/>
        <v>0</v>
      </c>
      <c r="AH201" s="279">
        <f t="shared" si="602"/>
        <v>0</v>
      </c>
      <c r="AI201" s="270">
        <f t="shared" si="43"/>
        <v>0</v>
      </c>
      <c r="AJ201" s="270">
        <f t="shared" ref="AJ201:AO201" si="1298">IF(F$8=0,0,ROUND(AJ200-(F201-BO201),2))</f>
        <v>0</v>
      </c>
      <c r="AK201" s="270">
        <f t="shared" si="1298"/>
        <v>0</v>
      </c>
      <c r="AL201" s="270">
        <f t="shared" si="1298"/>
        <v>0</v>
      </c>
      <c r="AM201" s="270">
        <f t="shared" si="1298"/>
        <v>0</v>
      </c>
      <c r="AN201" s="270">
        <f t="shared" si="1298"/>
        <v>0</v>
      </c>
      <c r="AO201" s="270">
        <f t="shared" si="1298"/>
        <v>0</v>
      </c>
      <c r="AP201" s="270">
        <v>0.0</v>
      </c>
      <c r="AQ201" s="270">
        <f t="shared" ref="AQ201:AS201" si="1299">IF(M$8=0,0,ROUND(AQ200-(M201-BV201),2))</f>
        <v>0</v>
      </c>
      <c r="AR201" s="270">
        <f t="shared" si="1299"/>
        <v>0</v>
      </c>
      <c r="AS201" s="270">
        <f t="shared" si="1299"/>
        <v>0</v>
      </c>
      <c r="AT201" s="270">
        <f t="shared" si="605"/>
        <v>-6.22</v>
      </c>
      <c r="AU201" s="270">
        <f t="shared" ref="AU201:BK201" si="1300">IF(Q$8=0,0,ROUND(AU200-(Q201-BY201),2))</f>
        <v>-13.08</v>
      </c>
      <c r="AV201" s="270">
        <f t="shared" si="1300"/>
        <v>0</v>
      </c>
      <c r="AW201" s="270">
        <f t="shared" si="1300"/>
        <v>0</v>
      </c>
      <c r="AX201" s="270">
        <f t="shared" si="1300"/>
        <v>0</v>
      </c>
      <c r="AY201" s="270">
        <f t="shared" si="1300"/>
        <v>0</v>
      </c>
      <c r="AZ201" s="270">
        <f t="shared" si="1300"/>
        <v>0</v>
      </c>
      <c r="BA201" s="270">
        <f t="shared" si="1300"/>
        <v>0</v>
      </c>
      <c r="BB201" s="270">
        <f t="shared" si="1300"/>
        <v>0</v>
      </c>
      <c r="BC201" s="270">
        <f t="shared" si="1300"/>
        <v>0</v>
      </c>
      <c r="BD201" s="270">
        <f t="shared" si="1300"/>
        <v>0</v>
      </c>
      <c r="BE201" s="270">
        <f t="shared" si="1300"/>
        <v>0</v>
      </c>
      <c r="BF201" s="270">
        <f t="shared" si="1300"/>
        <v>0</v>
      </c>
      <c r="BG201" s="270">
        <f t="shared" si="1300"/>
        <v>0</v>
      </c>
      <c r="BH201" s="270">
        <f t="shared" si="1300"/>
        <v>0</v>
      </c>
      <c r="BI201" s="270">
        <f t="shared" si="1300"/>
        <v>0</v>
      </c>
      <c r="BJ201" s="270">
        <f t="shared" si="1300"/>
        <v>0</v>
      </c>
      <c r="BK201" s="270">
        <f t="shared" si="1300"/>
        <v>0</v>
      </c>
      <c r="BL201" s="265">
        <f t="shared" si="16"/>
        <v>-19.3</v>
      </c>
      <c r="BM201" s="215"/>
      <c r="BN201" s="270">
        <f t="shared" ref="BN201:CP201" si="1301">ROUND(AI200*E$9/12,2)</f>
        <v>0</v>
      </c>
      <c r="BO201" s="270">
        <f t="shared" si="1301"/>
        <v>0</v>
      </c>
      <c r="BP201" s="270">
        <f t="shared" si="1301"/>
        <v>0</v>
      </c>
      <c r="BQ201" s="270">
        <f t="shared" si="1301"/>
        <v>0</v>
      </c>
      <c r="BR201" s="270">
        <f t="shared" si="1301"/>
        <v>0</v>
      </c>
      <c r="BS201" s="270">
        <f t="shared" si="1301"/>
        <v>0</v>
      </c>
      <c r="BT201" s="270">
        <f t="shared" si="1301"/>
        <v>0</v>
      </c>
      <c r="BU201" s="270">
        <f t="shared" si="1301"/>
        <v>0</v>
      </c>
      <c r="BV201" s="270">
        <f t="shared" si="1301"/>
        <v>0</v>
      </c>
      <c r="BW201" s="270">
        <f t="shared" si="1301"/>
        <v>0</v>
      </c>
      <c r="BX201" s="270">
        <f t="shared" si="1301"/>
        <v>0</v>
      </c>
      <c r="BY201" s="270">
        <f t="shared" si="1301"/>
        <v>-0.05</v>
      </c>
      <c r="BZ201" s="270">
        <f t="shared" si="1301"/>
        <v>-0.04</v>
      </c>
      <c r="CA201" s="270">
        <f t="shared" si="1301"/>
        <v>0</v>
      </c>
      <c r="CB201" s="270">
        <f t="shared" si="1301"/>
        <v>0</v>
      </c>
      <c r="CC201" s="270">
        <f t="shared" si="1301"/>
        <v>0</v>
      </c>
      <c r="CD201" s="270">
        <f t="shared" si="1301"/>
        <v>0</v>
      </c>
      <c r="CE201" s="270">
        <f t="shared" si="1301"/>
        <v>0</v>
      </c>
      <c r="CF201" s="270">
        <f t="shared" si="1301"/>
        <v>0</v>
      </c>
      <c r="CG201" s="270">
        <f t="shared" si="1301"/>
        <v>0</v>
      </c>
      <c r="CH201" s="270">
        <f t="shared" si="1301"/>
        <v>0</v>
      </c>
      <c r="CI201" s="270">
        <f t="shared" si="1301"/>
        <v>0</v>
      </c>
      <c r="CJ201" s="270">
        <f t="shared" si="1301"/>
        <v>0</v>
      </c>
      <c r="CK201" s="270">
        <f t="shared" si="1301"/>
        <v>0</v>
      </c>
      <c r="CL201" s="270">
        <f t="shared" si="1301"/>
        <v>0</v>
      </c>
      <c r="CM201" s="270">
        <f t="shared" si="1301"/>
        <v>0</v>
      </c>
      <c r="CN201" s="270">
        <f t="shared" si="1301"/>
        <v>0</v>
      </c>
      <c r="CO201" s="270">
        <f t="shared" si="1301"/>
        <v>0</v>
      </c>
      <c r="CP201" s="270">
        <f t="shared" si="1301"/>
        <v>0</v>
      </c>
      <c r="CQ201" s="215"/>
      <c r="CR201" s="270">
        <f t="shared" si="27"/>
        <v>-0.09</v>
      </c>
      <c r="CS201" s="215"/>
      <c r="CT201" s="270">
        <f t="shared" ref="CT201:DX201" si="1302">IF(AI200&gt;0,IF((AI200+BN201)&lt;E$10,AI200+BN201,E$10),0)</f>
        <v>0</v>
      </c>
      <c r="CU201" s="270">
        <f t="shared" si="1302"/>
        <v>0</v>
      </c>
      <c r="CV201" s="270">
        <f t="shared" si="1302"/>
        <v>0</v>
      </c>
      <c r="CW201" s="270">
        <f t="shared" si="1302"/>
        <v>0</v>
      </c>
      <c r="CX201" s="270">
        <f t="shared" si="1302"/>
        <v>0</v>
      </c>
      <c r="CY201" s="270">
        <f t="shared" si="1302"/>
        <v>0</v>
      </c>
      <c r="CZ201" s="270">
        <f t="shared" si="1302"/>
        <v>0</v>
      </c>
      <c r="DA201" s="270">
        <f t="shared" si="1302"/>
        <v>0</v>
      </c>
      <c r="DB201" s="270">
        <f t="shared" si="1302"/>
        <v>0</v>
      </c>
      <c r="DC201" s="270">
        <f t="shared" si="1302"/>
        <v>0</v>
      </c>
      <c r="DD201" s="270">
        <f t="shared" si="1302"/>
        <v>0</v>
      </c>
      <c r="DE201" s="270">
        <f t="shared" si="1302"/>
        <v>0</v>
      </c>
      <c r="DF201" s="270">
        <f t="shared" si="1302"/>
        <v>0</v>
      </c>
      <c r="DG201" s="270">
        <f t="shared" si="1302"/>
        <v>0</v>
      </c>
      <c r="DH201" s="270">
        <f t="shared" si="1302"/>
        <v>0</v>
      </c>
      <c r="DI201" s="270">
        <f t="shared" si="1302"/>
        <v>0</v>
      </c>
      <c r="DJ201" s="270">
        <f t="shared" si="1302"/>
        <v>0</v>
      </c>
      <c r="DK201" s="270">
        <f t="shared" si="1302"/>
        <v>0</v>
      </c>
      <c r="DL201" s="270">
        <f t="shared" si="1302"/>
        <v>0</v>
      </c>
      <c r="DM201" s="270">
        <f t="shared" si="1302"/>
        <v>0</v>
      </c>
      <c r="DN201" s="270">
        <f t="shared" si="1302"/>
        <v>0</v>
      </c>
      <c r="DO201" s="270">
        <f t="shared" si="1302"/>
        <v>0</v>
      </c>
      <c r="DP201" s="270">
        <f t="shared" si="1302"/>
        <v>0</v>
      </c>
      <c r="DQ201" s="270">
        <f t="shared" si="1302"/>
        <v>0</v>
      </c>
      <c r="DR201" s="270">
        <f t="shared" si="1302"/>
        <v>0</v>
      </c>
      <c r="DS201" s="270">
        <f t="shared" si="1302"/>
        <v>0</v>
      </c>
      <c r="DT201" s="270">
        <f t="shared" si="1302"/>
        <v>0</v>
      </c>
      <c r="DU201" s="270">
        <f t="shared" si="1302"/>
        <v>0</v>
      </c>
      <c r="DV201" s="270">
        <f t="shared" si="1302"/>
        <v>0</v>
      </c>
      <c r="DW201" s="270">
        <f t="shared" si="1302"/>
        <v>0</v>
      </c>
      <c r="DX201" s="270">
        <f t="shared" si="1302"/>
        <v>0</v>
      </c>
      <c r="DY201" s="270">
        <f t="shared" si="29"/>
        <v>0</v>
      </c>
      <c r="DZ201" s="274"/>
      <c r="EA201" s="275">
        <f t="shared" si="38"/>
        <v>0</v>
      </c>
      <c r="EB201" s="270">
        <f t="shared" ref="EB201:FC201" si="1303">IF(AJ199&lt;=0,0,IF($C200&lt;=SUM($EA201:EA201),0,IF(CU200+$C200-SUM($EA201:EA201)&gt;AJ199+BO200,AJ199+BO200-CU200,$C200-SUM($EA201:EA201))))</f>
        <v>0</v>
      </c>
      <c r="EC201" s="270">
        <f t="shared" si="1303"/>
        <v>0</v>
      </c>
      <c r="ED201" s="270">
        <f t="shared" si="1303"/>
        <v>0</v>
      </c>
      <c r="EE201" s="270">
        <f t="shared" si="1303"/>
        <v>0</v>
      </c>
      <c r="EF201" s="270">
        <f t="shared" si="1303"/>
        <v>0</v>
      </c>
      <c r="EG201" s="270">
        <f t="shared" si="1303"/>
        <v>0</v>
      </c>
      <c r="EH201" s="270">
        <f t="shared" si="1303"/>
        <v>0</v>
      </c>
      <c r="EI201" s="270">
        <f t="shared" si="1303"/>
        <v>0</v>
      </c>
      <c r="EJ201" s="270">
        <f t="shared" si="1303"/>
        <v>0</v>
      </c>
      <c r="EK201" s="270">
        <f t="shared" si="1303"/>
        <v>0</v>
      </c>
      <c r="EL201" s="270">
        <f t="shared" si="1303"/>
        <v>0</v>
      </c>
      <c r="EM201" s="270">
        <f t="shared" si="1303"/>
        <v>0</v>
      </c>
      <c r="EN201" s="270">
        <f t="shared" si="1303"/>
        <v>0</v>
      </c>
      <c r="EO201" s="270">
        <f t="shared" si="1303"/>
        <v>0</v>
      </c>
      <c r="EP201" s="270">
        <f t="shared" si="1303"/>
        <v>0</v>
      </c>
      <c r="EQ201" s="270">
        <f t="shared" si="1303"/>
        <v>0</v>
      </c>
      <c r="ER201" s="270">
        <f t="shared" si="1303"/>
        <v>0</v>
      </c>
      <c r="ES201" s="270">
        <f t="shared" si="1303"/>
        <v>0</v>
      </c>
      <c r="ET201" s="270">
        <f t="shared" si="1303"/>
        <v>0</v>
      </c>
      <c r="EU201" s="270">
        <f t="shared" si="1303"/>
        <v>0</v>
      </c>
      <c r="EV201" s="270">
        <f t="shared" si="1303"/>
        <v>0</v>
      </c>
      <c r="EW201" s="270">
        <f t="shared" si="1303"/>
        <v>0</v>
      </c>
      <c r="EX201" s="270">
        <f t="shared" si="1303"/>
        <v>0</v>
      </c>
      <c r="EY201" s="270">
        <f t="shared" si="1303"/>
        <v>0</v>
      </c>
      <c r="EZ201" s="270">
        <f t="shared" si="1303"/>
        <v>0</v>
      </c>
      <c r="FA201" s="270">
        <f t="shared" si="1303"/>
        <v>0</v>
      </c>
      <c r="FB201" s="270">
        <f t="shared" si="1303"/>
        <v>0</v>
      </c>
      <c r="FC201" s="270">
        <f t="shared" si="1303"/>
        <v>0</v>
      </c>
      <c r="FD201" s="271"/>
      <c r="FE201" s="271"/>
      <c r="FF201" s="271"/>
      <c r="FG201" s="215"/>
      <c r="FH201" s="215"/>
    </row>
    <row r="202" ht="11.25" customHeight="1">
      <c r="A202" s="215" t="str">
        <f t="shared" si="19"/>
        <v/>
      </c>
      <c r="B202" s="241" t="str">
        <f t="shared" si="600"/>
        <v>#N/A</v>
      </c>
      <c r="C202" s="271" t="str">
        <f>IF(A202="","",IF(Calculator!snowball,IF(($E$5-DY202)&lt;0,0,$E$5-DY202),0)+D202)</f>
        <v/>
      </c>
      <c r="D202" s="271"/>
      <c r="E202" s="270">
        <f t="shared" si="40"/>
        <v>0</v>
      </c>
      <c r="F202" s="270">
        <f t="shared" ref="F202:AG202" si="1304">CU202+EB203</f>
        <v>0</v>
      </c>
      <c r="G202" s="270">
        <f t="shared" si="1304"/>
        <v>0</v>
      </c>
      <c r="H202" s="270">
        <f t="shared" si="1304"/>
        <v>0</v>
      </c>
      <c r="I202" s="270">
        <f t="shared" si="1304"/>
        <v>0</v>
      </c>
      <c r="J202" s="270">
        <f t="shared" si="1304"/>
        <v>0</v>
      </c>
      <c r="K202" s="270">
        <f t="shared" si="1304"/>
        <v>0</v>
      </c>
      <c r="L202" s="270">
        <f t="shared" si="1304"/>
        <v>0</v>
      </c>
      <c r="M202" s="270">
        <f t="shared" si="1304"/>
        <v>0</v>
      </c>
      <c r="N202" s="270">
        <f t="shared" si="1304"/>
        <v>0</v>
      </c>
      <c r="O202" s="270">
        <f t="shared" si="1304"/>
        <v>0</v>
      </c>
      <c r="P202" s="272">
        <f t="shared" si="1304"/>
        <v>0</v>
      </c>
      <c r="Q202" s="272">
        <f t="shared" si="1304"/>
        <v>0</v>
      </c>
      <c r="R202" s="272">
        <f t="shared" si="1304"/>
        <v>0</v>
      </c>
      <c r="S202" s="272">
        <f t="shared" si="1304"/>
        <v>0</v>
      </c>
      <c r="T202" s="272">
        <f t="shared" si="1304"/>
        <v>0</v>
      </c>
      <c r="U202" s="270">
        <f t="shared" si="1304"/>
        <v>0</v>
      </c>
      <c r="V202" s="270">
        <f t="shared" si="1304"/>
        <v>0</v>
      </c>
      <c r="W202" s="270">
        <f t="shared" si="1304"/>
        <v>0</v>
      </c>
      <c r="X202" s="270">
        <f t="shared" si="1304"/>
        <v>0</v>
      </c>
      <c r="Y202" s="270">
        <f t="shared" si="1304"/>
        <v>0</v>
      </c>
      <c r="Z202" s="270">
        <f t="shared" si="1304"/>
        <v>0</v>
      </c>
      <c r="AA202" s="270">
        <f t="shared" si="1304"/>
        <v>0</v>
      </c>
      <c r="AB202" s="270">
        <f t="shared" si="1304"/>
        <v>0</v>
      </c>
      <c r="AC202" s="270">
        <f t="shared" si="1304"/>
        <v>0</v>
      </c>
      <c r="AD202" s="270">
        <f t="shared" si="1304"/>
        <v>0</v>
      </c>
      <c r="AE202" s="270">
        <f t="shared" si="1304"/>
        <v>0</v>
      </c>
      <c r="AF202" s="270">
        <f t="shared" si="1304"/>
        <v>0</v>
      </c>
      <c r="AG202" s="270">
        <f t="shared" si="1304"/>
        <v>0</v>
      </c>
      <c r="AH202" s="279">
        <f t="shared" si="602"/>
        <v>0</v>
      </c>
      <c r="AI202" s="270">
        <f t="shared" si="43"/>
        <v>0</v>
      </c>
      <c r="AJ202" s="270">
        <f t="shared" ref="AJ202:AO202" si="1305">IF(F$8=0,0,ROUND(AJ201-(F202-BO202),2))</f>
        <v>0</v>
      </c>
      <c r="AK202" s="270">
        <f t="shared" si="1305"/>
        <v>0</v>
      </c>
      <c r="AL202" s="270">
        <f t="shared" si="1305"/>
        <v>0</v>
      </c>
      <c r="AM202" s="270">
        <f t="shared" si="1305"/>
        <v>0</v>
      </c>
      <c r="AN202" s="270">
        <f t="shared" si="1305"/>
        <v>0</v>
      </c>
      <c r="AO202" s="270">
        <f t="shared" si="1305"/>
        <v>0</v>
      </c>
      <c r="AP202" s="270">
        <v>0.0</v>
      </c>
      <c r="AQ202" s="270">
        <f t="shared" ref="AQ202:AS202" si="1306">IF(M$8=0,0,ROUND(AQ201-(M202-BV202),2))</f>
        <v>0</v>
      </c>
      <c r="AR202" s="270">
        <f t="shared" si="1306"/>
        <v>0</v>
      </c>
      <c r="AS202" s="270">
        <f t="shared" si="1306"/>
        <v>0</v>
      </c>
      <c r="AT202" s="270">
        <f t="shared" si="605"/>
        <v>-6.22</v>
      </c>
      <c r="AU202" s="270">
        <f t="shared" ref="AU202:BK202" si="1307">IF(Q$8=0,0,ROUND(AU201-(Q202-BY202),2))</f>
        <v>-13.13</v>
      </c>
      <c r="AV202" s="270">
        <f t="shared" si="1307"/>
        <v>0</v>
      </c>
      <c r="AW202" s="270">
        <f t="shared" si="1307"/>
        <v>0</v>
      </c>
      <c r="AX202" s="270">
        <f t="shared" si="1307"/>
        <v>0</v>
      </c>
      <c r="AY202" s="270">
        <f t="shared" si="1307"/>
        <v>0</v>
      </c>
      <c r="AZ202" s="270">
        <f t="shared" si="1307"/>
        <v>0</v>
      </c>
      <c r="BA202" s="270">
        <f t="shared" si="1307"/>
        <v>0</v>
      </c>
      <c r="BB202" s="270">
        <f t="shared" si="1307"/>
        <v>0</v>
      </c>
      <c r="BC202" s="270">
        <f t="shared" si="1307"/>
        <v>0</v>
      </c>
      <c r="BD202" s="270">
        <f t="shared" si="1307"/>
        <v>0</v>
      </c>
      <c r="BE202" s="270">
        <f t="shared" si="1307"/>
        <v>0</v>
      </c>
      <c r="BF202" s="270">
        <f t="shared" si="1307"/>
        <v>0</v>
      </c>
      <c r="BG202" s="270">
        <f t="shared" si="1307"/>
        <v>0</v>
      </c>
      <c r="BH202" s="270">
        <f t="shared" si="1307"/>
        <v>0</v>
      </c>
      <c r="BI202" s="270">
        <f t="shared" si="1307"/>
        <v>0</v>
      </c>
      <c r="BJ202" s="270">
        <f t="shared" si="1307"/>
        <v>0</v>
      </c>
      <c r="BK202" s="270">
        <f t="shared" si="1307"/>
        <v>0</v>
      </c>
      <c r="BL202" s="265">
        <f t="shared" si="16"/>
        <v>-19.35</v>
      </c>
      <c r="BM202" s="215"/>
      <c r="BN202" s="270">
        <f t="shared" ref="BN202:CP202" si="1308">ROUND(AI201*E$9/12,2)</f>
        <v>0</v>
      </c>
      <c r="BO202" s="270">
        <f t="shared" si="1308"/>
        <v>0</v>
      </c>
      <c r="BP202" s="270">
        <f t="shared" si="1308"/>
        <v>0</v>
      </c>
      <c r="BQ202" s="270">
        <f t="shared" si="1308"/>
        <v>0</v>
      </c>
      <c r="BR202" s="270">
        <f t="shared" si="1308"/>
        <v>0</v>
      </c>
      <c r="BS202" s="270">
        <f t="shared" si="1308"/>
        <v>0</v>
      </c>
      <c r="BT202" s="270">
        <f t="shared" si="1308"/>
        <v>0</v>
      </c>
      <c r="BU202" s="270">
        <f t="shared" si="1308"/>
        <v>0</v>
      </c>
      <c r="BV202" s="270">
        <f t="shared" si="1308"/>
        <v>0</v>
      </c>
      <c r="BW202" s="270">
        <f t="shared" si="1308"/>
        <v>0</v>
      </c>
      <c r="BX202" s="270">
        <f t="shared" si="1308"/>
        <v>0</v>
      </c>
      <c r="BY202" s="270">
        <f t="shared" si="1308"/>
        <v>-0.05</v>
      </c>
      <c r="BZ202" s="270">
        <f t="shared" si="1308"/>
        <v>-0.04</v>
      </c>
      <c r="CA202" s="270">
        <f t="shared" si="1308"/>
        <v>0</v>
      </c>
      <c r="CB202" s="270">
        <f t="shared" si="1308"/>
        <v>0</v>
      </c>
      <c r="CC202" s="270">
        <f t="shared" si="1308"/>
        <v>0</v>
      </c>
      <c r="CD202" s="270">
        <f t="shared" si="1308"/>
        <v>0</v>
      </c>
      <c r="CE202" s="270">
        <f t="shared" si="1308"/>
        <v>0</v>
      </c>
      <c r="CF202" s="270">
        <f t="shared" si="1308"/>
        <v>0</v>
      </c>
      <c r="CG202" s="270">
        <f t="shared" si="1308"/>
        <v>0</v>
      </c>
      <c r="CH202" s="270">
        <f t="shared" si="1308"/>
        <v>0</v>
      </c>
      <c r="CI202" s="270">
        <f t="shared" si="1308"/>
        <v>0</v>
      </c>
      <c r="CJ202" s="270">
        <f t="shared" si="1308"/>
        <v>0</v>
      </c>
      <c r="CK202" s="270">
        <f t="shared" si="1308"/>
        <v>0</v>
      </c>
      <c r="CL202" s="270">
        <f t="shared" si="1308"/>
        <v>0</v>
      </c>
      <c r="CM202" s="270">
        <f t="shared" si="1308"/>
        <v>0</v>
      </c>
      <c r="CN202" s="270">
        <f t="shared" si="1308"/>
        <v>0</v>
      </c>
      <c r="CO202" s="270">
        <f t="shared" si="1308"/>
        <v>0</v>
      </c>
      <c r="CP202" s="270">
        <f t="shared" si="1308"/>
        <v>0</v>
      </c>
      <c r="CQ202" s="215"/>
      <c r="CR202" s="270">
        <f t="shared" si="27"/>
        <v>-0.09</v>
      </c>
      <c r="CS202" s="215"/>
      <c r="CT202" s="270">
        <f t="shared" ref="CT202:DX202" si="1309">IF(AI201&gt;0,IF((AI201+BN202)&lt;E$10,AI201+BN202,E$10),0)</f>
        <v>0</v>
      </c>
      <c r="CU202" s="270">
        <f t="shared" si="1309"/>
        <v>0</v>
      </c>
      <c r="CV202" s="270">
        <f t="shared" si="1309"/>
        <v>0</v>
      </c>
      <c r="CW202" s="270">
        <f t="shared" si="1309"/>
        <v>0</v>
      </c>
      <c r="CX202" s="270">
        <f t="shared" si="1309"/>
        <v>0</v>
      </c>
      <c r="CY202" s="270">
        <f t="shared" si="1309"/>
        <v>0</v>
      </c>
      <c r="CZ202" s="270">
        <f t="shared" si="1309"/>
        <v>0</v>
      </c>
      <c r="DA202" s="270">
        <f t="shared" si="1309"/>
        <v>0</v>
      </c>
      <c r="DB202" s="270">
        <f t="shared" si="1309"/>
        <v>0</v>
      </c>
      <c r="DC202" s="270">
        <f t="shared" si="1309"/>
        <v>0</v>
      </c>
      <c r="DD202" s="270">
        <f t="shared" si="1309"/>
        <v>0</v>
      </c>
      <c r="DE202" s="270">
        <f t="shared" si="1309"/>
        <v>0</v>
      </c>
      <c r="DF202" s="270">
        <f t="shared" si="1309"/>
        <v>0</v>
      </c>
      <c r="DG202" s="270">
        <f t="shared" si="1309"/>
        <v>0</v>
      </c>
      <c r="DH202" s="270">
        <f t="shared" si="1309"/>
        <v>0</v>
      </c>
      <c r="DI202" s="270">
        <f t="shared" si="1309"/>
        <v>0</v>
      </c>
      <c r="DJ202" s="270">
        <f t="shared" si="1309"/>
        <v>0</v>
      </c>
      <c r="DK202" s="270">
        <f t="shared" si="1309"/>
        <v>0</v>
      </c>
      <c r="DL202" s="270">
        <f t="shared" si="1309"/>
        <v>0</v>
      </c>
      <c r="DM202" s="270">
        <f t="shared" si="1309"/>
        <v>0</v>
      </c>
      <c r="DN202" s="270">
        <f t="shared" si="1309"/>
        <v>0</v>
      </c>
      <c r="DO202" s="270">
        <f t="shared" si="1309"/>
        <v>0</v>
      </c>
      <c r="DP202" s="270">
        <f t="shared" si="1309"/>
        <v>0</v>
      </c>
      <c r="DQ202" s="270">
        <f t="shared" si="1309"/>
        <v>0</v>
      </c>
      <c r="DR202" s="270">
        <f t="shared" si="1309"/>
        <v>0</v>
      </c>
      <c r="DS202" s="270">
        <f t="shared" si="1309"/>
        <v>0</v>
      </c>
      <c r="DT202" s="270">
        <f t="shared" si="1309"/>
        <v>0</v>
      </c>
      <c r="DU202" s="270">
        <f t="shared" si="1309"/>
        <v>0</v>
      </c>
      <c r="DV202" s="270">
        <f t="shared" si="1309"/>
        <v>0</v>
      </c>
      <c r="DW202" s="270">
        <f t="shared" si="1309"/>
        <v>0</v>
      </c>
      <c r="DX202" s="270">
        <f t="shared" si="1309"/>
        <v>0</v>
      </c>
      <c r="DY202" s="270">
        <f t="shared" si="29"/>
        <v>0</v>
      </c>
      <c r="DZ202" s="274"/>
      <c r="EA202" s="275">
        <f t="shared" si="38"/>
        <v>0</v>
      </c>
      <c r="EB202" s="270">
        <f t="shared" ref="EB202:FC202" si="1310">IF(AJ200&lt;=0,0,IF($C201&lt;=SUM($EA202:EA202),0,IF(CU201+$C201-SUM($EA202:EA202)&gt;AJ200+BO201,AJ200+BO201-CU201,$C201-SUM($EA202:EA202))))</f>
        <v>0</v>
      </c>
      <c r="EC202" s="270">
        <f t="shared" si="1310"/>
        <v>0</v>
      </c>
      <c r="ED202" s="270">
        <f t="shared" si="1310"/>
        <v>0</v>
      </c>
      <c r="EE202" s="270">
        <f t="shared" si="1310"/>
        <v>0</v>
      </c>
      <c r="EF202" s="270">
        <f t="shared" si="1310"/>
        <v>0</v>
      </c>
      <c r="EG202" s="270">
        <f t="shared" si="1310"/>
        <v>0</v>
      </c>
      <c r="EH202" s="270">
        <f t="shared" si="1310"/>
        <v>0</v>
      </c>
      <c r="EI202" s="270">
        <f t="shared" si="1310"/>
        <v>0</v>
      </c>
      <c r="EJ202" s="270">
        <f t="shared" si="1310"/>
        <v>0</v>
      </c>
      <c r="EK202" s="270">
        <f t="shared" si="1310"/>
        <v>0</v>
      </c>
      <c r="EL202" s="270">
        <f t="shared" si="1310"/>
        <v>0</v>
      </c>
      <c r="EM202" s="270">
        <f t="shared" si="1310"/>
        <v>0</v>
      </c>
      <c r="EN202" s="270">
        <f t="shared" si="1310"/>
        <v>0</v>
      </c>
      <c r="EO202" s="270">
        <f t="shared" si="1310"/>
        <v>0</v>
      </c>
      <c r="EP202" s="270">
        <f t="shared" si="1310"/>
        <v>0</v>
      </c>
      <c r="EQ202" s="270">
        <f t="shared" si="1310"/>
        <v>0</v>
      </c>
      <c r="ER202" s="270">
        <f t="shared" si="1310"/>
        <v>0</v>
      </c>
      <c r="ES202" s="270">
        <f t="shared" si="1310"/>
        <v>0</v>
      </c>
      <c r="ET202" s="270">
        <f t="shared" si="1310"/>
        <v>0</v>
      </c>
      <c r="EU202" s="270">
        <f t="shared" si="1310"/>
        <v>0</v>
      </c>
      <c r="EV202" s="270">
        <f t="shared" si="1310"/>
        <v>0</v>
      </c>
      <c r="EW202" s="270">
        <f t="shared" si="1310"/>
        <v>0</v>
      </c>
      <c r="EX202" s="270">
        <f t="shared" si="1310"/>
        <v>0</v>
      </c>
      <c r="EY202" s="270">
        <f t="shared" si="1310"/>
        <v>0</v>
      </c>
      <c r="EZ202" s="270">
        <f t="shared" si="1310"/>
        <v>0</v>
      </c>
      <c r="FA202" s="270">
        <f t="shared" si="1310"/>
        <v>0</v>
      </c>
      <c r="FB202" s="270">
        <f t="shared" si="1310"/>
        <v>0</v>
      </c>
      <c r="FC202" s="270">
        <f t="shared" si="1310"/>
        <v>0</v>
      </c>
      <c r="FD202" s="271"/>
      <c r="FE202" s="271"/>
      <c r="FF202" s="271"/>
      <c r="FG202" s="215"/>
      <c r="FH202" s="215"/>
    </row>
    <row r="203" ht="11.25" customHeight="1">
      <c r="A203" s="215" t="str">
        <f t="shared" si="19"/>
        <v/>
      </c>
      <c r="B203" s="241" t="str">
        <f t="shared" si="600"/>
        <v>#N/A</v>
      </c>
      <c r="C203" s="271" t="str">
        <f>IF(A203="","",IF(Calculator!snowball,IF(($E$5-DY203)&lt;0,0,$E$5-DY203),0)+D203)</f>
        <v/>
      </c>
      <c r="D203" s="271"/>
      <c r="E203" s="270">
        <f t="shared" si="40"/>
        <v>0</v>
      </c>
      <c r="F203" s="270">
        <f t="shared" ref="F203:AG203" si="1311">CU203+EB204</f>
        <v>0</v>
      </c>
      <c r="G203" s="270">
        <f t="shared" si="1311"/>
        <v>0</v>
      </c>
      <c r="H203" s="270">
        <f t="shared" si="1311"/>
        <v>0</v>
      </c>
      <c r="I203" s="270">
        <f t="shared" si="1311"/>
        <v>0</v>
      </c>
      <c r="J203" s="270">
        <f t="shared" si="1311"/>
        <v>0</v>
      </c>
      <c r="K203" s="270">
        <f t="shared" si="1311"/>
        <v>0</v>
      </c>
      <c r="L203" s="270">
        <f t="shared" si="1311"/>
        <v>0</v>
      </c>
      <c r="M203" s="270">
        <f t="shared" si="1311"/>
        <v>0</v>
      </c>
      <c r="N203" s="270">
        <f t="shared" si="1311"/>
        <v>0</v>
      </c>
      <c r="O203" s="270">
        <f t="shared" si="1311"/>
        <v>0</v>
      </c>
      <c r="P203" s="272">
        <f t="shared" si="1311"/>
        <v>0</v>
      </c>
      <c r="Q203" s="272">
        <f t="shared" si="1311"/>
        <v>0</v>
      </c>
      <c r="R203" s="272">
        <f t="shared" si="1311"/>
        <v>0</v>
      </c>
      <c r="S203" s="272">
        <f t="shared" si="1311"/>
        <v>0</v>
      </c>
      <c r="T203" s="272">
        <f t="shared" si="1311"/>
        <v>0</v>
      </c>
      <c r="U203" s="270">
        <f t="shared" si="1311"/>
        <v>0</v>
      </c>
      <c r="V203" s="270">
        <f t="shared" si="1311"/>
        <v>0</v>
      </c>
      <c r="W203" s="270">
        <f t="shared" si="1311"/>
        <v>0</v>
      </c>
      <c r="X203" s="270">
        <f t="shared" si="1311"/>
        <v>0</v>
      </c>
      <c r="Y203" s="270">
        <f t="shared" si="1311"/>
        <v>0</v>
      </c>
      <c r="Z203" s="270">
        <f t="shared" si="1311"/>
        <v>0</v>
      </c>
      <c r="AA203" s="270">
        <f t="shared" si="1311"/>
        <v>0</v>
      </c>
      <c r="AB203" s="270">
        <f t="shared" si="1311"/>
        <v>0</v>
      </c>
      <c r="AC203" s="270">
        <f t="shared" si="1311"/>
        <v>0</v>
      </c>
      <c r="AD203" s="270">
        <f t="shared" si="1311"/>
        <v>0</v>
      </c>
      <c r="AE203" s="270">
        <f t="shared" si="1311"/>
        <v>0</v>
      </c>
      <c r="AF203" s="270">
        <f t="shared" si="1311"/>
        <v>0</v>
      </c>
      <c r="AG203" s="270">
        <f t="shared" si="1311"/>
        <v>0</v>
      </c>
      <c r="AH203" s="279">
        <f t="shared" si="602"/>
        <v>0</v>
      </c>
      <c r="AI203" s="270">
        <f t="shared" si="43"/>
        <v>0</v>
      </c>
      <c r="AJ203" s="270">
        <f t="shared" ref="AJ203:AO203" si="1312">IF(F$8=0,0,ROUND(AJ202-(F203-BO203),2))</f>
        <v>0</v>
      </c>
      <c r="AK203" s="270">
        <f t="shared" si="1312"/>
        <v>0</v>
      </c>
      <c r="AL203" s="270">
        <f t="shared" si="1312"/>
        <v>0</v>
      </c>
      <c r="AM203" s="270">
        <f t="shared" si="1312"/>
        <v>0</v>
      </c>
      <c r="AN203" s="270">
        <f t="shared" si="1312"/>
        <v>0</v>
      </c>
      <c r="AO203" s="270">
        <f t="shared" si="1312"/>
        <v>0</v>
      </c>
      <c r="AP203" s="270">
        <v>0.0</v>
      </c>
      <c r="AQ203" s="270">
        <f t="shared" ref="AQ203:AS203" si="1313">IF(M$8=0,0,ROUND(AQ202-(M203-BV203),2))</f>
        <v>0</v>
      </c>
      <c r="AR203" s="270">
        <f t="shared" si="1313"/>
        <v>0</v>
      </c>
      <c r="AS203" s="270">
        <f t="shared" si="1313"/>
        <v>0</v>
      </c>
      <c r="AT203" s="270">
        <f t="shared" si="605"/>
        <v>-6.22</v>
      </c>
      <c r="AU203" s="270">
        <f t="shared" ref="AU203:BK203" si="1314">IF(Q$8=0,0,ROUND(AU202-(Q203-BY203),2))</f>
        <v>-13.18</v>
      </c>
      <c r="AV203" s="270">
        <f t="shared" si="1314"/>
        <v>0</v>
      </c>
      <c r="AW203" s="270">
        <f t="shared" si="1314"/>
        <v>0</v>
      </c>
      <c r="AX203" s="270">
        <f t="shared" si="1314"/>
        <v>0</v>
      </c>
      <c r="AY203" s="270">
        <f t="shared" si="1314"/>
        <v>0</v>
      </c>
      <c r="AZ203" s="270">
        <f t="shared" si="1314"/>
        <v>0</v>
      </c>
      <c r="BA203" s="270">
        <f t="shared" si="1314"/>
        <v>0</v>
      </c>
      <c r="BB203" s="270">
        <f t="shared" si="1314"/>
        <v>0</v>
      </c>
      <c r="BC203" s="270">
        <f t="shared" si="1314"/>
        <v>0</v>
      </c>
      <c r="BD203" s="270">
        <f t="shared" si="1314"/>
        <v>0</v>
      </c>
      <c r="BE203" s="270">
        <f t="shared" si="1314"/>
        <v>0</v>
      </c>
      <c r="BF203" s="270">
        <f t="shared" si="1314"/>
        <v>0</v>
      </c>
      <c r="BG203" s="270">
        <f t="shared" si="1314"/>
        <v>0</v>
      </c>
      <c r="BH203" s="270">
        <f t="shared" si="1314"/>
        <v>0</v>
      </c>
      <c r="BI203" s="270">
        <f t="shared" si="1314"/>
        <v>0</v>
      </c>
      <c r="BJ203" s="270">
        <f t="shared" si="1314"/>
        <v>0</v>
      </c>
      <c r="BK203" s="270">
        <f t="shared" si="1314"/>
        <v>0</v>
      </c>
      <c r="BL203" s="265">
        <f t="shared" si="16"/>
        <v>-19.4</v>
      </c>
      <c r="BM203" s="215"/>
      <c r="BN203" s="270">
        <f t="shared" ref="BN203:CP203" si="1315">ROUND(AI202*E$9/12,2)</f>
        <v>0</v>
      </c>
      <c r="BO203" s="270">
        <f t="shared" si="1315"/>
        <v>0</v>
      </c>
      <c r="BP203" s="270">
        <f t="shared" si="1315"/>
        <v>0</v>
      </c>
      <c r="BQ203" s="270">
        <f t="shared" si="1315"/>
        <v>0</v>
      </c>
      <c r="BR203" s="270">
        <f t="shared" si="1315"/>
        <v>0</v>
      </c>
      <c r="BS203" s="270">
        <f t="shared" si="1315"/>
        <v>0</v>
      </c>
      <c r="BT203" s="270">
        <f t="shared" si="1315"/>
        <v>0</v>
      </c>
      <c r="BU203" s="270">
        <f t="shared" si="1315"/>
        <v>0</v>
      </c>
      <c r="BV203" s="270">
        <f t="shared" si="1315"/>
        <v>0</v>
      </c>
      <c r="BW203" s="270">
        <f t="shared" si="1315"/>
        <v>0</v>
      </c>
      <c r="BX203" s="270">
        <f t="shared" si="1315"/>
        <v>0</v>
      </c>
      <c r="BY203" s="270">
        <f t="shared" si="1315"/>
        <v>-0.05</v>
      </c>
      <c r="BZ203" s="270">
        <f t="shared" si="1315"/>
        <v>-0.04</v>
      </c>
      <c r="CA203" s="270">
        <f t="shared" si="1315"/>
        <v>0</v>
      </c>
      <c r="CB203" s="270">
        <f t="shared" si="1315"/>
        <v>0</v>
      </c>
      <c r="CC203" s="270">
        <f t="shared" si="1315"/>
        <v>0</v>
      </c>
      <c r="CD203" s="270">
        <f t="shared" si="1315"/>
        <v>0</v>
      </c>
      <c r="CE203" s="270">
        <f t="shared" si="1315"/>
        <v>0</v>
      </c>
      <c r="CF203" s="270">
        <f t="shared" si="1315"/>
        <v>0</v>
      </c>
      <c r="CG203" s="270">
        <f t="shared" si="1315"/>
        <v>0</v>
      </c>
      <c r="CH203" s="270">
        <f t="shared" si="1315"/>
        <v>0</v>
      </c>
      <c r="CI203" s="270">
        <f t="shared" si="1315"/>
        <v>0</v>
      </c>
      <c r="CJ203" s="270">
        <f t="shared" si="1315"/>
        <v>0</v>
      </c>
      <c r="CK203" s="270">
        <f t="shared" si="1315"/>
        <v>0</v>
      </c>
      <c r="CL203" s="270">
        <f t="shared" si="1315"/>
        <v>0</v>
      </c>
      <c r="CM203" s="270">
        <f t="shared" si="1315"/>
        <v>0</v>
      </c>
      <c r="CN203" s="270">
        <f t="shared" si="1315"/>
        <v>0</v>
      </c>
      <c r="CO203" s="270">
        <f t="shared" si="1315"/>
        <v>0</v>
      </c>
      <c r="CP203" s="270">
        <f t="shared" si="1315"/>
        <v>0</v>
      </c>
      <c r="CQ203" s="215"/>
      <c r="CR203" s="270">
        <f t="shared" si="27"/>
        <v>-0.09</v>
      </c>
      <c r="CS203" s="215"/>
      <c r="CT203" s="270">
        <f t="shared" ref="CT203:DX203" si="1316">IF(AI202&gt;0,IF((AI202+BN203)&lt;E$10,AI202+BN203,E$10),0)</f>
        <v>0</v>
      </c>
      <c r="CU203" s="270">
        <f t="shared" si="1316"/>
        <v>0</v>
      </c>
      <c r="CV203" s="270">
        <f t="shared" si="1316"/>
        <v>0</v>
      </c>
      <c r="CW203" s="270">
        <f t="shared" si="1316"/>
        <v>0</v>
      </c>
      <c r="CX203" s="270">
        <f t="shared" si="1316"/>
        <v>0</v>
      </c>
      <c r="CY203" s="270">
        <f t="shared" si="1316"/>
        <v>0</v>
      </c>
      <c r="CZ203" s="270">
        <f t="shared" si="1316"/>
        <v>0</v>
      </c>
      <c r="DA203" s="270">
        <f t="shared" si="1316"/>
        <v>0</v>
      </c>
      <c r="DB203" s="270">
        <f t="shared" si="1316"/>
        <v>0</v>
      </c>
      <c r="DC203" s="270">
        <f t="shared" si="1316"/>
        <v>0</v>
      </c>
      <c r="DD203" s="270">
        <f t="shared" si="1316"/>
        <v>0</v>
      </c>
      <c r="DE203" s="270">
        <f t="shared" si="1316"/>
        <v>0</v>
      </c>
      <c r="DF203" s="270">
        <f t="shared" si="1316"/>
        <v>0</v>
      </c>
      <c r="DG203" s="270">
        <f t="shared" si="1316"/>
        <v>0</v>
      </c>
      <c r="DH203" s="270">
        <f t="shared" si="1316"/>
        <v>0</v>
      </c>
      <c r="DI203" s="270">
        <f t="shared" si="1316"/>
        <v>0</v>
      </c>
      <c r="DJ203" s="270">
        <f t="shared" si="1316"/>
        <v>0</v>
      </c>
      <c r="DK203" s="270">
        <f t="shared" si="1316"/>
        <v>0</v>
      </c>
      <c r="DL203" s="270">
        <f t="shared" si="1316"/>
        <v>0</v>
      </c>
      <c r="DM203" s="270">
        <f t="shared" si="1316"/>
        <v>0</v>
      </c>
      <c r="DN203" s="270">
        <f t="shared" si="1316"/>
        <v>0</v>
      </c>
      <c r="DO203" s="270">
        <f t="shared" si="1316"/>
        <v>0</v>
      </c>
      <c r="DP203" s="270">
        <f t="shared" si="1316"/>
        <v>0</v>
      </c>
      <c r="DQ203" s="270">
        <f t="shared" si="1316"/>
        <v>0</v>
      </c>
      <c r="DR203" s="270">
        <f t="shared" si="1316"/>
        <v>0</v>
      </c>
      <c r="DS203" s="270">
        <f t="shared" si="1316"/>
        <v>0</v>
      </c>
      <c r="DT203" s="270">
        <f t="shared" si="1316"/>
        <v>0</v>
      </c>
      <c r="DU203" s="270">
        <f t="shared" si="1316"/>
        <v>0</v>
      </c>
      <c r="DV203" s="270">
        <f t="shared" si="1316"/>
        <v>0</v>
      </c>
      <c r="DW203" s="270">
        <f t="shared" si="1316"/>
        <v>0</v>
      </c>
      <c r="DX203" s="270">
        <f t="shared" si="1316"/>
        <v>0</v>
      </c>
      <c r="DY203" s="270">
        <f t="shared" si="29"/>
        <v>0</v>
      </c>
      <c r="DZ203" s="274"/>
      <c r="EA203" s="275">
        <f t="shared" si="38"/>
        <v>0</v>
      </c>
      <c r="EB203" s="270">
        <f t="shared" ref="EB203:FC203" si="1317">IF(AJ201&lt;=0,0,IF($C202&lt;=SUM($EA203:EA203),0,IF(CU202+$C202-SUM($EA203:EA203)&gt;AJ201+BO202,AJ201+BO202-CU202,$C202-SUM($EA203:EA203))))</f>
        <v>0</v>
      </c>
      <c r="EC203" s="270">
        <f t="shared" si="1317"/>
        <v>0</v>
      </c>
      <c r="ED203" s="270">
        <f t="shared" si="1317"/>
        <v>0</v>
      </c>
      <c r="EE203" s="270">
        <f t="shared" si="1317"/>
        <v>0</v>
      </c>
      <c r="EF203" s="270">
        <f t="shared" si="1317"/>
        <v>0</v>
      </c>
      <c r="EG203" s="270">
        <f t="shared" si="1317"/>
        <v>0</v>
      </c>
      <c r="EH203" s="270">
        <f t="shared" si="1317"/>
        <v>0</v>
      </c>
      <c r="EI203" s="270">
        <f t="shared" si="1317"/>
        <v>0</v>
      </c>
      <c r="EJ203" s="270">
        <f t="shared" si="1317"/>
        <v>0</v>
      </c>
      <c r="EK203" s="270">
        <f t="shared" si="1317"/>
        <v>0</v>
      </c>
      <c r="EL203" s="270">
        <f t="shared" si="1317"/>
        <v>0</v>
      </c>
      <c r="EM203" s="270">
        <f t="shared" si="1317"/>
        <v>0</v>
      </c>
      <c r="EN203" s="270">
        <f t="shared" si="1317"/>
        <v>0</v>
      </c>
      <c r="EO203" s="270">
        <f t="shared" si="1317"/>
        <v>0</v>
      </c>
      <c r="EP203" s="270">
        <f t="shared" si="1317"/>
        <v>0</v>
      </c>
      <c r="EQ203" s="270">
        <f t="shared" si="1317"/>
        <v>0</v>
      </c>
      <c r="ER203" s="270">
        <f t="shared" si="1317"/>
        <v>0</v>
      </c>
      <c r="ES203" s="270">
        <f t="shared" si="1317"/>
        <v>0</v>
      </c>
      <c r="ET203" s="270">
        <f t="shared" si="1317"/>
        <v>0</v>
      </c>
      <c r="EU203" s="270">
        <f t="shared" si="1317"/>
        <v>0</v>
      </c>
      <c r="EV203" s="270">
        <f t="shared" si="1317"/>
        <v>0</v>
      </c>
      <c r="EW203" s="270">
        <f t="shared" si="1317"/>
        <v>0</v>
      </c>
      <c r="EX203" s="270">
        <f t="shared" si="1317"/>
        <v>0</v>
      </c>
      <c r="EY203" s="270">
        <f t="shared" si="1317"/>
        <v>0</v>
      </c>
      <c r="EZ203" s="270">
        <f t="shared" si="1317"/>
        <v>0</v>
      </c>
      <c r="FA203" s="270">
        <f t="shared" si="1317"/>
        <v>0</v>
      </c>
      <c r="FB203" s="270">
        <f t="shared" si="1317"/>
        <v>0</v>
      </c>
      <c r="FC203" s="270">
        <f t="shared" si="1317"/>
        <v>0</v>
      </c>
      <c r="FD203" s="271"/>
      <c r="FE203" s="271"/>
      <c r="FF203" s="271"/>
      <c r="FG203" s="215"/>
      <c r="FH203" s="215"/>
    </row>
    <row r="204" ht="11.25" customHeight="1">
      <c r="A204" s="215" t="str">
        <f t="shared" si="19"/>
        <v/>
      </c>
      <c r="B204" s="241" t="str">
        <f t="shared" si="600"/>
        <v>#N/A</v>
      </c>
      <c r="C204" s="271" t="str">
        <f>IF(A204="","",IF(Calculator!snowball,IF(($E$5-DY204)&lt;0,0,$E$5-DY204),0)+D204)</f>
        <v/>
      </c>
      <c r="D204" s="271"/>
      <c r="E204" s="270">
        <f t="shared" si="40"/>
        <v>0</v>
      </c>
      <c r="F204" s="270">
        <f t="shared" ref="F204:AG204" si="1318">CU204+EB205</f>
        <v>0</v>
      </c>
      <c r="G204" s="270">
        <f t="shared" si="1318"/>
        <v>0</v>
      </c>
      <c r="H204" s="270">
        <f t="shared" si="1318"/>
        <v>0</v>
      </c>
      <c r="I204" s="270">
        <f t="shared" si="1318"/>
        <v>0</v>
      </c>
      <c r="J204" s="270">
        <f t="shared" si="1318"/>
        <v>0</v>
      </c>
      <c r="K204" s="270">
        <f t="shared" si="1318"/>
        <v>0</v>
      </c>
      <c r="L204" s="270">
        <f t="shared" si="1318"/>
        <v>0</v>
      </c>
      <c r="M204" s="270">
        <f t="shared" si="1318"/>
        <v>0</v>
      </c>
      <c r="N204" s="270">
        <f t="shared" si="1318"/>
        <v>0</v>
      </c>
      <c r="O204" s="270">
        <f t="shared" si="1318"/>
        <v>0</v>
      </c>
      <c r="P204" s="272">
        <f t="shared" si="1318"/>
        <v>0</v>
      </c>
      <c r="Q204" s="272">
        <f t="shared" si="1318"/>
        <v>0</v>
      </c>
      <c r="R204" s="272">
        <f t="shared" si="1318"/>
        <v>0</v>
      </c>
      <c r="S204" s="272">
        <f t="shared" si="1318"/>
        <v>0</v>
      </c>
      <c r="T204" s="272">
        <f t="shared" si="1318"/>
        <v>0</v>
      </c>
      <c r="U204" s="270">
        <f t="shared" si="1318"/>
        <v>0</v>
      </c>
      <c r="V204" s="270">
        <f t="shared" si="1318"/>
        <v>0</v>
      </c>
      <c r="W204" s="270">
        <f t="shared" si="1318"/>
        <v>0</v>
      </c>
      <c r="X204" s="270">
        <f t="shared" si="1318"/>
        <v>0</v>
      </c>
      <c r="Y204" s="270">
        <f t="shared" si="1318"/>
        <v>0</v>
      </c>
      <c r="Z204" s="270">
        <f t="shared" si="1318"/>
        <v>0</v>
      </c>
      <c r="AA204" s="270">
        <f t="shared" si="1318"/>
        <v>0</v>
      </c>
      <c r="AB204" s="270">
        <f t="shared" si="1318"/>
        <v>0</v>
      </c>
      <c r="AC204" s="270">
        <f t="shared" si="1318"/>
        <v>0</v>
      </c>
      <c r="AD204" s="270">
        <f t="shared" si="1318"/>
        <v>0</v>
      </c>
      <c r="AE204" s="270">
        <f t="shared" si="1318"/>
        <v>0</v>
      </c>
      <c r="AF204" s="270">
        <f t="shared" si="1318"/>
        <v>0</v>
      </c>
      <c r="AG204" s="270">
        <f t="shared" si="1318"/>
        <v>0</v>
      </c>
      <c r="AH204" s="279">
        <f t="shared" si="602"/>
        <v>0</v>
      </c>
      <c r="AI204" s="270">
        <f t="shared" si="43"/>
        <v>0</v>
      </c>
      <c r="AJ204" s="270">
        <f t="shared" ref="AJ204:AO204" si="1319">IF(F$8=0,0,ROUND(AJ203-(F204-BO204),2))</f>
        <v>0</v>
      </c>
      <c r="AK204" s="270">
        <f t="shared" si="1319"/>
        <v>0</v>
      </c>
      <c r="AL204" s="270">
        <f t="shared" si="1319"/>
        <v>0</v>
      </c>
      <c r="AM204" s="270">
        <f t="shared" si="1319"/>
        <v>0</v>
      </c>
      <c r="AN204" s="270">
        <f t="shared" si="1319"/>
        <v>0</v>
      </c>
      <c r="AO204" s="270">
        <f t="shared" si="1319"/>
        <v>0</v>
      </c>
      <c r="AP204" s="270">
        <v>0.0</v>
      </c>
      <c r="AQ204" s="270">
        <f t="shared" ref="AQ204:AS204" si="1320">IF(M$8=0,0,ROUND(AQ203-(M204-BV204),2))</f>
        <v>0</v>
      </c>
      <c r="AR204" s="270">
        <f t="shared" si="1320"/>
        <v>0</v>
      </c>
      <c r="AS204" s="270">
        <f t="shared" si="1320"/>
        <v>0</v>
      </c>
      <c r="AT204" s="270">
        <f t="shared" si="605"/>
        <v>-6.22</v>
      </c>
      <c r="AU204" s="270">
        <f t="shared" ref="AU204:BK204" si="1321">IF(Q$8=0,0,ROUND(AU203-(Q204-BY204),2))</f>
        <v>-13.23</v>
      </c>
      <c r="AV204" s="270">
        <f t="shared" si="1321"/>
        <v>0</v>
      </c>
      <c r="AW204" s="270">
        <f t="shared" si="1321"/>
        <v>0</v>
      </c>
      <c r="AX204" s="270">
        <f t="shared" si="1321"/>
        <v>0</v>
      </c>
      <c r="AY204" s="270">
        <f t="shared" si="1321"/>
        <v>0</v>
      </c>
      <c r="AZ204" s="270">
        <f t="shared" si="1321"/>
        <v>0</v>
      </c>
      <c r="BA204" s="270">
        <f t="shared" si="1321"/>
        <v>0</v>
      </c>
      <c r="BB204" s="270">
        <f t="shared" si="1321"/>
        <v>0</v>
      </c>
      <c r="BC204" s="270">
        <f t="shared" si="1321"/>
        <v>0</v>
      </c>
      <c r="BD204" s="270">
        <f t="shared" si="1321"/>
        <v>0</v>
      </c>
      <c r="BE204" s="270">
        <f t="shared" si="1321"/>
        <v>0</v>
      </c>
      <c r="BF204" s="270">
        <f t="shared" si="1321"/>
        <v>0</v>
      </c>
      <c r="BG204" s="270">
        <f t="shared" si="1321"/>
        <v>0</v>
      </c>
      <c r="BH204" s="270">
        <f t="shared" si="1321"/>
        <v>0</v>
      </c>
      <c r="BI204" s="270">
        <f t="shared" si="1321"/>
        <v>0</v>
      </c>
      <c r="BJ204" s="270">
        <f t="shared" si="1321"/>
        <v>0</v>
      </c>
      <c r="BK204" s="270">
        <f t="shared" si="1321"/>
        <v>0</v>
      </c>
      <c r="BL204" s="265">
        <f t="shared" si="16"/>
        <v>-19.45</v>
      </c>
      <c r="BM204" s="215"/>
      <c r="BN204" s="270">
        <f t="shared" ref="BN204:CP204" si="1322">ROUND(AI203*E$9/12,2)</f>
        <v>0</v>
      </c>
      <c r="BO204" s="270">
        <f t="shared" si="1322"/>
        <v>0</v>
      </c>
      <c r="BP204" s="270">
        <f t="shared" si="1322"/>
        <v>0</v>
      </c>
      <c r="BQ204" s="270">
        <f t="shared" si="1322"/>
        <v>0</v>
      </c>
      <c r="BR204" s="270">
        <f t="shared" si="1322"/>
        <v>0</v>
      </c>
      <c r="BS204" s="270">
        <f t="shared" si="1322"/>
        <v>0</v>
      </c>
      <c r="BT204" s="270">
        <f t="shared" si="1322"/>
        <v>0</v>
      </c>
      <c r="BU204" s="270">
        <f t="shared" si="1322"/>
        <v>0</v>
      </c>
      <c r="BV204" s="270">
        <f t="shared" si="1322"/>
        <v>0</v>
      </c>
      <c r="BW204" s="270">
        <f t="shared" si="1322"/>
        <v>0</v>
      </c>
      <c r="BX204" s="270">
        <f t="shared" si="1322"/>
        <v>0</v>
      </c>
      <c r="BY204" s="270">
        <f t="shared" si="1322"/>
        <v>-0.05</v>
      </c>
      <c r="BZ204" s="270">
        <f t="shared" si="1322"/>
        <v>-0.04</v>
      </c>
      <c r="CA204" s="270">
        <f t="shared" si="1322"/>
        <v>0</v>
      </c>
      <c r="CB204" s="270">
        <f t="shared" si="1322"/>
        <v>0</v>
      </c>
      <c r="CC204" s="270">
        <f t="shared" si="1322"/>
        <v>0</v>
      </c>
      <c r="CD204" s="270">
        <f t="shared" si="1322"/>
        <v>0</v>
      </c>
      <c r="CE204" s="270">
        <f t="shared" si="1322"/>
        <v>0</v>
      </c>
      <c r="CF204" s="270">
        <f t="shared" si="1322"/>
        <v>0</v>
      </c>
      <c r="CG204" s="270">
        <f t="shared" si="1322"/>
        <v>0</v>
      </c>
      <c r="CH204" s="270">
        <f t="shared" si="1322"/>
        <v>0</v>
      </c>
      <c r="CI204" s="270">
        <f t="shared" si="1322"/>
        <v>0</v>
      </c>
      <c r="CJ204" s="270">
        <f t="shared" si="1322"/>
        <v>0</v>
      </c>
      <c r="CK204" s="270">
        <f t="shared" si="1322"/>
        <v>0</v>
      </c>
      <c r="CL204" s="270">
        <f t="shared" si="1322"/>
        <v>0</v>
      </c>
      <c r="CM204" s="270">
        <f t="shared" si="1322"/>
        <v>0</v>
      </c>
      <c r="CN204" s="270">
        <f t="shared" si="1322"/>
        <v>0</v>
      </c>
      <c r="CO204" s="270">
        <f t="shared" si="1322"/>
        <v>0</v>
      </c>
      <c r="CP204" s="270">
        <f t="shared" si="1322"/>
        <v>0</v>
      </c>
      <c r="CQ204" s="215"/>
      <c r="CR204" s="270">
        <f t="shared" si="27"/>
        <v>-0.09</v>
      </c>
      <c r="CS204" s="215"/>
      <c r="CT204" s="270">
        <f t="shared" ref="CT204:DX204" si="1323">IF(AI203&gt;0,IF((AI203+BN204)&lt;E$10,AI203+BN204,E$10),0)</f>
        <v>0</v>
      </c>
      <c r="CU204" s="270">
        <f t="shared" si="1323"/>
        <v>0</v>
      </c>
      <c r="CV204" s="270">
        <f t="shared" si="1323"/>
        <v>0</v>
      </c>
      <c r="CW204" s="270">
        <f t="shared" si="1323"/>
        <v>0</v>
      </c>
      <c r="CX204" s="270">
        <f t="shared" si="1323"/>
        <v>0</v>
      </c>
      <c r="CY204" s="270">
        <f t="shared" si="1323"/>
        <v>0</v>
      </c>
      <c r="CZ204" s="270">
        <f t="shared" si="1323"/>
        <v>0</v>
      </c>
      <c r="DA204" s="270">
        <f t="shared" si="1323"/>
        <v>0</v>
      </c>
      <c r="DB204" s="270">
        <f t="shared" si="1323"/>
        <v>0</v>
      </c>
      <c r="DC204" s="270">
        <f t="shared" si="1323"/>
        <v>0</v>
      </c>
      <c r="DD204" s="270">
        <f t="shared" si="1323"/>
        <v>0</v>
      </c>
      <c r="DE204" s="270">
        <f t="shared" si="1323"/>
        <v>0</v>
      </c>
      <c r="DF204" s="270">
        <f t="shared" si="1323"/>
        <v>0</v>
      </c>
      <c r="DG204" s="270">
        <f t="shared" si="1323"/>
        <v>0</v>
      </c>
      <c r="DH204" s="270">
        <f t="shared" si="1323"/>
        <v>0</v>
      </c>
      <c r="DI204" s="270">
        <f t="shared" si="1323"/>
        <v>0</v>
      </c>
      <c r="DJ204" s="270">
        <f t="shared" si="1323"/>
        <v>0</v>
      </c>
      <c r="DK204" s="270">
        <f t="shared" si="1323"/>
        <v>0</v>
      </c>
      <c r="DL204" s="270">
        <f t="shared" si="1323"/>
        <v>0</v>
      </c>
      <c r="DM204" s="270">
        <f t="shared" si="1323"/>
        <v>0</v>
      </c>
      <c r="DN204" s="270">
        <f t="shared" si="1323"/>
        <v>0</v>
      </c>
      <c r="DO204" s="270">
        <f t="shared" si="1323"/>
        <v>0</v>
      </c>
      <c r="DP204" s="270">
        <f t="shared" si="1323"/>
        <v>0</v>
      </c>
      <c r="DQ204" s="270">
        <f t="shared" si="1323"/>
        <v>0</v>
      </c>
      <c r="DR204" s="270">
        <f t="shared" si="1323"/>
        <v>0</v>
      </c>
      <c r="DS204" s="270">
        <f t="shared" si="1323"/>
        <v>0</v>
      </c>
      <c r="DT204" s="270">
        <f t="shared" si="1323"/>
        <v>0</v>
      </c>
      <c r="DU204" s="270">
        <f t="shared" si="1323"/>
        <v>0</v>
      </c>
      <c r="DV204" s="270">
        <f t="shared" si="1323"/>
        <v>0</v>
      </c>
      <c r="DW204" s="270">
        <f t="shared" si="1323"/>
        <v>0</v>
      </c>
      <c r="DX204" s="270">
        <f t="shared" si="1323"/>
        <v>0</v>
      </c>
      <c r="DY204" s="270">
        <f t="shared" si="29"/>
        <v>0</v>
      </c>
      <c r="DZ204" s="274"/>
      <c r="EA204" s="275">
        <f t="shared" si="38"/>
        <v>0</v>
      </c>
      <c r="EB204" s="270">
        <f t="shared" ref="EB204:FC204" si="1324">IF(AJ202&lt;=0,0,IF($C203&lt;=SUM($EA204:EA204),0,IF(CU203+$C203-SUM($EA204:EA204)&gt;AJ202+BO203,AJ202+BO203-CU203,$C203-SUM($EA204:EA204))))</f>
        <v>0</v>
      </c>
      <c r="EC204" s="270">
        <f t="shared" si="1324"/>
        <v>0</v>
      </c>
      <c r="ED204" s="270">
        <f t="shared" si="1324"/>
        <v>0</v>
      </c>
      <c r="EE204" s="270">
        <f t="shared" si="1324"/>
        <v>0</v>
      </c>
      <c r="EF204" s="270">
        <f t="shared" si="1324"/>
        <v>0</v>
      </c>
      <c r="EG204" s="270">
        <f t="shared" si="1324"/>
        <v>0</v>
      </c>
      <c r="EH204" s="270">
        <f t="shared" si="1324"/>
        <v>0</v>
      </c>
      <c r="EI204" s="270">
        <f t="shared" si="1324"/>
        <v>0</v>
      </c>
      <c r="EJ204" s="270">
        <f t="shared" si="1324"/>
        <v>0</v>
      </c>
      <c r="EK204" s="270">
        <f t="shared" si="1324"/>
        <v>0</v>
      </c>
      <c r="EL204" s="270">
        <f t="shared" si="1324"/>
        <v>0</v>
      </c>
      <c r="EM204" s="270">
        <f t="shared" si="1324"/>
        <v>0</v>
      </c>
      <c r="EN204" s="270">
        <f t="shared" si="1324"/>
        <v>0</v>
      </c>
      <c r="EO204" s="270">
        <f t="shared" si="1324"/>
        <v>0</v>
      </c>
      <c r="EP204" s="270">
        <f t="shared" si="1324"/>
        <v>0</v>
      </c>
      <c r="EQ204" s="270">
        <f t="shared" si="1324"/>
        <v>0</v>
      </c>
      <c r="ER204" s="270">
        <f t="shared" si="1324"/>
        <v>0</v>
      </c>
      <c r="ES204" s="270">
        <f t="shared" si="1324"/>
        <v>0</v>
      </c>
      <c r="ET204" s="270">
        <f t="shared" si="1324"/>
        <v>0</v>
      </c>
      <c r="EU204" s="270">
        <f t="shared" si="1324"/>
        <v>0</v>
      </c>
      <c r="EV204" s="270">
        <f t="shared" si="1324"/>
        <v>0</v>
      </c>
      <c r="EW204" s="270">
        <f t="shared" si="1324"/>
        <v>0</v>
      </c>
      <c r="EX204" s="270">
        <f t="shared" si="1324"/>
        <v>0</v>
      </c>
      <c r="EY204" s="270">
        <f t="shared" si="1324"/>
        <v>0</v>
      </c>
      <c r="EZ204" s="270">
        <f t="shared" si="1324"/>
        <v>0</v>
      </c>
      <c r="FA204" s="270">
        <f t="shared" si="1324"/>
        <v>0</v>
      </c>
      <c r="FB204" s="270">
        <f t="shared" si="1324"/>
        <v>0</v>
      </c>
      <c r="FC204" s="270">
        <f t="shared" si="1324"/>
        <v>0</v>
      </c>
      <c r="FD204" s="271"/>
      <c r="FE204" s="271"/>
      <c r="FF204" s="271"/>
      <c r="FG204" s="215"/>
      <c r="FH204" s="215"/>
    </row>
    <row r="205" ht="11.25" customHeight="1">
      <c r="A205" s="215" t="str">
        <f t="shared" si="19"/>
        <v/>
      </c>
      <c r="B205" s="241" t="str">
        <f t="shared" si="600"/>
        <v>#N/A</v>
      </c>
      <c r="C205" s="271" t="str">
        <f>IF(A205="","",IF(Calculator!snowball,IF(($E$5-DY205)&lt;0,0,$E$5-DY205),0)+D205)</f>
        <v/>
      </c>
      <c r="D205" s="271"/>
      <c r="E205" s="270">
        <f t="shared" si="40"/>
        <v>0</v>
      </c>
      <c r="F205" s="270">
        <f t="shared" ref="F205:AG205" si="1325">CU205+EB206</f>
        <v>0</v>
      </c>
      <c r="G205" s="270">
        <f t="shared" si="1325"/>
        <v>0</v>
      </c>
      <c r="H205" s="270">
        <f t="shared" si="1325"/>
        <v>0</v>
      </c>
      <c r="I205" s="270">
        <f t="shared" si="1325"/>
        <v>0</v>
      </c>
      <c r="J205" s="270">
        <f t="shared" si="1325"/>
        <v>0</v>
      </c>
      <c r="K205" s="270">
        <f t="shared" si="1325"/>
        <v>0</v>
      </c>
      <c r="L205" s="270">
        <f t="shared" si="1325"/>
        <v>0</v>
      </c>
      <c r="M205" s="270">
        <f t="shared" si="1325"/>
        <v>0</v>
      </c>
      <c r="N205" s="270">
        <f t="shared" si="1325"/>
        <v>0</v>
      </c>
      <c r="O205" s="270">
        <f t="shared" si="1325"/>
        <v>0</v>
      </c>
      <c r="P205" s="272">
        <f t="shared" si="1325"/>
        <v>0</v>
      </c>
      <c r="Q205" s="272">
        <f t="shared" si="1325"/>
        <v>0</v>
      </c>
      <c r="R205" s="272">
        <f t="shared" si="1325"/>
        <v>0</v>
      </c>
      <c r="S205" s="272">
        <f t="shared" si="1325"/>
        <v>0</v>
      </c>
      <c r="T205" s="272">
        <f t="shared" si="1325"/>
        <v>0</v>
      </c>
      <c r="U205" s="270">
        <f t="shared" si="1325"/>
        <v>0</v>
      </c>
      <c r="V205" s="270">
        <f t="shared" si="1325"/>
        <v>0</v>
      </c>
      <c r="W205" s="270">
        <f t="shared" si="1325"/>
        <v>0</v>
      </c>
      <c r="X205" s="270">
        <f t="shared" si="1325"/>
        <v>0</v>
      </c>
      <c r="Y205" s="270">
        <f t="shared" si="1325"/>
        <v>0</v>
      </c>
      <c r="Z205" s="270">
        <f t="shared" si="1325"/>
        <v>0</v>
      </c>
      <c r="AA205" s="270">
        <f t="shared" si="1325"/>
        <v>0</v>
      </c>
      <c r="AB205" s="270">
        <f t="shared" si="1325"/>
        <v>0</v>
      </c>
      <c r="AC205" s="270">
        <f t="shared" si="1325"/>
        <v>0</v>
      </c>
      <c r="AD205" s="270">
        <f t="shared" si="1325"/>
        <v>0</v>
      </c>
      <c r="AE205" s="270">
        <f t="shared" si="1325"/>
        <v>0</v>
      </c>
      <c r="AF205" s="270">
        <f t="shared" si="1325"/>
        <v>0</v>
      </c>
      <c r="AG205" s="270">
        <f t="shared" si="1325"/>
        <v>0</v>
      </c>
      <c r="AH205" s="279">
        <f t="shared" si="602"/>
        <v>0</v>
      </c>
      <c r="AI205" s="270">
        <f t="shared" si="43"/>
        <v>0</v>
      </c>
      <c r="AJ205" s="270">
        <f t="shared" ref="AJ205:AO205" si="1326">IF(F$8=0,0,ROUND(AJ204-(F205-BO205),2))</f>
        <v>0</v>
      </c>
      <c r="AK205" s="270">
        <f t="shared" si="1326"/>
        <v>0</v>
      </c>
      <c r="AL205" s="270">
        <f t="shared" si="1326"/>
        <v>0</v>
      </c>
      <c r="AM205" s="270">
        <f t="shared" si="1326"/>
        <v>0</v>
      </c>
      <c r="AN205" s="270">
        <f t="shared" si="1326"/>
        <v>0</v>
      </c>
      <c r="AO205" s="270">
        <f t="shared" si="1326"/>
        <v>0</v>
      </c>
      <c r="AP205" s="270">
        <v>0.0</v>
      </c>
      <c r="AQ205" s="270">
        <f t="shared" ref="AQ205:AS205" si="1327">IF(M$8=0,0,ROUND(AQ204-(M205-BV205),2))</f>
        <v>0</v>
      </c>
      <c r="AR205" s="270">
        <f t="shared" si="1327"/>
        <v>0</v>
      </c>
      <c r="AS205" s="270">
        <f t="shared" si="1327"/>
        <v>0</v>
      </c>
      <c r="AT205" s="270">
        <f t="shared" si="605"/>
        <v>-6.22</v>
      </c>
      <c r="AU205" s="270">
        <f t="shared" ref="AU205:BK205" si="1328">IF(Q$8=0,0,ROUND(AU204-(Q205-BY205),2))</f>
        <v>-13.28</v>
      </c>
      <c r="AV205" s="270">
        <f t="shared" si="1328"/>
        <v>0</v>
      </c>
      <c r="AW205" s="270">
        <f t="shared" si="1328"/>
        <v>0</v>
      </c>
      <c r="AX205" s="270">
        <f t="shared" si="1328"/>
        <v>0</v>
      </c>
      <c r="AY205" s="270">
        <f t="shared" si="1328"/>
        <v>0</v>
      </c>
      <c r="AZ205" s="270">
        <f t="shared" si="1328"/>
        <v>0</v>
      </c>
      <c r="BA205" s="270">
        <f t="shared" si="1328"/>
        <v>0</v>
      </c>
      <c r="BB205" s="270">
        <f t="shared" si="1328"/>
        <v>0</v>
      </c>
      <c r="BC205" s="270">
        <f t="shared" si="1328"/>
        <v>0</v>
      </c>
      <c r="BD205" s="270">
        <f t="shared" si="1328"/>
        <v>0</v>
      </c>
      <c r="BE205" s="270">
        <f t="shared" si="1328"/>
        <v>0</v>
      </c>
      <c r="BF205" s="270">
        <f t="shared" si="1328"/>
        <v>0</v>
      </c>
      <c r="BG205" s="270">
        <f t="shared" si="1328"/>
        <v>0</v>
      </c>
      <c r="BH205" s="270">
        <f t="shared" si="1328"/>
        <v>0</v>
      </c>
      <c r="BI205" s="270">
        <f t="shared" si="1328"/>
        <v>0</v>
      </c>
      <c r="BJ205" s="270">
        <f t="shared" si="1328"/>
        <v>0</v>
      </c>
      <c r="BK205" s="270">
        <f t="shared" si="1328"/>
        <v>0</v>
      </c>
      <c r="BL205" s="265">
        <f t="shared" si="16"/>
        <v>-19.5</v>
      </c>
      <c r="BM205" s="215"/>
      <c r="BN205" s="270">
        <f t="shared" ref="BN205:CP205" si="1329">ROUND(AI204*E$9/12,2)</f>
        <v>0</v>
      </c>
      <c r="BO205" s="270">
        <f t="shared" si="1329"/>
        <v>0</v>
      </c>
      <c r="BP205" s="270">
        <f t="shared" si="1329"/>
        <v>0</v>
      </c>
      <c r="BQ205" s="270">
        <f t="shared" si="1329"/>
        <v>0</v>
      </c>
      <c r="BR205" s="270">
        <f t="shared" si="1329"/>
        <v>0</v>
      </c>
      <c r="BS205" s="270">
        <f t="shared" si="1329"/>
        <v>0</v>
      </c>
      <c r="BT205" s="270">
        <f t="shared" si="1329"/>
        <v>0</v>
      </c>
      <c r="BU205" s="270">
        <f t="shared" si="1329"/>
        <v>0</v>
      </c>
      <c r="BV205" s="270">
        <f t="shared" si="1329"/>
        <v>0</v>
      </c>
      <c r="BW205" s="270">
        <f t="shared" si="1329"/>
        <v>0</v>
      </c>
      <c r="BX205" s="270">
        <f t="shared" si="1329"/>
        <v>0</v>
      </c>
      <c r="BY205" s="270">
        <f t="shared" si="1329"/>
        <v>-0.05</v>
      </c>
      <c r="BZ205" s="270">
        <f t="shared" si="1329"/>
        <v>-0.04</v>
      </c>
      <c r="CA205" s="270">
        <f t="shared" si="1329"/>
        <v>0</v>
      </c>
      <c r="CB205" s="270">
        <f t="shared" si="1329"/>
        <v>0</v>
      </c>
      <c r="CC205" s="270">
        <f t="shared" si="1329"/>
        <v>0</v>
      </c>
      <c r="CD205" s="270">
        <f t="shared" si="1329"/>
        <v>0</v>
      </c>
      <c r="CE205" s="270">
        <f t="shared" si="1329"/>
        <v>0</v>
      </c>
      <c r="CF205" s="270">
        <f t="shared" si="1329"/>
        <v>0</v>
      </c>
      <c r="CG205" s="270">
        <f t="shared" si="1329"/>
        <v>0</v>
      </c>
      <c r="CH205" s="270">
        <f t="shared" si="1329"/>
        <v>0</v>
      </c>
      <c r="CI205" s="270">
        <f t="shared" si="1329"/>
        <v>0</v>
      </c>
      <c r="CJ205" s="270">
        <f t="shared" si="1329"/>
        <v>0</v>
      </c>
      <c r="CK205" s="270">
        <f t="shared" si="1329"/>
        <v>0</v>
      </c>
      <c r="CL205" s="270">
        <f t="shared" si="1329"/>
        <v>0</v>
      </c>
      <c r="CM205" s="270">
        <f t="shared" si="1329"/>
        <v>0</v>
      </c>
      <c r="CN205" s="270">
        <f t="shared" si="1329"/>
        <v>0</v>
      </c>
      <c r="CO205" s="270">
        <f t="shared" si="1329"/>
        <v>0</v>
      </c>
      <c r="CP205" s="270">
        <f t="shared" si="1329"/>
        <v>0</v>
      </c>
      <c r="CQ205" s="215"/>
      <c r="CR205" s="270">
        <f t="shared" si="27"/>
        <v>-0.09</v>
      </c>
      <c r="CS205" s="215"/>
      <c r="CT205" s="270">
        <f t="shared" ref="CT205:DX205" si="1330">IF(AI204&gt;0,IF((AI204+BN205)&lt;E$10,AI204+BN205,E$10),0)</f>
        <v>0</v>
      </c>
      <c r="CU205" s="270">
        <f t="shared" si="1330"/>
        <v>0</v>
      </c>
      <c r="CV205" s="270">
        <f t="shared" si="1330"/>
        <v>0</v>
      </c>
      <c r="CW205" s="270">
        <f t="shared" si="1330"/>
        <v>0</v>
      </c>
      <c r="CX205" s="270">
        <f t="shared" si="1330"/>
        <v>0</v>
      </c>
      <c r="CY205" s="270">
        <f t="shared" si="1330"/>
        <v>0</v>
      </c>
      <c r="CZ205" s="270">
        <f t="shared" si="1330"/>
        <v>0</v>
      </c>
      <c r="DA205" s="270">
        <f t="shared" si="1330"/>
        <v>0</v>
      </c>
      <c r="DB205" s="270">
        <f t="shared" si="1330"/>
        <v>0</v>
      </c>
      <c r="DC205" s="270">
        <f t="shared" si="1330"/>
        <v>0</v>
      </c>
      <c r="DD205" s="270">
        <f t="shared" si="1330"/>
        <v>0</v>
      </c>
      <c r="DE205" s="270">
        <f t="shared" si="1330"/>
        <v>0</v>
      </c>
      <c r="DF205" s="270">
        <f t="shared" si="1330"/>
        <v>0</v>
      </c>
      <c r="DG205" s="270">
        <f t="shared" si="1330"/>
        <v>0</v>
      </c>
      <c r="DH205" s="270">
        <f t="shared" si="1330"/>
        <v>0</v>
      </c>
      <c r="DI205" s="270">
        <f t="shared" si="1330"/>
        <v>0</v>
      </c>
      <c r="DJ205" s="270">
        <f t="shared" si="1330"/>
        <v>0</v>
      </c>
      <c r="DK205" s="270">
        <f t="shared" si="1330"/>
        <v>0</v>
      </c>
      <c r="DL205" s="270">
        <f t="shared" si="1330"/>
        <v>0</v>
      </c>
      <c r="DM205" s="270">
        <f t="shared" si="1330"/>
        <v>0</v>
      </c>
      <c r="DN205" s="270">
        <f t="shared" si="1330"/>
        <v>0</v>
      </c>
      <c r="DO205" s="270">
        <f t="shared" si="1330"/>
        <v>0</v>
      </c>
      <c r="DP205" s="270">
        <f t="shared" si="1330"/>
        <v>0</v>
      </c>
      <c r="DQ205" s="270">
        <f t="shared" si="1330"/>
        <v>0</v>
      </c>
      <c r="DR205" s="270">
        <f t="shared" si="1330"/>
        <v>0</v>
      </c>
      <c r="DS205" s="270">
        <f t="shared" si="1330"/>
        <v>0</v>
      </c>
      <c r="DT205" s="270">
        <f t="shared" si="1330"/>
        <v>0</v>
      </c>
      <c r="DU205" s="270">
        <f t="shared" si="1330"/>
        <v>0</v>
      </c>
      <c r="DV205" s="270">
        <f t="shared" si="1330"/>
        <v>0</v>
      </c>
      <c r="DW205" s="270">
        <f t="shared" si="1330"/>
        <v>0</v>
      </c>
      <c r="DX205" s="270">
        <f t="shared" si="1330"/>
        <v>0</v>
      </c>
      <c r="DY205" s="270">
        <f t="shared" si="29"/>
        <v>0</v>
      </c>
      <c r="DZ205" s="274"/>
      <c r="EA205" s="275">
        <f t="shared" si="38"/>
        <v>0</v>
      </c>
      <c r="EB205" s="270">
        <f t="shared" ref="EB205:FC205" si="1331">IF(AJ203&lt;=0,0,IF($C204&lt;=SUM($EA205:EA205),0,IF(CU204+$C204-SUM($EA205:EA205)&gt;AJ203+BO204,AJ203+BO204-CU204,$C204-SUM($EA205:EA205))))</f>
        <v>0</v>
      </c>
      <c r="EC205" s="270">
        <f t="shared" si="1331"/>
        <v>0</v>
      </c>
      <c r="ED205" s="270">
        <f t="shared" si="1331"/>
        <v>0</v>
      </c>
      <c r="EE205" s="270">
        <f t="shared" si="1331"/>
        <v>0</v>
      </c>
      <c r="EF205" s="270">
        <f t="shared" si="1331"/>
        <v>0</v>
      </c>
      <c r="EG205" s="270">
        <f t="shared" si="1331"/>
        <v>0</v>
      </c>
      <c r="EH205" s="270">
        <f t="shared" si="1331"/>
        <v>0</v>
      </c>
      <c r="EI205" s="270">
        <f t="shared" si="1331"/>
        <v>0</v>
      </c>
      <c r="EJ205" s="270">
        <f t="shared" si="1331"/>
        <v>0</v>
      </c>
      <c r="EK205" s="270">
        <f t="shared" si="1331"/>
        <v>0</v>
      </c>
      <c r="EL205" s="270">
        <f t="shared" si="1331"/>
        <v>0</v>
      </c>
      <c r="EM205" s="270">
        <f t="shared" si="1331"/>
        <v>0</v>
      </c>
      <c r="EN205" s="270">
        <f t="shared" si="1331"/>
        <v>0</v>
      </c>
      <c r="EO205" s="270">
        <f t="shared" si="1331"/>
        <v>0</v>
      </c>
      <c r="EP205" s="270">
        <f t="shared" si="1331"/>
        <v>0</v>
      </c>
      <c r="EQ205" s="270">
        <f t="shared" si="1331"/>
        <v>0</v>
      </c>
      <c r="ER205" s="270">
        <f t="shared" si="1331"/>
        <v>0</v>
      </c>
      <c r="ES205" s="270">
        <f t="shared" si="1331"/>
        <v>0</v>
      </c>
      <c r="ET205" s="270">
        <f t="shared" si="1331"/>
        <v>0</v>
      </c>
      <c r="EU205" s="270">
        <f t="shared" si="1331"/>
        <v>0</v>
      </c>
      <c r="EV205" s="270">
        <f t="shared" si="1331"/>
        <v>0</v>
      </c>
      <c r="EW205" s="270">
        <f t="shared" si="1331"/>
        <v>0</v>
      </c>
      <c r="EX205" s="270">
        <f t="shared" si="1331"/>
        <v>0</v>
      </c>
      <c r="EY205" s="270">
        <f t="shared" si="1331"/>
        <v>0</v>
      </c>
      <c r="EZ205" s="270">
        <f t="shared" si="1331"/>
        <v>0</v>
      </c>
      <c r="FA205" s="270">
        <f t="shared" si="1331"/>
        <v>0</v>
      </c>
      <c r="FB205" s="270">
        <f t="shared" si="1331"/>
        <v>0</v>
      </c>
      <c r="FC205" s="270">
        <f t="shared" si="1331"/>
        <v>0</v>
      </c>
      <c r="FD205" s="271"/>
      <c r="FE205" s="271"/>
      <c r="FF205" s="271"/>
      <c r="FG205" s="215"/>
      <c r="FH205" s="215"/>
    </row>
    <row r="206" ht="11.25" customHeight="1">
      <c r="A206" s="215" t="str">
        <f t="shared" si="19"/>
        <v/>
      </c>
      <c r="B206" s="241" t="str">
        <f t="shared" si="600"/>
        <v>#N/A</v>
      </c>
      <c r="C206" s="271" t="str">
        <f>IF(A206="","",IF(Calculator!snowball,IF(($E$5-DY206)&lt;0,0,$E$5-DY206),0)+D206)</f>
        <v/>
      </c>
      <c r="D206" s="271"/>
      <c r="E206" s="270">
        <f t="shared" si="40"/>
        <v>0</v>
      </c>
      <c r="F206" s="270">
        <f t="shared" ref="F206:AG206" si="1332">CU206+EB207</f>
        <v>0</v>
      </c>
      <c r="G206" s="270">
        <f t="shared" si="1332"/>
        <v>0</v>
      </c>
      <c r="H206" s="270">
        <f t="shared" si="1332"/>
        <v>0</v>
      </c>
      <c r="I206" s="270">
        <f t="shared" si="1332"/>
        <v>0</v>
      </c>
      <c r="J206" s="270">
        <f t="shared" si="1332"/>
        <v>0</v>
      </c>
      <c r="K206" s="270">
        <f t="shared" si="1332"/>
        <v>0</v>
      </c>
      <c r="L206" s="270">
        <f t="shared" si="1332"/>
        <v>0</v>
      </c>
      <c r="M206" s="270">
        <f t="shared" si="1332"/>
        <v>0</v>
      </c>
      <c r="N206" s="270">
        <f t="shared" si="1332"/>
        <v>0</v>
      </c>
      <c r="O206" s="270">
        <f t="shared" si="1332"/>
        <v>0</v>
      </c>
      <c r="P206" s="272">
        <f t="shared" si="1332"/>
        <v>0</v>
      </c>
      <c r="Q206" s="272">
        <f t="shared" si="1332"/>
        <v>0</v>
      </c>
      <c r="R206" s="272">
        <f t="shared" si="1332"/>
        <v>0</v>
      </c>
      <c r="S206" s="272">
        <f t="shared" si="1332"/>
        <v>0</v>
      </c>
      <c r="T206" s="272">
        <f t="shared" si="1332"/>
        <v>0</v>
      </c>
      <c r="U206" s="270">
        <f t="shared" si="1332"/>
        <v>0</v>
      </c>
      <c r="V206" s="270">
        <f t="shared" si="1332"/>
        <v>0</v>
      </c>
      <c r="W206" s="270">
        <f t="shared" si="1332"/>
        <v>0</v>
      </c>
      <c r="X206" s="270">
        <f t="shared" si="1332"/>
        <v>0</v>
      </c>
      <c r="Y206" s="270">
        <f t="shared" si="1332"/>
        <v>0</v>
      </c>
      <c r="Z206" s="270">
        <f t="shared" si="1332"/>
        <v>0</v>
      </c>
      <c r="AA206" s="270">
        <f t="shared" si="1332"/>
        <v>0</v>
      </c>
      <c r="AB206" s="270">
        <f t="shared" si="1332"/>
        <v>0</v>
      </c>
      <c r="AC206" s="270">
        <f t="shared" si="1332"/>
        <v>0</v>
      </c>
      <c r="AD206" s="270">
        <f t="shared" si="1332"/>
        <v>0</v>
      </c>
      <c r="AE206" s="270">
        <f t="shared" si="1332"/>
        <v>0</v>
      </c>
      <c r="AF206" s="270">
        <f t="shared" si="1332"/>
        <v>0</v>
      </c>
      <c r="AG206" s="270">
        <f t="shared" si="1332"/>
        <v>0</v>
      </c>
      <c r="AH206" s="279">
        <f t="shared" si="602"/>
        <v>0</v>
      </c>
      <c r="AI206" s="270">
        <f t="shared" si="43"/>
        <v>0</v>
      </c>
      <c r="AJ206" s="270">
        <f t="shared" ref="AJ206:AO206" si="1333">IF(F$8=0,0,ROUND(AJ205-(F206-BO206),2))</f>
        <v>0</v>
      </c>
      <c r="AK206" s="270">
        <f t="shared" si="1333"/>
        <v>0</v>
      </c>
      <c r="AL206" s="270">
        <f t="shared" si="1333"/>
        <v>0</v>
      </c>
      <c r="AM206" s="270">
        <f t="shared" si="1333"/>
        <v>0</v>
      </c>
      <c r="AN206" s="270">
        <f t="shared" si="1333"/>
        <v>0</v>
      </c>
      <c r="AO206" s="270">
        <f t="shared" si="1333"/>
        <v>0</v>
      </c>
      <c r="AP206" s="270">
        <v>0.0</v>
      </c>
      <c r="AQ206" s="270">
        <f t="shared" ref="AQ206:AS206" si="1334">IF(M$8=0,0,ROUND(AQ205-(M206-BV206),2))</f>
        <v>0</v>
      </c>
      <c r="AR206" s="270">
        <f t="shared" si="1334"/>
        <v>0</v>
      </c>
      <c r="AS206" s="270">
        <f t="shared" si="1334"/>
        <v>0</v>
      </c>
      <c r="AT206" s="270">
        <f t="shared" si="605"/>
        <v>-6.22</v>
      </c>
      <c r="AU206" s="270">
        <f t="shared" ref="AU206:BK206" si="1335">IF(Q$8=0,0,ROUND(AU205-(Q206-BY206),2))</f>
        <v>-13.33</v>
      </c>
      <c r="AV206" s="270">
        <f t="shared" si="1335"/>
        <v>0</v>
      </c>
      <c r="AW206" s="270">
        <f t="shared" si="1335"/>
        <v>0</v>
      </c>
      <c r="AX206" s="270">
        <f t="shared" si="1335"/>
        <v>0</v>
      </c>
      <c r="AY206" s="270">
        <f t="shared" si="1335"/>
        <v>0</v>
      </c>
      <c r="AZ206" s="270">
        <f t="shared" si="1335"/>
        <v>0</v>
      </c>
      <c r="BA206" s="270">
        <f t="shared" si="1335"/>
        <v>0</v>
      </c>
      <c r="BB206" s="270">
        <f t="shared" si="1335"/>
        <v>0</v>
      </c>
      <c r="BC206" s="270">
        <f t="shared" si="1335"/>
        <v>0</v>
      </c>
      <c r="BD206" s="270">
        <f t="shared" si="1335"/>
        <v>0</v>
      </c>
      <c r="BE206" s="270">
        <f t="shared" si="1335"/>
        <v>0</v>
      </c>
      <c r="BF206" s="270">
        <f t="shared" si="1335"/>
        <v>0</v>
      </c>
      <c r="BG206" s="270">
        <f t="shared" si="1335"/>
        <v>0</v>
      </c>
      <c r="BH206" s="270">
        <f t="shared" si="1335"/>
        <v>0</v>
      </c>
      <c r="BI206" s="270">
        <f t="shared" si="1335"/>
        <v>0</v>
      </c>
      <c r="BJ206" s="270">
        <f t="shared" si="1335"/>
        <v>0</v>
      </c>
      <c r="BK206" s="270">
        <f t="shared" si="1335"/>
        <v>0</v>
      </c>
      <c r="BL206" s="265">
        <f t="shared" si="16"/>
        <v>-19.55</v>
      </c>
      <c r="BM206" s="215"/>
      <c r="BN206" s="270">
        <f t="shared" ref="BN206:CP206" si="1336">ROUND(AI205*E$9/12,2)</f>
        <v>0</v>
      </c>
      <c r="BO206" s="270">
        <f t="shared" si="1336"/>
        <v>0</v>
      </c>
      <c r="BP206" s="270">
        <f t="shared" si="1336"/>
        <v>0</v>
      </c>
      <c r="BQ206" s="270">
        <f t="shared" si="1336"/>
        <v>0</v>
      </c>
      <c r="BR206" s="270">
        <f t="shared" si="1336"/>
        <v>0</v>
      </c>
      <c r="BS206" s="270">
        <f t="shared" si="1336"/>
        <v>0</v>
      </c>
      <c r="BT206" s="270">
        <f t="shared" si="1336"/>
        <v>0</v>
      </c>
      <c r="BU206" s="270">
        <f t="shared" si="1336"/>
        <v>0</v>
      </c>
      <c r="BV206" s="270">
        <f t="shared" si="1336"/>
        <v>0</v>
      </c>
      <c r="BW206" s="270">
        <f t="shared" si="1336"/>
        <v>0</v>
      </c>
      <c r="BX206" s="270">
        <f t="shared" si="1336"/>
        <v>0</v>
      </c>
      <c r="BY206" s="270">
        <f t="shared" si="1336"/>
        <v>-0.05</v>
      </c>
      <c r="BZ206" s="270">
        <f t="shared" si="1336"/>
        <v>-0.04</v>
      </c>
      <c r="CA206" s="270">
        <f t="shared" si="1336"/>
        <v>0</v>
      </c>
      <c r="CB206" s="270">
        <f t="shared" si="1336"/>
        <v>0</v>
      </c>
      <c r="CC206" s="270">
        <f t="shared" si="1336"/>
        <v>0</v>
      </c>
      <c r="CD206" s="270">
        <f t="shared" si="1336"/>
        <v>0</v>
      </c>
      <c r="CE206" s="270">
        <f t="shared" si="1336"/>
        <v>0</v>
      </c>
      <c r="CF206" s="270">
        <f t="shared" si="1336"/>
        <v>0</v>
      </c>
      <c r="CG206" s="270">
        <f t="shared" si="1336"/>
        <v>0</v>
      </c>
      <c r="CH206" s="270">
        <f t="shared" si="1336"/>
        <v>0</v>
      </c>
      <c r="CI206" s="270">
        <f t="shared" si="1336"/>
        <v>0</v>
      </c>
      <c r="CJ206" s="270">
        <f t="shared" si="1336"/>
        <v>0</v>
      </c>
      <c r="CK206" s="270">
        <f t="shared" si="1336"/>
        <v>0</v>
      </c>
      <c r="CL206" s="270">
        <f t="shared" si="1336"/>
        <v>0</v>
      </c>
      <c r="CM206" s="270">
        <f t="shared" si="1336"/>
        <v>0</v>
      </c>
      <c r="CN206" s="270">
        <f t="shared" si="1336"/>
        <v>0</v>
      </c>
      <c r="CO206" s="270">
        <f t="shared" si="1336"/>
        <v>0</v>
      </c>
      <c r="CP206" s="270">
        <f t="shared" si="1336"/>
        <v>0</v>
      </c>
      <c r="CQ206" s="215"/>
      <c r="CR206" s="270">
        <f t="shared" si="27"/>
        <v>-0.09</v>
      </c>
      <c r="CS206" s="215"/>
      <c r="CT206" s="270">
        <f t="shared" ref="CT206:DX206" si="1337">IF(AI205&gt;0,IF((AI205+BN206)&lt;E$10,AI205+BN206,E$10),0)</f>
        <v>0</v>
      </c>
      <c r="CU206" s="270">
        <f t="shared" si="1337"/>
        <v>0</v>
      </c>
      <c r="CV206" s="270">
        <f t="shared" si="1337"/>
        <v>0</v>
      </c>
      <c r="CW206" s="270">
        <f t="shared" si="1337"/>
        <v>0</v>
      </c>
      <c r="CX206" s="270">
        <f t="shared" si="1337"/>
        <v>0</v>
      </c>
      <c r="CY206" s="270">
        <f t="shared" si="1337"/>
        <v>0</v>
      </c>
      <c r="CZ206" s="270">
        <f t="shared" si="1337"/>
        <v>0</v>
      </c>
      <c r="DA206" s="270">
        <f t="shared" si="1337"/>
        <v>0</v>
      </c>
      <c r="DB206" s="270">
        <f t="shared" si="1337"/>
        <v>0</v>
      </c>
      <c r="DC206" s="270">
        <f t="shared" si="1337"/>
        <v>0</v>
      </c>
      <c r="DD206" s="270">
        <f t="shared" si="1337"/>
        <v>0</v>
      </c>
      <c r="DE206" s="270">
        <f t="shared" si="1337"/>
        <v>0</v>
      </c>
      <c r="DF206" s="270">
        <f t="shared" si="1337"/>
        <v>0</v>
      </c>
      <c r="DG206" s="270">
        <f t="shared" si="1337"/>
        <v>0</v>
      </c>
      <c r="DH206" s="270">
        <f t="shared" si="1337"/>
        <v>0</v>
      </c>
      <c r="DI206" s="270">
        <f t="shared" si="1337"/>
        <v>0</v>
      </c>
      <c r="DJ206" s="270">
        <f t="shared" si="1337"/>
        <v>0</v>
      </c>
      <c r="DK206" s="270">
        <f t="shared" si="1337"/>
        <v>0</v>
      </c>
      <c r="DL206" s="270">
        <f t="shared" si="1337"/>
        <v>0</v>
      </c>
      <c r="DM206" s="270">
        <f t="shared" si="1337"/>
        <v>0</v>
      </c>
      <c r="DN206" s="270">
        <f t="shared" si="1337"/>
        <v>0</v>
      </c>
      <c r="DO206" s="270">
        <f t="shared" si="1337"/>
        <v>0</v>
      </c>
      <c r="DP206" s="270">
        <f t="shared" si="1337"/>
        <v>0</v>
      </c>
      <c r="DQ206" s="270">
        <f t="shared" si="1337"/>
        <v>0</v>
      </c>
      <c r="DR206" s="270">
        <f t="shared" si="1337"/>
        <v>0</v>
      </c>
      <c r="DS206" s="270">
        <f t="shared" si="1337"/>
        <v>0</v>
      </c>
      <c r="DT206" s="270">
        <f t="shared" si="1337"/>
        <v>0</v>
      </c>
      <c r="DU206" s="270">
        <f t="shared" si="1337"/>
        <v>0</v>
      </c>
      <c r="DV206" s="270">
        <f t="shared" si="1337"/>
        <v>0</v>
      </c>
      <c r="DW206" s="270">
        <f t="shared" si="1337"/>
        <v>0</v>
      </c>
      <c r="DX206" s="270">
        <f t="shared" si="1337"/>
        <v>0</v>
      </c>
      <c r="DY206" s="270">
        <f t="shared" si="29"/>
        <v>0</v>
      </c>
      <c r="DZ206" s="274"/>
      <c r="EA206" s="275">
        <f t="shared" si="38"/>
        <v>0</v>
      </c>
      <c r="EB206" s="270">
        <f t="shared" ref="EB206:FC206" si="1338">IF(AJ204&lt;=0,0,IF($C205&lt;=SUM($EA206:EA206),0,IF(CU205+$C205-SUM($EA206:EA206)&gt;AJ204+BO205,AJ204+BO205-CU205,$C205-SUM($EA206:EA206))))</f>
        <v>0</v>
      </c>
      <c r="EC206" s="270">
        <f t="shared" si="1338"/>
        <v>0</v>
      </c>
      <c r="ED206" s="270">
        <f t="shared" si="1338"/>
        <v>0</v>
      </c>
      <c r="EE206" s="270">
        <f t="shared" si="1338"/>
        <v>0</v>
      </c>
      <c r="EF206" s="270">
        <f t="shared" si="1338"/>
        <v>0</v>
      </c>
      <c r="EG206" s="270">
        <f t="shared" si="1338"/>
        <v>0</v>
      </c>
      <c r="EH206" s="270">
        <f t="shared" si="1338"/>
        <v>0</v>
      </c>
      <c r="EI206" s="270">
        <f t="shared" si="1338"/>
        <v>0</v>
      </c>
      <c r="EJ206" s="270">
        <f t="shared" si="1338"/>
        <v>0</v>
      </c>
      <c r="EK206" s="270">
        <f t="shared" si="1338"/>
        <v>0</v>
      </c>
      <c r="EL206" s="270">
        <f t="shared" si="1338"/>
        <v>0</v>
      </c>
      <c r="EM206" s="270">
        <f t="shared" si="1338"/>
        <v>0</v>
      </c>
      <c r="EN206" s="270">
        <f t="shared" si="1338"/>
        <v>0</v>
      </c>
      <c r="EO206" s="270">
        <f t="shared" si="1338"/>
        <v>0</v>
      </c>
      <c r="EP206" s="270">
        <f t="shared" si="1338"/>
        <v>0</v>
      </c>
      <c r="EQ206" s="270">
        <f t="shared" si="1338"/>
        <v>0</v>
      </c>
      <c r="ER206" s="270">
        <f t="shared" si="1338"/>
        <v>0</v>
      </c>
      <c r="ES206" s="270">
        <f t="shared" si="1338"/>
        <v>0</v>
      </c>
      <c r="ET206" s="270">
        <f t="shared" si="1338"/>
        <v>0</v>
      </c>
      <c r="EU206" s="270">
        <f t="shared" si="1338"/>
        <v>0</v>
      </c>
      <c r="EV206" s="270">
        <f t="shared" si="1338"/>
        <v>0</v>
      </c>
      <c r="EW206" s="270">
        <f t="shared" si="1338"/>
        <v>0</v>
      </c>
      <c r="EX206" s="270">
        <f t="shared" si="1338"/>
        <v>0</v>
      </c>
      <c r="EY206" s="270">
        <f t="shared" si="1338"/>
        <v>0</v>
      </c>
      <c r="EZ206" s="270">
        <f t="shared" si="1338"/>
        <v>0</v>
      </c>
      <c r="FA206" s="270">
        <f t="shared" si="1338"/>
        <v>0</v>
      </c>
      <c r="FB206" s="270">
        <f t="shared" si="1338"/>
        <v>0</v>
      </c>
      <c r="FC206" s="270">
        <f t="shared" si="1338"/>
        <v>0</v>
      </c>
      <c r="FD206" s="271"/>
      <c r="FE206" s="271"/>
      <c r="FF206" s="271"/>
      <c r="FG206" s="215"/>
      <c r="FH206" s="215"/>
    </row>
    <row r="207" ht="11.25" customHeight="1">
      <c r="A207" s="215" t="str">
        <f t="shared" si="19"/>
        <v/>
      </c>
      <c r="B207" s="241" t="str">
        <f t="shared" si="600"/>
        <v>#N/A</v>
      </c>
      <c r="C207" s="271" t="str">
        <f>IF(A207="","",IF(Calculator!snowball,IF(($E$5-DY207)&lt;0,0,$E$5-DY207),0)+D207)</f>
        <v/>
      </c>
      <c r="D207" s="271"/>
      <c r="E207" s="270">
        <f t="shared" si="40"/>
        <v>0</v>
      </c>
      <c r="F207" s="270">
        <f t="shared" ref="F207:AG207" si="1339">CU207+EB208</f>
        <v>0</v>
      </c>
      <c r="G207" s="270">
        <f t="shared" si="1339"/>
        <v>0</v>
      </c>
      <c r="H207" s="270">
        <f t="shared" si="1339"/>
        <v>0</v>
      </c>
      <c r="I207" s="270">
        <f t="shared" si="1339"/>
        <v>0</v>
      </c>
      <c r="J207" s="270">
        <f t="shared" si="1339"/>
        <v>0</v>
      </c>
      <c r="K207" s="270">
        <f t="shared" si="1339"/>
        <v>0</v>
      </c>
      <c r="L207" s="270">
        <f t="shared" si="1339"/>
        <v>0</v>
      </c>
      <c r="M207" s="270">
        <f t="shared" si="1339"/>
        <v>0</v>
      </c>
      <c r="N207" s="270">
        <f t="shared" si="1339"/>
        <v>0</v>
      </c>
      <c r="O207" s="270">
        <f t="shared" si="1339"/>
        <v>0</v>
      </c>
      <c r="P207" s="272">
        <f t="shared" si="1339"/>
        <v>0</v>
      </c>
      <c r="Q207" s="272">
        <f t="shared" si="1339"/>
        <v>0</v>
      </c>
      <c r="R207" s="272">
        <f t="shared" si="1339"/>
        <v>0</v>
      </c>
      <c r="S207" s="272">
        <f t="shared" si="1339"/>
        <v>0</v>
      </c>
      <c r="T207" s="272">
        <f t="shared" si="1339"/>
        <v>0</v>
      </c>
      <c r="U207" s="270">
        <f t="shared" si="1339"/>
        <v>0</v>
      </c>
      <c r="V207" s="270">
        <f t="shared" si="1339"/>
        <v>0</v>
      </c>
      <c r="W207" s="270">
        <f t="shared" si="1339"/>
        <v>0</v>
      </c>
      <c r="X207" s="270">
        <f t="shared" si="1339"/>
        <v>0</v>
      </c>
      <c r="Y207" s="270">
        <f t="shared" si="1339"/>
        <v>0</v>
      </c>
      <c r="Z207" s="270">
        <f t="shared" si="1339"/>
        <v>0</v>
      </c>
      <c r="AA207" s="270">
        <f t="shared" si="1339"/>
        <v>0</v>
      </c>
      <c r="AB207" s="270">
        <f t="shared" si="1339"/>
        <v>0</v>
      </c>
      <c r="AC207" s="270">
        <f t="shared" si="1339"/>
        <v>0</v>
      </c>
      <c r="AD207" s="270">
        <f t="shared" si="1339"/>
        <v>0</v>
      </c>
      <c r="AE207" s="270">
        <f t="shared" si="1339"/>
        <v>0</v>
      </c>
      <c r="AF207" s="270">
        <f t="shared" si="1339"/>
        <v>0</v>
      </c>
      <c r="AG207" s="270">
        <f t="shared" si="1339"/>
        <v>0</v>
      </c>
      <c r="AH207" s="279">
        <f t="shared" si="602"/>
        <v>0</v>
      </c>
      <c r="AI207" s="270">
        <f t="shared" si="43"/>
        <v>0</v>
      </c>
      <c r="AJ207" s="270">
        <f t="shared" ref="AJ207:AO207" si="1340">IF(F$8=0,0,ROUND(AJ206-(F207-BO207),2))</f>
        <v>0</v>
      </c>
      <c r="AK207" s="270">
        <f t="shared" si="1340"/>
        <v>0</v>
      </c>
      <c r="AL207" s="270">
        <f t="shared" si="1340"/>
        <v>0</v>
      </c>
      <c r="AM207" s="270">
        <f t="shared" si="1340"/>
        <v>0</v>
      </c>
      <c r="AN207" s="270">
        <f t="shared" si="1340"/>
        <v>0</v>
      </c>
      <c r="AO207" s="270">
        <f t="shared" si="1340"/>
        <v>0</v>
      </c>
      <c r="AP207" s="270">
        <v>0.0</v>
      </c>
      <c r="AQ207" s="270">
        <f t="shared" ref="AQ207:AS207" si="1341">IF(M$8=0,0,ROUND(AQ206-(M207-BV207),2))</f>
        <v>0</v>
      </c>
      <c r="AR207" s="270">
        <f t="shared" si="1341"/>
        <v>0</v>
      </c>
      <c r="AS207" s="270">
        <f t="shared" si="1341"/>
        <v>0</v>
      </c>
      <c r="AT207" s="270">
        <f t="shared" si="605"/>
        <v>-6.22</v>
      </c>
      <c r="AU207" s="270">
        <f t="shared" ref="AU207:BK207" si="1342">IF(Q$8=0,0,ROUND(AU206-(Q207-BY207),2))</f>
        <v>-13.38</v>
      </c>
      <c r="AV207" s="270">
        <f t="shared" si="1342"/>
        <v>0</v>
      </c>
      <c r="AW207" s="270">
        <f t="shared" si="1342"/>
        <v>0</v>
      </c>
      <c r="AX207" s="270">
        <f t="shared" si="1342"/>
        <v>0</v>
      </c>
      <c r="AY207" s="270">
        <f t="shared" si="1342"/>
        <v>0</v>
      </c>
      <c r="AZ207" s="270">
        <f t="shared" si="1342"/>
        <v>0</v>
      </c>
      <c r="BA207" s="270">
        <f t="shared" si="1342"/>
        <v>0</v>
      </c>
      <c r="BB207" s="270">
        <f t="shared" si="1342"/>
        <v>0</v>
      </c>
      <c r="BC207" s="270">
        <f t="shared" si="1342"/>
        <v>0</v>
      </c>
      <c r="BD207" s="270">
        <f t="shared" si="1342"/>
        <v>0</v>
      </c>
      <c r="BE207" s="270">
        <f t="shared" si="1342"/>
        <v>0</v>
      </c>
      <c r="BF207" s="270">
        <f t="shared" si="1342"/>
        <v>0</v>
      </c>
      <c r="BG207" s="270">
        <f t="shared" si="1342"/>
        <v>0</v>
      </c>
      <c r="BH207" s="270">
        <f t="shared" si="1342"/>
        <v>0</v>
      </c>
      <c r="BI207" s="270">
        <f t="shared" si="1342"/>
        <v>0</v>
      </c>
      <c r="BJ207" s="270">
        <f t="shared" si="1342"/>
        <v>0</v>
      </c>
      <c r="BK207" s="270">
        <f t="shared" si="1342"/>
        <v>0</v>
      </c>
      <c r="BL207" s="265">
        <f t="shared" si="16"/>
        <v>-19.6</v>
      </c>
      <c r="BM207" s="215"/>
      <c r="BN207" s="270">
        <f t="shared" ref="BN207:CP207" si="1343">ROUND(AI206*E$9/12,2)</f>
        <v>0</v>
      </c>
      <c r="BO207" s="270">
        <f t="shared" si="1343"/>
        <v>0</v>
      </c>
      <c r="BP207" s="270">
        <f t="shared" si="1343"/>
        <v>0</v>
      </c>
      <c r="BQ207" s="270">
        <f t="shared" si="1343"/>
        <v>0</v>
      </c>
      <c r="BR207" s="270">
        <f t="shared" si="1343"/>
        <v>0</v>
      </c>
      <c r="BS207" s="270">
        <f t="shared" si="1343"/>
        <v>0</v>
      </c>
      <c r="BT207" s="270">
        <f t="shared" si="1343"/>
        <v>0</v>
      </c>
      <c r="BU207" s="270">
        <f t="shared" si="1343"/>
        <v>0</v>
      </c>
      <c r="BV207" s="270">
        <f t="shared" si="1343"/>
        <v>0</v>
      </c>
      <c r="BW207" s="270">
        <f t="shared" si="1343"/>
        <v>0</v>
      </c>
      <c r="BX207" s="270">
        <f t="shared" si="1343"/>
        <v>0</v>
      </c>
      <c r="BY207" s="270">
        <f t="shared" si="1343"/>
        <v>-0.05</v>
      </c>
      <c r="BZ207" s="270">
        <f t="shared" si="1343"/>
        <v>-0.04</v>
      </c>
      <c r="CA207" s="270">
        <f t="shared" si="1343"/>
        <v>0</v>
      </c>
      <c r="CB207" s="270">
        <f t="shared" si="1343"/>
        <v>0</v>
      </c>
      <c r="CC207" s="270">
        <f t="shared" si="1343"/>
        <v>0</v>
      </c>
      <c r="CD207" s="270">
        <f t="shared" si="1343"/>
        <v>0</v>
      </c>
      <c r="CE207" s="270">
        <f t="shared" si="1343"/>
        <v>0</v>
      </c>
      <c r="CF207" s="270">
        <f t="shared" si="1343"/>
        <v>0</v>
      </c>
      <c r="CG207" s="270">
        <f t="shared" si="1343"/>
        <v>0</v>
      </c>
      <c r="CH207" s="270">
        <f t="shared" si="1343"/>
        <v>0</v>
      </c>
      <c r="CI207" s="270">
        <f t="shared" si="1343"/>
        <v>0</v>
      </c>
      <c r="CJ207" s="270">
        <f t="shared" si="1343"/>
        <v>0</v>
      </c>
      <c r="CK207" s="270">
        <f t="shared" si="1343"/>
        <v>0</v>
      </c>
      <c r="CL207" s="270">
        <f t="shared" si="1343"/>
        <v>0</v>
      </c>
      <c r="CM207" s="270">
        <f t="shared" si="1343"/>
        <v>0</v>
      </c>
      <c r="CN207" s="270">
        <f t="shared" si="1343"/>
        <v>0</v>
      </c>
      <c r="CO207" s="270">
        <f t="shared" si="1343"/>
        <v>0</v>
      </c>
      <c r="CP207" s="270">
        <f t="shared" si="1343"/>
        <v>0</v>
      </c>
      <c r="CQ207" s="215"/>
      <c r="CR207" s="270">
        <f t="shared" si="27"/>
        <v>-0.09</v>
      </c>
      <c r="CS207" s="215"/>
      <c r="CT207" s="270">
        <f t="shared" ref="CT207:DX207" si="1344">IF(AI206&gt;0,IF((AI206+BN207)&lt;E$10,AI206+BN207,E$10),0)</f>
        <v>0</v>
      </c>
      <c r="CU207" s="270">
        <f t="shared" si="1344"/>
        <v>0</v>
      </c>
      <c r="CV207" s="270">
        <f t="shared" si="1344"/>
        <v>0</v>
      </c>
      <c r="CW207" s="270">
        <f t="shared" si="1344"/>
        <v>0</v>
      </c>
      <c r="CX207" s="270">
        <f t="shared" si="1344"/>
        <v>0</v>
      </c>
      <c r="CY207" s="270">
        <f t="shared" si="1344"/>
        <v>0</v>
      </c>
      <c r="CZ207" s="270">
        <f t="shared" si="1344"/>
        <v>0</v>
      </c>
      <c r="DA207" s="270">
        <f t="shared" si="1344"/>
        <v>0</v>
      </c>
      <c r="DB207" s="270">
        <f t="shared" si="1344"/>
        <v>0</v>
      </c>
      <c r="DC207" s="270">
        <f t="shared" si="1344"/>
        <v>0</v>
      </c>
      <c r="DD207" s="270">
        <f t="shared" si="1344"/>
        <v>0</v>
      </c>
      <c r="DE207" s="270">
        <f t="shared" si="1344"/>
        <v>0</v>
      </c>
      <c r="DF207" s="270">
        <f t="shared" si="1344"/>
        <v>0</v>
      </c>
      <c r="DG207" s="270">
        <f t="shared" si="1344"/>
        <v>0</v>
      </c>
      <c r="DH207" s="270">
        <f t="shared" si="1344"/>
        <v>0</v>
      </c>
      <c r="DI207" s="270">
        <f t="shared" si="1344"/>
        <v>0</v>
      </c>
      <c r="DJ207" s="270">
        <f t="shared" si="1344"/>
        <v>0</v>
      </c>
      <c r="DK207" s="270">
        <f t="shared" si="1344"/>
        <v>0</v>
      </c>
      <c r="DL207" s="270">
        <f t="shared" si="1344"/>
        <v>0</v>
      </c>
      <c r="DM207" s="270">
        <f t="shared" si="1344"/>
        <v>0</v>
      </c>
      <c r="DN207" s="270">
        <f t="shared" si="1344"/>
        <v>0</v>
      </c>
      <c r="DO207" s="270">
        <f t="shared" si="1344"/>
        <v>0</v>
      </c>
      <c r="DP207" s="270">
        <f t="shared" si="1344"/>
        <v>0</v>
      </c>
      <c r="DQ207" s="270">
        <f t="shared" si="1344"/>
        <v>0</v>
      </c>
      <c r="DR207" s="270">
        <f t="shared" si="1344"/>
        <v>0</v>
      </c>
      <c r="DS207" s="270">
        <f t="shared" si="1344"/>
        <v>0</v>
      </c>
      <c r="DT207" s="270">
        <f t="shared" si="1344"/>
        <v>0</v>
      </c>
      <c r="DU207" s="270">
        <f t="shared" si="1344"/>
        <v>0</v>
      </c>
      <c r="DV207" s="270">
        <f t="shared" si="1344"/>
        <v>0</v>
      </c>
      <c r="DW207" s="270">
        <f t="shared" si="1344"/>
        <v>0</v>
      </c>
      <c r="DX207" s="270">
        <f t="shared" si="1344"/>
        <v>0</v>
      </c>
      <c r="DY207" s="270">
        <f t="shared" si="29"/>
        <v>0</v>
      </c>
      <c r="DZ207" s="274"/>
      <c r="EA207" s="275">
        <f t="shared" si="38"/>
        <v>0</v>
      </c>
      <c r="EB207" s="270">
        <f t="shared" ref="EB207:FC207" si="1345">IF(AJ205&lt;=0,0,IF($C206&lt;=SUM($EA207:EA207),0,IF(CU206+$C206-SUM($EA207:EA207)&gt;AJ205+BO206,AJ205+BO206-CU206,$C206-SUM($EA207:EA207))))</f>
        <v>0</v>
      </c>
      <c r="EC207" s="270">
        <f t="shared" si="1345"/>
        <v>0</v>
      </c>
      <c r="ED207" s="270">
        <f t="shared" si="1345"/>
        <v>0</v>
      </c>
      <c r="EE207" s="270">
        <f t="shared" si="1345"/>
        <v>0</v>
      </c>
      <c r="EF207" s="270">
        <f t="shared" si="1345"/>
        <v>0</v>
      </c>
      <c r="EG207" s="270">
        <f t="shared" si="1345"/>
        <v>0</v>
      </c>
      <c r="EH207" s="270">
        <f t="shared" si="1345"/>
        <v>0</v>
      </c>
      <c r="EI207" s="270">
        <f t="shared" si="1345"/>
        <v>0</v>
      </c>
      <c r="EJ207" s="270">
        <f t="shared" si="1345"/>
        <v>0</v>
      </c>
      <c r="EK207" s="270">
        <f t="shared" si="1345"/>
        <v>0</v>
      </c>
      <c r="EL207" s="270">
        <f t="shared" si="1345"/>
        <v>0</v>
      </c>
      <c r="EM207" s="270">
        <f t="shared" si="1345"/>
        <v>0</v>
      </c>
      <c r="EN207" s="270">
        <f t="shared" si="1345"/>
        <v>0</v>
      </c>
      <c r="EO207" s="270">
        <f t="shared" si="1345"/>
        <v>0</v>
      </c>
      <c r="EP207" s="270">
        <f t="shared" si="1345"/>
        <v>0</v>
      </c>
      <c r="EQ207" s="270">
        <f t="shared" si="1345"/>
        <v>0</v>
      </c>
      <c r="ER207" s="270">
        <f t="shared" si="1345"/>
        <v>0</v>
      </c>
      <c r="ES207" s="270">
        <f t="shared" si="1345"/>
        <v>0</v>
      </c>
      <c r="ET207" s="270">
        <f t="shared" si="1345"/>
        <v>0</v>
      </c>
      <c r="EU207" s="270">
        <f t="shared" si="1345"/>
        <v>0</v>
      </c>
      <c r="EV207" s="270">
        <f t="shared" si="1345"/>
        <v>0</v>
      </c>
      <c r="EW207" s="270">
        <f t="shared" si="1345"/>
        <v>0</v>
      </c>
      <c r="EX207" s="270">
        <f t="shared" si="1345"/>
        <v>0</v>
      </c>
      <c r="EY207" s="270">
        <f t="shared" si="1345"/>
        <v>0</v>
      </c>
      <c r="EZ207" s="270">
        <f t="shared" si="1345"/>
        <v>0</v>
      </c>
      <c r="FA207" s="270">
        <f t="shared" si="1345"/>
        <v>0</v>
      </c>
      <c r="FB207" s="270">
        <f t="shared" si="1345"/>
        <v>0</v>
      </c>
      <c r="FC207" s="270">
        <f t="shared" si="1345"/>
        <v>0</v>
      </c>
      <c r="FD207" s="271"/>
      <c r="FE207" s="271"/>
      <c r="FF207" s="271"/>
      <c r="FG207" s="215"/>
      <c r="FH207" s="215"/>
    </row>
    <row r="208" ht="11.25" customHeight="1">
      <c r="A208" s="215" t="str">
        <f t="shared" si="19"/>
        <v/>
      </c>
      <c r="B208" s="241" t="str">
        <f t="shared" si="600"/>
        <v>#N/A</v>
      </c>
      <c r="C208" s="271" t="str">
        <f>IF(A208="","",IF(Calculator!snowball,IF(($E$5-DY208)&lt;0,0,$E$5-DY208),0)+D208)</f>
        <v/>
      </c>
      <c r="D208" s="271"/>
      <c r="E208" s="270">
        <f t="shared" si="40"/>
        <v>0</v>
      </c>
      <c r="F208" s="270">
        <f t="shared" ref="F208:AG208" si="1346">CU208+EB209</f>
        <v>0</v>
      </c>
      <c r="G208" s="270">
        <f t="shared" si="1346"/>
        <v>0</v>
      </c>
      <c r="H208" s="270">
        <f t="shared" si="1346"/>
        <v>0</v>
      </c>
      <c r="I208" s="270">
        <f t="shared" si="1346"/>
        <v>0</v>
      </c>
      <c r="J208" s="270">
        <f t="shared" si="1346"/>
        <v>0</v>
      </c>
      <c r="K208" s="270">
        <f t="shared" si="1346"/>
        <v>0</v>
      </c>
      <c r="L208" s="270">
        <f t="shared" si="1346"/>
        <v>0</v>
      </c>
      <c r="M208" s="270">
        <f t="shared" si="1346"/>
        <v>0</v>
      </c>
      <c r="N208" s="270">
        <f t="shared" si="1346"/>
        <v>0</v>
      </c>
      <c r="O208" s="270">
        <f t="shared" si="1346"/>
        <v>0</v>
      </c>
      <c r="P208" s="272">
        <f t="shared" si="1346"/>
        <v>0</v>
      </c>
      <c r="Q208" s="272">
        <f t="shared" si="1346"/>
        <v>0</v>
      </c>
      <c r="R208" s="272">
        <f t="shared" si="1346"/>
        <v>0</v>
      </c>
      <c r="S208" s="272">
        <f t="shared" si="1346"/>
        <v>0</v>
      </c>
      <c r="T208" s="272">
        <f t="shared" si="1346"/>
        <v>0</v>
      </c>
      <c r="U208" s="270">
        <f t="shared" si="1346"/>
        <v>0</v>
      </c>
      <c r="V208" s="270">
        <f t="shared" si="1346"/>
        <v>0</v>
      </c>
      <c r="W208" s="270">
        <f t="shared" si="1346"/>
        <v>0</v>
      </c>
      <c r="X208" s="270">
        <f t="shared" si="1346"/>
        <v>0</v>
      </c>
      <c r="Y208" s="270">
        <f t="shared" si="1346"/>
        <v>0</v>
      </c>
      <c r="Z208" s="270">
        <f t="shared" si="1346"/>
        <v>0</v>
      </c>
      <c r="AA208" s="270">
        <f t="shared" si="1346"/>
        <v>0</v>
      </c>
      <c r="AB208" s="270">
        <f t="shared" si="1346"/>
        <v>0</v>
      </c>
      <c r="AC208" s="270">
        <f t="shared" si="1346"/>
        <v>0</v>
      </c>
      <c r="AD208" s="270">
        <f t="shared" si="1346"/>
        <v>0</v>
      </c>
      <c r="AE208" s="270">
        <f t="shared" si="1346"/>
        <v>0</v>
      </c>
      <c r="AF208" s="270">
        <f t="shared" si="1346"/>
        <v>0</v>
      </c>
      <c r="AG208" s="270">
        <f t="shared" si="1346"/>
        <v>0</v>
      </c>
      <c r="AH208" s="279">
        <f t="shared" si="602"/>
        <v>0</v>
      </c>
      <c r="AI208" s="270">
        <f t="shared" si="43"/>
        <v>0</v>
      </c>
      <c r="AJ208" s="270">
        <f t="shared" ref="AJ208:AO208" si="1347">IF(F$8=0,0,ROUND(AJ207-(F208-BO208),2))</f>
        <v>0</v>
      </c>
      <c r="AK208" s="270">
        <f t="shared" si="1347"/>
        <v>0</v>
      </c>
      <c r="AL208" s="270">
        <f t="shared" si="1347"/>
        <v>0</v>
      </c>
      <c r="AM208" s="270">
        <f t="shared" si="1347"/>
        <v>0</v>
      </c>
      <c r="AN208" s="270">
        <f t="shared" si="1347"/>
        <v>0</v>
      </c>
      <c r="AO208" s="270">
        <f t="shared" si="1347"/>
        <v>0</v>
      </c>
      <c r="AP208" s="270">
        <v>0.0</v>
      </c>
      <c r="AQ208" s="270">
        <f t="shared" ref="AQ208:AS208" si="1348">IF(M$8=0,0,ROUND(AQ207-(M208-BV208),2))</f>
        <v>0</v>
      </c>
      <c r="AR208" s="270">
        <f t="shared" si="1348"/>
        <v>0</v>
      </c>
      <c r="AS208" s="270">
        <f t="shared" si="1348"/>
        <v>0</v>
      </c>
      <c r="AT208" s="270">
        <f t="shared" si="605"/>
        <v>-6.22</v>
      </c>
      <c r="AU208" s="270">
        <f t="shared" ref="AU208:BK208" si="1349">IF(Q$8=0,0,ROUND(AU207-(Q208-BY208),2))</f>
        <v>-13.43</v>
      </c>
      <c r="AV208" s="270">
        <f t="shared" si="1349"/>
        <v>0</v>
      </c>
      <c r="AW208" s="270">
        <f t="shared" si="1349"/>
        <v>0</v>
      </c>
      <c r="AX208" s="270">
        <f t="shared" si="1349"/>
        <v>0</v>
      </c>
      <c r="AY208" s="270">
        <f t="shared" si="1349"/>
        <v>0</v>
      </c>
      <c r="AZ208" s="270">
        <f t="shared" si="1349"/>
        <v>0</v>
      </c>
      <c r="BA208" s="270">
        <f t="shared" si="1349"/>
        <v>0</v>
      </c>
      <c r="BB208" s="270">
        <f t="shared" si="1349"/>
        <v>0</v>
      </c>
      <c r="BC208" s="270">
        <f t="shared" si="1349"/>
        <v>0</v>
      </c>
      <c r="BD208" s="270">
        <f t="shared" si="1349"/>
        <v>0</v>
      </c>
      <c r="BE208" s="270">
        <f t="shared" si="1349"/>
        <v>0</v>
      </c>
      <c r="BF208" s="270">
        <f t="shared" si="1349"/>
        <v>0</v>
      </c>
      <c r="BG208" s="270">
        <f t="shared" si="1349"/>
        <v>0</v>
      </c>
      <c r="BH208" s="270">
        <f t="shared" si="1349"/>
        <v>0</v>
      </c>
      <c r="BI208" s="270">
        <f t="shared" si="1349"/>
        <v>0</v>
      </c>
      <c r="BJ208" s="270">
        <f t="shared" si="1349"/>
        <v>0</v>
      </c>
      <c r="BK208" s="270">
        <f t="shared" si="1349"/>
        <v>0</v>
      </c>
      <c r="BL208" s="265">
        <f t="shared" si="16"/>
        <v>-19.65</v>
      </c>
      <c r="BM208" s="215"/>
      <c r="BN208" s="270">
        <f t="shared" ref="BN208:CP208" si="1350">ROUND(AI207*E$9/12,2)</f>
        <v>0</v>
      </c>
      <c r="BO208" s="270">
        <f t="shared" si="1350"/>
        <v>0</v>
      </c>
      <c r="BP208" s="270">
        <f t="shared" si="1350"/>
        <v>0</v>
      </c>
      <c r="BQ208" s="270">
        <f t="shared" si="1350"/>
        <v>0</v>
      </c>
      <c r="BR208" s="270">
        <f t="shared" si="1350"/>
        <v>0</v>
      </c>
      <c r="BS208" s="270">
        <f t="shared" si="1350"/>
        <v>0</v>
      </c>
      <c r="BT208" s="270">
        <f t="shared" si="1350"/>
        <v>0</v>
      </c>
      <c r="BU208" s="270">
        <f t="shared" si="1350"/>
        <v>0</v>
      </c>
      <c r="BV208" s="270">
        <f t="shared" si="1350"/>
        <v>0</v>
      </c>
      <c r="BW208" s="270">
        <f t="shared" si="1350"/>
        <v>0</v>
      </c>
      <c r="BX208" s="270">
        <f t="shared" si="1350"/>
        <v>0</v>
      </c>
      <c r="BY208" s="270">
        <f t="shared" si="1350"/>
        <v>-0.05</v>
      </c>
      <c r="BZ208" s="270">
        <f t="shared" si="1350"/>
        <v>-0.04</v>
      </c>
      <c r="CA208" s="270">
        <f t="shared" si="1350"/>
        <v>0</v>
      </c>
      <c r="CB208" s="270">
        <f t="shared" si="1350"/>
        <v>0</v>
      </c>
      <c r="CC208" s="270">
        <f t="shared" si="1350"/>
        <v>0</v>
      </c>
      <c r="CD208" s="270">
        <f t="shared" si="1350"/>
        <v>0</v>
      </c>
      <c r="CE208" s="270">
        <f t="shared" si="1350"/>
        <v>0</v>
      </c>
      <c r="CF208" s="270">
        <f t="shared" si="1350"/>
        <v>0</v>
      </c>
      <c r="CG208" s="270">
        <f t="shared" si="1350"/>
        <v>0</v>
      </c>
      <c r="CH208" s="270">
        <f t="shared" si="1350"/>
        <v>0</v>
      </c>
      <c r="CI208" s="270">
        <f t="shared" si="1350"/>
        <v>0</v>
      </c>
      <c r="CJ208" s="270">
        <f t="shared" si="1350"/>
        <v>0</v>
      </c>
      <c r="CK208" s="270">
        <f t="shared" si="1350"/>
        <v>0</v>
      </c>
      <c r="CL208" s="270">
        <f t="shared" si="1350"/>
        <v>0</v>
      </c>
      <c r="CM208" s="270">
        <f t="shared" si="1350"/>
        <v>0</v>
      </c>
      <c r="CN208" s="270">
        <f t="shared" si="1350"/>
        <v>0</v>
      </c>
      <c r="CO208" s="270">
        <f t="shared" si="1350"/>
        <v>0</v>
      </c>
      <c r="CP208" s="270">
        <f t="shared" si="1350"/>
        <v>0</v>
      </c>
      <c r="CQ208" s="215"/>
      <c r="CR208" s="270">
        <f t="shared" si="27"/>
        <v>-0.09</v>
      </c>
      <c r="CS208" s="215"/>
      <c r="CT208" s="270">
        <f t="shared" ref="CT208:DX208" si="1351">IF(AI207&gt;0,IF((AI207+BN208)&lt;E$10,AI207+BN208,E$10),0)</f>
        <v>0</v>
      </c>
      <c r="CU208" s="270">
        <f t="shared" si="1351"/>
        <v>0</v>
      </c>
      <c r="CV208" s="270">
        <f t="shared" si="1351"/>
        <v>0</v>
      </c>
      <c r="CW208" s="270">
        <f t="shared" si="1351"/>
        <v>0</v>
      </c>
      <c r="CX208" s="270">
        <f t="shared" si="1351"/>
        <v>0</v>
      </c>
      <c r="CY208" s="270">
        <f t="shared" si="1351"/>
        <v>0</v>
      </c>
      <c r="CZ208" s="270">
        <f t="shared" si="1351"/>
        <v>0</v>
      </c>
      <c r="DA208" s="270">
        <f t="shared" si="1351"/>
        <v>0</v>
      </c>
      <c r="DB208" s="270">
        <f t="shared" si="1351"/>
        <v>0</v>
      </c>
      <c r="DC208" s="270">
        <f t="shared" si="1351"/>
        <v>0</v>
      </c>
      <c r="DD208" s="270">
        <f t="shared" si="1351"/>
        <v>0</v>
      </c>
      <c r="DE208" s="270">
        <f t="shared" si="1351"/>
        <v>0</v>
      </c>
      <c r="DF208" s="270">
        <f t="shared" si="1351"/>
        <v>0</v>
      </c>
      <c r="DG208" s="270">
        <f t="shared" si="1351"/>
        <v>0</v>
      </c>
      <c r="DH208" s="270">
        <f t="shared" si="1351"/>
        <v>0</v>
      </c>
      <c r="DI208" s="270">
        <f t="shared" si="1351"/>
        <v>0</v>
      </c>
      <c r="DJ208" s="270">
        <f t="shared" si="1351"/>
        <v>0</v>
      </c>
      <c r="DK208" s="270">
        <f t="shared" si="1351"/>
        <v>0</v>
      </c>
      <c r="DL208" s="270">
        <f t="shared" si="1351"/>
        <v>0</v>
      </c>
      <c r="DM208" s="270">
        <f t="shared" si="1351"/>
        <v>0</v>
      </c>
      <c r="DN208" s="270">
        <f t="shared" si="1351"/>
        <v>0</v>
      </c>
      <c r="DO208" s="270">
        <f t="shared" si="1351"/>
        <v>0</v>
      </c>
      <c r="DP208" s="270">
        <f t="shared" si="1351"/>
        <v>0</v>
      </c>
      <c r="DQ208" s="270">
        <f t="shared" si="1351"/>
        <v>0</v>
      </c>
      <c r="DR208" s="270">
        <f t="shared" si="1351"/>
        <v>0</v>
      </c>
      <c r="DS208" s="270">
        <f t="shared" si="1351"/>
        <v>0</v>
      </c>
      <c r="DT208" s="270">
        <f t="shared" si="1351"/>
        <v>0</v>
      </c>
      <c r="DU208" s="270">
        <f t="shared" si="1351"/>
        <v>0</v>
      </c>
      <c r="DV208" s="270">
        <f t="shared" si="1351"/>
        <v>0</v>
      </c>
      <c r="DW208" s="270">
        <f t="shared" si="1351"/>
        <v>0</v>
      </c>
      <c r="DX208" s="270">
        <f t="shared" si="1351"/>
        <v>0</v>
      </c>
      <c r="DY208" s="270">
        <f t="shared" si="29"/>
        <v>0</v>
      </c>
      <c r="DZ208" s="274"/>
      <c r="EA208" s="275">
        <f t="shared" si="38"/>
        <v>0</v>
      </c>
      <c r="EB208" s="270">
        <f t="shared" ref="EB208:FC208" si="1352">IF(AJ206&lt;=0,0,IF($C207&lt;=SUM($EA208:EA208),0,IF(CU207+$C207-SUM($EA208:EA208)&gt;AJ206+BO207,AJ206+BO207-CU207,$C207-SUM($EA208:EA208))))</f>
        <v>0</v>
      </c>
      <c r="EC208" s="270">
        <f t="shared" si="1352"/>
        <v>0</v>
      </c>
      <c r="ED208" s="270">
        <f t="shared" si="1352"/>
        <v>0</v>
      </c>
      <c r="EE208" s="270">
        <f t="shared" si="1352"/>
        <v>0</v>
      </c>
      <c r="EF208" s="270">
        <f t="shared" si="1352"/>
        <v>0</v>
      </c>
      <c r="EG208" s="270">
        <f t="shared" si="1352"/>
        <v>0</v>
      </c>
      <c r="EH208" s="270">
        <f t="shared" si="1352"/>
        <v>0</v>
      </c>
      <c r="EI208" s="270">
        <f t="shared" si="1352"/>
        <v>0</v>
      </c>
      <c r="EJ208" s="270">
        <f t="shared" si="1352"/>
        <v>0</v>
      </c>
      <c r="EK208" s="270">
        <f t="shared" si="1352"/>
        <v>0</v>
      </c>
      <c r="EL208" s="270">
        <f t="shared" si="1352"/>
        <v>0</v>
      </c>
      <c r="EM208" s="270">
        <f t="shared" si="1352"/>
        <v>0</v>
      </c>
      <c r="EN208" s="270">
        <f t="shared" si="1352"/>
        <v>0</v>
      </c>
      <c r="EO208" s="270">
        <f t="shared" si="1352"/>
        <v>0</v>
      </c>
      <c r="EP208" s="270">
        <f t="shared" si="1352"/>
        <v>0</v>
      </c>
      <c r="EQ208" s="270">
        <f t="shared" si="1352"/>
        <v>0</v>
      </c>
      <c r="ER208" s="270">
        <f t="shared" si="1352"/>
        <v>0</v>
      </c>
      <c r="ES208" s="270">
        <f t="shared" si="1352"/>
        <v>0</v>
      </c>
      <c r="ET208" s="270">
        <f t="shared" si="1352"/>
        <v>0</v>
      </c>
      <c r="EU208" s="270">
        <f t="shared" si="1352"/>
        <v>0</v>
      </c>
      <c r="EV208" s="270">
        <f t="shared" si="1352"/>
        <v>0</v>
      </c>
      <c r="EW208" s="270">
        <f t="shared" si="1352"/>
        <v>0</v>
      </c>
      <c r="EX208" s="270">
        <f t="shared" si="1352"/>
        <v>0</v>
      </c>
      <c r="EY208" s="270">
        <f t="shared" si="1352"/>
        <v>0</v>
      </c>
      <c r="EZ208" s="270">
        <f t="shared" si="1352"/>
        <v>0</v>
      </c>
      <c r="FA208" s="270">
        <f t="shared" si="1352"/>
        <v>0</v>
      </c>
      <c r="FB208" s="270">
        <f t="shared" si="1352"/>
        <v>0</v>
      </c>
      <c r="FC208" s="270">
        <f t="shared" si="1352"/>
        <v>0</v>
      </c>
      <c r="FD208" s="271"/>
      <c r="FE208" s="271"/>
      <c r="FF208" s="271"/>
      <c r="FG208" s="215"/>
      <c r="FH208" s="215"/>
    </row>
    <row r="209" ht="11.25" customHeight="1">
      <c r="A209" s="215" t="str">
        <f t="shared" si="19"/>
        <v/>
      </c>
      <c r="B209" s="241" t="str">
        <f t="shared" si="600"/>
        <v>#N/A</v>
      </c>
      <c r="C209" s="271" t="str">
        <f>IF(A209="","",IF(Calculator!snowball,IF(($E$5-DY209)&lt;0,0,$E$5-DY209),0)+D209)</f>
        <v/>
      </c>
      <c r="D209" s="271"/>
      <c r="E209" s="270">
        <f t="shared" si="40"/>
        <v>0</v>
      </c>
      <c r="F209" s="270">
        <f t="shared" ref="F209:AG209" si="1353">CU209+EB210</f>
        <v>0</v>
      </c>
      <c r="G209" s="270">
        <f t="shared" si="1353"/>
        <v>0</v>
      </c>
      <c r="H209" s="270">
        <f t="shared" si="1353"/>
        <v>0</v>
      </c>
      <c r="I209" s="270">
        <f t="shared" si="1353"/>
        <v>0</v>
      </c>
      <c r="J209" s="270">
        <f t="shared" si="1353"/>
        <v>0</v>
      </c>
      <c r="K209" s="270">
        <f t="shared" si="1353"/>
        <v>0</v>
      </c>
      <c r="L209" s="270">
        <f t="shared" si="1353"/>
        <v>0</v>
      </c>
      <c r="M209" s="270">
        <f t="shared" si="1353"/>
        <v>0</v>
      </c>
      <c r="N209" s="270">
        <f t="shared" si="1353"/>
        <v>0</v>
      </c>
      <c r="O209" s="270">
        <f t="shared" si="1353"/>
        <v>0</v>
      </c>
      <c r="P209" s="272">
        <f t="shared" si="1353"/>
        <v>0</v>
      </c>
      <c r="Q209" s="272">
        <f t="shared" si="1353"/>
        <v>0</v>
      </c>
      <c r="R209" s="272">
        <f t="shared" si="1353"/>
        <v>0</v>
      </c>
      <c r="S209" s="272">
        <f t="shared" si="1353"/>
        <v>0</v>
      </c>
      <c r="T209" s="272">
        <f t="shared" si="1353"/>
        <v>0</v>
      </c>
      <c r="U209" s="270">
        <f t="shared" si="1353"/>
        <v>0</v>
      </c>
      <c r="V209" s="270">
        <f t="shared" si="1353"/>
        <v>0</v>
      </c>
      <c r="W209" s="270">
        <f t="shared" si="1353"/>
        <v>0</v>
      </c>
      <c r="X209" s="270">
        <f t="shared" si="1353"/>
        <v>0</v>
      </c>
      <c r="Y209" s="270">
        <f t="shared" si="1353"/>
        <v>0</v>
      </c>
      <c r="Z209" s="270">
        <f t="shared" si="1353"/>
        <v>0</v>
      </c>
      <c r="AA209" s="270">
        <f t="shared" si="1353"/>
        <v>0</v>
      </c>
      <c r="AB209" s="270">
        <f t="shared" si="1353"/>
        <v>0</v>
      </c>
      <c r="AC209" s="270">
        <f t="shared" si="1353"/>
        <v>0</v>
      </c>
      <c r="AD209" s="270">
        <f t="shared" si="1353"/>
        <v>0</v>
      </c>
      <c r="AE209" s="270">
        <f t="shared" si="1353"/>
        <v>0</v>
      </c>
      <c r="AF209" s="270">
        <f t="shared" si="1353"/>
        <v>0</v>
      </c>
      <c r="AG209" s="270">
        <f t="shared" si="1353"/>
        <v>0</v>
      </c>
      <c r="AH209" s="279">
        <f t="shared" si="602"/>
        <v>0</v>
      </c>
      <c r="AI209" s="270">
        <f t="shared" si="43"/>
        <v>0</v>
      </c>
      <c r="AJ209" s="270">
        <f t="shared" ref="AJ209:AO209" si="1354">IF(F$8=0,0,ROUND(AJ208-(F209-BO209),2))</f>
        <v>0</v>
      </c>
      <c r="AK209" s="270">
        <f t="shared" si="1354"/>
        <v>0</v>
      </c>
      <c r="AL209" s="270">
        <f t="shared" si="1354"/>
        <v>0</v>
      </c>
      <c r="AM209" s="270">
        <f t="shared" si="1354"/>
        <v>0</v>
      </c>
      <c r="AN209" s="270">
        <f t="shared" si="1354"/>
        <v>0</v>
      </c>
      <c r="AO209" s="270">
        <f t="shared" si="1354"/>
        <v>0</v>
      </c>
      <c r="AP209" s="270">
        <v>0.0</v>
      </c>
      <c r="AQ209" s="270">
        <f t="shared" ref="AQ209:AS209" si="1355">IF(M$8=0,0,ROUND(AQ208-(M209-BV209),2))</f>
        <v>0</v>
      </c>
      <c r="AR209" s="270">
        <f t="shared" si="1355"/>
        <v>0</v>
      </c>
      <c r="AS209" s="270">
        <f t="shared" si="1355"/>
        <v>0</v>
      </c>
      <c r="AT209" s="270">
        <f t="shared" si="605"/>
        <v>-6.22</v>
      </c>
      <c r="AU209" s="270">
        <f t="shared" ref="AU209:BK209" si="1356">IF(Q$8=0,0,ROUND(AU208-(Q209-BY209),2))</f>
        <v>-13.48</v>
      </c>
      <c r="AV209" s="270">
        <f t="shared" si="1356"/>
        <v>0</v>
      </c>
      <c r="AW209" s="270">
        <f t="shared" si="1356"/>
        <v>0</v>
      </c>
      <c r="AX209" s="270">
        <f t="shared" si="1356"/>
        <v>0</v>
      </c>
      <c r="AY209" s="270">
        <f t="shared" si="1356"/>
        <v>0</v>
      </c>
      <c r="AZ209" s="270">
        <f t="shared" si="1356"/>
        <v>0</v>
      </c>
      <c r="BA209" s="270">
        <f t="shared" si="1356"/>
        <v>0</v>
      </c>
      <c r="BB209" s="270">
        <f t="shared" si="1356"/>
        <v>0</v>
      </c>
      <c r="BC209" s="270">
        <f t="shared" si="1356"/>
        <v>0</v>
      </c>
      <c r="BD209" s="270">
        <f t="shared" si="1356"/>
        <v>0</v>
      </c>
      <c r="BE209" s="270">
        <f t="shared" si="1356"/>
        <v>0</v>
      </c>
      <c r="BF209" s="270">
        <f t="shared" si="1356"/>
        <v>0</v>
      </c>
      <c r="BG209" s="270">
        <f t="shared" si="1356"/>
        <v>0</v>
      </c>
      <c r="BH209" s="270">
        <f t="shared" si="1356"/>
        <v>0</v>
      </c>
      <c r="BI209" s="270">
        <f t="shared" si="1356"/>
        <v>0</v>
      </c>
      <c r="BJ209" s="270">
        <f t="shared" si="1356"/>
        <v>0</v>
      </c>
      <c r="BK209" s="270">
        <f t="shared" si="1356"/>
        <v>0</v>
      </c>
      <c r="BL209" s="265">
        <f t="shared" si="16"/>
        <v>-19.7</v>
      </c>
      <c r="BM209" s="215"/>
      <c r="BN209" s="270">
        <f t="shared" ref="BN209:CP209" si="1357">ROUND(AI208*E$9/12,2)</f>
        <v>0</v>
      </c>
      <c r="BO209" s="270">
        <f t="shared" si="1357"/>
        <v>0</v>
      </c>
      <c r="BP209" s="270">
        <f t="shared" si="1357"/>
        <v>0</v>
      </c>
      <c r="BQ209" s="270">
        <f t="shared" si="1357"/>
        <v>0</v>
      </c>
      <c r="BR209" s="270">
        <f t="shared" si="1357"/>
        <v>0</v>
      </c>
      <c r="BS209" s="270">
        <f t="shared" si="1357"/>
        <v>0</v>
      </c>
      <c r="BT209" s="270">
        <f t="shared" si="1357"/>
        <v>0</v>
      </c>
      <c r="BU209" s="270">
        <f t="shared" si="1357"/>
        <v>0</v>
      </c>
      <c r="BV209" s="270">
        <f t="shared" si="1357"/>
        <v>0</v>
      </c>
      <c r="BW209" s="270">
        <f t="shared" si="1357"/>
        <v>0</v>
      </c>
      <c r="BX209" s="270">
        <f t="shared" si="1357"/>
        <v>0</v>
      </c>
      <c r="BY209" s="270">
        <f t="shared" si="1357"/>
        <v>-0.05</v>
      </c>
      <c r="BZ209" s="270">
        <f t="shared" si="1357"/>
        <v>-0.04</v>
      </c>
      <c r="CA209" s="270">
        <f t="shared" si="1357"/>
        <v>0</v>
      </c>
      <c r="CB209" s="270">
        <f t="shared" si="1357"/>
        <v>0</v>
      </c>
      <c r="CC209" s="270">
        <f t="shared" si="1357"/>
        <v>0</v>
      </c>
      <c r="CD209" s="270">
        <f t="shared" si="1357"/>
        <v>0</v>
      </c>
      <c r="CE209" s="270">
        <f t="shared" si="1357"/>
        <v>0</v>
      </c>
      <c r="CF209" s="270">
        <f t="shared" si="1357"/>
        <v>0</v>
      </c>
      <c r="CG209" s="270">
        <f t="shared" si="1357"/>
        <v>0</v>
      </c>
      <c r="CH209" s="270">
        <f t="shared" si="1357"/>
        <v>0</v>
      </c>
      <c r="CI209" s="270">
        <f t="shared" si="1357"/>
        <v>0</v>
      </c>
      <c r="CJ209" s="270">
        <f t="shared" si="1357"/>
        <v>0</v>
      </c>
      <c r="CK209" s="270">
        <f t="shared" si="1357"/>
        <v>0</v>
      </c>
      <c r="CL209" s="270">
        <f t="shared" si="1357"/>
        <v>0</v>
      </c>
      <c r="CM209" s="270">
        <f t="shared" si="1357"/>
        <v>0</v>
      </c>
      <c r="CN209" s="270">
        <f t="shared" si="1357"/>
        <v>0</v>
      </c>
      <c r="CO209" s="270">
        <f t="shared" si="1357"/>
        <v>0</v>
      </c>
      <c r="CP209" s="270">
        <f t="shared" si="1357"/>
        <v>0</v>
      </c>
      <c r="CQ209" s="215"/>
      <c r="CR209" s="270">
        <f t="shared" si="27"/>
        <v>-0.09</v>
      </c>
      <c r="CS209" s="215"/>
      <c r="CT209" s="270">
        <f t="shared" ref="CT209:DX209" si="1358">IF(AI208&gt;0,IF((AI208+BN209)&lt;E$10,AI208+BN209,E$10),0)</f>
        <v>0</v>
      </c>
      <c r="CU209" s="270">
        <f t="shared" si="1358"/>
        <v>0</v>
      </c>
      <c r="CV209" s="270">
        <f t="shared" si="1358"/>
        <v>0</v>
      </c>
      <c r="CW209" s="270">
        <f t="shared" si="1358"/>
        <v>0</v>
      </c>
      <c r="CX209" s="270">
        <f t="shared" si="1358"/>
        <v>0</v>
      </c>
      <c r="CY209" s="270">
        <f t="shared" si="1358"/>
        <v>0</v>
      </c>
      <c r="CZ209" s="270">
        <f t="shared" si="1358"/>
        <v>0</v>
      </c>
      <c r="DA209" s="270">
        <f t="shared" si="1358"/>
        <v>0</v>
      </c>
      <c r="DB209" s="270">
        <f t="shared" si="1358"/>
        <v>0</v>
      </c>
      <c r="DC209" s="270">
        <f t="shared" si="1358"/>
        <v>0</v>
      </c>
      <c r="DD209" s="270">
        <f t="shared" si="1358"/>
        <v>0</v>
      </c>
      <c r="DE209" s="270">
        <f t="shared" si="1358"/>
        <v>0</v>
      </c>
      <c r="DF209" s="270">
        <f t="shared" si="1358"/>
        <v>0</v>
      </c>
      <c r="DG209" s="270">
        <f t="shared" si="1358"/>
        <v>0</v>
      </c>
      <c r="DH209" s="270">
        <f t="shared" si="1358"/>
        <v>0</v>
      </c>
      <c r="DI209" s="270">
        <f t="shared" si="1358"/>
        <v>0</v>
      </c>
      <c r="DJ209" s="270">
        <f t="shared" si="1358"/>
        <v>0</v>
      </c>
      <c r="DK209" s="270">
        <f t="shared" si="1358"/>
        <v>0</v>
      </c>
      <c r="DL209" s="270">
        <f t="shared" si="1358"/>
        <v>0</v>
      </c>
      <c r="DM209" s="270">
        <f t="shared" si="1358"/>
        <v>0</v>
      </c>
      <c r="DN209" s="270">
        <f t="shared" si="1358"/>
        <v>0</v>
      </c>
      <c r="DO209" s="270">
        <f t="shared" si="1358"/>
        <v>0</v>
      </c>
      <c r="DP209" s="270">
        <f t="shared" si="1358"/>
        <v>0</v>
      </c>
      <c r="DQ209" s="270">
        <f t="shared" si="1358"/>
        <v>0</v>
      </c>
      <c r="DR209" s="270">
        <f t="shared" si="1358"/>
        <v>0</v>
      </c>
      <c r="DS209" s="270">
        <f t="shared" si="1358"/>
        <v>0</v>
      </c>
      <c r="DT209" s="270">
        <f t="shared" si="1358"/>
        <v>0</v>
      </c>
      <c r="DU209" s="270">
        <f t="shared" si="1358"/>
        <v>0</v>
      </c>
      <c r="DV209" s="270">
        <f t="shared" si="1358"/>
        <v>0</v>
      </c>
      <c r="DW209" s="270">
        <f t="shared" si="1358"/>
        <v>0</v>
      </c>
      <c r="DX209" s="270">
        <f t="shared" si="1358"/>
        <v>0</v>
      </c>
      <c r="DY209" s="270">
        <f t="shared" si="29"/>
        <v>0</v>
      </c>
      <c r="DZ209" s="274"/>
      <c r="EA209" s="275">
        <f t="shared" si="38"/>
        <v>0</v>
      </c>
      <c r="EB209" s="270">
        <f t="shared" ref="EB209:FC209" si="1359">IF(AJ207&lt;=0,0,IF($C208&lt;=SUM($EA209:EA209),0,IF(CU208+$C208-SUM($EA209:EA209)&gt;AJ207+BO208,AJ207+BO208-CU208,$C208-SUM($EA209:EA209))))</f>
        <v>0</v>
      </c>
      <c r="EC209" s="270">
        <f t="shared" si="1359"/>
        <v>0</v>
      </c>
      <c r="ED209" s="270">
        <f t="shared" si="1359"/>
        <v>0</v>
      </c>
      <c r="EE209" s="270">
        <f t="shared" si="1359"/>
        <v>0</v>
      </c>
      <c r="EF209" s="270">
        <f t="shared" si="1359"/>
        <v>0</v>
      </c>
      <c r="EG209" s="270">
        <f t="shared" si="1359"/>
        <v>0</v>
      </c>
      <c r="EH209" s="270">
        <f t="shared" si="1359"/>
        <v>0</v>
      </c>
      <c r="EI209" s="270">
        <f t="shared" si="1359"/>
        <v>0</v>
      </c>
      <c r="EJ209" s="270">
        <f t="shared" si="1359"/>
        <v>0</v>
      </c>
      <c r="EK209" s="270">
        <f t="shared" si="1359"/>
        <v>0</v>
      </c>
      <c r="EL209" s="270">
        <f t="shared" si="1359"/>
        <v>0</v>
      </c>
      <c r="EM209" s="270">
        <f t="shared" si="1359"/>
        <v>0</v>
      </c>
      <c r="EN209" s="270">
        <f t="shared" si="1359"/>
        <v>0</v>
      </c>
      <c r="EO209" s="270">
        <f t="shared" si="1359"/>
        <v>0</v>
      </c>
      <c r="EP209" s="270">
        <f t="shared" si="1359"/>
        <v>0</v>
      </c>
      <c r="EQ209" s="270">
        <f t="shared" si="1359"/>
        <v>0</v>
      </c>
      <c r="ER209" s="270">
        <f t="shared" si="1359"/>
        <v>0</v>
      </c>
      <c r="ES209" s="270">
        <f t="shared" si="1359"/>
        <v>0</v>
      </c>
      <c r="ET209" s="270">
        <f t="shared" si="1359"/>
        <v>0</v>
      </c>
      <c r="EU209" s="270">
        <f t="shared" si="1359"/>
        <v>0</v>
      </c>
      <c r="EV209" s="270">
        <f t="shared" si="1359"/>
        <v>0</v>
      </c>
      <c r="EW209" s="270">
        <f t="shared" si="1359"/>
        <v>0</v>
      </c>
      <c r="EX209" s="270">
        <f t="shared" si="1359"/>
        <v>0</v>
      </c>
      <c r="EY209" s="270">
        <f t="shared" si="1359"/>
        <v>0</v>
      </c>
      <c r="EZ209" s="270">
        <f t="shared" si="1359"/>
        <v>0</v>
      </c>
      <c r="FA209" s="270">
        <f t="shared" si="1359"/>
        <v>0</v>
      </c>
      <c r="FB209" s="270">
        <f t="shared" si="1359"/>
        <v>0</v>
      </c>
      <c r="FC209" s="270">
        <f t="shared" si="1359"/>
        <v>0</v>
      </c>
      <c r="FD209" s="271"/>
      <c r="FE209" s="271"/>
      <c r="FF209" s="271"/>
      <c r="FG209" s="215"/>
      <c r="FH209" s="215"/>
    </row>
    <row r="210" ht="11.25" customHeight="1">
      <c r="A210" s="215" t="str">
        <f t="shared" si="19"/>
        <v/>
      </c>
      <c r="B210" s="241" t="str">
        <f t="shared" si="600"/>
        <v>#N/A</v>
      </c>
      <c r="C210" s="271" t="str">
        <f>IF(A210="","",IF(Calculator!snowball,IF(($E$5-DY210)&lt;0,0,$E$5-DY210),0)+D210)</f>
        <v/>
      </c>
      <c r="D210" s="271"/>
      <c r="E210" s="270">
        <f t="shared" si="40"/>
        <v>0</v>
      </c>
      <c r="F210" s="270">
        <f t="shared" ref="F210:AG210" si="1360">CU210+EB211</f>
        <v>0</v>
      </c>
      <c r="G210" s="270">
        <f t="shared" si="1360"/>
        <v>0</v>
      </c>
      <c r="H210" s="270">
        <f t="shared" si="1360"/>
        <v>0</v>
      </c>
      <c r="I210" s="270">
        <f t="shared" si="1360"/>
        <v>0</v>
      </c>
      <c r="J210" s="270">
        <f t="shared" si="1360"/>
        <v>0</v>
      </c>
      <c r="K210" s="270">
        <f t="shared" si="1360"/>
        <v>0</v>
      </c>
      <c r="L210" s="270">
        <f t="shared" si="1360"/>
        <v>0</v>
      </c>
      <c r="M210" s="270">
        <f t="shared" si="1360"/>
        <v>0</v>
      </c>
      <c r="N210" s="270">
        <f t="shared" si="1360"/>
        <v>0</v>
      </c>
      <c r="O210" s="270">
        <f t="shared" si="1360"/>
        <v>0</v>
      </c>
      <c r="P210" s="272">
        <f t="shared" si="1360"/>
        <v>0</v>
      </c>
      <c r="Q210" s="272">
        <f t="shared" si="1360"/>
        <v>0</v>
      </c>
      <c r="R210" s="272">
        <f t="shared" si="1360"/>
        <v>0</v>
      </c>
      <c r="S210" s="272">
        <f t="shared" si="1360"/>
        <v>0</v>
      </c>
      <c r="T210" s="272">
        <f t="shared" si="1360"/>
        <v>0</v>
      </c>
      <c r="U210" s="270">
        <f t="shared" si="1360"/>
        <v>0</v>
      </c>
      <c r="V210" s="270">
        <f t="shared" si="1360"/>
        <v>0</v>
      </c>
      <c r="W210" s="270">
        <f t="shared" si="1360"/>
        <v>0</v>
      </c>
      <c r="X210" s="270">
        <f t="shared" si="1360"/>
        <v>0</v>
      </c>
      <c r="Y210" s="270">
        <f t="shared" si="1360"/>
        <v>0</v>
      </c>
      <c r="Z210" s="270">
        <f t="shared" si="1360"/>
        <v>0</v>
      </c>
      <c r="AA210" s="270">
        <f t="shared" si="1360"/>
        <v>0</v>
      </c>
      <c r="AB210" s="270">
        <f t="shared" si="1360"/>
        <v>0</v>
      </c>
      <c r="AC210" s="270">
        <f t="shared" si="1360"/>
        <v>0</v>
      </c>
      <c r="AD210" s="270">
        <f t="shared" si="1360"/>
        <v>0</v>
      </c>
      <c r="AE210" s="270">
        <f t="shared" si="1360"/>
        <v>0</v>
      </c>
      <c r="AF210" s="270">
        <f t="shared" si="1360"/>
        <v>0</v>
      </c>
      <c r="AG210" s="270">
        <f t="shared" si="1360"/>
        <v>0</v>
      </c>
      <c r="AH210" s="279">
        <f t="shared" si="602"/>
        <v>0</v>
      </c>
      <c r="AI210" s="270">
        <f t="shared" si="43"/>
        <v>0</v>
      </c>
      <c r="AJ210" s="270">
        <f t="shared" ref="AJ210:AO210" si="1361">IF(F$8=0,0,ROUND(AJ209-(F210-BO210),2))</f>
        <v>0</v>
      </c>
      <c r="AK210" s="270">
        <f t="shared" si="1361"/>
        <v>0</v>
      </c>
      <c r="AL210" s="270">
        <f t="shared" si="1361"/>
        <v>0</v>
      </c>
      <c r="AM210" s="270">
        <f t="shared" si="1361"/>
        <v>0</v>
      </c>
      <c r="AN210" s="270">
        <f t="shared" si="1361"/>
        <v>0</v>
      </c>
      <c r="AO210" s="270">
        <f t="shared" si="1361"/>
        <v>0</v>
      </c>
      <c r="AP210" s="270">
        <v>0.0</v>
      </c>
      <c r="AQ210" s="270">
        <f t="shared" ref="AQ210:AS210" si="1362">IF(M$8=0,0,ROUND(AQ209-(M210-BV210),2))</f>
        <v>0</v>
      </c>
      <c r="AR210" s="270">
        <f t="shared" si="1362"/>
        <v>0</v>
      </c>
      <c r="AS210" s="270">
        <f t="shared" si="1362"/>
        <v>0</v>
      </c>
      <c r="AT210" s="270">
        <f t="shared" si="605"/>
        <v>-6.22</v>
      </c>
      <c r="AU210" s="270">
        <f t="shared" ref="AU210:BK210" si="1363">IF(Q$8=0,0,ROUND(AU209-(Q210-BY210),2))</f>
        <v>-13.53</v>
      </c>
      <c r="AV210" s="270">
        <f t="shared" si="1363"/>
        <v>0</v>
      </c>
      <c r="AW210" s="270">
        <f t="shared" si="1363"/>
        <v>0</v>
      </c>
      <c r="AX210" s="270">
        <f t="shared" si="1363"/>
        <v>0</v>
      </c>
      <c r="AY210" s="270">
        <f t="shared" si="1363"/>
        <v>0</v>
      </c>
      <c r="AZ210" s="270">
        <f t="shared" si="1363"/>
        <v>0</v>
      </c>
      <c r="BA210" s="270">
        <f t="shared" si="1363"/>
        <v>0</v>
      </c>
      <c r="BB210" s="270">
        <f t="shared" si="1363"/>
        <v>0</v>
      </c>
      <c r="BC210" s="270">
        <f t="shared" si="1363"/>
        <v>0</v>
      </c>
      <c r="BD210" s="270">
        <f t="shared" si="1363"/>
        <v>0</v>
      </c>
      <c r="BE210" s="270">
        <f t="shared" si="1363"/>
        <v>0</v>
      </c>
      <c r="BF210" s="270">
        <f t="shared" si="1363"/>
        <v>0</v>
      </c>
      <c r="BG210" s="270">
        <f t="shared" si="1363"/>
        <v>0</v>
      </c>
      <c r="BH210" s="270">
        <f t="shared" si="1363"/>
        <v>0</v>
      </c>
      <c r="BI210" s="270">
        <f t="shared" si="1363"/>
        <v>0</v>
      </c>
      <c r="BJ210" s="270">
        <f t="shared" si="1363"/>
        <v>0</v>
      </c>
      <c r="BK210" s="270">
        <f t="shared" si="1363"/>
        <v>0</v>
      </c>
      <c r="BL210" s="265">
        <f t="shared" si="16"/>
        <v>-19.75</v>
      </c>
      <c r="BM210" s="215"/>
      <c r="BN210" s="270">
        <f t="shared" ref="BN210:CP210" si="1364">ROUND(AI209*E$9/12,2)</f>
        <v>0</v>
      </c>
      <c r="BO210" s="270">
        <f t="shared" si="1364"/>
        <v>0</v>
      </c>
      <c r="BP210" s="270">
        <f t="shared" si="1364"/>
        <v>0</v>
      </c>
      <c r="BQ210" s="270">
        <f t="shared" si="1364"/>
        <v>0</v>
      </c>
      <c r="BR210" s="270">
        <f t="shared" si="1364"/>
        <v>0</v>
      </c>
      <c r="BS210" s="270">
        <f t="shared" si="1364"/>
        <v>0</v>
      </c>
      <c r="BT210" s="270">
        <f t="shared" si="1364"/>
        <v>0</v>
      </c>
      <c r="BU210" s="270">
        <f t="shared" si="1364"/>
        <v>0</v>
      </c>
      <c r="BV210" s="270">
        <f t="shared" si="1364"/>
        <v>0</v>
      </c>
      <c r="BW210" s="270">
        <f t="shared" si="1364"/>
        <v>0</v>
      </c>
      <c r="BX210" s="270">
        <f t="shared" si="1364"/>
        <v>0</v>
      </c>
      <c r="BY210" s="270">
        <f t="shared" si="1364"/>
        <v>-0.05</v>
      </c>
      <c r="BZ210" s="270">
        <f t="shared" si="1364"/>
        <v>-0.04</v>
      </c>
      <c r="CA210" s="270">
        <f t="shared" si="1364"/>
        <v>0</v>
      </c>
      <c r="CB210" s="270">
        <f t="shared" si="1364"/>
        <v>0</v>
      </c>
      <c r="CC210" s="270">
        <f t="shared" si="1364"/>
        <v>0</v>
      </c>
      <c r="CD210" s="270">
        <f t="shared" si="1364"/>
        <v>0</v>
      </c>
      <c r="CE210" s="270">
        <f t="shared" si="1364"/>
        <v>0</v>
      </c>
      <c r="CF210" s="270">
        <f t="shared" si="1364"/>
        <v>0</v>
      </c>
      <c r="CG210" s="270">
        <f t="shared" si="1364"/>
        <v>0</v>
      </c>
      <c r="CH210" s="270">
        <f t="shared" si="1364"/>
        <v>0</v>
      </c>
      <c r="CI210" s="270">
        <f t="shared" si="1364"/>
        <v>0</v>
      </c>
      <c r="CJ210" s="270">
        <f t="shared" si="1364"/>
        <v>0</v>
      </c>
      <c r="CK210" s="270">
        <f t="shared" si="1364"/>
        <v>0</v>
      </c>
      <c r="CL210" s="270">
        <f t="shared" si="1364"/>
        <v>0</v>
      </c>
      <c r="CM210" s="270">
        <f t="shared" si="1364"/>
        <v>0</v>
      </c>
      <c r="CN210" s="270">
        <f t="shared" si="1364"/>
        <v>0</v>
      </c>
      <c r="CO210" s="270">
        <f t="shared" si="1364"/>
        <v>0</v>
      </c>
      <c r="CP210" s="270">
        <f t="shared" si="1364"/>
        <v>0</v>
      </c>
      <c r="CQ210" s="215"/>
      <c r="CR210" s="270">
        <f t="shared" si="27"/>
        <v>-0.09</v>
      </c>
      <c r="CS210" s="215"/>
      <c r="CT210" s="270">
        <f t="shared" ref="CT210:DX210" si="1365">IF(AI209&gt;0,IF((AI209+BN210)&lt;E$10,AI209+BN210,E$10),0)</f>
        <v>0</v>
      </c>
      <c r="CU210" s="270">
        <f t="shared" si="1365"/>
        <v>0</v>
      </c>
      <c r="CV210" s="270">
        <f t="shared" si="1365"/>
        <v>0</v>
      </c>
      <c r="CW210" s="270">
        <f t="shared" si="1365"/>
        <v>0</v>
      </c>
      <c r="CX210" s="270">
        <f t="shared" si="1365"/>
        <v>0</v>
      </c>
      <c r="CY210" s="270">
        <f t="shared" si="1365"/>
        <v>0</v>
      </c>
      <c r="CZ210" s="270">
        <f t="shared" si="1365"/>
        <v>0</v>
      </c>
      <c r="DA210" s="270">
        <f t="shared" si="1365"/>
        <v>0</v>
      </c>
      <c r="DB210" s="270">
        <f t="shared" si="1365"/>
        <v>0</v>
      </c>
      <c r="DC210" s="270">
        <f t="shared" si="1365"/>
        <v>0</v>
      </c>
      <c r="DD210" s="270">
        <f t="shared" si="1365"/>
        <v>0</v>
      </c>
      <c r="DE210" s="270">
        <f t="shared" si="1365"/>
        <v>0</v>
      </c>
      <c r="DF210" s="270">
        <f t="shared" si="1365"/>
        <v>0</v>
      </c>
      <c r="DG210" s="270">
        <f t="shared" si="1365"/>
        <v>0</v>
      </c>
      <c r="DH210" s="270">
        <f t="shared" si="1365"/>
        <v>0</v>
      </c>
      <c r="DI210" s="270">
        <f t="shared" si="1365"/>
        <v>0</v>
      </c>
      <c r="DJ210" s="270">
        <f t="shared" si="1365"/>
        <v>0</v>
      </c>
      <c r="DK210" s="270">
        <f t="shared" si="1365"/>
        <v>0</v>
      </c>
      <c r="DL210" s="270">
        <f t="shared" si="1365"/>
        <v>0</v>
      </c>
      <c r="DM210" s="270">
        <f t="shared" si="1365"/>
        <v>0</v>
      </c>
      <c r="DN210" s="270">
        <f t="shared" si="1365"/>
        <v>0</v>
      </c>
      <c r="DO210" s="270">
        <f t="shared" si="1365"/>
        <v>0</v>
      </c>
      <c r="DP210" s="270">
        <f t="shared" si="1365"/>
        <v>0</v>
      </c>
      <c r="DQ210" s="270">
        <f t="shared" si="1365"/>
        <v>0</v>
      </c>
      <c r="DR210" s="270">
        <f t="shared" si="1365"/>
        <v>0</v>
      </c>
      <c r="DS210" s="270">
        <f t="shared" si="1365"/>
        <v>0</v>
      </c>
      <c r="DT210" s="270">
        <f t="shared" si="1365"/>
        <v>0</v>
      </c>
      <c r="DU210" s="270">
        <f t="shared" si="1365"/>
        <v>0</v>
      </c>
      <c r="DV210" s="270">
        <f t="shared" si="1365"/>
        <v>0</v>
      </c>
      <c r="DW210" s="270">
        <f t="shared" si="1365"/>
        <v>0</v>
      </c>
      <c r="DX210" s="270">
        <f t="shared" si="1365"/>
        <v>0</v>
      </c>
      <c r="DY210" s="270">
        <f t="shared" si="29"/>
        <v>0</v>
      </c>
      <c r="DZ210" s="274"/>
      <c r="EA210" s="275">
        <f t="shared" si="38"/>
        <v>0</v>
      </c>
      <c r="EB210" s="270">
        <f t="shared" ref="EB210:FC210" si="1366">IF(AJ208&lt;=0,0,IF($C209&lt;=SUM($EA210:EA210),0,IF(CU209+$C209-SUM($EA210:EA210)&gt;AJ208+BO209,AJ208+BO209-CU209,$C209-SUM($EA210:EA210))))</f>
        <v>0</v>
      </c>
      <c r="EC210" s="270">
        <f t="shared" si="1366"/>
        <v>0</v>
      </c>
      <c r="ED210" s="270">
        <f t="shared" si="1366"/>
        <v>0</v>
      </c>
      <c r="EE210" s="270">
        <f t="shared" si="1366"/>
        <v>0</v>
      </c>
      <c r="EF210" s="270">
        <f t="shared" si="1366"/>
        <v>0</v>
      </c>
      <c r="EG210" s="270">
        <f t="shared" si="1366"/>
        <v>0</v>
      </c>
      <c r="EH210" s="270">
        <f t="shared" si="1366"/>
        <v>0</v>
      </c>
      <c r="EI210" s="270">
        <f t="shared" si="1366"/>
        <v>0</v>
      </c>
      <c r="EJ210" s="270">
        <f t="shared" si="1366"/>
        <v>0</v>
      </c>
      <c r="EK210" s="270">
        <f t="shared" si="1366"/>
        <v>0</v>
      </c>
      <c r="EL210" s="270">
        <f t="shared" si="1366"/>
        <v>0</v>
      </c>
      <c r="EM210" s="270">
        <f t="shared" si="1366"/>
        <v>0</v>
      </c>
      <c r="EN210" s="270">
        <f t="shared" si="1366"/>
        <v>0</v>
      </c>
      <c r="EO210" s="270">
        <f t="shared" si="1366"/>
        <v>0</v>
      </c>
      <c r="EP210" s="270">
        <f t="shared" si="1366"/>
        <v>0</v>
      </c>
      <c r="EQ210" s="270">
        <f t="shared" si="1366"/>
        <v>0</v>
      </c>
      <c r="ER210" s="270">
        <f t="shared" si="1366"/>
        <v>0</v>
      </c>
      <c r="ES210" s="270">
        <f t="shared" si="1366"/>
        <v>0</v>
      </c>
      <c r="ET210" s="270">
        <f t="shared" si="1366"/>
        <v>0</v>
      </c>
      <c r="EU210" s="270">
        <f t="shared" si="1366"/>
        <v>0</v>
      </c>
      <c r="EV210" s="270">
        <f t="shared" si="1366"/>
        <v>0</v>
      </c>
      <c r="EW210" s="270">
        <f t="shared" si="1366"/>
        <v>0</v>
      </c>
      <c r="EX210" s="270">
        <f t="shared" si="1366"/>
        <v>0</v>
      </c>
      <c r="EY210" s="270">
        <f t="shared" si="1366"/>
        <v>0</v>
      </c>
      <c r="EZ210" s="270">
        <f t="shared" si="1366"/>
        <v>0</v>
      </c>
      <c r="FA210" s="270">
        <f t="shared" si="1366"/>
        <v>0</v>
      </c>
      <c r="FB210" s="270">
        <f t="shared" si="1366"/>
        <v>0</v>
      </c>
      <c r="FC210" s="270">
        <f t="shared" si="1366"/>
        <v>0</v>
      </c>
      <c r="FD210" s="271"/>
      <c r="FE210" s="271"/>
      <c r="FF210" s="271"/>
      <c r="FG210" s="215"/>
      <c r="FH210" s="215"/>
    </row>
    <row r="211" ht="11.25" customHeight="1">
      <c r="A211" s="215" t="str">
        <f t="shared" si="19"/>
        <v/>
      </c>
      <c r="B211" s="241" t="str">
        <f t="shared" si="600"/>
        <v>#N/A</v>
      </c>
      <c r="C211" s="271" t="str">
        <f>IF(A211="","",IF(Calculator!snowball,IF(($E$5-DY211)&lt;0,0,$E$5-DY211),0)+D211)</f>
        <v/>
      </c>
      <c r="D211" s="271"/>
      <c r="E211" s="270">
        <f t="shared" si="40"/>
        <v>0</v>
      </c>
      <c r="F211" s="270">
        <f t="shared" ref="F211:AG211" si="1367">CU211+EB212</f>
        <v>0</v>
      </c>
      <c r="G211" s="270">
        <f t="shared" si="1367"/>
        <v>0</v>
      </c>
      <c r="H211" s="270">
        <f t="shared" si="1367"/>
        <v>0</v>
      </c>
      <c r="I211" s="270">
        <f t="shared" si="1367"/>
        <v>0</v>
      </c>
      <c r="J211" s="270">
        <f t="shared" si="1367"/>
        <v>0</v>
      </c>
      <c r="K211" s="270">
        <f t="shared" si="1367"/>
        <v>0</v>
      </c>
      <c r="L211" s="270">
        <f t="shared" si="1367"/>
        <v>0</v>
      </c>
      <c r="M211" s="270">
        <f t="shared" si="1367"/>
        <v>0</v>
      </c>
      <c r="N211" s="270">
        <f t="shared" si="1367"/>
        <v>0</v>
      </c>
      <c r="O211" s="270">
        <f t="shared" si="1367"/>
        <v>0</v>
      </c>
      <c r="P211" s="272">
        <f t="shared" si="1367"/>
        <v>0</v>
      </c>
      <c r="Q211" s="272">
        <f t="shared" si="1367"/>
        <v>0</v>
      </c>
      <c r="R211" s="272">
        <f t="shared" si="1367"/>
        <v>0</v>
      </c>
      <c r="S211" s="272">
        <f t="shared" si="1367"/>
        <v>0</v>
      </c>
      <c r="T211" s="272">
        <f t="shared" si="1367"/>
        <v>0</v>
      </c>
      <c r="U211" s="270">
        <f t="shared" si="1367"/>
        <v>0</v>
      </c>
      <c r="V211" s="270">
        <f t="shared" si="1367"/>
        <v>0</v>
      </c>
      <c r="W211" s="270">
        <f t="shared" si="1367"/>
        <v>0</v>
      </c>
      <c r="X211" s="270">
        <f t="shared" si="1367"/>
        <v>0</v>
      </c>
      <c r="Y211" s="270">
        <f t="shared" si="1367"/>
        <v>0</v>
      </c>
      <c r="Z211" s="270">
        <f t="shared" si="1367"/>
        <v>0</v>
      </c>
      <c r="AA211" s="270">
        <f t="shared" si="1367"/>
        <v>0</v>
      </c>
      <c r="AB211" s="270">
        <f t="shared" si="1367"/>
        <v>0</v>
      </c>
      <c r="AC211" s="270">
        <f t="shared" si="1367"/>
        <v>0</v>
      </c>
      <c r="AD211" s="270">
        <f t="shared" si="1367"/>
        <v>0</v>
      </c>
      <c r="AE211" s="270">
        <f t="shared" si="1367"/>
        <v>0</v>
      </c>
      <c r="AF211" s="270">
        <f t="shared" si="1367"/>
        <v>0</v>
      </c>
      <c r="AG211" s="270">
        <f t="shared" si="1367"/>
        <v>0</v>
      </c>
      <c r="AH211" s="279">
        <f t="shared" si="602"/>
        <v>0</v>
      </c>
      <c r="AI211" s="270">
        <f t="shared" si="43"/>
        <v>0</v>
      </c>
      <c r="AJ211" s="270">
        <f t="shared" ref="AJ211:AO211" si="1368">IF(F$8=0,0,ROUND(AJ210-(F211-BO211),2))</f>
        <v>0</v>
      </c>
      <c r="AK211" s="270">
        <f t="shared" si="1368"/>
        <v>0</v>
      </c>
      <c r="AL211" s="270">
        <f t="shared" si="1368"/>
        <v>0</v>
      </c>
      <c r="AM211" s="270">
        <f t="shared" si="1368"/>
        <v>0</v>
      </c>
      <c r="AN211" s="270">
        <f t="shared" si="1368"/>
        <v>0</v>
      </c>
      <c r="AO211" s="270">
        <f t="shared" si="1368"/>
        <v>0</v>
      </c>
      <c r="AP211" s="270">
        <v>0.0</v>
      </c>
      <c r="AQ211" s="270">
        <f t="shared" ref="AQ211:AS211" si="1369">IF(M$8=0,0,ROUND(AQ210-(M211-BV211),2))</f>
        <v>0</v>
      </c>
      <c r="AR211" s="270">
        <f t="shared" si="1369"/>
        <v>0</v>
      </c>
      <c r="AS211" s="270">
        <f t="shared" si="1369"/>
        <v>0</v>
      </c>
      <c r="AT211" s="270">
        <f t="shared" si="605"/>
        <v>-6.22</v>
      </c>
      <c r="AU211" s="270">
        <f t="shared" ref="AU211:BK211" si="1370">IF(Q$8=0,0,ROUND(AU210-(Q211-BY211),2))</f>
        <v>-13.58</v>
      </c>
      <c r="AV211" s="270">
        <f t="shared" si="1370"/>
        <v>0</v>
      </c>
      <c r="AW211" s="270">
        <f t="shared" si="1370"/>
        <v>0</v>
      </c>
      <c r="AX211" s="270">
        <f t="shared" si="1370"/>
        <v>0</v>
      </c>
      <c r="AY211" s="270">
        <f t="shared" si="1370"/>
        <v>0</v>
      </c>
      <c r="AZ211" s="270">
        <f t="shared" si="1370"/>
        <v>0</v>
      </c>
      <c r="BA211" s="270">
        <f t="shared" si="1370"/>
        <v>0</v>
      </c>
      <c r="BB211" s="270">
        <f t="shared" si="1370"/>
        <v>0</v>
      </c>
      <c r="BC211" s="270">
        <f t="shared" si="1370"/>
        <v>0</v>
      </c>
      <c r="BD211" s="270">
        <f t="shared" si="1370"/>
        <v>0</v>
      </c>
      <c r="BE211" s="270">
        <f t="shared" si="1370"/>
        <v>0</v>
      </c>
      <c r="BF211" s="270">
        <f t="shared" si="1370"/>
        <v>0</v>
      </c>
      <c r="BG211" s="270">
        <f t="shared" si="1370"/>
        <v>0</v>
      </c>
      <c r="BH211" s="270">
        <f t="shared" si="1370"/>
        <v>0</v>
      </c>
      <c r="BI211" s="270">
        <f t="shared" si="1370"/>
        <v>0</v>
      </c>
      <c r="BJ211" s="270">
        <f t="shared" si="1370"/>
        <v>0</v>
      </c>
      <c r="BK211" s="270">
        <f t="shared" si="1370"/>
        <v>0</v>
      </c>
      <c r="BL211" s="265">
        <f t="shared" si="16"/>
        <v>-19.8</v>
      </c>
      <c r="BM211" s="215"/>
      <c r="BN211" s="270">
        <f t="shared" ref="BN211:CP211" si="1371">ROUND(AI210*E$9/12,2)</f>
        <v>0</v>
      </c>
      <c r="BO211" s="270">
        <f t="shared" si="1371"/>
        <v>0</v>
      </c>
      <c r="BP211" s="270">
        <f t="shared" si="1371"/>
        <v>0</v>
      </c>
      <c r="BQ211" s="270">
        <f t="shared" si="1371"/>
        <v>0</v>
      </c>
      <c r="BR211" s="270">
        <f t="shared" si="1371"/>
        <v>0</v>
      </c>
      <c r="BS211" s="270">
        <f t="shared" si="1371"/>
        <v>0</v>
      </c>
      <c r="BT211" s="270">
        <f t="shared" si="1371"/>
        <v>0</v>
      </c>
      <c r="BU211" s="270">
        <f t="shared" si="1371"/>
        <v>0</v>
      </c>
      <c r="BV211" s="270">
        <f t="shared" si="1371"/>
        <v>0</v>
      </c>
      <c r="BW211" s="270">
        <f t="shared" si="1371"/>
        <v>0</v>
      </c>
      <c r="BX211" s="270">
        <f t="shared" si="1371"/>
        <v>0</v>
      </c>
      <c r="BY211" s="270">
        <f t="shared" si="1371"/>
        <v>-0.05</v>
      </c>
      <c r="BZ211" s="270">
        <f t="shared" si="1371"/>
        <v>-0.04</v>
      </c>
      <c r="CA211" s="270">
        <f t="shared" si="1371"/>
        <v>0</v>
      </c>
      <c r="CB211" s="270">
        <f t="shared" si="1371"/>
        <v>0</v>
      </c>
      <c r="CC211" s="270">
        <f t="shared" si="1371"/>
        <v>0</v>
      </c>
      <c r="CD211" s="270">
        <f t="shared" si="1371"/>
        <v>0</v>
      </c>
      <c r="CE211" s="270">
        <f t="shared" si="1371"/>
        <v>0</v>
      </c>
      <c r="CF211" s="270">
        <f t="shared" si="1371"/>
        <v>0</v>
      </c>
      <c r="CG211" s="270">
        <f t="shared" si="1371"/>
        <v>0</v>
      </c>
      <c r="CH211" s="270">
        <f t="shared" si="1371"/>
        <v>0</v>
      </c>
      <c r="CI211" s="270">
        <f t="shared" si="1371"/>
        <v>0</v>
      </c>
      <c r="CJ211" s="270">
        <f t="shared" si="1371"/>
        <v>0</v>
      </c>
      <c r="CK211" s="270">
        <f t="shared" si="1371"/>
        <v>0</v>
      </c>
      <c r="CL211" s="270">
        <f t="shared" si="1371"/>
        <v>0</v>
      </c>
      <c r="CM211" s="270">
        <f t="shared" si="1371"/>
        <v>0</v>
      </c>
      <c r="CN211" s="270">
        <f t="shared" si="1371"/>
        <v>0</v>
      </c>
      <c r="CO211" s="270">
        <f t="shared" si="1371"/>
        <v>0</v>
      </c>
      <c r="CP211" s="270">
        <f t="shared" si="1371"/>
        <v>0</v>
      </c>
      <c r="CQ211" s="215"/>
      <c r="CR211" s="270">
        <f t="shared" si="27"/>
        <v>-0.09</v>
      </c>
      <c r="CS211" s="215"/>
      <c r="CT211" s="270">
        <f t="shared" ref="CT211:DX211" si="1372">IF(AI210&gt;0,IF((AI210+BN211)&lt;E$10,AI210+BN211,E$10),0)</f>
        <v>0</v>
      </c>
      <c r="CU211" s="270">
        <f t="shared" si="1372"/>
        <v>0</v>
      </c>
      <c r="CV211" s="270">
        <f t="shared" si="1372"/>
        <v>0</v>
      </c>
      <c r="CW211" s="270">
        <f t="shared" si="1372"/>
        <v>0</v>
      </c>
      <c r="CX211" s="270">
        <f t="shared" si="1372"/>
        <v>0</v>
      </c>
      <c r="CY211" s="270">
        <f t="shared" si="1372"/>
        <v>0</v>
      </c>
      <c r="CZ211" s="270">
        <f t="shared" si="1372"/>
        <v>0</v>
      </c>
      <c r="DA211" s="270">
        <f t="shared" si="1372"/>
        <v>0</v>
      </c>
      <c r="DB211" s="270">
        <f t="shared" si="1372"/>
        <v>0</v>
      </c>
      <c r="DC211" s="270">
        <f t="shared" si="1372"/>
        <v>0</v>
      </c>
      <c r="DD211" s="270">
        <f t="shared" si="1372"/>
        <v>0</v>
      </c>
      <c r="DE211" s="270">
        <f t="shared" si="1372"/>
        <v>0</v>
      </c>
      <c r="DF211" s="270">
        <f t="shared" si="1372"/>
        <v>0</v>
      </c>
      <c r="DG211" s="270">
        <f t="shared" si="1372"/>
        <v>0</v>
      </c>
      <c r="DH211" s="270">
        <f t="shared" si="1372"/>
        <v>0</v>
      </c>
      <c r="DI211" s="270">
        <f t="shared" si="1372"/>
        <v>0</v>
      </c>
      <c r="DJ211" s="270">
        <f t="shared" si="1372"/>
        <v>0</v>
      </c>
      <c r="DK211" s="270">
        <f t="shared" si="1372"/>
        <v>0</v>
      </c>
      <c r="DL211" s="270">
        <f t="shared" si="1372"/>
        <v>0</v>
      </c>
      <c r="DM211" s="270">
        <f t="shared" si="1372"/>
        <v>0</v>
      </c>
      <c r="DN211" s="270">
        <f t="shared" si="1372"/>
        <v>0</v>
      </c>
      <c r="DO211" s="270">
        <f t="shared" si="1372"/>
        <v>0</v>
      </c>
      <c r="DP211" s="270">
        <f t="shared" si="1372"/>
        <v>0</v>
      </c>
      <c r="DQ211" s="270">
        <f t="shared" si="1372"/>
        <v>0</v>
      </c>
      <c r="DR211" s="270">
        <f t="shared" si="1372"/>
        <v>0</v>
      </c>
      <c r="DS211" s="270">
        <f t="shared" si="1372"/>
        <v>0</v>
      </c>
      <c r="DT211" s="270">
        <f t="shared" si="1372"/>
        <v>0</v>
      </c>
      <c r="DU211" s="270">
        <f t="shared" si="1372"/>
        <v>0</v>
      </c>
      <c r="DV211" s="270">
        <f t="shared" si="1372"/>
        <v>0</v>
      </c>
      <c r="DW211" s="270">
        <f t="shared" si="1372"/>
        <v>0</v>
      </c>
      <c r="DX211" s="270">
        <f t="shared" si="1372"/>
        <v>0</v>
      </c>
      <c r="DY211" s="270">
        <f t="shared" si="29"/>
        <v>0</v>
      </c>
      <c r="DZ211" s="274"/>
      <c r="EA211" s="275">
        <f t="shared" si="38"/>
        <v>0</v>
      </c>
      <c r="EB211" s="270">
        <f t="shared" ref="EB211:FC211" si="1373">IF(AJ209&lt;=0,0,IF($C210&lt;=SUM($EA211:EA211),0,IF(CU210+$C210-SUM($EA211:EA211)&gt;AJ209+BO210,AJ209+BO210-CU210,$C210-SUM($EA211:EA211))))</f>
        <v>0</v>
      </c>
      <c r="EC211" s="270">
        <f t="shared" si="1373"/>
        <v>0</v>
      </c>
      <c r="ED211" s="270">
        <f t="shared" si="1373"/>
        <v>0</v>
      </c>
      <c r="EE211" s="270">
        <f t="shared" si="1373"/>
        <v>0</v>
      </c>
      <c r="EF211" s="270">
        <f t="shared" si="1373"/>
        <v>0</v>
      </c>
      <c r="EG211" s="270">
        <f t="shared" si="1373"/>
        <v>0</v>
      </c>
      <c r="EH211" s="270">
        <f t="shared" si="1373"/>
        <v>0</v>
      </c>
      <c r="EI211" s="270">
        <f t="shared" si="1373"/>
        <v>0</v>
      </c>
      <c r="EJ211" s="270">
        <f t="shared" si="1373"/>
        <v>0</v>
      </c>
      <c r="EK211" s="270">
        <f t="shared" si="1373"/>
        <v>0</v>
      </c>
      <c r="EL211" s="270">
        <f t="shared" si="1373"/>
        <v>0</v>
      </c>
      <c r="EM211" s="270">
        <f t="shared" si="1373"/>
        <v>0</v>
      </c>
      <c r="EN211" s="270">
        <f t="shared" si="1373"/>
        <v>0</v>
      </c>
      <c r="EO211" s="270">
        <f t="shared" si="1373"/>
        <v>0</v>
      </c>
      <c r="EP211" s="270">
        <f t="shared" si="1373"/>
        <v>0</v>
      </c>
      <c r="EQ211" s="270">
        <f t="shared" si="1373"/>
        <v>0</v>
      </c>
      <c r="ER211" s="270">
        <f t="shared" si="1373"/>
        <v>0</v>
      </c>
      <c r="ES211" s="270">
        <f t="shared" si="1373"/>
        <v>0</v>
      </c>
      <c r="ET211" s="270">
        <f t="shared" si="1373"/>
        <v>0</v>
      </c>
      <c r="EU211" s="270">
        <f t="shared" si="1373"/>
        <v>0</v>
      </c>
      <c r="EV211" s="270">
        <f t="shared" si="1373"/>
        <v>0</v>
      </c>
      <c r="EW211" s="270">
        <f t="shared" si="1373"/>
        <v>0</v>
      </c>
      <c r="EX211" s="270">
        <f t="shared" si="1373"/>
        <v>0</v>
      </c>
      <c r="EY211" s="270">
        <f t="shared" si="1373"/>
        <v>0</v>
      </c>
      <c r="EZ211" s="270">
        <f t="shared" si="1373"/>
        <v>0</v>
      </c>
      <c r="FA211" s="270">
        <f t="shared" si="1373"/>
        <v>0</v>
      </c>
      <c r="FB211" s="270">
        <f t="shared" si="1373"/>
        <v>0</v>
      </c>
      <c r="FC211" s="270">
        <f t="shared" si="1373"/>
        <v>0</v>
      </c>
      <c r="FD211" s="271"/>
      <c r="FE211" s="271"/>
      <c r="FF211" s="271"/>
      <c r="FG211" s="215"/>
      <c r="FH211" s="215"/>
    </row>
    <row r="212" ht="11.25" customHeight="1">
      <c r="A212" s="215" t="str">
        <f t="shared" si="19"/>
        <v/>
      </c>
      <c r="B212" s="241" t="str">
        <f t="shared" si="600"/>
        <v>#N/A</v>
      </c>
      <c r="C212" s="271" t="str">
        <f>IF(A212="","",IF(Calculator!snowball,IF(($E$5-DY212)&lt;0,0,$E$5-DY212),0)+D212)</f>
        <v/>
      </c>
      <c r="D212" s="271"/>
      <c r="E212" s="270">
        <f t="shared" si="40"/>
        <v>0</v>
      </c>
      <c r="F212" s="270">
        <f t="shared" ref="F212:AG212" si="1374">CU212+EB213</f>
        <v>0</v>
      </c>
      <c r="G212" s="270">
        <f t="shared" si="1374"/>
        <v>0</v>
      </c>
      <c r="H212" s="270">
        <f t="shared" si="1374"/>
        <v>0</v>
      </c>
      <c r="I212" s="270">
        <f t="shared" si="1374"/>
        <v>0</v>
      </c>
      <c r="J212" s="270">
        <f t="shared" si="1374"/>
        <v>0</v>
      </c>
      <c r="K212" s="270">
        <f t="shared" si="1374"/>
        <v>0</v>
      </c>
      <c r="L212" s="270">
        <f t="shared" si="1374"/>
        <v>0</v>
      </c>
      <c r="M212" s="270">
        <f t="shared" si="1374"/>
        <v>0</v>
      </c>
      <c r="N212" s="270">
        <f t="shared" si="1374"/>
        <v>0</v>
      </c>
      <c r="O212" s="270">
        <f t="shared" si="1374"/>
        <v>0</v>
      </c>
      <c r="P212" s="272">
        <f t="shared" si="1374"/>
        <v>0</v>
      </c>
      <c r="Q212" s="272">
        <f t="shared" si="1374"/>
        <v>0</v>
      </c>
      <c r="R212" s="272">
        <f t="shared" si="1374"/>
        <v>0</v>
      </c>
      <c r="S212" s="272">
        <f t="shared" si="1374"/>
        <v>0</v>
      </c>
      <c r="T212" s="272">
        <f t="shared" si="1374"/>
        <v>0</v>
      </c>
      <c r="U212" s="270">
        <f t="shared" si="1374"/>
        <v>0</v>
      </c>
      <c r="V212" s="270">
        <f t="shared" si="1374"/>
        <v>0</v>
      </c>
      <c r="W212" s="270">
        <f t="shared" si="1374"/>
        <v>0</v>
      </c>
      <c r="X212" s="270">
        <f t="shared" si="1374"/>
        <v>0</v>
      </c>
      <c r="Y212" s="270">
        <f t="shared" si="1374"/>
        <v>0</v>
      </c>
      <c r="Z212" s="270">
        <f t="shared" si="1374"/>
        <v>0</v>
      </c>
      <c r="AA212" s="270">
        <f t="shared" si="1374"/>
        <v>0</v>
      </c>
      <c r="AB212" s="270">
        <f t="shared" si="1374"/>
        <v>0</v>
      </c>
      <c r="AC212" s="270">
        <f t="shared" si="1374"/>
        <v>0</v>
      </c>
      <c r="AD212" s="270">
        <f t="shared" si="1374"/>
        <v>0</v>
      </c>
      <c r="AE212" s="270">
        <f t="shared" si="1374"/>
        <v>0</v>
      </c>
      <c r="AF212" s="270">
        <f t="shared" si="1374"/>
        <v>0</v>
      </c>
      <c r="AG212" s="270">
        <f t="shared" si="1374"/>
        <v>0</v>
      </c>
      <c r="AH212" s="279">
        <f t="shared" si="602"/>
        <v>0</v>
      </c>
      <c r="AI212" s="270">
        <f t="shared" si="43"/>
        <v>0</v>
      </c>
      <c r="AJ212" s="270">
        <f t="shared" ref="AJ212:AO212" si="1375">IF(F$8=0,0,ROUND(AJ211-(F212-BO212),2))</f>
        <v>0</v>
      </c>
      <c r="AK212" s="270">
        <f t="shared" si="1375"/>
        <v>0</v>
      </c>
      <c r="AL212" s="270">
        <f t="shared" si="1375"/>
        <v>0</v>
      </c>
      <c r="AM212" s="270">
        <f t="shared" si="1375"/>
        <v>0</v>
      </c>
      <c r="AN212" s="270">
        <f t="shared" si="1375"/>
        <v>0</v>
      </c>
      <c r="AO212" s="270">
        <f t="shared" si="1375"/>
        <v>0</v>
      </c>
      <c r="AP212" s="270">
        <v>0.0</v>
      </c>
      <c r="AQ212" s="270">
        <f t="shared" ref="AQ212:AS212" si="1376">IF(M$8=0,0,ROUND(AQ211-(M212-BV212),2))</f>
        <v>0</v>
      </c>
      <c r="AR212" s="270">
        <f t="shared" si="1376"/>
        <v>0</v>
      </c>
      <c r="AS212" s="270">
        <f t="shared" si="1376"/>
        <v>0</v>
      </c>
      <c r="AT212" s="270">
        <f t="shared" si="605"/>
        <v>-6.22</v>
      </c>
      <c r="AU212" s="270">
        <f t="shared" ref="AU212:BK212" si="1377">IF(Q$8=0,0,ROUND(AU211-(Q212-BY212),2))</f>
        <v>-13.63</v>
      </c>
      <c r="AV212" s="270">
        <f t="shared" si="1377"/>
        <v>0</v>
      </c>
      <c r="AW212" s="270">
        <f t="shared" si="1377"/>
        <v>0</v>
      </c>
      <c r="AX212" s="270">
        <f t="shared" si="1377"/>
        <v>0</v>
      </c>
      <c r="AY212" s="270">
        <f t="shared" si="1377"/>
        <v>0</v>
      </c>
      <c r="AZ212" s="270">
        <f t="shared" si="1377"/>
        <v>0</v>
      </c>
      <c r="BA212" s="270">
        <f t="shared" si="1377"/>
        <v>0</v>
      </c>
      <c r="BB212" s="270">
        <f t="shared" si="1377"/>
        <v>0</v>
      </c>
      <c r="BC212" s="270">
        <f t="shared" si="1377"/>
        <v>0</v>
      </c>
      <c r="BD212" s="270">
        <f t="shared" si="1377"/>
        <v>0</v>
      </c>
      <c r="BE212" s="270">
        <f t="shared" si="1377"/>
        <v>0</v>
      </c>
      <c r="BF212" s="270">
        <f t="shared" si="1377"/>
        <v>0</v>
      </c>
      <c r="BG212" s="270">
        <f t="shared" si="1377"/>
        <v>0</v>
      </c>
      <c r="BH212" s="270">
        <f t="shared" si="1377"/>
        <v>0</v>
      </c>
      <c r="BI212" s="270">
        <f t="shared" si="1377"/>
        <v>0</v>
      </c>
      <c r="BJ212" s="270">
        <f t="shared" si="1377"/>
        <v>0</v>
      </c>
      <c r="BK212" s="270">
        <f t="shared" si="1377"/>
        <v>0</v>
      </c>
      <c r="BL212" s="265">
        <f t="shared" si="16"/>
        <v>-19.85</v>
      </c>
      <c r="BM212" s="215"/>
      <c r="BN212" s="270">
        <f t="shared" ref="BN212:CP212" si="1378">ROUND(AI211*E$9/12,2)</f>
        <v>0</v>
      </c>
      <c r="BO212" s="270">
        <f t="shared" si="1378"/>
        <v>0</v>
      </c>
      <c r="BP212" s="270">
        <f t="shared" si="1378"/>
        <v>0</v>
      </c>
      <c r="BQ212" s="270">
        <f t="shared" si="1378"/>
        <v>0</v>
      </c>
      <c r="BR212" s="270">
        <f t="shared" si="1378"/>
        <v>0</v>
      </c>
      <c r="BS212" s="270">
        <f t="shared" si="1378"/>
        <v>0</v>
      </c>
      <c r="BT212" s="270">
        <f t="shared" si="1378"/>
        <v>0</v>
      </c>
      <c r="BU212" s="270">
        <f t="shared" si="1378"/>
        <v>0</v>
      </c>
      <c r="BV212" s="270">
        <f t="shared" si="1378"/>
        <v>0</v>
      </c>
      <c r="BW212" s="270">
        <f t="shared" si="1378"/>
        <v>0</v>
      </c>
      <c r="BX212" s="270">
        <f t="shared" si="1378"/>
        <v>0</v>
      </c>
      <c r="BY212" s="270">
        <f t="shared" si="1378"/>
        <v>-0.05</v>
      </c>
      <c r="BZ212" s="270">
        <f t="shared" si="1378"/>
        <v>-0.04</v>
      </c>
      <c r="CA212" s="270">
        <f t="shared" si="1378"/>
        <v>0</v>
      </c>
      <c r="CB212" s="270">
        <f t="shared" si="1378"/>
        <v>0</v>
      </c>
      <c r="CC212" s="270">
        <f t="shared" si="1378"/>
        <v>0</v>
      </c>
      <c r="CD212" s="270">
        <f t="shared" si="1378"/>
        <v>0</v>
      </c>
      <c r="CE212" s="270">
        <f t="shared" si="1378"/>
        <v>0</v>
      </c>
      <c r="CF212" s="270">
        <f t="shared" si="1378"/>
        <v>0</v>
      </c>
      <c r="CG212" s="270">
        <f t="shared" si="1378"/>
        <v>0</v>
      </c>
      <c r="CH212" s="270">
        <f t="shared" si="1378"/>
        <v>0</v>
      </c>
      <c r="CI212" s="270">
        <f t="shared" si="1378"/>
        <v>0</v>
      </c>
      <c r="CJ212" s="270">
        <f t="shared" si="1378"/>
        <v>0</v>
      </c>
      <c r="CK212" s="270">
        <f t="shared" si="1378"/>
        <v>0</v>
      </c>
      <c r="CL212" s="270">
        <f t="shared" si="1378"/>
        <v>0</v>
      </c>
      <c r="CM212" s="270">
        <f t="shared" si="1378"/>
        <v>0</v>
      </c>
      <c r="CN212" s="270">
        <f t="shared" si="1378"/>
        <v>0</v>
      </c>
      <c r="CO212" s="270">
        <f t="shared" si="1378"/>
        <v>0</v>
      </c>
      <c r="CP212" s="270">
        <f t="shared" si="1378"/>
        <v>0</v>
      </c>
      <c r="CQ212" s="215"/>
      <c r="CR212" s="270">
        <f t="shared" si="27"/>
        <v>-0.09</v>
      </c>
      <c r="CS212" s="215"/>
      <c r="CT212" s="270">
        <f t="shared" ref="CT212:DX212" si="1379">IF(AI211&gt;0,IF((AI211+BN212)&lt;E$10,AI211+BN212,E$10),0)</f>
        <v>0</v>
      </c>
      <c r="CU212" s="270">
        <f t="shared" si="1379"/>
        <v>0</v>
      </c>
      <c r="CV212" s="270">
        <f t="shared" si="1379"/>
        <v>0</v>
      </c>
      <c r="CW212" s="270">
        <f t="shared" si="1379"/>
        <v>0</v>
      </c>
      <c r="CX212" s="270">
        <f t="shared" si="1379"/>
        <v>0</v>
      </c>
      <c r="CY212" s="270">
        <f t="shared" si="1379"/>
        <v>0</v>
      </c>
      <c r="CZ212" s="270">
        <f t="shared" si="1379"/>
        <v>0</v>
      </c>
      <c r="DA212" s="270">
        <f t="shared" si="1379"/>
        <v>0</v>
      </c>
      <c r="DB212" s="270">
        <f t="shared" si="1379"/>
        <v>0</v>
      </c>
      <c r="DC212" s="270">
        <f t="shared" si="1379"/>
        <v>0</v>
      </c>
      <c r="DD212" s="270">
        <f t="shared" si="1379"/>
        <v>0</v>
      </c>
      <c r="DE212" s="270">
        <f t="shared" si="1379"/>
        <v>0</v>
      </c>
      <c r="DF212" s="270">
        <f t="shared" si="1379"/>
        <v>0</v>
      </c>
      <c r="DG212" s="270">
        <f t="shared" si="1379"/>
        <v>0</v>
      </c>
      <c r="DH212" s="270">
        <f t="shared" si="1379"/>
        <v>0</v>
      </c>
      <c r="DI212" s="270">
        <f t="shared" si="1379"/>
        <v>0</v>
      </c>
      <c r="DJ212" s="270">
        <f t="shared" si="1379"/>
        <v>0</v>
      </c>
      <c r="DK212" s="270">
        <f t="shared" si="1379"/>
        <v>0</v>
      </c>
      <c r="DL212" s="270">
        <f t="shared" si="1379"/>
        <v>0</v>
      </c>
      <c r="DM212" s="270">
        <f t="shared" si="1379"/>
        <v>0</v>
      </c>
      <c r="DN212" s="270">
        <f t="shared" si="1379"/>
        <v>0</v>
      </c>
      <c r="DO212" s="270">
        <f t="shared" si="1379"/>
        <v>0</v>
      </c>
      <c r="DP212" s="270">
        <f t="shared" si="1379"/>
        <v>0</v>
      </c>
      <c r="DQ212" s="270">
        <f t="shared" si="1379"/>
        <v>0</v>
      </c>
      <c r="DR212" s="270">
        <f t="shared" si="1379"/>
        <v>0</v>
      </c>
      <c r="DS212" s="270">
        <f t="shared" si="1379"/>
        <v>0</v>
      </c>
      <c r="DT212" s="270">
        <f t="shared" si="1379"/>
        <v>0</v>
      </c>
      <c r="DU212" s="270">
        <f t="shared" si="1379"/>
        <v>0</v>
      </c>
      <c r="DV212" s="270">
        <f t="shared" si="1379"/>
        <v>0</v>
      </c>
      <c r="DW212" s="270">
        <f t="shared" si="1379"/>
        <v>0</v>
      </c>
      <c r="DX212" s="270">
        <f t="shared" si="1379"/>
        <v>0</v>
      </c>
      <c r="DY212" s="270">
        <f t="shared" si="29"/>
        <v>0</v>
      </c>
      <c r="DZ212" s="274"/>
      <c r="EA212" s="275">
        <f t="shared" si="38"/>
        <v>0</v>
      </c>
      <c r="EB212" s="270">
        <f t="shared" ref="EB212:FC212" si="1380">IF(AJ210&lt;=0,0,IF($C211&lt;=SUM($EA212:EA212),0,IF(CU211+$C211-SUM($EA212:EA212)&gt;AJ210+BO211,AJ210+BO211-CU211,$C211-SUM($EA212:EA212))))</f>
        <v>0</v>
      </c>
      <c r="EC212" s="270">
        <f t="shared" si="1380"/>
        <v>0</v>
      </c>
      <c r="ED212" s="270">
        <f t="shared" si="1380"/>
        <v>0</v>
      </c>
      <c r="EE212" s="270">
        <f t="shared" si="1380"/>
        <v>0</v>
      </c>
      <c r="EF212" s="270">
        <f t="shared" si="1380"/>
        <v>0</v>
      </c>
      <c r="EG212" s="270">
        <f t="shared" si="1380"/>
        <v>0</v>
      </c>
      <c r="EH212" s="270">
        <f t="shared" si="1380"/>
        <v>0</v>
      </c>
      <c r="EI212" s="270">
        <f t="shared" si="1380"/>
        <v>0</v>
      </c>
      <c r="EJ212" s="270">
        <f t="shared" si="1380"/>
        <v>0</v>
      </c>
      <c r="EK212" s="270">
        <f t="shared" si="1380"/>
        <v>0</v>
      </c>
      <c r="EL212" s="270">
        <f t="shared" si="1380"/>
        <v>0</v>
      </c>
      <c r="EM212" s="270">
        <f t="shared" si="1380"/>
        <v>0</v>
      </c>
      <c r="EN212" s="270">
        <f t="shared" si="1380"/>
        <v>0</v>
      </c>
      <c r="EO212" s="270">
        <f t="shared" si="1380"/>
        <v>0</v>
      </c>
      <c r="EP212" s="270">
        <f t="shared" si="1380"/>
        <v>0</v>
      </c>
      <c r="EQ212" s="270">
        <f t="shared" si="1380"/>
        <v>0</v>
      </c>
      <c r="ER212" s="270">
        <f t="shared" si="1380"/>
        <v>0</v>
      </c>
      <c r="ES212" s="270">
        <f t="shared" si="1380"/>
        <v>0</v>
      </c>
      <c r="ET212" s="270">
        <f t="shared" si="1380"/>
        <v>0</v>
      </c>
      <c r="EU212" s="270">
        <f t="shared" si="1380"/>
        <v>0</v>
      </c>
      <c r="EV212" s="270">
        <f t="shared" si="1380"/>
        <v>0</v>
      </c>
      <c r="EW212" s="270">
        <f t="shared" si="1380"/>
        <v>0</v>
      </c>
      <c r="EX212" s="270">
        <f t="shared" si="1380"/>
        <v>0</v>
      </c>
      <c r="EY212" s="270">
        <f t="shared" si="1380"/>
        <v>0</v>
      </c>
      <c r="EZ212" s="270">
        <f t="shared" si="1380"/>
        <v>0</v>
      </c>
      <c r="FA212" s="270">
        <f t="shared" si="1380"/>
        <v>0</v>
      </c>
      <c r="FB212" s="270">
        <f t="shared" si="1380"/>
        <v>0</v>
      </c>
      <c r="FC212" s="270">
        <f t="shared" si="1380"/>
        <v>0</v>
      </c>
      <c r="FD212" s="271"/>
      <c r="FE212" s="271"/>
      <c r="FF212" s="271"/>
      <c r="FG212" s="215"/>
      <c r="FH212" s="215"/>
    </row>
    <row r="213" ht="11.25" customHeight="1">
      <c r="A213" s="215" t="str">
        <f t="shared" si="19"/>
        <v/>
      </c>
      <c r="B213" s="241" t="str">
        <f t="shared" si="600"/>
        <v>#N/A</v>
      </c>
      <c r="C213" s="271" t="str">
        <f>IF(A213="","",IF(Calculator!snowball,IF(($E$5-DY213)&lt;0,0,$E$5-DY213),0)+D213)</f>
        <v/>
      </c>
      <c r="D213" s="271"/>
      <c r="E213" s="270">
        <f t="shared" si="40"/>
        <v>0</v>
      </c>
      <c r="F213" s="270">
        <f t="shared" ref="F213:AG213" si="1381">CU213+EB214</f>
        <v>0</v>
      </c>
      <c r="G213" s="270">
        <f t="shared" si="1381"/>
        <v>0</v>
      </c>
      <c r="H213" s="270">
        <f t="shared" si="1381"/>
        <v>0</v>
      </c>
      <c r="I213" s="270">
        <f t="shared" si="1381"/>
        <v>0</v>
      </c>
      <c r="J213" s="270">
        <f t="shared" si="1381"/>
        <v>0</v>
      </c>
      <c r="K213" s="270">
        <f t="shared" si="1381"/>
        <v>0</v>
      </c>
      <c r="L213" s="270">
        <f t="shared" si="1381"/>
        <v>0</v>
      </c>
      <c r="M213" s="270">
        <f t="shared" si="1381"/>
        <v>0</v>
      </c>
      <c r="N213" s="270">
        <f t="shared" si="1381"/>
        <v>0</v>
      </c>
      <c r="O213" s="270">
        <f t="shared" si="1381"/>
        <v>0</v>
      </c>
      <c r="P213" s="272">
        <f t="shared" si="1381"/>
        <v>0</v>
      </c>
      <c r="Q213" s="272">
        <f t="shared" si="1381"/>
        <v>0</v>
      </c>
      <c r="R213" s="272">
        <f t="shared" si="1381"/>
        <v>0</v>
      </c>
      <c r="S213" s="272">
        <f t="shared" si="1381"/>
        <v>0</v>
      </c>
      <c r="T213" s="272">
        <f t="shared" si="1381"/>
        <v>0</v>
      </c>
      <c r="U213" s="270">
        <f t="shared" si="1381"/>
        <v>0</v>
      </c>
      <c r="V213" s="270">
        <f t="shared" si="1381"/>
        <v>0</v>
      </c>
      <c r="W213" s="270">
        <f t="shared" si="1381"/>
        <v>0</v>
      </c>
      <c r="X213" s="270">
        <f t="shared" si="1381"/>
        <v>0</v>
      </c>
      <c r="Y213" s="270">
        <f t="shared" si="1381"/>
        <v>0</v>
      </c>
      <c r="Z213" s="270">
        <f t="shared" si="1381"/>
        <v>0</v>
      </c>
      <c r="AA213" s="270">
        <f t="shared" si="1381"/>
        <v>0</v>
      </c>
      <c r="AB213" s="270">
        <f t="shared" si="1381"/>
        <v>0</v>
      </c>
      <c r="AC213" s="270">
        <f t="shared" si="1381"/>
        <v>0</v>
      </c>
      <c r="AD213" s="270">
        <f t="shared" si="1381"/>
        <v>0</v>
      </c>
      <c r="AE213" s="270">
        <f t="shared" si="1381"/>
        <v>0</v>
      </c>
      <c r="AF213" s="270">
        <f t="shared" si="1381"/>
        <v>0</v>
      </c>
      <c r="AG213" s="270">
        <f t="shared" si="1381"/>
        <v>0</v>
      </c>
      <c r="AH213" s="279">
        <f t="shared" si="602"/>
        <v>0</v>
      </c>
      <c r="AI213" s="270">
        <f t="shared" si="43"/>
        <v>0</v>
      </c>
      <c r="AJ213" s="270">
        <f t="shared" ref="AJ213:AO213" si="1382">IF(F$8=0,0,ROUND(AJ212-(F213-BO213),2))</f>
        <v>0</v>
      </c>
      <c r="AK213" s="270">
        <f t="shared" si="1382"/>
        <v>0</v>
      </c>
      <c r="AL213" s="270">
        <f t="shared" si="1382"/>
        <v>0</v>
      </c>
      <c r="AM213" s="270">
        <f t="shared" si="1382"/>
        <v>0</v>
      </c>
      <c r="AN213" s="270">
        <f t="shared" si="1382"/>
        <v>0</v>
      </c>
      <c r="AO213" s="270">
        <f t="shared" si="1382"/>
        <v>0</v>
      </c>
      <c r="AP213" s="270">
        <v>0.0</v>
      </c>
      <c r="AQ213" s="270">
        <f t="shared" ref="AQ213:AS213" si="1383">IF(M$8=0,0,ROUND(AQ212-(M213-BV213),2))</f>
        <v>0</v>
      </c>
      <c r="AR213" s="270">
        <f t="shared" si="1383"/>
        <v>0</v>
      </c>
      <c r="AS213" s="270">
        <f t="shared" si="1383"/>
        <v>0</v>
      </c>
      <c r="AT213" s="270">
        <f t="shared" si="605"/>
        <v>-6.22</v>
      </c>
      <c r="AU213" s="270">
        <f t="shared" ref="AU213:BK213" si="1384">IF(Q$8=0,0,ROUND(AU212-(Q213-BY213),2))</f>
        <v>-13.68</v>
      </c>
      <c r="AV213" s="270">
        <f t="shared" si="1384"/>
        <v>0</v>
      </c>
      <c r="AW213" s="270">
        <f t="shared" si="1384"/>
        <v>0</v>
      </c>
      <c r="AX213" s="270">
        <f t="shared" si="1384"/>
        <v>0</v>
      </c>
      <c r="AY213" s="270">
        <f t="shared" si="1384"/>
        <v>0</v>
      </c>
      <c r="AZ213" s="270">
        <f t="shared" si="1384"/>
        <v>0</v>
      </c>
      <c r="BA213" s="270">
        <f t="shared" si="1384"/>
        <v>0</v>
      </c>
      <c r="BB213" s="270">
        <f t="shared" si="1384"/>
        <v>0</v>
      </c>
      <c r="BC213" s="270">
        <f t="shared" si="1384"/>
        <v>0</v>
      </c>
      <c r="BD213" s="270">
        <f t="shared" si="1384"/>
        <v>0</v>
      </c>
      <c r="BE213" s="270">
        <f t="shared" si="1384"/>
        <v>0</v>
      </c>
      <c r="BF213" s="270">
        <f t="shared" si="1384"/>
        <v>0</v>
      </c>
      <c r="BG213" s="270">
        <f t="shared" si="1384"/>
        <v>0</v>
      </c>
      <c r="BH213" s="270">
        <f t="shared" si="1384"/>
        <v>0</v>
      </c>
      <c r="BI213" s="270">
        <f t="shared" si="1384"/>
        <v>0</v>
      </c>
      <c r="BJ213" s="270">
        <f t="shared" si="1384"/>
        <v>0</v>
      </c>
      <c r="BK213" s="270">
        <f t="shared" si="1384"/>
        <v>0</v>
      </c>
      <c r="BL213" s="265">
        <f t="shared" si="16"/>
        <v>-19.9</v>
      </c>
      <c r="BM213" s="215"/>
      <c r="BN213" s="270">
        <f t="shared" ref="BN213:CP213" si="1385">ROUND(AI212*E$9/12,2)</f>
        <v>0</v>
      </c>
      <c r="BO213" s="270">
        <f t="shared" si="1385"/>
        <v>0</v>
      </c>
      <c r="BP213" s="270">
        <f t="shared" si="1385"/>
        <v>0</v>
      </c>
      <c r="BQ213" s="270">
        <f t="shared" si="1385"/>
        <v>0</v>
      </c>
      <c r="BR213" s="270">
        <f t="shared" si="1385"/>
        <v>0</v>
      </c>
      <c r="BS213" s="270">
        <f t="shared" si="1385"/>
        <v>0</v>
      </c>
      <c r="BT213" s="270">
        <f t="shared" si="1385"/>
        <v>0</v>
      </c>
      <c r="BU213" s="270">
        <f t="shared" si="1385"/>
        <v>0</v>
      </c>
      <c r="BV213" s="270">
        <f t="shared" si="1385"/>
        <v>0</v>
      </c>
      <c r="BW213" s="270">
        <f t="shared" si="1385"/>
        <v>0</v>
      </c>
      <c r="BX213" s="270">
        <f t="shared" si="1385"/>
        <v>0</v>
      </c>
      <c r="BY213" s="270">
        <f t="shared" si="1385"/>
        <v>-0.05</v>
      </c>
      <c r="BZ213" s="270">
        <f t="shared" si="1385"/>
        <v>-0.04</v>
      </c>
      <c r="CA213" s="270">
        <f t="shared" si="1385"/>
        <v>0</v>
      </c>
      <c r="CB213" s="270">
        <f t="shared" si="1385"/>
        <v>0</v>
      </c>
      <c r="CC213" s="270">
        <f t="shared" si="1385"/>
        <v>0</v>
      </c>
      <c r="CD213" s="270">
        <f t="shared" si="1385"/>
        <v>0</v>
      </c>
      <c r="CE213" s="270">
        <f t="shared" si="1385"/>
        <v>0</v>
      </c>
      <c r="CF213" s="270">
        <f t="shared" si="1385"/>
        <v>0</v>
      </c>
      <c r="CG213" s="270">
        <f t="shared" si="1385"/>
        <v>0</v>
      </c>
      <c r="CH213" s="270">
        <f t="shared" si="1385"/>
        <v>0</v>
      </c>
      <c r="CI213" s="270">
        <f t="shared" si="1385"/>
        <v>0</v>
      </c>
      <c r="CJ213" s="270">
        <f t="shared" si="1385"/>
        <v>0</v>
      </c>
      <c r="CK213" s="270">
        <f t="shared" si="1385"/>
        <v>0</v>
      </c>
      <c r="CL213" s="270">
        <f t="shared" si="1385"/>
        <v>0</v>
      </c>
      <c r="CM213" s="270">
        <f t="shared" si="1385"/>
        <v>0</v>
      </c>
      <c r="CN213" s="270">
        <f t="shared" si="1385"/>
        <v>0</v>
      </c>
      <c r="CO213" s="270">
        <f t="shared" si="1385"/>
        <v>0</v>
      </c>
      <c r="CP213" s="270">
        <f t="shared" si="1385"/>
        <v>0</v>
      </c>
      <c r="CQ213" s="215"/>
      <c r="CR213" s="270">
        <f t="shared" si="27"/>
        <v>-0.09</v>
      </c>
      <c r="CS213" s="215"/>
      <c r="CT213" s="270">
        <f t="shared" ref="CT213:DX213" si="1386">IF(AI212&gt;0,IF((AI212+BN213)&lt;E$10,AI212+BN213,E$10),0)</f>
        <v>0</v>
      </c>
      <c r="CU213" s="270">
        <f t="shared" si="1386"/>
        <v>0</v>
      </c>
      <c r="CV213" s="270">
        <f t="shared" si="1386"/>
        <v>0</v>
      </c>
      <c r="CW213" s="270">
        <f t="shared" si="1386"/>
        <v>0</v>
      </c>
      <c r="CX213" s="270">
        <f t="shared" si="1386"/>
        <v>0</v>
      </c>
      <c r="CY213" s="270">
        <f t="shared" si="1386"/>
        <v>0</v>
      </c>
      <c r="CZ213" s="270">
        <f t="shared" si="1386"/>
        <v>0</v>
      </c>
      <c r="DA213" s="270">
        <f t="shared" si="1386"/>
        <v>0</v>
      </c>
      <c r="DB213" s="270">
        <f t="shared" si="1386"/>
        <v>0</v>
      </c>
      <c r="DC213" s="270">
        <f t="shared" si="1386"/>
        <v>0</v>
      </c>
      <c r="DD213" s="270">
        <f t="shared" si="1386"/>
        <v>0</v>
      </c>
      <c r="DE213" s="270">
        <f t="shared" si="1386"/>
        <v>0</v>
      </c>
      <c r="DF213" s="270">
        <f t="shared" si="1386"/>
        <v>0</v>
      </c>
      <c r="DG213" s="270">
        <f t="shared" si="1386"/>
        <v>0</v>
      </c>
      <c r="DH213" s="270">
        <f t="shared" si="1386"/>
        <v>0</v>
      </c>
      <c r="DI213" s="270">
        <f t="shared" si="1386"/>
        <v>0</v>
      </c>
      <c r="DJ213" s="270">
        <f t="shared" si="1386"/>
        <v>0</v>
      </c>
      <c r="DK213" s="270">
        <f t="shared" si="1386"/>
        <v>0</v>
      </c>
      <c r="DL213" s="270">
        <f t="shared" si="1386"/>
        <v>0</v>
      </c>
      <c r="DM213" s="270">
        <f t="shared" si="1386"/>
        <v>0</v>
      </c>
      <c r="DN213" s="270">
        <f t="shared" si="1386"/>
        <v>0</v>
      </c>
      <c r="DO213" s="270">
        <f t="shared" si="1386"/>
        <v>0</v>
      </c>
      <c r="DP213" s="270">
        <f t="shared" si="1386"/>
        <v>0</v>
      </c>
      <c r="DQ213" s="270">
        <f t="shared" si="1386"/>
        <v>0</v>
      </c>
      <c r="DR213" s="270">
        <f t="shared" si="1386"/>
        <v>0</v>
      </c>
      <c r="DS213" s="270">
        <f t="shared" si="1386"/>
        <v>0</v>
      </c>
      <c r="DT213" s="270">
        <f t="shared" si="1386"/>
        <v>0</v>
      </c>
      <c r="DU213" s="270">
        <f t="shared" si="1386"/>
        <v>0</v>
      </c>
      <c r="DV213" s="270">
        <f t="shared" si="1386"/>
        <v>0</v>
      </c>
      <c r="DW213" s="270">
        <f t="shared" si="1386"/>
        <v>0</v>
      </c>
      <c r="DX213" s="270">
        <f t="shared" si="1386"/>
        <v>0</v>
      </c>
      <c r="DY213" s="270">
        <f t="shared" si="29"/>
        <v>0</v>
      </c>
      <c r="DZ213" s="274"/>
      <c r="EA213" s="275">
        <f t="shared" si="38"/>
        <v>0</v>
      </c>
      <c r="EB213" s="270">
        <f t="shared" ref="EB213:FC213" si="1387">IF(AJ211&lt;=0,0,IF($C212&lt;=SUM($EA213:EA213),0,IF(CU212+$C212-SUM($EA213:EA213)&gt;AJ211+BO212,AJ211+BO212-CU212,$C212-SUM($EA213:EA213))))</f>
        <v>0</v>
      </c>
      <c r="EC213" s="270">
        <f t="shared" si="1387"/>
        <v>0</v>
      </c>
      <c r="ED213" s="270">
        <f t="shared" si="1387"/>
        <v>0</v>
      </c>
      <c r="EE213" s="270">
        <f t="shared" si="1387"/>
        <v>0</v>
      </c>
      <c r="EF213" s="270">
        <f t="shared" si="1387"/>
        <v>0</v>
      </c>
      <c r="EG213" s="270">
        <f t="shared" si="1387"/>
        <v>0</v>
      </c>
      <c r="EH213" s="270">
        <f t="shared" si="1387"/>
        <v>0</v>
      </c>
      <c r="EI213" s="270">
        <f t="shared" si="1387"/>
        <v>0</v>
      </c>
      <c r="EJ213" s="270">
        <f t="shared" si="1387"/>
        <v>0</v>
      </c>
      <c r="EK213" s="270">
        <f t="shared" si="1387"/>
        <v>0</v>
      </c>
      <c r="EL213" s="270">
        <f t="shared" si="1387"/>
        <v>0</v>
      </c>
      <c r="EM213" s="270">
        <f t="shared" si="1387"/>
        <v>0</v>
      </c>
      <c r="EN213" s="270">
        <f t="shared" si="1387"/>
        <v>0</v>
      </c>
      <c r="EO213" s="270">
        <f t="shared" si="1387"/>
        <v>0</v>
      </c>
      <c r="EP213" s="270">
        <f t="shared" si="1387"/>
        <v>0</v>
      </c>
      <c r="EQ213" s="270">
        <f t="shared" si="1387"/>
        <v>0</v>
      </c>
      <c r="ER213" s="270">
        <f t="shared" si="1387"/>
        <v>0</v>
      </c>
      <c r="ES213" s="270">
        <f t="shared" si="1387"/>
        <v>0</v>
      </c>
      <c r="ET213" s="270">
        <f t="shared" si="1387"/>
        <v>0</v>
      </c>
      <c r="EU213" s="270">
        <f t="shared" si="1387"/>
        <v>0</v>
      </c>
      <c r="EV213" s="270">
        <f t="shared" si="1387"/>
        <v>0</v>
      </c>
      <c r="EW213" s="270">
        <f t="shared" si="1387"/>
        <v>0</v>
      </c>
      <c r="EX213" s="270">
        <f t="shared" si="1387"/>
        <v>0</v>
      </c>
      <c r="EY213" s="270">
        <f t="shared" si="1387"/>
        <v>0</v>
      </c>
      <c r="EZ213" s="270">
        <f t="shared" si="1387"/>
        <v>0</v>
      </c>
      <c r="FA213" s="270">
        <f t="shared" si="1387"/>
        <v>0</v>
      </c>
      <c r="FB213" s="270">
        <f t="shared" si="1387"/>
        <v>0</v>
      </c>
      <c r="FC213" s="270">
        <f t="shared" si="1387"/>
        <v>0</v>
      </c>
      <c r="FD213" s="271"/>
      <c r="FE213" s="271"/>
      <c r="FF213" s="271"/>
      <c r="FG213" s="215"/>
      <c r="FH213" s="215"/>
    </row>
    <row r="214" ht="11.25" customHeight="1">
      <c r="A214" s="215" t="str">
        <f t="shared" si="19"/>
        <v/>
      </c>
      <c r="B214" s="241" t="str">
        <f t="shared" si="600"/>
        <v>#N/A</v>
      </c>
      <c r="C214" s="271" t="str">
        <f>IF(A214="","",IF(Calculator!snowball,IF(($E$5-DY214)&lt;0,0,$E$5-DY214),0)+D214)</f>
        <v/>
      </c>
      <c r="D214" s="271"/>
      <c r="E214" s="270">
        <f t="shared" si="40"/>
        <v>0</v>
      </c>
      <c r="F214" s="270">
        <f t="shared" ref="F214:AG214" si="1388">CU214+EB215</f>
        <v>0</v>
      </c>
      <c r="G214" s="270">
        <f t="shared" si="1388"/>
        <v>0</v>
      </c>
      <c r="H214" s="270">
        <f t="shared" si="1388"/>
        <v>0</v>
      </c>
      <c r="I214" s="270">
        <f t="shared" si="1388"/>
        <v>0</v>
      </c>
      <c r="J214" s="270">
        <f t="shared" si="1388"/>
        <v>0</v>
      </c>
      <c r="K214" s="270">
        <f t="shared" si="1388"/>
        <v>0</v>
      </c>
      <c r="L214" s="270">
        <f t="shared" si="1388"/>
        <v>0</v>
      </c>
      <c r="M214" s="270">
        <f t="shared" si="1388"/>
        <v>0</v>
      </c>
      <c r="N214" s="270">
        <f t="shared" si="1388"/>
        <v>0</v>
      </c>
      <c r="O214" s="270">
        <f t="shared" si="1388"/>
        <v>0</v>
      </c>
      <c r="P214" s="272">
        <f t="shared" si="1388"/>
        <v>0</v>
      </c>
      <c r="Q214" s="272">
        <f t="shared" si="1388"/>
        <v>0</v>
      </c>
      <c r="R214" s="272">
        <f t="shared" si="1388"/>
        <v>0</v>
      </c>
      <c r="S214" s="272">
        <f t="shared" si="1388"/>
        <v>0</v>
      </c>
      <c r="T214" s="272">
        <f t="shared" si="1388"/>
        <v>0</v>
      </c>
      <c r="U214" s="270">
        <f t="shared" si="1388"/>
        <v>0</v>
      </c>
      <c r="V214" s="270">
        <f t="shared" si="1388"/>
        <v>0</v>
      </c>
      <c r="W214" s="270">
        <f t="shared" si="1388"/>
        <v>0</v>
      </c>
      <c r="X214" s="270">
        <f t="shared" si="1388"/>
        <v>0</v>
      </c>
      <c r="Y214" s="270">
        <f t="shared" si="1388"/>
        <v>0</v>
      </c>
      <c r="Z214" s="270">
        <f t="shared" si="1388"/>
        <v>0</v>
      </c>
      <c r="AA214" s="270">
        <f t="shared" si="1388"/>
        <v>0</v>
      </c>
      <c r="AB214" s="270">
        <f t="shared" si="1388"/>
        <v>0</v>
      </c>
      <c r="AC214" s="270">
        <f t="shared" si="1388"/>
        <v>0</v>
      </c>
      <c r="AD214" s="270">
        <f t="shared" si="1388"/>
        <v>0</v>
      </c>
      <c r="AE214" s="270">
        <f t="shared" si="1388"/>
        <v>0</v>
      </c>
      <c r="AF214" s="270">
        <f t="shared" si="1388"/>
        <v>0</v>
      </c>
      <c r="AG214" s="270">
        <f t="shared" si="1388"/>
        <v>0</v>
      </c>
      <c r="AH214" s="279">
        <f t="shared" si="602"/>
        <v>0</v>
      </c>
      <c r="AI214" s="270">
        <f t="shared" si="43"/>
        <v>0</v>
      </c>
      <c r="AJ214" s="270">
        <f t="shared" ref="AJ214:AO214" si="1389">IF(F$8=0,0,ROUND(AJ213-(F214-BO214),2))</f>
        <v>0</v>
      </c>
      <c r="AK214" s="270">
        <f t="shared" si="1389"/>
        <v>0</v>
      </c>
      <c r="AL214" s="270">
        <f t="shared" si="1389"/>
        <v>0</v>
      </c>
      <c r="AM214" s="270">
        <f t="shared" si="1389"/>
        <v>0</v>
      </c>
      <c r="AN214" s="270">
        <f t="shared" si="1389"/>
        <v>0</v>
      </c>
      <c r="AO214" s="270">
        <f t="shared" si="1389"/>
        <v>0</v>
      </c>
      <c r="AP214" s="270">
        <v>0.0</v>
      </c>
      <c r="AQ214" s="270">
        <f t="shared" ref="AQ214:AS214" si="1390">IF(M$8=0,0,ROUND(AQ213-(M214-BV214),2))</f>
        <v>0</v>
      </c>
      <c r="AR214" s="270">
        <f t="shared" si="1390"/>
        <v>0</v>
      </c>
      <c r="AS214" s="270">
        <f t="shared" si="1390"/>
        <v>0</v>
      </c>
      <c r="AT214" s="270">
        <f t="shared" si="605"/>
        <v>-6.22</v>
      </c>
      <c r="AU214" s="270">
        <f t="shared" ref="AU214:BK214" si="1391">IF(Q$8=0,0,ROUND(AU213-(Q214-BY214),2))</f>
        <v>-13.73</v>
      </c>
      <c r="AV214" s="270">
        <f t="shared" si="1391"/>
        <v>0</v>
      </c>
      <c r="AW214" s="270">
        <f t="shared" si="1391"/>
        <v>0</v>
      </c>
      <c r="AX214" s="270">
        <f t="shared" si="1391"/>
        <v>0</v>
      </c>
      <c r="AY214" s="270">
        <f t="shared" si="1391"/>
        <v>0</v>
      </c>
      <c r="AZ214" s="270">
        <f t="shared" si="1391"/>
        <v>0</v>
      </c>
      <c r="BA214" s="270">
        <f t="shared" si="1391"/>
        <v>0</v>
      </c>
      <c r="BB214" s="270">
        <f t="shared" si="1391"/>
        <v>0</v>
      </c>
      <c r="BC214" s="270">
        <f t="shared" si="1391"/>
        <v>0</v>
      </c>
      <c r="BD214" s="270">
        <f t="shared" si="1391"/>
        <v>0</v>
      </c>
      <c r="BE214" s="270">
        <f t="shared" si="1391"/>
        <v>0</v>
      </c>
      <c r="BF214" s="270">
        <f t="shared" si="1391"/>
        <v>0</v>
      </c>
      <c r="BG214" s="270">
        <f t="shared" si="1391"/>
        <v>0</v>
      </c>
      <c r="BH214" s="270">
        <f t="shared" si="1391"/>
        <v>0</v>
      </c>
      <c r="BI214" s="270">
        <f t="shared" si="1391"/>
        <v>0</v>
      </c>
      <c r="BJ214" s="270">
        <f t="shared" si="1391"/>
        <v>0</v>
      </c>
      <c r="BK214" s="270">
        <f t="shared" si="1391"/>
        <v>0</v>
      </c>
      <c r="BL214" s="265">
        <f t="shared" si="16"/>
        <v>-19.95</v>
      </c>
      <c r="BM214" s="215"/>
      <c r="BN214" s="270">
        <f t="shared" ref="BN214:CP214" si="1392">ROUND(AI213*E$9/12,2)</f>
        <v>0</v>
      </c>
      <c r="BO214" s="270">
        <f t="shared" si="1392"/>
        <v>0</v>
      </c>
      <c r="BP214" s="270">
        <f t="shared" si="1392"/>
        <v>0</v>
      </c>
      <c r="BQ214" s="270">
        <f t="shared" si="1392"/>
        <v>0</v>
      </c>
      <c r="BR214" s="270">
        <f t="shared" si="1392"/>
        <v>0</v>
      </c>
      <c r="BS214" s="270">
        <f t="shared" si="1392"/>
        <v>0</v>
      </c>
      <c r="BT214" s="270">
        <f t="shared" si="1392"/>
        <v>0</v>
      </c>
      <c r="BU214" s="270">
        <f t="shared" si="1392"/>
        <v>0</v>
      </c>
      <c r="BV214" s="270">
        <f t="shared" si="1392"/>
        <v>0</v>
      </c>
      <c r="BW214" s="270">
        <f t="shared" si="1392"/>
        <v>0</v>
      </c>
      <c r="BX214" s="270">
        <f t="shared" si="1392"/>
        <v>0</v>
      </c>
      <c r="BY214" s="270">
        <f t="shared" si="1392"/>
        <v>-0.05</v>
      </c>
      <c r="BZ214" s="270">
        <f t="shared" si="1392"/>
        <v>-0.04</v>
      </c>
      <c r="CA214" s="270">
        <f t="shared" si="1392"/>
        <v>0</v>
      </c>
      <c r="CB214" s="270">
        <f t="shared" si="1392"/>
        <v>0</v>
      </c>
      <c r="CC214" s="270">
        <f t="shared" si="1392"/>
        <v>0</v>
      </c>
      <c r="CD214" s="270">
        <f t="shared" si="1392"/>
        <v>0</v>
      </c>
      <c r="CE214" s="270">
        <f t="shared" si="1392"/>
        <v>0</v>
      </c>
      <c r="CF214" s="270">
        <f t="shared" si="1392"/>
        <v>0</v>
      </c>
      <c r="CG214" s="270">
        <f t="shared" si="1392"/>
        <v>0</v>
      </c>
      <c r="CH214" s="270">
        <f t="shared" si="1392"/>
        <v>0</v>
      </c>
      <c r="CI214" s="270">
        <f t="shared" si="1392"/>
        <v>0</v>
      </c>
      <c r="CJ214" s="270">
        <f t="shared" si="1392"/>
        <v>0</v>
      </c>
      <c r="CK214" s="270">
        <f t="shared" si="1392"/>
        <v>0</v>
      </c>
      <c r="CL214" s="270">
        <f t="shared" si="1392"/>
        <v>0</v>
      </c>
      <c r="CM214" s="270">
        <f t="shared" si="1392"/>
        <v>0</v>
      </c>
      <c r="CN214" s="270">
        <f t="shared" si="1392"/>
        <v>0</v>
      </c>
      <c r="CO214" s="270">
        <f t="shared" si="1392"/>
        <v>0</v>
      </c>
      <c r="CP214" s="270">
        <f t="shared" si="1392"/>
        <v>0</v>
      </c>
      <c r="CQ214" s="215"/>
      <c r="CR214" s="270">
        <f t="shared" si="27"/>
        <v>-0.09</v>
      </c>
      <c r="CS214" s="215"/>
      <c r="CT214" s="270">
        <f t="shared" ref="CT214:DX214" si="1393">IF(AI213&gt;0,IF((AI213+BN214)&lt;E$10,AI213+BN214,E$10),0)</f>
        <v>0</v>
      </c>
      <c r="CU214" s="270">
        <f t="shared" si="1393"/>
        <v>0</v>
      </c>
      <c r="CV214" s="270">
        <f t="shared" si="1393"/>
        <v>0</v>
      </c>
      <c r="CW214" s="270">
        <f t="shared" si="1393"/>
        <v>0</v>
      </c>
      <c r="CX214" s="270">
        <f t="shared" si="1393"/>
        <v>0</v>
      </c>
      <c r="CY214" s="270">
        <f t="shared" si="1393"/>
        <v>0</v>
      </c>
      <c r="CZ214" s="270">
        <f t="shared" si="1393"/>
        <v>0</v>
      </c>
      <c r="DA214" s="270">
        <f t="shared" si="1393"/>
        <v>0</v>
      </c>
      <c r="DB214" s="270">
        <f t="shared" si="1393"/>
        <v>0</v>
      </c>
      <c r="DC214" s="270">
        <f t="shared" si="1393"/>
        <v>0</v>
      </c>
      <c r="DD214" s="270">
        <f t="shared" si="1393"/>
        <v>0</v>
      </c>
      <c r="DE214" s="270">
        <f t="shared" si="1393"/>
        <v>0</v>
      </c>
      <c r="DF214" s="270">
        <f t="shared" si="1393"/>
        <v>0</v>
      </c>
      <c r="DG214" s="270">
        <f t="shared" si="1393"/>
        <v>0</v>
      </c>
      <c r="DH214" s="270">
        <f t="shared" si="1393"/>
        <v>0</v>
      </c>
      <c r="DI214" s="270">
        <f t="shared" si="1393"/>
        <v>0</v>
      </c>
      <c r="DJ214" s="270">
        <f t="shared" si="1393"/>
        <v>0</v>
      </c>
      <c r="DK214" s="270">
        <f t="shared" si="1393"/>
        <v>0</v>
      </c>
      <c r="DL214" s="270">
        <f t="shared" si="1393"/>
        <v>0</v>
      </c>
      <c r="DM214" s="270">
        <f t="shared" si="1393"/>
        <v>0</v>
      </c>
      <c r="DN214" s="270">
        <f t="shared" si="1393"/>
        <v>0</v>
      </c>
      <c r="DO214" s="270">
        <f t="shared" si="1393"/>
        <v>0</v>
      </c>
      <c r="DP214" s="270">
        <f t="shared" si="1393"/>
        <v>0</v>
      </c>
      <c r="DQ214" s="270">
        <f t="shared" si="1393"/>
        <v>0</v>
      </c>
      <c r="DR214" s="270">
        <f t="shared" si="1393"/>
        <v>0</v>
      </c>
      <c r="DS214" s="270">
        <f t="shared" si="1393"/>
        <v>0</v>
      </c>
      <c r="DT214" s="270">
        <f t="shared" si="1393"/>
        <v>0</v>
      </c>
      <c r="DU214" s="270">
        <f t="shared" si="1393"/>
        <v>0</v>
      </c>
      <c r="DV214" s="270">
        <f t="shared" si="1393"/>
        <v>0</v>
      </c>
      <c r="DW214" s="270">
        <f t="shared" si="1393"/>
        <v>0</v>
      </c>
      <c r="DX214" s="270">
        <f t="shared" si="1393"/>
        <v>0</v>
      </c>
      <c r="DY214" s="270">
        <f t="shared" si="29"/>
        <v>0</v>
      </c>
      <c r="DZ214" s="274"/>
      <c r="EA214" s="275">
        <f t="shared" si="38"/>
        <v>0</v>
      </c>
      <c r="EB214" s="270">
        <f t="shared" ref="EB214:FC214" si="1394">IF(AJ212&lt;=0,0,IF($C213&lt;=SUM($EA214:EA214),0,IF(CU213+$C213-SUM($EA214:EA214)&gt;AJ212+BO213,AJ212+BO213-CU213,$C213-SUM($EA214:EA214))))</f>
        <v>0</v>
      </c>
      <c r="EC214" s="270">
        <f t="shared" si="1394"/>
        <v>0</v>
      </c>
      <c r="ED214" s="270">
        <f t="shared" si="1394"/>
        <v>0</v>
      </c>
      <c r="EE214" s="270">
        <f t="shared" si="1394"/>
        <v>0</v>
      </c>
      <c r="EF214" s="270">
        <f t="shared" si="1394"/>
        <v>0</v>
      </c>
      <c r="EG214" s="270">
        <f t="shared" si="1394"/>
        <v>0</v>
      </c>
      <c r="EH214" s="270">
        <f t="shared" si="1394"/>
        <v>0</v>
      </c>
      <c r="EI214" s="270">
        <f t="shared" si="1394"/>
        <v>0</v>
      </c>
      <c r="EJ214" s="270">
        <f t="shared" si="1394"/>
        <v>0</v>
      </c>
      <c r="EK214" s="270">
        <f t="shared" si="1394"/>
        <v>0</v>
      </c>
      <c r="EL214" s="270">
        <f t="shared" si="1394"/>
        <v>0</v>
      </c>
      <c r="EM214" s="270">
        <f t="shared" si="1394"/>
        <v>0</v>
      </c>
      <c r="EN214" s="270">
        <f t="shared" si="1394"/>
        <v>0</v>
      </c>
      <c r="EO214" s="270">
        <f t="shared" si="1394"/>
        <v>0</v>
      </c>
      <c r="EP214" s="270">
        <f t="shared" si="1394"/>
        <v>0</v>
      </c>
      <c r="EQ214" s="270">
        <f t="shared" si="1394"/>
        <v>0</v>
      </c>
      <c r="ER214" s="270">
        <f t="shared" si="1394"/>
        <v>0</v>
      </c>
      <c r="ES214" s="270">
        <f t="shared" si="1394"/>
        <v>0</v>
      </c>
      <c r="ET214" s="270">
        <f t="shared" si="1394"/>
        <v>0</v>
      </c>
      <c r="EU214" s="270">
        <f t="shared" si="1394"/>
        <v>0</v>
      </c>
      <c r="EV214" s="270">
        <f t="shared" si="1394"/>
        <v>0</v>
      </c>
      <c r="EW214" s="270">
        <f t="shared" si="1394"/>
        <v>0</v>
      </c>
      <c r="EX214" s="270">
        <f t="shared" si="1394"/>
        <v>0</v>
      </c>
      <c r="EY214" s="270">
        <f t="shared" si="1394"/>
        <v>0</v>
      </c>
      <c r="EZ214" s="270">
        <f t="shared" si="1394"/>
        <v>0</v>
      </c>
      <c r="FA214" s="270">
        <f t="shared" si="1394"/>
        <v>0</v>
      </c>
      <c r="FB214" s="270">
        <f t="shared" si="1394"/>
        <v>0</v>
      </c>
      <c r="FC214" s="270">
        <f t="shared" si="1394"/>
        <v>0</v>
      </c>
      <c r="FD214" s="271"/>
      <c r="FE214" s="271"/>
      <c r="FF214" s="271"/>
      <c r="FG214" s="215"/>
      <c r="FH214" s="215"/>
    </row>
    <row r="215" ht="11.25" customHeight="1">
      <c r="A215" s="215" t="str">
        <f t="shared" si="19"/>
        <v/>
      </c>
      <c r="B215" s="241" t="str">
        <f t="shared" si="600"/>
        <v>#N/A</v>
      </c>
      <c r="C215" s="271" t="str">
        <f>IF(A215="","",IF(Calculator!snowball,IF(($E$5-DY215)&lt;0,0,$E$5-DY215),0)+D215)</f>
        <v/>
      </c>
      <c r="D215" s="271"/>
      <c r="E215" s="270">
        <f t="shared" si="40"/>
        <v>0</v>
      </c>
      <c r="F215" s="270">
        <f t="shared" ref="F215:AG215" si="1395">CU215+EB216</f>
        <v>0</v>
      </c>
      <c r="G215" s="270">
        <f t="shared" si="1395"/>
        <v>0</v>
      </c>
      <c r="H215" s="270">
        <f t="shared" si="1395"/>
        <v>0</v>
      </c>
      <c r="I215" s="270">
        <f t="shared" si="1395"/>
        <v>0</v>
      </c>
      <c r="J215" s="270">
        <f t="shared" si="1395"/>
        <v>0</v>
      </c>
      <c r="K215" s="270">
        <f t="shared" si="1395"/>
        <v>0</v>
      </c>
      <c r="L215" s="270">
        <f t="shared" si="1395"/>
        <v>0</v>
      </c>
      <c r="M215" s="270">
        <f t="shared" si="1395"/>
        <v>0</v>
      </c>
      <c r="N215" s="270">
        <f t="shared" si="1395"/>
        <v>0</v>
      </c>
      <c r="O215" s="270">
        <f t="shared" si="1395"/>
        <v>0</v>
      </c>
      <c r="P215" s="272">
        <f t="shared" si="1395"/>
        <v>0</v>
      </c>
      <c r="Q215" s="272">
        <f t="shared" si="1395"/>
        <v>0</v>
      </c>
      <c r="R215" s="272">
        <f t="shared" si="1395"/>
        <v>0</v>
      </c>
      <c r="S215" s="272">
        <f t="shared" si="1395"/>
        <v>0</v>
      </c>
      <c r="T215" s="272">
        <f t="shared" si="1395"/>
        <v>0</v>
      </c>
      <c r="U215" s="270">
        <f t="shared" si="1395"/>
        <v>0</v>
      </c>
      <c r="V215" s="270">
        <f t="shared" si="1395"/>
        <v>0</v>
      </c>
      <c r="W215" s="270">
        <f t="shared" si="1395"/>
        <v>0</v>
      </c>
      <c r="X215" s="270">
        <f t="shared" si="1395"/>
        <v>0</v>
      </c>
      <c r="Y215" s="270">
        <f t="shared" si="1395"/>
        <v>0</v>
      </c>
      <c r="Z215" s="270">
        <f t="shared" si="1395"/>
        <v>0</v>
      </c>
      <c r="AA215" s="270">
        <f t="shared" si="1395"/>
        <v>0</v>
      </c>
      <c r="AB215" s="270">
        <f t="shared" si="1395"/>
        <v>0</v>
      </c>
      <c r="AC215" s="270">
        <f t="shared" si="1395"/>
        <v>0</v>
      </c>
      <c r="AD215" s="270">
        <f t="shared" si="1395"/>
        <v>0</v>
      </c>
      <c r="AE215" s="270">
        <f t="shared" si="1395"/>
        <v>0</v>
      </c>
      <c r="AF215" s="270">
        <f t="shared" si="1395"/>
        <v>0</v>
      </c>
      <c r="AG215" s="270">
        <f t="shared" si="1395"/>
        <v>0</v>
      </c>
      <c r="AH215" s="279">
        <f t="shared" si="602"/>
        <v>0</v>
      </c>
      <c r="AI215" s="270">
        <f t="shared" si="43"/>
        <v>0</v>
      </c>
      <c r="AJ215" s="270">
        <f t="shared" ref="AJ215:AO215" si="1396">IF(F$8=0,0,ROUND(AJ214-(F215-BO215),2))</f>
        <v>0</v>
      </c>
      <c r="AK215" s="270">
        <f t="shared" si="1396"/>
        <v>0</v>
      </c>
      <c r="AL215" s="270">
        <f t="shared" si="1396"/>
        <v>0</v>
      </c>
      <c r="AM215" s="270">
        <f t="shared" si="1396"/>
        <v>0</v>
      </c>
      <c r="AN215" s="270">
        <f t="shared" si="1396"/>
        <v>0</v>
      </c>
      <c r="AO215" s="270">
        <f t="shared" si="1396"/>
        <v>0</v>
      </c>
      <c r="AP215" s="270">
        <v>0.0</v>
      </c>
      <c r="AQ215" s="270">
        <f t="shared" ref="AQ215:AS215" si="1397">IF(M$8=0,0,ROUND(AQ214-(M215-BV215),2))</f>
        <v>0</v>
      </c>
      <c r="AR215" s="270">
        <f t="shared" si="1397"/>
        <v>0</v>
      </c>
      <c r="AS215" s="270">
        <f t="shared" si="1397"/>
        <v>0</v>
      </c>
      <c r="AT215" s="270">
        <f t="shared" si="605"/>
        <v>-6.22</v>
      </c>
      <c r="AU215" s="270">
        <f t="shared" ref="AU215:BK215" si="1398">IF(Q$8=0,0,ROUND(AU214-(Q215-BY215),2))</f>
        <v>-13.78</v>
      </c>
      <c r="AV215" s="270">
        <f t="shared" si="1398"/>
        <v>0</v>
      </c>
      <c r="AW215" s="270">
        <f t="shared" si="1398"/>
        <v>0</v>
      </c>
      <c r="AX215" s="270">
        <f t="shared" si="1398"/>
        <v>0</v>
      </c>
      <c r="AY215" s="270">
        <f t="shared" si="1398"/>
        <v>0</v>
      </c>
      <c r="AZ215" s="270">
        <f t="shared" si="1398"/>
        <v>0</v>
      </c>
      <c r="BA215" s="270">
        <f t="shared" si="1398"/>
        <v>0</v>
      </c>
      <c r="BB215" s="270">
        <f t="shared" si="1398"/>
        <v>0</v>
      </c>
      <c r="BC215" s="270">
        <f t="shared" si="1398"/>
        <v>0</v>
      </c>
      <c r="BD215" s="270">
        <f t="shared" si="1398"/>
        <v>0</v>
      </c>
      <c r="BE215" s="270">
        <f t="shared" si="1398"/>
        <v>0</v>
      </c>
      <c r="BF215" s="270">
        <f t="shared" si="1398"/>
        <v>0</v>
      </c>
      <c r="BG215" s="270">
        <f t="shared" si="1398"/>
        <v>0</v>
      </c>
      <c r="BH215" s="270">
        <f t="shared" si="1398"/>
        <v>0</v>
      </c>
      <c r="BI215" s="270">
        <f t="shared" si="1398"/>
        <v>0</v>
      </c>
      <c r="BJ215" s="270">
        <f t="shared" si="1398"/>
        <v>0</v>
      </c>
      <c r="BK215" s="270">
        <f t="shared" si="1398"/>
        <v>0</v>
      </c>
      <c r="BL215" s="265">
        <f t="shared" si="16"/>
        <v>-20</v>
      </c>
      <c r="BM215" s="215"/>
      <c r="BN215" s="270">
        <f t="shared" ref="BN215:CP215" si="1399">ROUND(AI214*E$9/12,2)</f>
        <v>0</v>
      </c>
      <c r="BO215" s="270">
        <f t="shared" si="1399"/>
        <v>0</v>
      </c>
      <c r="BP215" s="270">
        <f t="shared" si="1399"/>
        <v>0</v>
      </c>
      <c r="BQ215" s="270">
        <f t="shared" si="1399"/>
        <v>0</v>
      </c>
      <c r="BR215" s="270">
        <f t="shared" si="1399"/>
        <v>0</v>
      </c>
      <c r="BS215" s="270">
        <f t="shared" si="1399"/>
        <v>0</v>
      </c>
      <c r="BT215" s="270">
        <f t="shared" si="1399"/>
        <v>0</v>
      </c>
      <c r="BU215" s="270">
        <f t="shared" si="1399"/>
        <v>0</v>
      </c>
      <c r="BV215" s="270">
        <f t="shared" si="1399"/>
        <v>0</v>
      </c>
      <c r="BW215" s="270">
        <f t="shared" si="1399"/>
        <v>0</v>
      </c>
      <c r="BX215" s="270">
        <f t="shared" si="1399"/>
        <v>0</v>
      </c>
      <c r="BY215" s="270">
        <f t="shared" si="1399"/>
        <v>-0.05</v>
      </c>
      <c r="BZ215" s="270">
        <f t="shared" si="1399"/>
        <v>-0.04</v>
      </c>
      <c r="CA215" s="270">
        <f t="shared" si="1399"/>
        <v>0</v>
      </c>
      <c r="CB215" s="270">
        <f t="shared" si="1399"/>
        <v>0</v>
      </c>
      <c r="CC215" s="270">
        <f t="shared" si="1399"/>
        <v>0</v>
      </c>
      <c r="CD215" s="270">
        <f t="shared" si="1399"/>
        <v>0</v>
      </c>
      <c r="CE215" s="270">
        <f t="shared" si="1399"/>
        <v>0</v>
      </c>
      <c r="CF215" s="270">
        <f t="shared" si="1399"/>
        <v>0</v>
      </c>
      <c r="CG215" s="270">
        <f t="shared" si="1399"/>
        <v>0</v>
      </c>
      <c r="CH215" s="270">
        <f t="shared" si="1399"/>
        <v>0</v>
      </c>
      <c r="CI215" s="270">
        <f t="shared" si="1399"/>
        <v>0</v>
      </c>
      <c r="CJ215" s="270">
        <f t="shared" si="1399"/>
        <v>0</v>
      </c>
      <c r="CK215" s="270">
        <f t="shared" si="1399"/>
        <v>0</v>
      </c>
      <c r="CL215" s="270">
        <f t="shared" si="1399"/>
        <v>0</v>
      </c>
      <c r="CM215" s="270">
        <f t="shared" si="1399"/>
        <v>0</v>
      </c>
      <c r="CN215" s="270">
        <f t="shared" si="1399"/>
        <v>0</v>
      </c>
      <c r="CO215" s="270">
        <f t="shared" si="1399"/>
        <v>0</v>
      </c>
      <c r="CP215" s="270">
        <f t="shared" si="1399"/>
        <v>0</v>
      </c>
      <c r="CQ215" s="215"/>
      <c r="CR215" s="270">
        <f t="shared" si="27"/>
        <v>-0.09</v>
      </c>
      <c r="CS215" s="215"/>
      <c r="CT215" s="270">
        <f t="shared" ref="CT215:DX215" si="1400">IF(AI214&gt;0,IF((AI214+BN215)&lt;E$10,AI214+BN215,E$10),0)</f>
        <v>0</v>
      </c>
      <c r="CU215" s="270">
        <f t="shared" si="1400"/>
        <v>0</v>
      </c>
      <c r="CV215" s="270">
        <f t="shared" si="1400"/>
        <v>0</v>
      </c>
      <c r="CW215" s="270">
        <f t="shared" si="1400"/>
        <v>0</v>
      </c>
      <c r="CX215" s="270">
        <f t="shared" si="1400"/>
        <v>0</v>
      </c>
      <c r="CY215" s="270">
        <f t="shared" si="1400"/>
        <v>0</v>
      </c>
      <c r="CZ215" s="270">
        <f t="shared" si="1400"/>
        <v>0</v>
      </c>
      <c r="DA215" s="270">
        <f t="shared" si="1400"/>
        <v>0</v>
      </c>
      <c r="DB215" s="270">
        <f t="shared" si="1400"/>
        <v>0</v>
      </c>
      <c r="DC215" s="270">
        <f t="shared" si="1400"/>
        <v>0</v>
      </c>
      <c r="DD215" s="270">
        <f t="shared" si="1400"/>
        <v>0</v>
      </c>
      <c r="DE215" s="270">
        <f t="shared" si="1400"/>
        <v>0</v>
      </c>
      <c r="DF215" s="270">
        <f t="shared" si="1400"/>
        <v>0</v>
      </c>
      <c r="DG215" s="270">
        <f t="shared" si="1400"/>
        <v>0</v>
      </c>
      <c r="DH215" s="270">
        <f t="shared" si="1400"/>
        <v>0</v>
      </c>
      <c r="DI215" s="270">
        <f t="shared" si="1400"/>
        <v>0</v>
      </c>
      <c r="DJ215" s="270">
        <f t="shared" si="1400"/>
        <v>0</v>
      </c>
      <c r="DK215" s="270">
        <f t="shared" si="1400"/>
        <v>0</v>
      </c>
      <c r="DL215" s="270">
        <f t="shared" si="1400"/>
        <v>0</v>
      </c>
      <c r="DM215" s="270">
        <f t="shared" si="1400"/>
        <v>0</v>
      </c>
      <c r="DN215" s="270">
        <f t="shared" si="1400"/>
        <v>0</v>
      </c>
      <c r="DO215" s="270">
        <f t="shared" si="1400"/>
        <v>0</v>
      </c>
      <c r="DP215" s="270">
        <f t="shared" si="1400"/>
        <v>0</v>
      </c>
      <c r="DQ215" s="270">
        <f t="shared" si="1400"/>
        <v>0</v>
      </c>
      <c r="DR215" s="270">
        <f t="shared" si="1400"/>
        <v>0</v>
      </c>
      <c r="DS215" s="270">
        <f t="shared" si="1400"/>
        <v>0</v>
      </c>
      <c r="DT215" s="270">
        <f t="shared" si="1400"/>
        <v>0</v>
      </c>
      <c r="DU215" s="270">
        <f t="shared" si="1400"/>
        <v>0</v>
      </c>
      <c r="DV215" s="270">
        <f t="shared" si="1400"/>
        <v>0</v>
      </c>
      <c r="DW215" s="270">
        <f t="shared" si="1400"/>
        <v>0</v>
      </c>
      <c r="DX215" s="270">
        <f t="shared" si="1400"/>
        <v>0</v>
      </c>
      <c r="DY215" s="270">
        <f t="shared" si="29"/>
        <v>0</v>
      </c>
      <c r="DZ215" s="274"/>
      <c r="EA215" s="275">
        <f t="shared" si="38"/>
        <v>0</v>
      </c>
      <c r="EB215" s="270">
        <f t="shared" ref="EB215:FC215" si="1401">IF(AJ213&lt;=0,0,IF($C214&lt;=SUM($EA215:EA215),0,IF(CU214+$C214-SUM($EA215:EA215)&gt;AJ213+BO214,AJ213+BO214-CU214,$C214-SUM($EA215:EA215))))</f>
        <v>0</v>
      </c>
      <c r="EC215" s="270">
        <f t="shared" si="1401"/>
        <v>0</v>
      </c>
      <c r="ED215" s="270">
        <f t="shared" si="1401"/>
        <v>0</v>
      </c>
      <c r="EE215" s="270">
        <f t="shared" si="1401"/>
        <v>0</v>
      </c>
      <c r="EF215" s="270">
        <f t="shared" si="1401"/>
        <v>0</v>
      </c>
      <c r="EG215" s="270">
        <f t="shared" si="1401"/>
        <v>0</v>
      </c>
      <c r="EH215" s="270">
        <f t="shared" si="1401"/>
        <v>0</v>
      </c>
      <c r="EI215" s="270">
        <f t="shared" si="1401"/>
        <v>0</v>
      </c>
      <c r="EJ215" s="270">
        <f t="shared" si="1401"/>
        <v>0</v>
      </c>
      <c r="EK215" s="270">
        <f t="shared" si="1401"/>
        <v>0</v>
      </c>
      <c r="EL215" s="270">
        <f t="shared" si="1401"/>
        <v>0</v>
      </c>
      <c r="EM215" s="270">
        <f t="shared" si="1401"/>
        <v>0</v>
      </c>
      <c r="EN215" s="270">
        <f t="shared" si="1401"/>
        <v>0</v>
      </c>
      <c r="EO215" s="270">
        <f t="shared" si="1401"/>
        <v>0</v>
      </c>
      <c r="EP215" s="270">
        <f t="shared" si="1401"/>
        <v>0</v>
      </c>
      <c r="EQ215" s="270">
        <f t="shared" si="1401"/>
        <v>0</v>
      </c>
      <c r="ER215" s="270">
        <f t="shared" si="1401"/>
        <v>0</v>
      </c>
      <c r="ES215" s="270">
        <f t="shared" si="1401"/>
        <v>0</v>
      </c>
      <c r="ET215" s="270">
        <f t="shared" si="1401"/>
        <v>0</v>
      </c>
      <c r="EU215" s="270">
        <f t="shared" si="1401"/>
        <v>0</v>
      </c>
      <c r="EV215" s="270">
        <f t="shared" si="1401"/>
        <v>0</v>
      </c>
      <c r="EW215" s="270">
        <f t="shared" si="1401"/>
        <v>0</v>
      </c>
      <c r="EX215" s="270">
        <f t="shared" si="1401"/>
        <v>0</v>
      </c>
      <c r="EY215" s="270">
        <f t="shared" si="1401"/>
        <v>0</v>
      </c>
      <c r="EZ215" s="270">
        <f t="shared" si="1401"/>
        <v>0</v>
      </c>
      <c r="FA215" s="270">
        <f t="shared" si="1401"/>
        <v>0</v>
      </c>
      <c r="FB215" s="270">
        <f t="shared" si="1401"/>
        <v>0</v>
      </c>
      <c r="FC215" s="270">
        <f t="shared" si="1401"/>
        <v>0</v>
      </c>
      <c r="FD215" s="271"/>
      <c r="FE215" s="271"/>
      <c r="FF215" s="271"/>
      <c r="FG215" s="215"/>
      <c r="FH215" s="215"/>
    </row>
    <row r="216" ht="11.25" customHeight="1">
      <c r="A216" s="215" t="str">
        <f t="shared" si="19"/>
        <v/>
      </c>
      <c r="B216" s="241" t="str">
        <f t="shared" si="600"/>
        <v>#N/A</v>
      </c>
      <c r="C216" s="271" t="str">
        <f>IF(A216="","",IF(Calculator!snowball,IF(($E$5-DY216)&lt;0,0,$E$5-DY216),0)+D216)</f>
        <v/>
      </c>
      <c r="D216" s="271"/>
      <c r="E216" s="270">
        <f t="shared" si="40"/>
        <v>0</v>
      </c>
      <c r="F216" s="270">
        <f t="shared" ref="F216:AG216" si="1402">CU216+EB217</f>
        <v>0</v>
      </c>
      <c r="G216" s="270">
        <f t="shared" si="1402"/>
        <v>0</v>
      </c>
      <c r="H216" s="270">
        <f t="shared" si="1402"/>
        <v>0</v>
      </c>
      <c r="I216" s="270">
        <f t="shared" si="1402"/>
        <v>0</v>
      </c>
      <c r="J216" s="270">
        <f t="shared" si="1402"/>
        <v>0</v>
      </c>
      <c r="K216" s="270">
        <f t="shared" si="1402"/>
        <v>0</v>
      </c>
      <c r="L216" s="270">
        <f t="shared" si="1402"/>
        <v>0</v>
      </c>
      <c r="M216" s="270">
        <f t="shared" si="1402"/>
        <v>0</v>
      </c>
      <c r="N216" s="270">
        <f t="shared" si="1402"/>
        <v>0</v>
      </c>
      <c r="O216" s="270">
        <f t="shared" si="1402"/>
        <v>0</v>
      </c>
      <c r="P216" s="272">
        <f t="shared" si="1402"/>
        <v>0</v>
      </c>
      <c r="Q216" s="272">
        <f t="shared" si="1402"/>
        <v>0</v>
      </c>
      <c r="R216" s="272">
        <f t="shared" si="1402"/>
        <v>0</v>
      </c>
      <c r="S216" s="272">
        <f t="shared" si="1402"/>
        <v>0</v>
      </c>
      <c r="T216" s="272">
        <f t="shared" si="1402"/>
        <v>0</v>
      </c>
      <c r="U216" s="270">
        <f t="shared" si="1402"/>
        <v>0</v>
      </c>
      <c r="V216" s="270">
        <f t="shared" si="1402"/>
        <v>0</v>
      </c>
      <c r="W216" s="270">
        <f t="shared" si="1402"/>
        <v>0</v>
      </c>
      <c r="X216" s="270">
        <f t="shared" si="1402"/>
        <v>0</v>
      </c>
      <c r="Y216" s="270">
        <f t="shared" si="1402"/>
        <v>0</v>
      </c>
      <c r="Z216" s="270">
        <f t="shared" si="1402"/>
        <v>0</v>
      </c>
      <c r="AA216" s="270">
        <f t="shared" si="1402"/>
        <v>0</v>
      </c>
      <c r="AB216" s="270">
        <f t="shared" si="1402"/>
        <v>0</v>
      </c>
      <c r="AC216" s="270">
        <f t="shared" si="1402"/>
        <v>0</v>
      </c>
      <c r="AD216" s="270">
        <f t="shared" si="1402"/>
        <v>0</v>
      </c>
      <c r="AE216" s="270">
        <f t="shared" si="1402"/>
        <v>0</v>
      </c>
      <c r="AF216" s="270">
        <f t="shared" si="1402"/>
        <v>0</v>
      </c>
      <c r="AG216" s="270">
        <f t="shared" si="1402"/>
        <v>0</v>
      </c>
      <c r="AH216" s="279">
        <f t="shared" si="602"/>
        <v>0</v>
      </c>
      <c r="AI216" s="270">
        <f t="shared" si="43"/>
        <v>0</v>
      </c>
      <c r="AJ216" s="270">
        <f t="shared" ref="AJ216:AO216" si="1403">IF(F$8=0,0,ROUND(AJ215-(F216-BO216),2))</f>
        <v>0</v>
      </c>
      <c r="AK216" s="270">
        <f t="shared" si="1403"/>
        <v>0</v>
      </c>
      <c r="AL216" s="270">
        <f t="shared" si="1403"/>
        <v>0</v>
      </c>
      <c r="AM216" s="270">
        <f t="shared" si="1403"/>
        <v>0</v>
      </c>
      <c r="AN216" s="270">
        <f t="shared" si="1403"/>
        <v>0</v>
      </c>
      <c r="AO216" s="270">
        <f t="shared" si="1403"/>
        <v>0</v>
      </c>
      <c r="AP216" s="270">
        <v>0.0</v>
      </c>
      <c r="AQ216" s="270">
        <f t="shared" ref="AQ216:AS216" si="1404">IF(M$8=0,0,ROUND(AQ215-(M216-BV216),2))</f>
        <v>0</v>
      </c>
      <c r="AR216" s="270">
        <f t="shared" si="1404"/>
        <v>0</v>
      </c>
      <c r="AS216" s="270">
        <f t="shared" si="1404"/>
        <v>0</v>
      </c>
      <c r="AT216" s="270">
        <f t="shared" si="605"/>
        <v>-6.22</v>
      </c>
      <c r="AU216" s="270">
        <f t="shared" ref="AU216:BK216" si="1405">IF(Q$8=0,0,ROUND(AU215-(Q216-BY216),2))</f>
        <v>-13.83</v>
      </c>
      <c r="AV216" s="270">
        <f t="shared" si="1405"/>
        <v>0</v>
      </c>
      <c r="AW216" s="270">
        <f t="shared" si="1405"/>
        <v>0</v>
      </c>
      <c r="AX216" s="270">
        <f t="shared" si="1405"/>
        <v>0</v>
      </c>
      <c r="AY216" s="270">
        <f t="shared" si="1405"/>
        <v>0</v>
      </c>
      <c r="AZ216" s="270">
        <f t="shared" si="1405"/>
        <v>0</v>
      </c>
      <c r="BA216" s="270">
        <f t="shared" si="1405"/>
        <v>0</v>
      </c>
      <c r="BB216" s="270">
        <f t="shared" si="1405"/>
        <v>0</v>
      </c>
      <c r="BC216" s="270">
        <f t="shared" si="1405"/>
        <v>0</v>
      </c>
      <c r="BD216" s="270">
        <f t="shared" si="1405"/>
        <v>0</v>
      </c>
      <c r="BE216" s="270">
        <f t="shared" si="1405"/>
        <v>0</v>
      </c>
      <c r="BF216" s="270">
        <f t="shared" si="1405"/>
        <v>0</v>
      </c>
      <c r="BG216" s="270">
        <f t="shared" si="1405"/>
        <v>0</v>
      </c>
      <c r="BH216" s="270">
        <f t="shared" si="1405"/>
        <v>0</v>
      </c>
      <c r="BI216" s="270">
        <f t="shared" si="1405"/>
        <v>0</v>
      </c>
      <c r="BJ216" s="270">
        <f t="shared" si="1405"/>
        <v>0</v>
      </c>
      <c r="BK216" s="270">
        <f t="shared" si="1405"/>
        <v>0</v>
      </c>
      <c r="BL216" s="265">
        <f t="shared" si="16"/>
        <v>-20.05</v>
      </c>
      <c r="BM216" s="215"/>
      <c r="BN216" s="270">
        <f t="shared" ref="BN216:CP216" si="1406">ROUND(AI215*E$9/12,2)</f>
        <v>0</v>
      </c>
      <c r="BO216" s="270">
        <f t="shared" si="1406"/>
        <v>0</v>
      </c>
      <c r="BP216" s="270">
        <f t="shared" si="1406"/>
        <v>0</v>
      </c>
      <c r="BQ216" s="270">
        <f t="shared" si="1406"/>
        <v>0</v>
      </c>
      <c r="BR216" s="270">
        <f t="shared" si="1406"/>
        <v>0</v>
      </c>
      <c r="BS216" s="270">
        <f t="shared" si="1406"/>
        <v>0</v>
      </c>
      <c r="BT216" s="270">
        <f t="shared" si="1406"/>
        <v>0</v>
      </c>
      <c r="BU216" s="270">
        <f t="shared" si="1406"/>
        <v>0</v>
      </c>
      <c r="BV216" s="270">
        <f t="shared" si="1406"/>
        <v>0</v>
      </c>
      <c r="BW216" s="270">
        <f t="shared" si="1406"/>
        <v>0</v>
      </c>
      <c r="BX216" s="270">
        <f t="shared" si="1406"/>
        <v>0</v>
      </c>
      <c r="BY216" s="270">
        <f t="shared" si="1406"/>
        <v>-0.05</v>
      </c>
      <c r="BZ216" s="270">
        <f t="shared" si="1406"/>
        <v>-0.04</v>
      </c>
      <c r="CA216" s="270">
        <f t="shared" si="1406"/>
        <v>0</v>
      </c>
      <c r="CB216" s="270">
        <f t="shared" si="1406"/>
        <v>0</v>
      </c>
      <c r="CC216" s="270">
        <f t="shared" si="1406"/>
        <v>0</v>
      </c>
      <c r="CD216" s="270">
        <f t="shared" si="1406"/>
        <v>0</v>
      </c>
      <c r="CE216" s="270">
        <f t="shared" si="1406"/>
        <v>0</v>
      </c>
      <c r="CF216" s="270">
        <f t="shared" si="1406"/>
        <v>0</v>
      </c>
      <c r="CG216" s="270">
        <f t="shared" si="1406"/>
        <v>0</v>
      </c>
      <c r="CH216" s="270">
        <f t="shared" si="1406"/>
        <v>0</v>
      </c>
      <c r="CI216" s="270">
        <f t="shared" si="1406"/>
        <v>0</v>
      </c>
      <c r="CJ216" s="270">
        <f t="shared" si="1406"/>
        <v>0</v>
      </c>
      <c r="CK216" s="270">
        <f t="shared" si="1406"/>
        <v>0</v>
      </c>
      <c r="CL216" s="270">
        <f t="shared" si="1406"/>
        <v>0</v>
      </c>
      <c r="CM216" s="270">
        <f t="shared" si="1406"/>
        <v>0</v>
      </c>
      <c r="CN216" s="270">
        <f t="shared" si="1406"/>
        <v>0</v>
      </c>
      <c r="CO216" s="270">
        <f t="shared" si="1406"/>
        <v>0</v>
      </c>
      <c r="CP216" s="270">
        <f t="shared" si="1406"/>
        <v>0</v>
      </c>
      <c r="CQ216" s="215"/>
      <c r="CR216" s="270">
        <f t="shared" si="27"/>
        <v>-0.09</v>
      </c>
      <c r="CS216" s="215"/>
      <c r="CT216" s="270">
        <f t="shared" ref="CT216:DX216" si="1407">IF(AI215&gt;0,IF((AI215+BN216)&lt;E$10,AI215+BN216,E$10),0)</f>
        <v>0</v>
      </c>
      <c r="CU216" s="270">
        <f t="shared" si="1407"/>
        <v>0</v>
      </c>
      <c r="CV216" s="270">
        <f t="shared" si="1407"/>
        <v>0</v>
      </c>
      <c r="CW216" s="270">
        <f t="shared" si="1407"/>
        <v>0</v>
      </c>
      <c r="CX216" s="270">
        <f t="shared" si="1407"/>
        <v>0</v>
      </c>
      <c r="CY216" s="270">
        <f t="shared" si="1407"/>
        <v>0</v>
      </c>
      <c r="CZ216" s="270">
        <f t="shared" si="1407"/>
        <v>0</v>
      </c>
      <c r="DA216" s="270">
        <f t="shared" si="1407"/>
        <v>0</v>
      </c>
      <c r="DB216" s="270">
        <f t="shared" si="1407"/>
        <v>0</v>
      </c>
      <c r="DC216" s="270">
        <f t="shared" si="1407"/>
        <v>0</v>
      </c>
      <c r="DD216" s="270">
        <f t="shared" si="1407"/>
        <v>0</v>
      </c>
      <c r="DE216" s="270">
        <f t="shared" si="1407"/>
        <v>0</v>
      </c>
      <c r="DF216" s="270">
        <f t="shared" si="1407"/>
        <v>0</v>
      </c>
      <c r="DG216" s="270">
        <f t="shared" si="1407"/>
        <v>0</v>
      </c>
      <c r="DH216" s="270">
        <f t="shared" si="1407"/>
        <v>0</v>
      </c>
      <c r="DI216" s="270">
        <f t="shared" si="1407"/>
        <v>0</v>
      </c>
      <c r="DJ216" s="270">
        <f t="shared" si="1407"/>
        <v>0</v>
      </c>
      <c r="DK216" s="270">
        <f t="shared" si="1407"/>
        <v>0</v>
      </c>
      <c r="DL216" s="270">
        <f t="shared" si="1407"/>
        <v>0</v>
      </c>
      <c r="DM216" s="270">
        <f t="shared" si="1407"/>
        <v>0</v>
      </c>
      <c r="DN216" s="270">
        <f t="shared" si="1407"/>
        <v>0</v>
      </c>
      <c r="DO216" s="270">
        <f t="shared" si="1407"/>
        <v>0</v>
      </c>
      <c r="DP216" s="270">
        <f t="shared" si="1407"/>
        <v>0</v>
      </c>
      <c r="DQ216" s="270">
        <f t="shared" si="1407"/>
        <v>0</v>
      </c>
      <c r="DR216" s="270">
        <f t="shared" si="1407"/>
        <v>0</v>
      </c>
      <c r="DS216" s="270">
        <f t="shared" si="1407"/>
        <v>0</v>
      </c>
      <c r="DT216" s="270">
        <f t="shared" si="1407"/>
        <v>0</v>
      </c>
      <c r="DU216" s="270">
        <f t="shared" si="1407"/>
        <v>0</v>
      </c>
      <c r="DV216" s="270">
        <f t="shared" si="1407"/>
        <v>0</v>
      </c>
      <c r="DW216" s="270">
        <f t="shared" si="1407"/>
        <v>0</v>
      </c>
      <c r="DX216" s="270">
        <f t="shared" si="1407"/>
        <v>0</v>
      </c>
      <c r="DY216" s="270">
        <f t="shared" si="29"/>
        <v>0</v>
      </c>
      <c r="DZ216" s="274"/>
      <c r="EA216" s="275">
        <f t="shared" si="38"/>
        <v>0</v>
      </c>
      <c r="EB216" s="270">
        <f t="shared" ref="EB216:FC216" si="1408">IF(AJ214&lt;=0,0,IF($C215&lt;=SUM($EA216:EA216),0,IF(CU215+$C215-SUM($EA216:EA216)&gt;AJ214+BO215,AJ214+BO215-CU215,$C215-SUM($EA216:EA216))))</f>
        <v>0</v>
      </c>
      <c r="EC216" s="270">
        <f t="shared" si="1408"/>
        <v>0</v>
      </c>
      <c r="ED216" s="270">
        <f t="shared" si="1408"/>
        <v>0</v>
      </c>
      <c r="EE216" s="270">
        <f t="shared" si="1408"/>
        <v>0</v>
      </c>
      <c r="EF216" s="270">
        <f t="shared" si="1408"/>
        <v>0</v>
      </c>
      <c r="EG216" s="270">
        <f t="shared" si="1408"/>
        <v>0</v>
      </c>
      <c r="EH216" s="270">
        <f t="shared" si="1408"/>
        <v>0</v>
      </c>
      <c r="EI216" s="270">
        <f t="shared" si="1408"/>
        <v>0</v>
      </c>
      <c r="EJ216" s="270">
        <f t="shared" si="1408"/>
        <v>0</v>
      </c>
      <c r="EK216" s="270">
        <f t="shared" si="1408"/>
        <v>0</v>
      </c>
      <c r="EL216" s="270">
        <f t="shared" si="1408"/>
        <v>0</v>
      </c>
      <c r="EM216" s="270">
        <f t="shared" si="1408"/>
        <v>0</v>
      </c>
      <c r="EN216" s="270">
        <f t="shared" si="1408"/>
        <v>0</v>
      </c>
      <c r="EO216" s="270">
        <f t="shared" si="1408"/>
        <v>0</v>
      </c>
      <c r="EP216" s="270">
        <f t="shared" si="1408"/>
        <v>0</v>
      </c>
      <c r="EQ216" s="270">
        <f t="shared" si="1408"/>
        <v>0</v>
      </c>
      <c r="ER216" s="270">
        <f t="shared" si="1408"/>
        <v>0</v>
      </c>
      <c r="ES216" s="270">
        <f t="shared" si="1408"/>
        <v>0</v>
      </c>
      <c r="ET216" s="270">
        <f t="shared" si="1408"/>
        <v>0</v>
      </c>
      <c r="EU216" s="270">
        <f t="shared" si="1408"/>
        <v>0</v>
      </c>
      <c r="EV216" s="270">
        <f t="shared" si="1408"/>
        <v>0</v>
      </c>
      <c r="EW216" s="270">
        <f t="shared" si="1408"/>
        <v>0</v>
      </c>
      <c r="EX216" s="270">
        <f t="shared" si="1408"/>
        <v>0</v>
      </c>
      <c r="EY216" s="270">
        <f t="shared" si="1408"/>
        <v>0</v>
      </c>
      <c r="EZ216" s="270">
        <f t="shared" si="1408"/>
        <v>0</v>
      </c>
      <c r="FA216" s="270">
        <f t="shared" si="1408"/>
        <v>0</v>
      </c>
      <c r="FB216" s="270">
        <f t="shared" si="1408"/>
        <v>0</v>
      </c>
      <c r="FC216" s="270">
        <f t="shared" si="1408"/>
        <v>0</v>
      </c>
      <c r="FD216" s="271"/>
      <c r="FE216" s="271"/>
      <c r="FF216" s="271"/>
      <c r="FG216" s="215"/>
      <c r="FH216" s="215"/>
    </row>
    <row r="217" ht="11.25" customHeight="1">
      <c r="A217" s="215" t="str">
        <f t="shared" si="19"/>
        <v/>
      </c>
      <c r="B217" s="241" t="str">
        <f t="shared" si="600"/>
        <v>#N/A</v>
      </c>
      <c r="C217" s="271" t="str">
        <f>IF(A217="","",IF(Calculator!snowball,IF(($E$5-DY217)&lt;0,0,$E$5-DY217),0)+D217)</f>
        <v/>
      </c>
      <c r="D217" s="271"/>
      <c r="E217" s="270">
        <f t="shared" si="40"/>
        <v>0</v>
      </c>
      <c r="F217" s="270">
        <f t="shared" ref="F217:AG217" si="1409">CU217+EB218</f>
        <v>0</v>
      </c>
      <c r="G217" s="270">
        <f t="shared" si="1409"/>
        <v>0</v>
      </c>
      <c r="H217" s="270">
        <f t="shared" si="1409"/>
        <v>0</v>
      </c>
      <c r="I217" s="270">
        <f t="shared" si="1409"/>
        <v>0</v>
      </c>
      <c r="J217" s="270">
        <f t="shared" si="1409"/>
        <v>0</v>
      </c>
      <c r="K217" s="270">
        <f t="shared" si="1409"/>
        <v>0</v>
      </c>
      <c r="L217" s="270">
        <f t="shared" si="1409"/>
        <v>0</v>
      </c>
      <c r="M217" s="270">
        <f t="shared" si="1409"/>
        <v>0</v>
      </c>
      <c r="N217" s="270">
        <f t="shared" si="1409"/>
        <v>0</v>
      </c>
      <c r="O217" s="270">
        <f t="shared" si="1409"/>
        <v>0</v>
      </c>
      <c r="P217" s="272">
        <f t="shared" si="1409"/>
        <v>0</v>
      </c>
      <c r="Q217" s="272">
        <f t="shared" si="1409"/>
        <v>0</v>
      </c>
      <c r="R217" s="272">
        <f t="shared" si="1409"/>
        <v>0</v>
      </c>
      <c r="S217" s="272">
        <f t="shared" si="1409"/>
        <v>0</v>
      </c>
      <c r="T217" s="272">
        <f t="shared" si="1409"/>
        <v>0</v>
      </c>
      <c r="U217" s="270">
        <f t="shared" si="1409"/>
        <v>0</v>
      </c>
      <c r="V217" s="270">
        <f t="shared" si="1409"/>
        <v>0</v>
      </c>
      <c r="W217" s="270">
        <f t="shared" si="1409"/>
        <v>0</v>
      </c>
      <c r="X217" s="270">
        <f t="shared" si="1409"/>
        <v>0</v>
      </c>
      <c r="Y217" s="270">
        <f t="shared" si="1409"/>
        <v>0</v>
      </c>
      <c r="Z217" s="270">
        <f t="shared" si="1409"/>
        <v>0</v>
      </c>
      <c r="AA217" s="270">
        <f t="shared" si="1409"/>
        <v>0</v>
      </c>
      <c r="AB217" s="270">
        <f t="shared" si="1409"/>
        <v>0</v>
      </c>
      <c r="AC217" s="270">
        <f t="shared" si="1409"/>
        <v>0</v>
      </c>
      <c r="AD217" s="270">
        <f t="shared" si="1409"/>
        <v>0</v>
      </c>
      <c r="AE217" s="270">
        <f t="shared" si="1409"/>
        <v>0</v>
      </c>
      <c r="AF217" s="270">
        <f t="shared" si="1409"/>
        <v>0</v>
      </c>
      <c r="AG217" s="270">
        <f t="shared" si="1409"/>
        <v>0</v>
      </c>
      <c r="AH217" s="279">
        <f t="shared" si="602"/>
        <v>0</v>
      </c>
      <c r="AI217" s="270">
        <f t="shared" si="43"/>
        <v>0</v>
      </c>
      <c r="AJ217" s="270">
        <f t="shared" ref="AJ217:AO217" si="1410">IF(F$8=0,0,ROUND(AJ216-(F217-BO217),2))</f>
        <v>0</v>
      </c>
      <c r="AK217" s="270">
        <f t="shared" si="1410"/>
        <v>0</v>
      </c>
      <c r="AL217" s="270">
        <f t="shared" si="1410"/>
        <v>0</v>
      </c>
      <c r="AM217" s="270">
        <f t="shared" si="1410"/>
        <v>0</v>
      </c>
      <c r="AN217" s="270">
        <f t="shared" si="1410"/>
        <v>0</v>
      </c>
      <c r="AO217" s="270">
        <f t="shared" si="1410"/>
        <v>0</v>
      </c>
      <c r="AP217" s="270">
        <v>0.0</v>
      </c>
      <c r="AQ217" s="270">
        <f t="shared" ref="AQ217:AS217" si="1411">IF(M$8=0,0,ROUND(AQ216-(M217-BV217),2))</f>
        <v>0</v>
      </c>
      <c r="AR217" s="270">
        <f t="shared" si="1411"/>
        <v>0</v>
      </c>
      <c r="AS217" s="270">
        <f t="shared" si="1411"/>
        <v>0</v>
      </c>
      <c r="AT217" s="270">
        <f t="shared" si="605"/>
        <v>-6.22</v>
      </c>
      <c r="AU217" s="270">
        <f t="shared" ref="AU217:BK217" si="1412">IF(Q$8=0,0,ROUND(AU216-(Q217-BY217),2))</f>
        <v>-13.88</v>
      </c>
      <c r="AV217" s="270">
        <f t="shared" si="1412"/>
        <v>0</v>
      </c>
      <c r="AW217" s="270">
        <f t="shared" si="1412"/>
        <v>0</v>
      </c>
      <c r="AX217" s="270">
        <f t="shared" si="1412"/>
        <v>0</v>
      </c>
      <c r="AY217" s="270">
        <f t="shared" si="1412"/>
        <v>0</v>
      </c>
      <c r="AZ217" s="270">
        <f t="shared" si="1412"/>
        <v>0</v>
      </c>
      <c r="BA217" s="270">
        <f t="shared" si="1412"/>
        <v>0</v>
      </c>
      <c r="BB217" s="270">
        <f t="shared" si="1412"/>
        <v>0</v>
      </c>
      <c r="BC217" s="270">
        <f t="shared" si="1412"/>
        <v>0</v>
      </c>
      <c r="BD217" s="270">
        <f t="shared" si="1412"/>
        <v>0</v>
      </c>
      <c r="BE217" s="270">
        <f t="shared" si="1412"/>
        <v>0</v>
      </c>
      <c r="BF217" s="270">
        <f t="shared" si="1412"/>
        <v>0</v>
      </c>
      <c r="BG217" s="270">
        <f t="shared" si="1412"/>
        <v>0</v>
      </c>
      <c r="BH217" s="270">
        <f t="shared" si="1412"/>
        <v>0</v>
      </c>
      <c r="BI217" s="270">
        <f t="shared" si="1412"/>
        <v>0</v>
      </c>
      <c r="BJ217" s="270">
        <f t="shared" si="1412"/>
        <v>0</v>
      </c>
      <c r="BK217" s="270">
        <f t="shared" si="1412"/>
        <v>0</v>
      </c>
      <c r="BL217" s="265">
        <f t="shared" si="16"/>
        <v>-20.1</v>
      </c>
      <c r="BM217" s="215"/>
      <c r="BN217" s="270">
        <f t="shared" ref="BN217:CP217" si="1413">ROUND(AI216*E$9/12,2)</f>
        <v>0</v>
      </c>
      <c r="BO217" s="270">
        <f t="shared" si="1413"/>
        <v>0</v>
      </c>
      <c r="BP217" s="270">
        <f t="shared" si="1413"/>
        <v>0</v>
      </c>
      <c r="BQ217" s="270">
        <f t="shared" si="1413"/>
        <v>0</v>
      </c>
      <c r="BR217" s="270">
        <f t="shared" si="1413"/>
        <v>0</v>
      </c>
      <c r="BS217" s="270">
        <f t="shared" si="1413"/>
        <v>0</v>
      </c>
      <c r="BT217" s="270">
        <f t="shared" si="1413"/>
        <v>0</v>
      </c>
      <c r="BU217" s="270">
        <f t="shared" si="1413"/>
        <v>0</v>
      </c>
      <c r="BV217" s="270">
        <f t="shared" si="1413"/>
        <v>0</v>
      </c>
      <c r="BW217" s="270">
        <f t="shared" si="1413"/>
        <v>0</v>
      </c>
      <c r="BX217" s="270">
        <f t="shared" si="1413"/>
        <v>0</v>
      </c>
      <c r="BY217" s="270">
        <f t="shared" si="1413"/>
        <v>-0.05</v>
      </c>
      <c r="BZ217" s="270">
        <f t="shared" si="1413"/>
        <v>-0.04</v>
      </c>
      <c r="CA217" s="270">
        <f t="shared" si="1413"/>
        <v>0</v>
      </c>
      <c r="CB217" s="270">
        <f t="shared" si="1413"/>
        <v>0</v>
      </c>
      <c r="CC217" s="270">
        <f t="shared" si="1413"/>
        <v>0</v>
      </c>
      <c r="CD217" s="270">
        <f t="shared" si="1413"/>
        <v>0</v>
      </c>
      <c r="CE217" s="270">
        <f t="shared" si="1413"/>
        <v>0</v>
      </c>
      <c r="CF217" s="270">
        <f t="shared" si="1413"/>
        <v>0</v>
      </c>
      <c r="CG217" s="270">
        <f t="shared" si="1413"/>
        <v>0</v>
      </c>
      <c r="CH217" s="270">
        <f t="shared" si="1413"/>
        <v>0</v>
      </c>
      <c r="CI217" s="270">
        <f t="shared" si="1413"/>
        <v>0</v>
      </c>
      <c r="CJ217" s="270">
        <f t="shared" si="1413"/>
        <v>0</v>
      </c>
      <c r="CK217" s="270">
        <f t="shared" si="1413"/>
        <v>0</v>
      </c>
      <c r="CL217" s="270">
        <f t="shared" si="1413"/>
        <v>0</v>
      </c>
      <c r="CM217" s="270">
        <f t="shared" si="1413"/>
        <v>0</v>
      </c>
      <c r="CN217" s="270">
        <f t="shared" si="1413"/>
        <v>0</v>
      </c>
      <c r="CO217" s="270">
        <f t="shared" si="1413"/>
        <v>0</v>
      </c>
      <c r="CP217" s="270">
        <f t="shared" si="1413"/>
        <v>0</v>
      </c>
      <c r="CQ217" s="215"/>
      <c r="CR217" s="270">
        <f t="shared" si="27"/>
        <v>-0.09</v>
      </c>
      <c r="CS217" s="215"/>
      <c r="CT217" s="270">
        <f t="shared" ref="CT217:DX217" si="1414">IF(AI216&gt;0,IF((AI216+BN217)&lt;E$10,AI216+BN217,E$10),0)</f>
        <v>0</v>
      </c>
      <c r="CU217" s="270">
        <f t="shared" si="1414"/>
        <v>0</v>
      </c>
      <c r="CV217" s="270">
        <f t="shared" si="1414"/>
        <v>0</v>
      </c>
      <c r="CW217" s="270">
        <f t="shared" si="1414"/>
        <v>0</v>
      </c>
      <c r="CX217" s="270">
        <f t="shared" si="1414"/>
        <v>0</v>
      </c>
      <c r="CY217" s="270">
        <f t="shared" si="1414"/>
        <v>0</v>
      </c>
      <c r="CZ217" s="270">
        <f t="shared" si="1414"/>
        <v>0</v>
      </c>
      <c r="DA217" s="270">
        <f t="shared" si="1414"/>
        <v>0</v>
      </c>
      <c r="DB217" s="270">
        <f t="shared" si="1414"/>
        <v>0</v>
      </c>
      <c r="DC217" s="270">
        <f t="shared" si="1414"/>
        <v>0</v>
      </c>
      <c r="DD217" s="270">
        <f t="shared" si="1414"/>
        <v>0</v>
      </c>
      <c r="DE217" s="270">
        <f t="shared" si="1414"/>
        <v>0</v>
      </c>
      <c r="DF217" s="270">
        <f t="shared" si="1414"/>
        <v>0</v>
      </c>
      <c r="DG217" s="270">
        <f t="shared" si="1414"/>
        <v>0</v>
      </c>
      <c r="DH217" s="270">
        <f t="shared" si="1414"/>
        <v>0</v>
      </c>
      <c r="DI217" s="270">
        <f t="shared" si="1414"/>
        <v>0</v>
      </c>
      <c r="DJ217" s="270">
        <f t="shared" si="1414"/>
        <v>0</v>
      </c>
      <c r="DK217" s="270">
        <f t="shared" si="1414"/>
        <v>0</v>
      </c>
      <c r="DL217" s="270">
        <f t="shared" si="1414"/>
        <v>0</v>
      </c>
      <c r="DM217" s="270">
        <f t="shared" si="1414"/>
        <v>0</v>
      </c>
      <c r="DN217" s="270">
        <f t="shared" si="1414"/>
        <v>0</v>
      </c>
      <c r="DO217" s="270">
        <f t="shared" si="1414"/>
        <v>0</v>
      </c>
      <c r="DP217" s="270">
        <f t="shared" si="1414"/>
        <v>0</v>
      </c>
      <c r="DQ217" s="270">
        <f t="shared" si="1414"/>
        <v>0</v>
      </c>
      <c r="DR217" s="270">
        <f t="shared" si="1414"/>
        <v>0</v>
      </c>
      <c r="DS217" s="270">
        <f t="shared" si="1414"/>
        <v>0</v>
      </c>
      <c r="DT217" s="270">
        <f t="shared" si="1414"/>
        <v>0</v>
      </c>
      <c r="DU217" s="270">
        <f t="shared" si="1414"/>
        <v>0</v>
      </c>
      <c r="DV217" s="270">
        <f t="shared" si="1414"/>
        <v>0</v>
      </c>
      <c r="DW217" s="270">
        <f t="shared" si="1414"/>
        <v>0</v>
      </c>
      <c r="DX217" s="270">
        <f t="shared" si="1414"/>
        <v>0</v>
      </c>
      <c r="DY217" s="270">
        <f t="shared" si="29"/>
        <v>0</v>
      </c>
      <c r="DZ217" s="274"/>
      <c r="EA217" s="275">
        <f t="shared" si="38"/>
        <v>0</v>
      </c>
      <c r="EB217" s="270">
        <f t="shared" ref="EB217:FC217" si="1415">IF(AJ215&lt;=0,0,IF($C216&lt;=SUM($EA217:EA217),0,IF(CU216+$C216-SUM($EA217:EA217)&gt;AJ215+BO216,AJ215+BO216-CU216,$C216-SUM($EA217:EA217))))</f>
        <v>0</v>
      </c>
      <c r="EC217" s="270">
        <f t="shared" si="1415"/>
        <v>0</v>
      </c>
      <c r="ED217" s="270">
        <f t="shared" si="1415"/>
        <v>0</v>
      </c>
      <c r="EE217" s="270">
        <f t="shared" si="1415"/>
        <v>0</v>
      </c>
      <c r="EF217" s="270">
        <f t="shared" si="1415"/>
        <v>0</v>
      </c>
      <c r="EG217" s="270">
        <f t="shared" si="1415"/>
        <v>0</v>
      </c>
      <c r="EH217" s="270">
        <f t="shared" si="1415"/>
        <v>0</v>
      </c>
      <c r="EI217" s="270">
        <f t="shared" si="1415"/>
        <v>0</v>
      </c>
      <c r="EJ217" s="270">
        <f t="shared" si="1415"/>
        <v>0</v>
      </c>
      <c r="EK217" s="270">
        <f t="shared" si="1415"/>
        <v>0</v>
      </c>
      <c r="EL217" s="270">
        <f t="shared" si="1415"/>
        <v>0</v>
      </c>
      <c r="EM217" s="270">
        <f t="shared" si="1415"/>
        <v>0</v>
      </c>
      <c r="EN217" s="270">
        <f t="shared" si="1415"/>
        <v>0</v>
      </c>
      <c r="EO217" s="270">
        <f t="shared" si="1415"/>
        <v>0</v>
      </c>
      <c r="EP217" s="270">
        <f t="shared" si="1415"/>
        <v>0</v>
      </c>
      <c r="EQ217" s="270">
        <f t="shared" si="1415"/>
        <v>0</v>
      </c>
      <c r="ER217" s="270">
        <f t="shared" si="1415"/>
        <v>0</v>
      </c>
      <c r="ES217" s="270">
        <f t="shared" si="1415"/>
        <v>0</v>
      </c>
      <c r="ET217" s="270">
        <f t="shared" si="1415"/>
        <v>0</v>
      </c>
      <c r="EU217" s="270">
        <f t="shared" si="1415"/>
        <v>0</v>
      </c>
      <c r="EV217" s="270">
        <f t="shared" si="1415"/>
        <v>0</v>
      </c>
      <c r="EW217" s="270">
        <f t="shared" si="1415"/>
        <v>0</v>
      </c>
      <c r="EX217" s="270">
        <f t="shared" si="1415"/>
        <v>0</v>
      </c>
      <c r="EY217" s="270">
        <f t="shared" si="1415"/>
        <v>0</v>
      </c>
      <c r="EZ217" s="270">
        <f t="shared" si="1415"/>
        <v>0</v>
      </c>
      <c r="FA217" s="270">
        <f t="shared" si="1415"/>
        <v>0</v>
      </c>
      <c r="FB217" s="270">
        <f t="shared" si="1415"/>
        <v>0</v>
      </c>
      <c r="FC217" s="270">
        <f t="shared" si="1415"/>
        <v>0</v>
      </c>
      <c r="FD217" s="271"/>
      <c r="FE217" s="271"/>
      <c r="FF217" s="271"/>
      <c r="FG217" s="215"/>
      <c r="FH217" s="215"/>
    </row>
    <row r="218" ht="11.25" customHeight="1">
      <c r="A218" s="215" t="str">
        <f t="shared" si="19"/>
        <v/>
      </c>
      <c r="B218" s="241" t="str">
        <f t="shared" si="600"/>
        <v>#N/A</v>
      </c>
      <c r="C218" s="271" t="str">
        <f>IF(A218="","",IF(Calculator!snowball,IF(($E$5-DY218)&lt;0,0,$E$5-DY218),0)+D218)</f>
        <v/>
      </c>
      <c r="D218" s="271"/>
      <c r="E218" s="270">
        <f t="shared" si="40"/>
        <v>0</v>
      </c>
      <c r="F218" s="270">
        <f t="shared" ref="F218:AG218" si="1416">CU218+EB219</f>
        <v>0</v>
      </c>
      <c r="G218" s="270">
        <f t="shared" si="1416"/>
        <v>0</v>
      </c>
      <c r="H218" s="270">
        <f t="shared" si="1416"/>
        <v>0</v>
      </c>
      <c r="I218" s="270">
        <f t="shared" si="1416"/>
        <v>0</v>
      </c>
      <c r="J218" s="270">
        <f t="shared" si="1416"/>
        <v>0</v>
      </c>
      <c r="K218" s="270">
        <f t="shared" si="1416"/>
        <v>0</v>
      </c>
      <c r="L218" s="270">
        <f t="shared" si="1416"/>
        <v>0</v>
      </c>
      <c r="M218" s="270">
        <f t="shared" si="1416"/>
        <v>0</v>
      </c>
      <c r="N218" s="270">
        <f t="shared" si="1416"/>
        <v>0</v>
      </c>
      <c r="O218" s="270">
        <f t="shared" si="1416"/>
        <v>0</v>
      </c>
      <c r="P218" s="272">
        <f t="shared" si="1416"/>
        <v>0</v>
      </c>
      <c r="Q218" s="272">
        <f t="shared" si="1416"/>
        <v>0</v>
      </c>
      <c r="R218" s="272">
        <f t="shared" si="1416"/>
        <v>0</v>
      </c>
      <c r="S218" s="272">
        <f t="shared" si="1416"/>
        <v>0</v>
      </c>
      <c r="T218" s="272">
        <f t="shared" si="1416"/>
        <v>0</v>
      </c>
      <c r="U218" s="270">
        <f t="shared" si="1416"/>
        <v>0</v>
      </c>
      <c r="V218" s="270">
        <f t="shared" si="1416"/>
        <v>0</v>
      </c>
      <c r="W218" s="270">
        <f t="shared" si="1416"/>
        <v>0</v>
      </c>
      <c r="X218" s="270">
        <f t="shared" si="1416"/>
        <v>0</v>
      </c>
      <c r="Y218" s="270">
        <f t="shared" si="1416"/>
        <v>0</v>
      </c>
      <c r="Z218" s="270">
        <f t="shared" si="1416"/>
        <v>0</v>
      </c>
      <c r="AA218" s="270">
        <f t="shared" si="1416"/>
        <v>0</v>
      </c>
      <c r="AB218" s="270">
        <f t="shared" si="1416"/>
        <v>0</v>
      </c>
      <c r="AC218" s="270">
        <f t="shared" si="1416"/>
        <v>0</v>
      </c>
      <c r="AD218" s="270">
        <f t="shared" si="1416"/>
        <v>0</v>
      </c>
      <c r="AE218" s="270">
        <f t="shared" si="1416"/>
        <v>0</v>
      </c>
      <c r="AF218" s="270">
        <f t="shared" si="1416"/>
        <v>0</v>
      </c>
      <c r="AG218" s="270">
        <f t="shared" si="1416"/>
        <v>0</v>
      </c>
      <c r="AH218" s="279">
        <f t="shared" si="602"/>
        <v>0</v>
      </c>
      <c r="AI218" s="270">
        <f t="shared" si="43"/>
        <v>0</v>
      </c>
      <c r="AJ218" s="270">
        <f t="shared" ref="AJ218:AO218" si="1417">IF(F$8=0,0,ROUND(AJ217-(F218-BO218),2))</f>
        <v>0</v>
      </c>
      <c r="AK218" s="270">
        <f t="shared" si="1417"/>
        <v>0</v>
      </c>
      <c r="AL218" s="270">
        <f t="shared" si="1417"/>
        <v>0</v>
      </c>
      <c r="AM218" s="270">
        <f t="shared" si="1417"/>
        <v>0</v>
      </c>
      <c r="AN218" s="270">
        <f t="shared" si="1417"/>
        <v>0</v>
      </c>
      <c r="AO218" s="270">
        <f t="shared" si="1417"/>
        <v>0</v>
      </c>
      <c r="AP218" s="270">
        <v>0.0</v>
      </c>
      <c r="AQ218" s="270">
        <f t="shared" ref="AQ218:AS218" si="1418">IF(M$8=0,0,ROUND(AQ217-(M218-BV218),2))</f>
        <v>0</v>
      </c>
      <c r="AR218" s="270">
        <f t="shared" si="1418"/>
        <v>0</v>
      </c>
      <c r="AS218" s="270">
        <f t="shared" si="1418"/>
        <v>0</v>
      </c>
      <c r="AT218" s="270">
        <f t="shared" si="605"/>
        <v>-6.22</v>
      </c>
      <c r="AU218" s="270">
        <f t="shared" ref="AU218:BK218" si="1419">IF(Q$8=0,0,ROUND(AU217-(Q218-BY218),2))</f>
        <v>-13.93</v>
      </c>
      <c r="AV218" s="270">
        <f t="shared" si="1419"/>
        <v>0</v>
      </c>
      <c r="AW218" s="270">
        <f t="shared" si="1419"/>
        <v>0</v>
      </c>
      <c r="AX218" s="270">
        <f t="shared" si="1419"/>
        <v>0</v>
      </c>
      <c r="AY218" s="270">
        <f t="shared" si="1419"/>
        <v>0</v>
      </c>
      <c r="AZ218" s="270">
        <f t="shared" si="1419"/>
        <v>0</v>
      </c>
      <c r="BA218" s="270">
        <f t="shared" si="1419"/>
        <v>0</v>
      </c>
      <c r="BB218" s="270">
        <f t="shared" si="1419"/>
        <v>0</v>
      </c>
      <c r="BC218" s="270">
        <f t="shared" si="1419"/>
        <v>0</v>
      </c>
      <c r="BD218" s="270">
        <f t="shared" si="1419"/>
        <v>0</v>
      </c>
      <c r="BE218" s="270">
        <f t="shared" si="1419"/>
        <v>0</v>
      </c>
      <c r="BF218" s="270">
        <f t="shared" si="1419"/>
        <v>0</v>
      </c>
      <c r="BG218" s="270">
        <f t="shared" si="1419"/>
        <v>0</v>
      </c>
      <c r="BH218" s="270">
        <f t="shared" si="1419"/>
        <v>0</v>
      </c>
      <c r="BI218" s="270">
        <f t="shared" si="1419"/>
        <v>0</v>
      </c>
      <c r="BJ218" s="270">
        <f t="shared" si="1419"/>
        <v>0</v>
      </c>
      <c r="BK218" s="270">
        <f t="shared" si="1419"/>
        <v>0</v>
      </c>
      <c r="BL218" s="265">
        <f t="shared" si="16"/>
        <v>-20.15</v>
      </c>
      <c r="BM218" s="215"/>
      <c r="BN218" s="270">
        <f t="shared" ref="BN218:CP218" si="1420">ROUND(AI217*E$9/12,2)</f>
        <v>0</v>
      </c>
      <c r="BO218" s="270">
        <f t="shared" si="1420"/>
        <v>0</v>
      </c>
      <c r="BP218" s="270">
        <f t="shared" si="1420"/>
        <v>0</v>
      </c>
      <c r="BQ218" s="270">
        <f t="shared" si="1420"/>
        <v>0</v>
      </c>
      <c r="BR218" s="270">
        <f t="shared" si="1420"/>
        <v>0</v>
      </c>
      <c r="BS218" s="270">
        <f t="shared" si="1420"/>
        <v>0</v>
      </c>
      <c r="BT218" s="270">
        <f t="shared" si="1420"/>
        <v>0</v>
      </c>
      <c r="BU218" s="270">
        <f t="shared" si="1420"/>
        <v>0</v>
      </c>
      <c r="BV218" s="270">
        <f t="shared" si="1420"/>
        <v>0</v>
      </c>
      <c r="BW218" s="270">
        <f t="shared" si="1420"/>
        <v>0</v>
      </c>
      <c r="BX218" s="270">
        <f t="shared" si="1420"/>
        <v>0</v>
      </c>
      <c r="BY218" s="270">
        <f t="shared" si="1420"/>
        <v>-0.05</v>
      </c>
      <c r="BZ218" s="270">
        <f t="shared" si="1420"/>
        <v>-0.04</v>
      </c>
      <c r="CA218" s="270">
        <f t="shared" si="1420"/>
        <v>0</v>
      </c>
      <c r="CB218" s="270">
        <f t="shared" si="1420"/>
        <v>0</v>
      </c>
      <c r="CC218" s="270">
        <f t="shared" si="1420"/>
        <v>0</v>
      </c>
      <c r="CD218" s="270">
        <f t="shared" si="1420"/>
        <v>0</v>
      </c>
      <c r="CE218" s="270">
        <f t="shared" si="1420"/>
        <v>0</v>
      </c>
      <c r="CF218" s="270">
        <f t="shared" si="1420"/>
        <v>0</v>
      </c>
      <c r="CG218" s="270">
        <f t="shared" si="1420"/>
        <v>0</v>
      </c>
      <c r="CH218" s="270">
        <f t="shared" si="1420"/>
        <v>0</v>
      </c>
      <c r="CI218" s="270">
        <f t="shared" si="1420"/>
        <v>0</v>
      </c>
      <c r="CJ218" s="270">
        <f t="shared" si="1420"/>
        <v>0</v>
      </c>
      <c r="CK218" s="270">
        <f t="shared" si="1420"/>
        <v>0</v>
      </c>
      <c r="CL218" s="270">
        <f t="shared" si="1420"/>
        <v>0</v>
      </c>
      <c r="CM218" s="270">
        <f t="shared" si="1420"/>
        <v>0</v>
      </c>
      <c r="CN218" s="270">
        <f t="shared" si="1420"/>
        <v>0</v>
      </c>
      <c r="CO218" s="270">
        <f t="shared" si="1420"/>
        <v>0</v>
      </c>
      <c r="CP218" s="270">
        <f t="shared" si="1420"/>
        <v>0</v>
      </c>
      <c r="CQ218" s="215"/>
      <c r="CR218" s="270">
        <f t="shared" si="27"/>
        <v>-0.09</v>
      </c>
      <c r="CS218" s="215"/>
      <c r="CT218" s="270">
        <f t="shared" ref="CT218:DX218" si="1421">IF(AI217&gt;0,IF((AI217+BN218)&lt;E$10,AI217+BN218,E$10),0)</f>
        <v>0</v>
      </c>
      <c r="CU218" s="270">
        <f t="shared" si="1421"/>
        <v>0</v>
      </c>
      <c r="CV218" s="270">
        <f t="shared" si="1421"/>
        <v>0</v>
      </c>
      <c r="CW218" s="270">
        <f t="shared" si="1421"/>
        <v>0</v>
      </c>
      <c r="CX218" s="270">
        <f t="shared" si="1421"/>
        <v>0</v>
      </c>
      <c r="CY218" s="270">
        <f t="shared" si="1421"/>
        <v>0</v>
      </c>
      <c r="CZ218" s="270">
        <f t="shared" si="1421"/>
        <v>0</v>
      </c>
      <c r="DA218" s="270">
        <f t="shared" si="1421"/>
        <v>0</v>
      </c>
      <c r="DB218" s="270">
        <f t="shared" si="1421"/>
        <v>0</v>
      </c>
      <c r="DC218" s="270">
        <f t="shared" si="1421"/>
        <v>0</v>
      </c>
      <c r="DD218" s="270">
        <f t="shared" si="1421"/>
        <v>0</v>
      </c>
      <c r="DE218" s="270">
        <f t="shared" si="1421"/>
        <v>0</v>
      </c>
      <c r="DF218" s="270">
        <f t="shared" si="1421"/>
        <v>0</v>
      </c>
      <c r="DG218" s="270">
        <f t="shared" si="1421"/>
        <v>0</v>
      </c>
      <c r="DH218" s="270">
        <f t="shared" si="1421"/>
        <v>0</v>
      </c>
      <c r="DI218" s="270">
        <f t="shared" si="1421"/>
        <v>0</v>
      </c>
      <c r="DJ218" s="270">
        <f t="shared" si="1421"/>
        <v>0</v>
      </c>
      <c r="DK218" s="270">
        <f t="shared" si="1421"/>
        <v>0</v>
      </c>
      <c r="DL218" s="270">
        <f t="shared" si="1421"/>
        <v>0</v>
      </c>
      <c r="DM218" s="270">
        <f t="shared" si="1421"/>
        <v>0</v>
      </c>
      <c r="DN218" s="270">
        <f t="shared" si="1421"/>
        <v>0</v>
      </c>
      <c r="DO218" s="270">
        <f t="shared" si="1421"/>
        <v>0</v>
      </c>
      <c r="DP218" s="270">
        <f t="shared" si="1421"/>
        <v>0</v>
      </c>
      <c r="DQ218" s="270">
        <f t="shared" si="1421"/>
        <v>0</v>
      </c>
      <c r="DR218" s="270">
        <f t="shared" si="1421"/>
        <v>0</v>
      </c>
      <c r="DS218" s="270">
        <f t="shared" si="1421"/>
        <v>0</v>
      </c>
      <c r="DT218" s="270">
        <f t="shared" si="1421"/>
        <v>0</v>
      </c>
      <c r="DU218" s="270">
        <f t="shared" si="1421"/>
        <v>0</v>
      </c>
      <c r="DV218" s="270">
        <f t="shared" si="1421"/>
        <v>0</v>
      </c>
      <c r="DW218" s="270">
        <f t="shared" si="1421"/>
        <v>0</v>
      </c>
      <c r="DX218" s="270">
        <f t="shared" si="1421"/>
        <v>0</v>
      </c>
      <c r="DY218" s="270">
        <f t="shared" si="29"/>
        <v>0</v>
      </c>
      <c r="DZ218" s="274"/>
      <c r="EA218" s="275">
        <f t="shared" si="38"/>
        <v>0</v>
      </c>
      <c r="EB218" s="270">
        <f t="shared" ref="EB218:FC218" si="1422">IF(AJ216&lt;=0,0,IF($C217&lt;=SUM($EA218:EA218),0,IF(CU217+$C217-SUM($EA218:EA218)&gt;AJ216+BO217,AJ216+BO217-CU217,$C217-SUM($EA218:EA218))))</f>
        <v>0</v>
      </c>
      <c r="EC218" s="270">
        <f t="shared" si="1422"/>
        <v>0</v>
      </c>
      <c r="ED218" s="270">
        <f t="shared" si="1422"/>
        <v>0</v>
      </c>
      <c r="EE218" s="270">
        <f t="shared" si="1422"/>
        <v>0</v>
      </c>
      <c r="EF218" s="270">
        <f t="shared" si="1422"/>
        <v>0</v>
      </c>
      <c r="EG218" s="270">
        <f t="shared" si="1422"/>
        <v>0</v>
      </c>
      <c r="EH218" s="270">
        <f t="shared" si="1422"/>
        <v>0</v>
      </c>
      <c r="EI218" s="270">
        <f t="shared" si="1422"/>
        <v>0</v>
      </c>
      <c r="EJ218" s="270">
        <f t="shared" si="1422"/>
        <v>0</v>
      </c>
      <c r="EK218" s="270">
        <f t="shared" si="1422"/>
        <v>0</v>
      </c>
      <c r="EL218" s="270">
        <f t="shared" si="1422"/>
        <v>0</v>
      </c>
      <c r="EM218" s="270">
        <f t="shared" si="1422"/>
        <v>0</v>
      </c>
      <c r="EN218" s="270">
        <f t="shared" si="1422"/>
        <v>0</v>
      </c>
      <c r="EO218" s="270">
        <f t="shared" si="1422"/>
        <v>0</v>
      </c>
      <c r="EP218" s="270">
        <f t="shared" si="1422"/>
        <v>0</v>
      </c>
      <c r="EQ218" s="270">
        <f t="shared" si="1422"/>
        <v>0</v>
      </c>
      <c r="ER218" s="270">
        <f t="shared" si="1422"/>
        <v>0</v>
      </c>
      <c r="ES218" s="270">
        <f t="shared" si="1422"/>
        <v>0</v>
      </c>
      <c r="ET218" s="270">
        <f t="shared" si="1422"/>
        <v>0</v>
      </c>
      <c r="EU218" s="270">
        <f t="shared" si="1422"/>
        <v>0</v>
      </c>
      <c r="EV218" s="270">
        <f t="shared" si="1422"/>
        <v>0</v>
      </c>
      <c r="EW218" s="270">
        <f t="shared" si="1422"/>
        <v>0</v>
      </c>
      <c r="EX218" s="270">
        <f t="shared" si="1422"/>
        <v>0</v>
      </c>
      <c r="EY218" s="270">
        <f t="shared" si="1422"/>
        <v>0</v>
      </c>
      <c r="EZ218" s="270">
        <f t="shared" si="1422"/>
        <v>0</v>
      </c>
      <c r="FA218" s="270">
        <f t="shared" si="1422"/>
        <v>0</v>
      </c>
      <c r="FB218" s="270">
        <f t="shared" si="1422"/>
        <v>0</v>
      </c>
      <c r="FC218" s="270">
        <f t="shared" si="1422"/>
        <v>0</v>
      </c>
      <c r="FD218" s="271"/>
      <c r="FE218" s="271"/>
      <c r="FF218" s="271"/>
      <c r="FG218" s="215"/>
      <c r="FH218" s="215"/>
    </row>
    <row r="219" ht="11.25" customHeight="1">
      <c r="A219" s="215" t="str">
        <f t="shared" si="19"/>
        <v/>
      </c>
      <c r="B219" s="241" t="str">
        <f t="shared" si="600"/>
        <v>#N/A</v>
      </c>
      <c r="C219" s="271" t="str">
        <f>IF(A219="","",IF(Calculator!snowball,IF(($E$5-DY219)&lt;0,0,$E$5-DY219),0)+D219)</f>
        <v/>
      </c>
      <c r="D219" s="271"/>
      <c r="E219" s="270">
        <f t="shared" si="40"/>
        <v>0</v>
      </c>
      <c r="F219" s="270">
        <f t="shared" ref="F219:AG219" si="1423">CU219+EB220</f>
        <v>0</v>
      </c>
      <c r="G219" s="270">
        <f t="shared" si="1423"/>
        <v>0</v>
      </c>
      <c r="H219" s="270">
        <f t="shared" si="1423"/>
        <v>0</v>
      </c>
      <c r="I219" s="270">
        <f t="shared" si="1423"/>
        <v>0</v>
      </c>
      <c r="J219" s="270">
        <f t="shared" si="1423"/>
        <v>0</v>
      </c>
      <c r="K219" s="270">
        <f t="shared" si="1423"/>
        <v>0</v>
      </c>
      <c r="L219" s="270">
        <f t="shared" si="1423"/>
        <v>0</v>
      </c>
      <c r="M219" s="270">
        <f t="shared" si="1423"/>
        <v>0</v>
      </c>
      <c r="N219" s="270">
        <f t="shared" si="1423"/>
        <v>0</v>
      </c>
      <c r="O219" s="270">
        <f t="shared" si="1423"/>
        <v>0</v>
      </c>
      <c r="P219" s="272">
        <f t="shared" si="1423"/>
        <v>0</v>
      </c>
      <c r="Q219" s="272">
        <f t="shared" si="1423"/>
        <v>0</v>
      </c>
      <c r="R219" s="272">
        <f t="shared" si="1423"/>
        <v>0</v>
      </c>
      <c r="S219" s="272">
        <f t="shared" si="1423"/>
        <v>0</v>
      </c>
      <c r="T219" s="272">
        <f t="shared" si="1423"/>
        <v>0</v>
      </c>
      <c r="U219" s="270">
        <f t="shared" si="1423"/>
        <v>0</v>
      </c>
      <c r="V219" s="270">
        <f t="shared" si="1423"/>
        <v>0</v>
      </c>
      <c r="W219" s="270">
        <f t="shared" si="1423"/>
        <v>0</v>
      </c>
      <c r="X219" s="270">
        <f t="shared" si="1423"/>
        <v>0</v>
      </c>
      <c r="Y219" s="270">
        <f t="shared" si="1423"/>
        <v>0</v>
      </c>
      <c r="Z219" s="270">
        <f t="shared" si="1423"/>
        <v>0</v>
      </c>
      <c r="AA219" s="270">
        <f t="shared" si="1423"/>
        <v>0</v>
      </c>
      <c r="AB219" s="270">
        <f t="shared" si="1423"/>
        <v>0</v>
      </c>
      <c r="AC219" s="270">
        <f t="shared" si="1423"/>
        <v>0</v>
      </c>
      <c r="AD219" s="270">
        <f t="shared" si="1423"/>
        <v>0</v>
      </c>
      <c r="AE219" s="270">
        <f t="shared" si="1423"/>
        <v>0</v>
      </c>
      <c r="AF219" s="270">
        <f t="shared" si="1423"/>
        <v>0</v>
      </c>
      <c r="AG219" s="270">
        <f t="shared" si="1423"/>
        <v>0</v>
      </c>
      <c r="AH219" s="279">
        <f t="shared" si="602"/>
        <v>0</v>
      </c>
      <c r="AI219" s="270">
        <f t="shared" si="43"/>
        <v>0</v>
      </c>
      <c r="AJ219" s="270">
        <f t="shared" ref="AJ219:AO219" si="1424">IF(F$8=0,0,ROUND(AJ218-(F219-BO219),2))</f>
        <v>0</v>
      </c>
      <c r="AK219" s="270">
        <f t="shared" si="1424"/>
        <v>0</v>
      </c>
      <c r="AL219" s="270">
        <f t="shared" si="1424"/>
        <v>0</v>
      </c>
      <c r="AM219" s="270">
        <f t="shared" si="1424"/>
        <v>0</v>
      </c>
      <c r="AN219" s="270">
        <f t="shared" si="1424"/>
        <v>0</v>
      </c>
      <c r="AO219" s="270">
        <f t="shared" si="1424"/>
        <v>0</v>
      </c>
      <c r="AP219" s="270">
        <v>0.0</v>
      </c>
      <c r="AQ219" s="270">
        <f t="shared" ref="AQ219:AS219" si="1425">IF(M$8=0,0,ROUND(AQ218-(M219-BV219),2))</f>
        <v>0</v>
      </c>
      <c r="AR219" s="270">
        <f t="shared" si="1425"/>
        <v>0</v>
      </c>
      <c r="AS219" s="270">
        <f t="shared" si="1425"/>
        <v>0</v>
      </c>
      <c r="AT219" s="270">
        <f t="shared" si="605"/>
        <v>-6.22</v>
      </c>
      <c r="AU219" s="270">
        <f t="shared" ref="AU219:BK219" si="1426">IF(Q$8=0,0,ROUND(AU218-(Q219-BY219),2))</f>
        <v>-13.98</v>
      </c>
      <c r="AV219" s="270">
        <f t="shared" si="1426"/>
        <v>0</v>
      </c>
      <c r="AW219" s="270">
        <f t="shared" si="1426"/>
        <v>0</v>
      </c>
      <c r="AX219" s="270">
        <f t="shared" si="1426"/>
        <v>0</v>
      </c>
      <c r="AY219" s="270">
        <f t="shared" si="1426"/>
        <v>0</v>
      </c>
      <c r="AZ219" s="270">
        <f t="shared" si="1426"/>
        <v>0</v>
      </c>
      <c r="BA219" s="270">
        <f t="shared" si="1426"/>
        <v>0</v>
      </c>
      <c r="BB219" s="270">
        <f t="shared" si="1426"/>
        <v>0</v>
      </c>
      <c r="BC219" s="270">
        <f t="shared" si="1426"/>
        <v>0</v>
      </c>
      <c r="BD219" s="270">
        <f t="shared" si="1426"/>
        <v>0</v>
      </c>
      <c r="BE219" s="270">
        <f t="shared" si="1426"/>
        <v>0</v>
      </c>
      <c r="BF219" s="270">
        <f t="shared" si="1426"/>
        <v>0</v>
      </c>
      <c r="BG219" s="270">
        <f t="shared" si="1426"/>
        <v>0</v>
      </c>
      <c r="BH219" s="270">
        <f t="shared" si="1426"/>
        <v>0</v>
      </c>
      <c r="BI219" s="270">
        <f t="shared" si="1426"/>
        <v>0</v>
      </c>
      <c r="BJ219" s="270">
        <f t="shared" si="1426"/>
        <v>0</v>
      </c>
      <c r="BK219" s="270">
        <f t="shared" si="1426"/>
        <v>0</v>
      </c>
      <c r="BL219" s="265">
        <f t="shared" si="16"/>
        <v>-20.2</v>
      </c>
      <c r="BM219" s="215"/>
      <c r="BN219" s="270">
        <f t="shared" ref="BN219:CP219" si="1427">ROUND(AI218*E$9/12,2)</f>
        <v>0</v>
      </c>
      <c r="BO219" s="270">
        <f t="shared" si="1427"/>
        <v>0</v>
      </c>
      <c r="BP219" s="270">
        <f t="shared" si="1427"/>
        <v>0</v>
      </c>
      <c r="BQ219" s="270">
        <f t="shared" si="1427"/>
        <v>0</v>
      </c>
      <c r="BR219" s="270">
        <f t="shared" si="1427"/>
        <v>0</v>
      </c>
      <c r="BS219" s="270">
        <f t="shared" si="1427"/>
        <v>0</v>
      </c>
      <c r="BT219" s="270">
        <f t="shared" si="1427"/>
        <v>0</v>
      </c>
      <c r="BU219" s="270">
        <f t="shared" si="1427"/>
        <v>0</v>
      </c>
      <c r="BV219" s="270">
        <f t="shared" si="1427"/>
        <v>0</v>
      </c>
      <c r="BW219" s="270">
        <f t="shared" si="1427"/>
        <v>0</v>
      </c>
      <c r="BX219" s="270">
        <f t="shared" si="1427"/>
        <v>0</v>
      </c>
      <c r="BY219" s="270">
        <f t="shared" si="1427"/>
        <v>-0.05</v>
      </c>
      <c r="BZ219" s="270">
        <f t="shared" si="1427"/>
        <v>-0.04</v>
      </c>
      <c r="CA219" s="270">
        <f t="shared" si="1427"/>
        <v>0</v>
      </c>
      <c r="CB219" s="270">
        <f t="shared" si="1427"/>
        <v>0</v>
      </c>
      <c r="CC219" s="270">
        <f t="shared" si="1427"/>
        <v>0</v>
      </c>
      <c r="CD219" s="270">
        <f t="shared" si="1427"/>
        <v>0</v>
      </c>
      <c r="CE219" s="270">
        <f t="shared" si="1427"/>
        <v>0</v>
      </c>
      <c r="CF219" s="270">
        <f t="shared" si="1427"/>
        <v>0</v>
      </c>
      <c r="CG219" s="270">
        <f t="shared" si="1427"/>
        <v>0</v>
      </c>
      <c r="CH219" s="270">
        <f t="shared" si="1427"/>
        <v>0</v>
      </c>
      <c r="CI219" s="270">
        <f t="shared" si="1427"/>
        <v>0</v>
      </c>
      <c r="CJ219" s="270">
        <f t="shared" si="1427"/>
        <v>0</v>
      </c>
      <c r="CK219" s="270">
        <f t="shared" si="1427"/>
        <v>0</v>
      </c>
      <c r="CL219" s="270">
        <f t="shared" si="1427"/>
        <v>0</v>
      </c>
      <c r="CM219" s="270">
        <f t="shared" si="1427"/>
        <v>0</v>
      </c>
      <c r="CN219" s="270">
        <f t="shared" si="1427"/>
        <v>0</v>
      </c>
      <c r="CO219" s="270">
        <f t="shared" si="1427"/>
        <v>0</v>
      </c>
      <c r="CP219" s="270">
        <f t="shared" si="1427"/>
        <v>0</v>
      </c>
      <c r="CQ219" s="215"/>
      <c r="CR219" s="270">
        <f t="shared" si="27"/>
        <v>-0.09</v>
      </c>
      <c r="CS219" s="215"/>
      <c r="CT219" s="270">
        <f t="shared" ref="CT219:DX219" si="1428">IF(AI218&gt;0,IF((AI218+BN219)&lt;E$10,AI218+BN219,E$10),0)</f>
        <v>0</v>
      </c>
      <c r="CU219" s="270">
        <f t="shared" si="1428"/>
        <v>0</v>
      </c>
      <c r="CV219" s="270">
        <f t="shared" si="1428"/>
        <v>0</v>
      </c>
      <c r="CW219" s="270">
        <f t="shared" si="1428"/>
        <v>0</v>
      </c>
      <c r="CX219" s="270">
        <f t="shared" si="1428"/>
        <v>0</v>
      </c>
      <c r="CY219" s="270">
        <f t="shared" si="1428"/>
        <v>0</v>
      </c>
      <c r="CZ219" s="270">
        <f t="shared" si="1428"/>
        <v>0</v>
      </c>
      <c r="DA219" s="270">
        <f t="shared" si="1428"/>
        <v>0</v>
      </c>
      <c r="DB219" s="270">
        <f t="shared" si="1428"/>
        <v>0</v>
      </c>
      <c r="DC219" s="270">
        <f t="shared" si="1428"/>
        <v>0</v>
      </c>
      <c r="DD219" s="270">
        <f t="shared" si="1428"/>
        <v>0</v>
      </c>
      <c r="DE219" s="270">
        <f t="shared" si="1428"/>
        <v>0</v>
      </c>
      <c r="DF219" s="270">
        <f t="shared" si="1428"/>
        <v>0</v>
      </c>
      <c r="DG219" s="270">
        <f t="shared" si="1428"/>
        <v>0</v>
      </c>
      <c r="DH219" s="270">
        <f t="shared" si="1428"/>
        <v>0</v>
      </c>
      <c r="DI219" s="270">
        <f t="shared" si="1428"/>
        <v>0</v>
      </c>
      <c r="DJ219" s="270">
        <f t="shared" si="1428"/>
        <v>0</v>
      </c>
      <c r="DK219" s="270">
        <f t="shared" si="1428"/>
        <v>0</v>
      </c>
      <c r="DL219" s="270">
        <f t="shared" si="1428"/>
        <v>0</v>
      </c>
      <c r="DM219" s="270">
        <f t="shared" si="1428"/>
        <v>0</v>
      </c>
      <c r="DN219" s="270">
        <f t="shared" si="1428"/>
        <v>0</v>
      </c>
      <c r="DO219" s="270">
        <f t="shared" si="1428"/>
        <v>0</v>
      </c>
      <c r="DP219" s="270">
        <f t="shared" si="1428"/>
        <v>0</v>
      </c>
      <c r="DQ219" s="270">
        <f t="shared" si="1428"/>
        <v>0</v>
      </c>
      <c r="DR219" s="270">
        <f t="shared" si="1428"/>
        <v>0</v>
      </c>
      <c r="DS219" s="270">
        <f t="shared" si="1428"/>
        <v>0</v>
      </c>
      <c r="DT219" s="270">
        <f t="shared" si="1428"/>
        <v>0</v>
      </c>
      <c r="DU219" s="270">
        <f t="shared" si="1428"/>
        <v>0</v>
      </c>
      <c r="DV219" s="270">
        <f t="shared" si="1428"/>
        <v>0</v>
      </c>
      <c r="DW219" s="270">
        <f t="shared" si="1428"/>
        <v>0</v>
      </c>
      <c r="DX219" s="270">
        <f t="shared" si="1428"/>
        <v>0</v>
      </c>
      <c r="DY219" s="270">
        <f t="shared" si="29"/>
        <v>0</v>
      </c>
      <c r="DZ219" s="274"/>
      <c r="EA219" s="275">
        <f t="shared" si="38"/>
        <v>0</v>
      </c>
      <c r="EB219" s="270">
        <f t="shared" ref="EB219:FC219" si="1429">IF(AJ217&lt;=0,0,IF($C218&lt;=SUM($EA219:EA219),0,IF(CU218+$C218-SUM($EA219:EA219)&gt;AJ217+BO218,AJ217+BO218-CU218,$C218-SUM($EA219:EA219))))</f>
        <v>0</v>
      </c>
      <c r="EC219" s="270">
        <f t="shared" si="1429"/>
        <v>0</v>
      </c>
      <c r="ED219" s="270">
        <f t="shared" si="1429"/>
        <v>0</v>
      </c>
      <c r="EE219" s="270">
        <f t="shared" si="1429"/>
        <v>0</v>
      </c>
      <c r="EF219" s="270">
        <f t="shared" si="1429"/>
        <v>0</v>
      </c>
      <c r="EG219" s="270">
        <f t="shared" si="1429"/>
        <v>0</v>
      </c>
      <c r="EH219" s="270">
        <f t="shared" si="1429"/>
        <v>0</v>
      </c>
      <c r="EI219" s="270">
        <f t="shared" si="1429"/>
        <v>0</v>
      </c>
      <c r="EJ219" s="270">
        <f t="shared" si="1429"/>
        <v>0</v>
      </c>
      <c r="EK219" s="270">
        <f t="shared" si="1429"/>
        <v>0</v>
      </c>
      <c r="EL219" s="270">
        <f t="shared" si="1429"/>
        <v>0</v>
      </c>
      <c r="EM219" s="270">
        <f t="shared" si="1429"/>
        <v>0</v>
      </c>
      <c r="EN219" s="270">
        <f t="shared" si="1429"/>
        <v>0</v>
      </c>
      <c r="EO219" s="270">
        <f t="shared" si="1429"/>
        <v>0</v>
      </c>
      <c r="EP219" s="270">
        <f t="shared" si="1429"/>
        <v>0</v>
      </c>
      <c r="EQ219" s="270">
        <f t="shared" si="1429"/>
        <v>0</v>
      </c>
      <c r="ER219" s="270">
        <f t="shared" si="1429"/>
        <v>0</v>
      </c>
      <c r="ES219" s="270">
        <f t="shared" si="1429"/>
        <v>0</v>
      </c>
      <c r="ET219" s="270">
        <f t="shared" si="1429"/>
        <v>0</v>
      </c>
      <c r="EU219" s="270">
        <f t="shared" si="1429"/>
        <v>0</v>
      </c>
      <c r="EV219" s="270">
        <f t="shared" si="1429"/>
        <v>0</v>
      </c>
      <c r="EW219" s="270">
        <f t="shared" si="1429"/>
        <v>0</v>
      </c>
      <c r="EX219" s="270">
        <f t="shared" si="1429"/>
        <v>0</v>
      </c>
      <c r="EY219" s="270">
        <f t="shared" si="1429"/>
        <v>0</v>
      </c>
      <c r="EZ219" s="270">
        <f t="shared" si="1429"/>
        <v>0</v>
      </c>
      <c r="FA219" s="270">
        <f t="shared" si="1429"/>
        <v>0</v>
      </c>
      <c r="FB219" s="270">
        <f t="shared" si="1429"/>
        <v>0</v>
      </c>
      <c r="FC219" s="270">
        <f t="shared" si="1429"/>
        <v>0</v>
      </c>
      <c r="FD219" s="271"/>
      <c r="FE219" s="271"/>
      <c r="FF219" s="271"/>
      <c r="FG219" s="215"/>
      <c r="FH219" s="215"/>
    </row>
    <row r="220" ht="11.25" customHeight="1">
      <c r="A220" s="215" t="str">
        <f t="shared" si="19"/>
        <v/>
      </c>
      <c r="B220" s="241" t="str">
        <f t="shared" si="600"/>
        <v>#N/A</v>
      </c>
      <c r="C220" s="271" t="str">
        <f>IF(A220="","",IF(Calculator!snowball,IF(($E$5-DY220)&lt;0,0,$E$5-DY220),0)+D220)</f>
        <v/>
      </c>
      <c r="D220" s="271"/>
      <c r="E220" s="270">
        <f t="shared" si="40"/>
        <v>0</v>
      </c>
      <c r="F220" s="270">
        <f t="shared" ref="F220:AG220" si="1430">CU220+EB221</f>
        <v>0</v>
      </c>
      <c r="G220" s="270">
        <f t="shared" si="1430"/>
        <v>0</v>
      </c>
      <c r="H220" s="270">
        <f t="shared" si="1430"/>
        <v>0</v>
      </c>
      <c r="I220" s="270">
        <f t="shared" si="1430"/>
        <v>0</v>
      </c>
      <c r="J220" s="270">
        <f t="shared" si="1430"/>
        <v>0</v>
      </c>
      <c r="K220" s="270">
        <f t="shared" si="1430"/>
        <v>0</v>
      </c>
      <c r="L220" s="270">
        <f t="shared" si="1430"/>
        <v>0</v>
      </c>
      <c r="M220" s="270">
        <f t="shared" si="1430"/>
        <v>0</v>
      </c>
      <c r="N220" s="270">
        <f t="shared" si="1430"/>
        <v>0</v>
      </c>
      <c r="O220" s="270">
        <f t="shared" si="1430"/>
        <v>0</v>
      </c>
      <c r="P220" s="272">
        <f t="shared" si="1430"/>
        <v>0</v>
      </c>
      <c r="Q220" s="272">
        <f t="shared" si="1430"/>
        <v>0</v>
      </c>
      <c r="R220" s="272">
        <f t="shared" si="1430"/>
        <v>0</v>
      </c>
      <c r="S220" s="272">
        <f t="shared" si="1430"/>
        <v>0</v>
      </c>
      <c r="T220" s="272">
        <f t="shared" si="1430"/>
        <v>0</v>
      </c>
      <c r="U220" s="270">
        <f t="shared" si="1430"/>
        <v>0</v>
      </c>
      <c r="V220" s="270">
        <f t="shared" si="1430"/>
        <v>0</v>
      </c>
      <c r="W220" s="270">
        <f t="shared" si="1430"/>
        <v>0</v>
      </c>
      <c r="X220" s="270">
        <f t="shared" si="1430"/>
        <v>0</v>
      </c>
      <c r="Y220" s="270">
        <f t="shared" si="1430"/>
        <v>0</v>
      </c>
      <c r="Z220" s="270">
        <f t="shared" si="1430"/>
        <v>0</v>
      </c>
      <c r="AA220" s="270">
        <f t="shared" si="1430"/>
        <v>0</v>
      </c>
      <c r="AB220" s="270">
        <f t="shared" si="1430"/>
        <v>0</v>
      </c>
      <c r="AC220" s="270">
        <f t="shared" si="1430"/>
        <v>0</v>
      </c>
      <c r="AD220" s="270">
        <f t="shared" si="1430"/>
        <v>0</v>
      </c>
      <c r="AE220" s="270">
        <f t="shared" si="1430"/>
        <v>0</v>
      </c>
      <c r="AF220" s="270">
        <f t="shared" si="1430"/>
        <v>0</v>
      </c>
      <c r="AG220" s="270">
        <f t="shared" si="1430"/>
        <v>0</v>
      </c>
      <c r="AH220" s="279">
        <f t="shared" si="602"/>
        <v>0</v>
      </c>
      <c r="AI220" s="270">
        <f t="shared" si="43"/>
        <v>0</v>
      </c>
      <c r="AJ220" s="270">
        <f t="shared" ref="AJ220:AO220" si="1431">IF(F$8=0,0,ROUND(AJ219-(F220-BO220),2))</f>
        <v>0</v>
      </c>
      <c r="AK220" s="270">
        <f t="shared" si="1431"/>
        <v>0</v>
      </c>
      <c r="AL220" s="270">
        <f t="shared" si="1431"/>
        <v>0</v>
      </c>
      <c r="AM220" s="270">
        <f t="shared" si="1431"/>
        <v>0</v>
      </c>
      <c r="AN220" s="270">
        <f t="shared" si="1431"/>
        <v>0</v>
      </c>
      <c r="AO220" s="270">
        <f t="shared" si="1431"/>
        <v>0</v>
      </c>
      <c r="AP220" s="270">
        <v>0.0</v>
      </c>
      <c r="AQ220" s="270">
        <f t="shared" ref="AQ220:AS220" si="1432">IF(M$8=0,0,ROUND(AQ219-(M220-BV220),2))</f>
        <v>0</v>
      </c>
      <c r="AR220" s="270">
        <f t="shared" si="1432"/>
        <v>0</v>
      </c>
      <c r="AS220" s="270">
        <f t="shared" si="1432"/>
        <v>0</v>
      </c>
      <c r="AT220" s="270">
        <f t="shared" si="605"/>
        <v>-6.22</v>
      </c>
      <c r="AU220" s="270">
        <f t="shared" ref="AU220:BK220" si="1433">IF(Q$8=0,0,ROUND(AU219-(Q220-BY220),2))</f>
        <v>-14.03</v>
      </c>
      <c r="AV220" s="270">
        <f t="shared" si="1433"/>
        <v>0</v>
      </c>
      <c r="AW220" s="270">
        <f t="shared" si="1433"/>
        <v>0</v>
      </c>
      <c r="AX220" s="270">
        <f t="shared" si="1433"/>
        <v>0</v>
      </c>
      <c r="AY220" s="270">
        <f t="shared" si="1433"/>
        <v>0</v>
      </c>
      <c r="AZ220" s="270">
        <f t="shared" si="1433"/>
        <v>0</v>
      </c>
      <c r="BA220" s="270">
        <f t="shared" si="1433"/>
        <v>0</v>
      </c>
      <c r="BB220" s="270">
        <f t="shared" si="1433"/>
        <v>0</v>
      </c>
      <c r="BC220" s="270">
        <f t="shared" si="1433"/>
        <v>0</v>
      </c>
      <c r="BD220" s="270">
        <f t="shared" si="1433"/>
        <v>0</v>
      </c>
      <c r="BE220" s="270">
        <f t="shared" si="1433"/>
        <v>0</v>
      </c>
      <c r="BF220" s="270">
        <f t="shared" si="1433"/>
        <v>0</v>
      </c>
      <c r="BG220" s="270">
        <f t="shared" si="1433"/>
        <v>0</v>
      </c>
      <c r="BH220" s="270">
        <f t="shared" si="1433"/>
        <v>0</v>
      </c>
      <c r="BI220" s="270">
        <f t="shared" si="1433"/>
        <v>0</v>
      </c>
      <c r="BJ220" s="270">
        <f t="shared" si="1433"/>
        <v>0</v>
      </c>
      <c r="BK220" s="270">
        <f t="shared" si="1433"/>
        <v>0</v>
      </c>
      <c r="BL220" s="265">
        <f t="shared" si="16"/>
        <v>-20.25</v>
      </c>
      <c r="BM220" s="215"/>
      <c r="BN220" s="270">
        <f t="shared" ref="BN220:CP220" si="1434">ROUND(AI219*E$9/12,2)</f>
        <v>0</v>
      </c>
      <c r="BO220" s="270">
        <f t="shared" si="1434"/>
        <v>0</v>
      </c>
      <c r="BP220" s="270">
        <f t="shared" si="1434"/>
        <v>0</v>
      </c>
      <c r="BQ220" s="270">
        <f t="shared" si="1434"/>
        <v>0</v>
      </c>
      <c r="BR220" s="270">
        <f t="shared" si="1434"/>
        <v>0</v>
      </c>
      <c r="BS220" s="270">
        <f t="shared" si="1434"/>
        <v>0</v>
      </c>
      <c r="BT220" s="270">
        <f t="shared" si="1434"/>
        <v>0</v>
      </c>
      <c r="BU220" s="270">
        <f t="shared" si="1434"/>
        <v>0</v>
      </c>
      <c r="BV220" s="270">
        <f t="shared" si="1434"/>
        <v>0</v>
      </c>
      <c r="BW220" s="270">
        <f t="shared" si="1434"/>
        <v>0</v>
      </c>
      <c r="BX220" s="270">
        <f t="shared" si="1434"/>
        <v>0</v>
      </c>
      <c r="BY220" s="270">
        <f t="shared" si="1434"/>
        <v>-0.05</v>
      </c>
      <c r="BZ220" s="270">
        <f t="shared" si="1434"/>
        <v>-0.04</v>
      </c>
      <c r="CA220" s="270">
        <f t="shared" si="1434"/>
        <v>0</v>
      </c>
      <c r="CB220" s="270">
        <f t="shared" si="1434"/>
        <v>0</v>
      </c>
      <c r="CC220" s="270">
        <f t="shared" si="1434"/>
        <v>0</v>
      </c>
      <c r="CD220" s="270">
        <f t="shared" si="1434"/>
        <v>0</v>
      </c>
      <c r="CE220" s="270">
        <f t="shared" si="1434"/>
        <v>0</v>
      </c>
      <c r="CF220" s="270">
        <f t="shared" si="1434"/>
        <v>0</v>
      </c>
      <c r="CG220" s="270">
        <f t="shared" si="1434"/>
        <v>0</v>
      </c>
      <c r="CH220" s="270">
        <f t="shared" si="1434"/>
        <v>0</v>
      </c>
      <c r="CI220" s="270">
        <f t="shared" si="1434"/>
        <v>0</v>
      </c>
      <c r="CJ220" s="270">
        <f t="shared" si="1434"/>
        <v>0</v>
      </c>
      <c r="CK220" s="270">
        <f t="shared" si="1434"/>
        <v>0</v>
      </c>
      <c r="CL220" s="270">
        <f t="shared" si="1434"/>
        <v>0</v>
      </c>
      <c r="CM220" s="270">
        <f t="shared" si="1434"/>
        <v>0</v>
      </c>
      <c r="CN220" s="270">
        <f t="shared" si="1434"/>
        <v>0</v>
      </c>
      <c r="CO220" s="270">
        <f t="shared" si="1434"/>
        <v>0</v>
      </c>
      <c r="CP220" s="270">
        <f t="shared" si="1434"/>
        <v>0</v>
      </c>
      <c r="CQ220" s="215"/>
      <c r="CR220" s="270">
        <f t="shared" si="27"/>
        <v>-0.09</v>
      </c>
      <c r="CS220" s="215"/>
      <c r="CT220" s="270">
        <f t="shared" ref="CT220:DX220" si="1435">IF(AI219&gt;0,IF((AI219+BN220)&lt;E$10,AI219+BN220,E$10),0)</f>
        <v>0</v>
      </c>
      <c r="CU220" s="270">
        <f t="shared" si="1435"/>
        <v>0</v>
      </c>
      <c r="CV220" s="270">
        <f t="shared" si="1435"/>
        <v>0</v>
      </c>
      <c r="CW220" s="270">
        <f t="shared" si="1435"/>
        <v>0</v>
      </c>
      <c r="CX220" s="270">
        <f t="shared" si="1435"/>
        <v>0</v>
      </c>
      <c r="CY220" s="270">
        <f t="shared" si="1435"/>
        <v>0</v>
      </c>
      <c r="CZ220" s="270">
        <f t="shared" si="1435"/>
        <v>0</v>
      </c>
      <c r="DA220" s="270">
        <f t="shared" si="1435"/>
        <v>0</v>
      </c>
      <c r="DB220" s="270">
        <f t="shared" si="1435"/>
        <v>0</v>
      </c>
      <c r="DC220" s="270">
        <f t="shared" si="1435"/>
        <v>0</v>
      </c>
      <c r="DD220" s="270">
        <f t="shared" si="1435"/>
        <v>0</v>
      </c>
      <c r="DE220" s="270">
        <f t="shared" si="1435"/>
        <v>0</v>
      </c>
      <c r="DF220" s="270">
        <f t="shared" si="1435"/>
        <v>0</v>
      </c>
      <c r="DG220" s="270">
        <f t="shared" si="1435"/>
        <v>0</v>
      </c>
      <c r="DH220" s="270">
        <f t="shared" si="1435"/>
        <v>0</v>
      </c>
      <c r="DI220" s="270">
        <f t="shared" si="1435"/>
        <v>0</v>
      </c>
      <c r="DJ220" s="270">
        <f t="shared" si="1435"/>
        <v>0</v>
      </c>
      <c r="DK220" s="270">
        <f t="shared" si="1435"/>
        <v>0</v>
      </c>
      <c r="DL220" s="270">
        <f t="shared" si="1435"/>
        <v>0</v>
      </c>
      <c r="DM220" s="270">
        <f t="shared" si="1435"/>
        <v>0</v>
      </c>
      <c r="DN220" s="270">
        <f t="shared" si="1435"/>
        <v>0</v>
      </c>
      <c r="DO220" s="270">
        <f t="shared" si="1435"/>
        <v>0</v>
      </c>
      <c r="DP220" s="270">
        <f t="shared" si="1435"/>
        <v>0</v>
      </c>
      <c r="DQ220" s="270">
        <f t="shared" si="1435"/>
        <v>0</v>
      </c>
      <c r="DR220" s="270">
        <f t="shared" si="1435"/>
        <v>0</v>
      </c>
      <c r="DS220" s="270">
        <f t="shared" si="1435"/>
        <v>0</v>
      </c>
      <c r="DT220" s="270">
        <f t="shared" si="1435"/>
        <v>0</v>
      </c>
      <c r="DU220" s="270">
        <f t="shared" si="1435"/>
        <v>0</v>
      </c>
      <c r="DV220" s="270">
        <f t="shared" si="1435"/>
        <v>0</v>
      </c>
      <c r="DW220" s="270">
        <f t="shared" si="1435"/>
        <v>0</v>
      </c>
      <c r="DX220" s="270">
        <f t="shared" si="1435"/>
        <v>0</v>
      </c>
      <c r="DY220" s="270">
        <f t="shared" si="29"/>
        <v>0</v>
      </c>
      <c r="DZ220" s="274"/>
      <c r="EA220" s="275">
        <f t="shared" si="38"/>
        <v>0</v>
      </c>
      <c r="EB220" s="270">
        <f t="shared" ref="EB220:FC220" si="1436">IF(AJ218&lt;=0,0,IF($C219&lt;=SUM($EA220:EA220),0,IF(CU219+$C219-SUM($EA220:EA220)&gt;AJ218+BO219,AJ218+BO219-CU219,$C219-SUM($EA220:EA220))))</f>
        <v>0</v>
      </c>
      <c r="EC220" s="270">
        <f t="shared" si="1436"/>
        <v>0</v>
      </c>
      <c r="ED220" s="270">
        <f t="shared" si="1436"/>
        <v>0</v>
      </c>
      <c r="EE220" s="270">
        <f t="shared" si="1436"/>
        <v>0</v>
      </c>
      <c r="EF220" s="270">
        <f t="shared" si="1436"/>
        <v>0</v>
      </c>
      <c r="EG220" s="270">
        <f t="shared" si="1436"/>
        <v>0</v>
      </c>
      <c r="EH220" s="270">
        <f t="shared" si="1436"/>
        <v>0</v>
      </c>
      <c r="EI220" s="270">
        <f t="shared" si="1436"/>
        <v>0</v>
      </c>
      <c r="EJ220" s="270">
        <f t="shared" si="1436"/>
        <v>0</v>
      </c>
      <c r="EK220" s="270">
        <f t="shared" si="1436"/>
        <v>0</v>
      </c>
      <c r="EL220" s="270">
        <f t="shared" si="1436"/>
        <v>0</v>
      </c>
      <c r="EM220" s="270">
        <f t="shared" si="1436"/>
        <v>0</v>
      </c>
      <c r="EN220" s="270">
        <f t="shared" si="1436"/>
        <v>0</v>
      </c>
      <c r="EO220" s="270">
        <f t="shared" si="1436"/>
        <v>0</v>
      </c>
      <c r="EP220" s="270">
        <f t="shared" si="1436"/>
        <v>0</v>
      </c>
      <c r="EQ220" s="270">
        <f t="shared" si="1436"/>
        <v>0</v>
      </c>
      <c r="ER220" s="270">
        <f t="shared" si="1436"/>
        <v>0</v>
      </c>
      <c r="ES220" s="270">
        <f t="shared" si="1436"/>
        <v>0</v>
      </c>
      <c r="ET220" s="270">
        <f t="shared" si="1436"/>
        <v>0</v>
      </c>
      <c r="EU220" s="270">
        <f t="shared" si="1436"/>
        <v>0</v>
      </c>
      <c r="EV220" s="270">
        <f t="shared" si="1436"/>
        <v>0</v>
      </c>
      <c r="EW220" s="270">
        <f t="shared" si="1436"/>
        <v>0</v>
      </c>
      <c r="EX220" s="270">
        <f t="shared" si="1436"/>
        <v>0</v>
      </c>
      <c r="EY220" s="270">
        <f t="shared" si="1436"/>
        <v>0</v>
      </c>
      <c r="EZ220" s="270">
        <f t="shared" si="1436"/>
        <v>0</v>
      </c>
      <c r="FA220" s="270">
        <f t="shared" si="1436"/>
        <v>0</v>
      </c>
      <c r="FB220" s="270">
        <f t="shared" si="1436"/>
        <v>0</v>
      </c>
      <c r="FC220" s="270">
        <f t="shared" si="1436"/>
        <v>0</v>
      </c>
      <c r="FD220" s="271"/>
      <c r="FE220" s="271"/>
      <c r="FF220" s="271"/>
      <c r="FG220" s="215"/>
      <c r="FH220" s="215"/>
    </row>
    <row r="221" ht="11.25" customHeight="1">
      <c r="A221" s="215" t="str">
        <f t="shared" si="19"/>
        <v/>
      </c>
      <c r="B221" s="241" t="str">
        <f t="shared" si="600"/>
        <v>#N/A</v>
      </c>
      <c r="C221" s="271" t="str">
        <f>IF(A221="","",IF(Calculator!snowball,IF(($E$5-DY221)&lt;0,0,$E$5-DY221),0)+D221)</f>
        <v/>
      </c>
      <c r="D221" s="271"/>
      <c r="E221" s="270">
        <f t="shared" si="40"/>
        <v>0</v>
      </c>
      <c r="F221" s="270">
        <f t="shared" ref="F221:AG221" si="1437">CU221+EB222</f>
        <v>0</v>
      </c>
      <c r="G221" s="270">
        <f t="shared" si="1437"/>
        <v>0</v>
      </c>
      <c r="H221" s="270">
        <f t="shared" si="1437"/>
        <v>0</v>
      </c>
      <c r="I221" s="270">
        <f t="shared" si="1437"/>
        <v>0</v>
      </c>
      <c r="J221" s="270">
        <f t="shared" si="1437"/>
        <v>0</v>
      </c>
      <c r="K221" s="270">
        <f t="shared" si="1437"/>
        <v>0</v>
      </c>
      <c r="L221" s="270">
        <f t="shared" si="1437"/>
        <v>0</v>
      </c>
      <c r="M221" s="270">
        <f t="shared" si="1437"/>
        <v>0</v>
      </c>
      <c r="N221" s="270">
        <f t="shared" si="1437"/>
        <v>0</v>
      </c>
      <c r="O221" s="270">
        <f t="shared" si="1437"/>
        <v>0</v>
      </c>
      <c r="P221" s="272">
        <f t="shared" si="1437"/>
        <v>0</v>
      </c>
      <c r="Q221" s="272">
        <f t="shared" si="1437"/>
        <v>0</v>
      </c>
      <c r="R221" s="272">
        <f t="shared" si="1437"/>
        <v>0</v>
      </c>
      <c r="S221" s="272">
        <f t="shared" si="1437"/>
        <v>0</v>
      </c>
      <c r="T221" s="272">
        <f t="shared" si="1437"/>
        <v>0</v>
      </c>
      <c r="U221" s="270">
        <f t="shared" si="1437"/>
        <v>0</v>
      </c>
      <c r="V221" s="270">
        <f t="shared" si="1437"/>
        <v>0</v>
      </c>
      <c r="W221" s="270">
        <f t="shared" si="1437"/>
        <v>0</v>
      </c>
      <c r="X221" s="270">
        <f t="shared" si="1437"/>
        <v>0</v>
      </c>
      <c r="Y221" s="270">
        <f t="shared" si="1437"/>
        <v>0</v>
      </c>
      <c r="Z221" s="270">
        <f t="shared" si="1437"/>
        <v>0</v>
      </c>
      <c r="AA221" s="270">
        <f t="shared" si="1437"/>
        <v>0</v>
      </c>
      <c r="AB221" s="270">
        <f t="shared" si="1437"/>
        <v>0</v>
      </c>
      <c r="AC221" s="270">
        <f t="shared" si="1437"/>
        <v>0</v>
      </c>
      <c r="AD221" s="270">
        <f t="shared" si="1437"/>
        <v>0</v>
      </c>
      <c r="AE221" s="270">
        <f t="shared" si="1437"/>
        <v>0</v>
      </c>
      <c r="AF221" s="270">
        <f t="shared" si="1437"/>
        <v>0</v>
      </c>
      <c r="AG221" s="270">
        <f t="shared" si="1437"/>
        <v>0</v>
      </c>
      <c r="AH221" s="279">
        <f t="shared" si="602"/>
        <v>0</v>
      </c>
      <c r="AI221" s="270">
        <f t="shared" si="43"/>
        <v>0</v>
      </c>
      <c r="AJ221" s="270">
        <f t="shared" ref="AJ221:AO221" si="1438">IF(F$8=0,0,ROUND(AJ220-(F221-BO221),2))</f>
        <v>0</v>
      </c>
      <c r="AK221" s="270">
        <f t="shared" si="1438"/>
        <v>0</v>
      </c>
      <c r="AL221" s="270">
        <f t="shared" si="1438"/>
        <v>0</v>
      </c>
      <c r="AM221" s="270">
        <f t="shared" si="1438"/>
        <v>0</v>
      </c>
      <c r="AN221" s="270">
        <f t="shared" si="1438"/>
        <v>0</v>
      </c>
      <c r="AO221" s="270">
        <f t="shared" si="1438"/>
        <v>0</v>
      </c>
      <c r="AP221" s="270">
        <v>0.0</v>
      </c>
      <c r="AQ221" s="270">
        <f t="shared" ref="AQ221:AS221" si="1439">IF(M$8=0,0,ROUND(AQ220-(M221-BV221),2))</f>
        <v>0</v>
      </c>
      <c r="AR221" s="270">
        <f t="shared" si="1439"/>
        <v>0</v>
      </c>
      <c r="AS221" s="270">
        <f t="shared" si="1439"/>
        <v>0</v>
      </c>
      <c r="AT221" s="270">
        <f t="shared" si="605"/>
        <v>-6.22</v>
      </c>
      <c r="AU221" s="270">
        <f t="shared" ref="AU221:BK221" si="1440">IF(Q$8=0,0,ROUND(AU220-(Q221-BY221),2))</f>
        <v>-14.08</v>
      </c>
      <c r="AV221" s="270">
        <f t="shared" si="1440"/>
        <v>0</v>
      </c>
      <c r="AW221" s="270">
        <f t="shared" si="1440"/>
        <v>0</v>
      </c>
      <c r="AX221" s="270">
        <f t="shared" si="1440"/>
        <v>0</v>
      </c>
      <c r="AY221" s="270">
        <f t="shared" si="1440"/>
        <v>0</v>
      </c>
      <c r="AZ221" s="270">
        <f t="shared" si="1440"/>
        <v>0</v>
      </c>
      <c r="BA221" s="270">
        <f t="shared" si="1440"/>
        <v>0</v>
      </c>
      <c r="BB221" s="270">
        <f t="shared" si="1440"/>
        <v>0</v>
      </c>
      <c r="BC221" s="270">
        <f t="shared" si="1440"/>
        <v>0</v>
      </c>
      <c r="BD221" s="270">
        <f t="shared" si="1440"/>
        <v>0</v>
      </c>
      <c r="BE221" s="270">
        <f t="shared" si="1440"/>
        <v>0</v>
      </c>
      <c r="BF221" s="270">
        <f t="shared" si="1440"/>
        <v>0</v>
      </c>
      <c r="BG221" s="270">
        <f t="shared" si="1440"/>
        <v>0</v>
      </c>
      <c r="BH221" s="270">
        <f t="shared" si="1440"/>
        <v>0</v>
      </c>
      <c r="BI221" s="270">
        <f t="shared" si="1440"/>
        <v>0</v>
      </c>
      <c r="BJ221" s="270">
        <f t="shared" si="1440"/>
        <v>0</v>
      </c>
      <c r="BK221" s="270">
        <f t="shared" si="1440"/>
        <v>0</v>
      </c>
      <c r="BL221" s="265">
        <f t="shared" si="16"/>
        <v>-20.3</v>
      </c>
      <c r="BM221" s="215"/>
      <c r="BN221" s="270">
        <f t="shared" ref="BN221:CP221" si="1441">ROUND(AI220*E$9/12,2)</f>
        <v>0</v>
      </c>
      <c r="BO221" s="270">
        <f t="shared" si="1441"/>
        <v>0</v>
      </c>
      <c r="BP221" s="270">
        <f t="shared" si="1441"/>
        <v>0</v>
      </c>
      <c r="BQ221" s="270">
        <f t="shared" si="1441"/>
        <v>0</v>
      </c>
      <c r="BR221" s="270">
        <f t="shared" si="1441"/>
        <v>0</v>
      </c>
      <c r="BS221" s="270">
        <f t="shared" si="1441"/>
        <v>0</v>
      </c>
      <c r="BT221" s="270">
        <f t="shared" si="1441"/>
        <v>0</v>
      </c>
      <c r="BU221" s="270">
        <f t="shared" si="1441"/>
        <v>0</v>
      </c>
      <c r="BV221" s="270">
        <f t="shared" si="1441"/>
        <v>0</v>
      </c>
      <c r="BW221" s="270">
        <f t="shared" si="1441"/>
        <v>0</v>
      </c>
      <c r="BX221" s="270">
        <f t="shared" si="1441"/>
        <v>0</v>
      </c>
      <c r="BY221" s="270">
        <f t="shared" si="1441"/>
        <v>-0.05</v>
      </c>
      <c r="BZ221" s="270">
        <f t="shared" si="1441"/>
        <v>-0.04</v>
      </c>
      <c r="CA221" s="270">
        <f t="shared" si="1441"/>
        <v>0</v>
      </c>
      <c r="CB221" s="270">
        <f t="shared" si="1441"/>
        <v>0</v>
      </c>
      <c r="CC221" s="270">
        <f t="shared" si="1441"/>
        <v>0</v>
      </c>
      <c r="CD221" s="270">
        <f t="shared" si="1441"/>
        <v>0</v>
      </c>
      <c r="CE221" s="270">
        <f t="shared" si="1441"/>
        <v>0</v>
      </c>
      <c r="CF221" s="270">
        <f t="shared" si="1441"/>
        <v>0</v>
      </c>
      <c r="CG221" s="270">
        <f t="shared" si="1441"/>
        <v>0</v>
      </c>
      <c r="CH221" s="270">
        <f t="shared" si="1441"/>
        <v>0</v>
      </c>
      <c r="CI221" s="270">
        <f t="shared" si="1441"/>
        <v>0</v>
      </c>
      <c r="CJ221" s="270">
        <f t="shared" si="1441"/>
        <v>0</v>
      </c>
      <c r="CK221" s="270">
        <f t="shared" si="1441"/>
        <v>0</v>
      </c>
      <c r="CL221" s="270">
        <f t="shared" si="1441"/>
        <v>0</v>
      </c>
      <c r="CM221" s="270">
        <f t="shared" si="1441"/>
        <v>0</v>
      </c>
      <c r="CN221" s="270">
        <f t="shared" si="1441"/>
        <v>0</v>
      </c>
      <c r="CO221" s="270">
        <f t="shared" si="1441"/>
        <v>0</v>
      </c>
      <c r="CP221" s="270">
        <f t="shared" si="1441"/>
        <v>0</v>
      </c>
      <c r="CQ221" s="215"/>
      <c r="CR221" s="270">
        <f t="shared" si="27"/>
        <v>-0.09</v>
      </c>
      <c r="CS221" s="215"/>
      <c r="CT221" s="270">
        <f t="shared" ref="CT221:DX221" si="1442">IF(AI220&gt;0,IF((AI220+BN221)&lt;E$10,AI220+BN221,E$10),0)</f>
        <v>0</v>
      </c>
      <c r="CU221" s="270">
        <f t="shared" si="1442"/>
        <v>0</v>
      </c>
      <c r="CV221" s="270">
        <f t="shared" si="1442"/>
        <v>0</v>
      </c>
      <c r="CW221" s="270">
        <f t="shared" si="1442"/>
        <v>0</v>
      </c>
      <c r="CX221" s="270">
        <f t="shared" si="1442"/>
        <v>0</v>
      </c>
      <c r="CY221" s="270">
        <f t="shared" si="1442"/>
        <v>0</v>
      </c>
      <c r="CZ221" s="270">
        <f t="shared" si="1442"/>
        <v>0</v>
      </c>
      <c r="DA221" s="270">
        <f t="shared" si="1442"/>
        <v>0</v>
      </c>
      <c r="DB221" s="270">
        <f t="shared" si="1442"/>
        <v>0</v>
      </c>
      <c r="DC221" s="270">
        <f t="shared" si="1442"/>
        <v>0</v>
      </c>
      <c r="DD221" s="270">
        <f t="shared" si="1442"/>
        <v>0</v>
      </c>
      <c r="DE221" s="270">
        <f t="shared" si="1442"/>
        <v>0</v>
      </c>
      <c r="DF221" s="270">
        <f t="shared" si="1442"/>
        <v>0</v>
      </c>
      <c r="DG221" s="270">
        <f t="shared" si="1442"/>
        <v>0</v>
      </c>
      <c r="DH221" s="270">
        <f t="shared" si="1442"/>
        <v>0</v>
      </c>
      <c r="DI221" s="270">
        <f t="shared" si="1442"/>
        <v>0</v>
      </c>
      <c r="DJ221" s="270">
        <f t="shared" si="1442"/>
        <v>0</v>
      </c>
      <c r="DK221" s="270">
        <f t="shared" si="1442"/>
        <v>0</v>
      </c>
      <c r="DL221" s="270">
        <f t="shared" si="1442"/>
        <v>0</v>
      </c>
      <c r="DM221" s="270">
        <f t="shared" si="1442"/>
        <v>0</v>
      </c>
      <c r="DN221" s="270">
        <f t="shared" si="1442"/>
        <v>0</v>
      </c>
      <c r="DO221" s="270">
        <f t="shared" si="1442"/>
        <v>0</v>
      </c>
      <c r="DP221" s="270">
        <f t="shared" si="1442"/>
        <v>0</v>
      </c>
      <c r="DQ221" s="270">
        <f t="shared" si="1442"/>
        <v>0</v>
      </c>
      <c r="DR221" s="270">
        <f t="shared" si="1442"/>
        <v>0</v>
      </c>
      <c r="DS221" s="270">
        <f t="shared" si="1442"/>
        <v>0</v>
      </c>
      <c r="DT221" s="270">
        <f t="shared" si="1442"/>
        <v>0</v>
      </c>
      <c r="DU221" s="270">
        <f t="shared" si="1442"/>
        <v>0</v>
      </c>
      <c r="DV221" s="270">
        <f t="shared" si="1442"/>
        <v>0</v>
      </c>
      <c r="DW221" s="270">
        <f t="shared" si="1442"/>
        <v>0</v>
      </c>
      <c r="DX221" s="270">
        <f t="shared" si="1442"/>
        <v>0</v>
      </c>
      <c r="DY221" s="270">
        <f t="shared" si="29"/>
        <v>0</v>
      </c>
      <c r="DZ221" s="274"/>
      <c r="EA221" s="275">
        <f t="shared" si="38"/>
        <v>0</v>
      </c>
      <c r="EB221" s="270">
        <f t="shared" ref="EB221:FC221" si="1443">IF(AJ219&lt;=0,0,IF($C220&lt;=SUM($EA221:EA221),0,IF(CU220+$C220-SUM($EA221:EA221)&gt;AJ219+BO220,AJ219+BO220-CU220,$C220-SUM($EA221:EA221))))</f>
        <v>0</v>
      </c>
      <c r="EC221" s="270">
        <f t="shared" si="1443"/>
        <v>0</v>
      </c>
      <c r="ED221" s="270">
        <f t="shared" si="1443"/>
        <v>0</v>
      </c>
      <c r="EE221" s="270">
        <f t="shared" si="1443"/>
        <v>0</v>
      </c>
      <c r="EF221" s="270">
        <f t="shared" si="1443"/>
        <v>0</v>
      </c>
      <c r="EG221" s="270">
        <f t="shared" si="1443"/>
        <v>0</v>
      </c>
      <c r="EH221" s="270">
        <f t="shared" si="1443"/>
        <v>0</v>
      </c>
      <c r="EI221" s="270">
        <f t="shared" si="1443"/>
        <v>0</v>
      </c>
      <c r="EJ221" s="270">
        <f t="shared" si="1443"/>
        <v>0</v>
      </c>
      <c r="EK221" s="270">
        <f t="shared" si="1443"/>
        <v>0</v>
      </c>
      <c r="EL221" s="270">
        <f t="shared" si="1443"/>
        <v>0</v>
      </c>
      <c r="EM221" s="270">
        <f t="shared" si="1443"/>
        <v>0</v>
      </c>
      <c r="EN221" s="270">
        <f t="shared" si="1443"/>
        <v>0</v>
      </c>
      <c r="EO221" s="270">
        <f t="shared" si="1443"/>
        <v>0</v>
      </c>
      <c r="EP221" s="270">
        <f t="shared" si="1443"/>
        <v>0</v>
      </c>
      <c r="EQ221" s="270">
        <f t="shared" si="1443"/>
        <v>0</v>
      </c>
      <c r="ER221" s="270">
        <f t="shared" si="1443"/>
        <v>0</v>
      </c>
      <c r="ES221" s="270">
        <f t="shared" si="1443"/>
        <v>0</v>
      </c>
      <c r="ET221" s="270">
        <f t="shared" si="1443"/>
        <v>0</v>
      </c>
      <c r="EU221" s="270">
        <f t="shared" si="1443"/>
        <v>0</v>
      </c>
      <c r="EV221" s="270">
        <f t="shared" si="1443"/>
        <v>0</v>
      </c>
      <c r="EW221" s="270">
        <f t="shared" si="1443"/>
        <v>0</v>
      </c>
      <c r="EX221" s="270">
        <f t="shared" si="1443"/>
        <v>0</v>
      </c>
      <c r="EY221" s="270">
        <f t="shared" si="1443"/>
        <v>0</v>
      </c>
      <c r="EZ221" s="270">
        <f t="shared" si="1443"/>
        <v>0</v>
      </c>
      <c r="FA221" s="270">
        <f t="shared" si="1443"/>
        <v>0</v>
      </c>
      <c r="FB221" s="270">
        <f t="shared" si="1443"/>
        <v>0</v>
      </c>
      <c r="FC221" s="270">
        <f t="shared" si="1443"/>
        <v>0</v>
      </c>
      <c r="FD221" s="271"/>
      <c r="FE221" s="271"/>
      <c r="FF221" s="271"/>
      <c r="FG221" s="215"/>
      <c r="FH221" s="215"/>
    </row>
    <row r="222" ht="11.25" customHeight="1">
      <c r="A222" s="215" t="str">
        <f t="shared" si="19"/>
        <v/>
      </c>
      <c r="B222" s="241" t="str">
        <f t="shared" si="600"/>
        <v>#N/A</v>
      </c>
      <c r="C222" s="271" t="str">
        <f>IF(A222="","",IF(Calculator!snowball,IF(($E$5-DY222)&lt;0,0,$E$5-DY222),0)+D222)</f>
        <v/>
      </c>
      <c r="D222" s="271"/>
      <c r="E222" s="270">
        <f t="shared" si="40"/>
        <v>0</v>
      </c>
      <c r="F222" s="270">
        <f t="shared" ref="F222:AG222" si="1444">CU222+EB223</f>
        <v>0</v>
      </c>
      <c r="G222" s="270">
        <f t="shared" si="1444"/>
        <v>0</v>
      </c>
      <c r="H222" s="270">
        <f t="shared" si="1444"/>
        <v>0</v>
      </c>
      <c r="I222" s="270">
        <f t="shared" si="1444"/>
        <v>0</v>
      </c>
      <c r="J222" s="270">
        <f t="shared" si="1444"/>
        <v>0</v>
      </c>
      <c r="K222" s="270">
        <f t="shared" si="1444"/>
        <v>0</v>
      </c>
      <c r="L222" s="270">
        <f t="shared" si="1444"/>
        <v>0</v>
      </c>
      <c r="M222" s="270">
        <f t="shared" si="1444"/>
        <v>0</v>
      </c>
      <c r="N222" s="270">
        <f t="shared" si="1444"/>
        <v>0</v>
      </c>
      <c r="O222" s="270">
        <f t="shared" si="1444"/>
        <v>0</v>
      </c>
      <c r="P222" s="272">
        <f t="shared" si="1444"/>
        <v>0</v>
      </c>
      <c r="Q222" s="272">
        <f t="shared" si="1444"/>
        <v>0</v>
      </c>
      <c r="R222" s="272">
        <f t="shared" si="1444"/>
        <v>0</v>
      </c>
      <c r="S222" s="272">
        <f t="shared" si="1444"/>
        <v>0</v>
      </c>
      <c r="T222" s="272">
        <f t="shared" si="1444"/>
        <v>0</v>
      </c>
      <c r="U222" s="270">
        <f t="shared" si="1444"/>
        <v>0</v>
      </c>
      <c r="V222" s="270">
        <f t="shared" si="1444"/>
        <v>0</v>
      </c>
      <c r="W222" s="270">
        <f t="shared" si="1444"/>
        <v>0</v>
      </c>
      <c r="X222" s="270">
        <f t="shared" si="1444"/>
        <v>0</v>
      </c>
      <c r="Y222" s="270">
        <f t="shared" si="1444"/>
        <v>0</v>
      </c>
      <c r="Z222" s="270">
        <f t="shared" si="1444"/>
        <v>0</v>
      </c>
      <c r="AA222" s="270">
        <f t="shared" si="1444"/>
        <v>0</v>
      </c>
      <c r="AB222" s="270">
        <f t="shared" si="1444"/>
        <v>0</v>
      </c>
      <c r="AC222" s="270">
        <f t="shared" si="1444"/>
        <v>0</v>
      </c>
      <c r="AD222" s="270">
        <f t="shared" si="1444"/>
        <v>0</v>
      </c>
      <c r="AE222" s="270">
        <f t="shared" si="1444"/>
        <v>0</v>
      </c>
      <c r="AF222" s="270">
        <f t="shared" si="1444"/>
        <v>0</v>
      </c>
      <c r="AG222" s="270">
        <f t="shared" si="1444"/>
        <v>0</v>
      </c>
      <c r="AH222" s="279">
        <f t="shared" si="602"/>
        <v>0</v>
      </c>
      <c r="AI222" s="270">
        <f t="shared" si="43"/>
        <v>0</v>
      </c>
      <c r="AJ222" s="270">
        <f t="shared" ref="AJ222:AO222" si="1445">IF(F$8=0,0,ROUND(AJ221-(F222-BO222),2))</f>
        <v>0</v>
      </c>
      <c r="AK222" s="270">
        <f t="shared" si="1445"/>
        <v>0</v>
      </c>
      <c r="AL222" s="270">
        <f t="shared" si="1445"/>
        <v>0</v>
      </c>
      <c r="AM222" s="270">
        <f t="shared" si="1445"/>
        <v>0</v>
      </c>
      <c r="AN222" s="270">
        <f t="shared" si="1445"/>
        <v>0</v>
      </c>
      <c r="AO222" s="270">
        <f t="shared" si="1445"/>
        <v>0</v>
      </c>
      <c r="AP222" s="270">
        <v>0.0</v>
      </c>
      <c r="AQ222" s="270">
        <f t="shared" ref="AQ222:AS222" si="1446">IF(M$8=0,0,ROUND(AQ221-(M222-BV222),2))</f>
        <v>0</v>
      </c>
      <c r="AR222" s="270">
        <f t="shared" si="1446"/>
        <v>0</v>
      </c>
      <c r="AS222" s="270">
        <f t="shared" si="1446"/>
        <v>0</v>
      </c>
      <c r="AT222" s="270">
        <f t="shared" si="605"/>
        <v>-6.22</v>
      </c>
      <c r="AU222" s="270">
        <f t="shared" ref="AU222:BK222" si="1447">IF(Q$8=0,0,ROUND(AU221-(Q222-BY222),2))</f>
        <v>-14.13</v>
      </c>
      <c r="AV222" s="270">
        <f t="shared" si="1447"/>
        <v>0</v>
      </c>
      <c r="AW222" s="270">
        <f t="shared" si="1447"/>
        <v>0</v>
      </c>
      <c r="AX222" s="270">
        <f t="shared" si="1447"/>
        <v>0</v>
      </c>
      <c r="AY222" s="270">
        <f t="shared" si="1447"/>
        <v>0</v>
      </c>
      <c r="AZ222" s="270">
        <f t="shared" si="1447"/>
        <v>0</v>
      </c>
      <c r="BA222" s="270">
        <f t="shared" si="1447"/>
        <v>0</v>
      </c>
      <c r="BB222" s="270">
        <f t="shared" si="1447"/>
        <v>0</v>
      </c>
      <c r="BC222" s="270">
        <f t="shared" si="1447"/>
        <v>0</v>
      </c>
      <c r="BD222" s="270">
        <f t="shared" si="1447"/>
        <v>0</v>
      </c>
      <c r="BE222" s="270">
        <f t="shared" si="1447"/>
        <v>0</v>
      </c>
      <c r="BF222" s="270">
        <f t="shared" si="1447"/>
        <v>0</v>
      </c>
      <c r="BG222" s="270">
        <f t="shared" si="1447"/>
        <v>0</v>
      </c>
      <c r="BH222" s="270">
        <f t="shared" si="1447"/>
        <v>0</v>
      </c>
      <c r="BI222" s="270">
        <f t="shared" si="1447"/>
        <v>0</v>
      </c>
      <c r="BJ222" s="270">
        <f t="shared" si="1447"/>
        <v>0</v>
      </c>
      <c r="BK222" s="270">
        <f t="shared" si="1447"/>
        <v>0</v>
      </c>
      <c r="BL222" s="265">
        <f t="shared" si="16"/>
        <v>-20.35</v>
      </c>
      <c r="BM222" s="215"/>
      <c r="BN222" s="270">
        <f t="shared" ref="BN222:CP222" si="1448">ROUND(AI221*E$9/12,2)</f>
        <v>0</v>
      </c>
      <c r="BO222" s="270">
        <f t="shared" si="1448"/>
        <v>0</v>
      </c>
      <c r="BP222" s="270">
        <f t="shared" si="1448"/>
        <v>0</v>
      </c>
      <c r="BQ222" s="270">
        <f t="shared" si="1448"/>
        <v>0</v>
      </c>
      <c r="BR222" s="270">
        <f t="shared" si="1448"/>
        <v>0</v>
      </c>
      <c r="BS222" s="270">
        <f t="shared" si="1448"/>
        <v>0</v>
      </c>
      <c r="BT222" s="270">
        <f t="shared" si="1448"/>
        <v>0</v>
      </c>
      <c r="BU222" s="270">
        <f t="shared" si="1448"/>
        <v>0</v>
      </c>
      <c r="BV222" s="270">
        <f t="shared" si="1448"/>
        <v>0</v>
      </c>
      <c r="BW222" s="270">
        <f t="shared" si="1448"/>
        <v>0</v>
      </c>
      <c r="BX222" s="270">
        <f t="shared" si="1448"/>
        <v>0</v>
      </c>
      <c r="BY222" s="270">
        <f t="shared" si="1448"/>
        <v>-0.05</v>
      </c>
      <c r="BZ222" s="270">
        <f t="shared" si="1448"/>
        <v>-0.04</v>
      </c>
      <c r="CA222" s="270">
        <f t="shared" si="1448"/>
        <v>0</v>
      </c>
      <c r="CB222" s="270">
        <f t="shared" si="1448"/>
        <v>0</v>
      </c>
      <c r="CC222" s="270">
        <f t="shared" si="1448"/>
        <v>0</v>
      </c>
      <c r="CD222" s="270">
        <f t="shared" si="1448"/>
        <v>0</v>
      </c>
      <c r="CE222" s="270">
        <f t="shared" si="1448"/>
        <v>0</v>
      </c>
      <c r="CF222" s="270">
        <f t="shared" si="1448"/>
        <v>0</v>
      </c>
      <c r="CG222" s="270">
        <f t="shared" si="1448"/>
        <v>0</v>
      </c>
      <c r="CH222" s="270">
        <f t="shared" si="1448"/>
        <v>0</v>
      </c>
      <c r="CI222" s="270">
        <f t="shared" si="1448"/>
        <v>0</v>
      </c>
      <c r="CJ222" s="270">
        <f t="shared" si="1448"/>
        <v>0</v>
      </c>
      <c r="CK222" s="270">
        <f t="shared" si="1448"/>
        <v>0</v>
      </c>
      <c r="CL222" s="270">
        <f t="shared" si="1448"/>
        <v>0</v>
      </c>
      <c r="CM222" s="270">
        <f t="shared" si="1448"/>
        <v>0</v>
      </c>
      <c r="CN222" s="270">
        <f t="shared" si="1448"/>
        <v>0</v>
      </c>
      <c r="CO222" s="270">
        <f t="shared" si="1448"/>
        <v>0</v>
      </c>
      <c r="CP222" s="270">
        <f t="shared" si="1448"/>
        <v>0</v>
      </c>
      <c r="CQ222" s="215"/>
      <c r="CR222" s="270">
        <f t="shared" si="27"/>
        <v>-0.09</v>
      </c>
      <c r="CS222" s="215"/>
      <c r="CT222" s="270">
        <f t="shared" ref="CT222:DX222" si="1449">IF(AI221&gt;0,IF((AI221+BN222)&lt;E$10,AI221+BN222,E$10),0)</f>
        <v>0</v>
      </c>
      <c r="CU222" s="270">
        <f t="shared" si="1449"/>
        <v>0</v>
      </c>
      <c r="CV222" s="270">
        <f t="shared" si="1449"/>
        <v>0</v>
      </c>
      <c r="CW222" s="270">
        <f t="shared" si="1449"/>
        <v>0</v>
      </c>
      <c r="CX222" s="270">
        <f t="shared" si="1449"/>
        <v>0</v>
      </c>
      <c r="CY222" s="270">
        <f t="shared" si="1449"/>
        <v>0</v>
      </c>
      <c r="CZ222" s="270">
        <f t="shared" si="1449"/>
        <v>0</v>
      </c>
      <c r="DA222" s="270">
        <f t="shared" si="1449"/>
        <v>0</v>
      </c>
      <c r="DB222" s="270">
        <f t="shared" si="1449"/>
        <v>0</v>
      </c>
      <c r="DC222" s="270">
        <f t="shared" si="1449"/>
        <v>0</v>
      </c>
      <c r="DD222" s="270">
        <f t="shared" si="1449"/>
        <v>0</v>
      </c>
      <c r="DE222" s="270">
        <f t="shared" si="1449"/>
        <v>0</v>
      </c>
      <c r="DF222" s="270">
        <f t="shared" si="1449"/>
        <v>0</v>
      </c>
      <c r="DG222" s="270">
        <f t="shared" si="1449"/>
        <v>0</v>
      </c>
      <c r="DH222" s="270">
        <f t="shared" si="1449"/>
        <v>0</v>
      </c>
      <c r="DI222" s="270">
        <f t="shared" si="1449"/>
        <v>0</v>
      </c>
      <c r="DJ222" s="270">
        <f t="shared" si="1449"/>
        <v>0</v>
      </c>
      <c r="DK222" s="270">
        <f t="shared" si="1449"/>
        <v>0</v>
      </c>
      <c r="DL222" s="270">
        <f t="shared" si="1449"/>
        <v>0</v>
      </c>
      <c r="DM222" s="270">
        <f t="shared" si="1449"/>
        <v>0</v>
      </c>
      <c r="DN222" s="270">
        <f t="shared" si="1449"/>
        <v>0</v>
      </c>
      <c r="DO222" s="270">
        <f t="shared" si="1449"/>
        <v>0</v>
      </c>
      <c r="DP222" s="270">
        <f t="shared" si="1449"/>
        <v>0</v>
      </c>
      <c r="DQ222" s="270">
        <f t="shared" si="1449"/>
        <v>0</v>
      </c>
      <c r="DR222" s="270">
        <f t="shared" si="1449"/>
        <v>0</v>
      </c>
      <c r="DS222" s="270">
        <f t="shared" si="1449"/>
        <v>0</v>
      </c>
      <c r="DT222" s="270">
        <f t="shared" si="1449"/>
        <v>0</v>
      </c>
      <c r="DU222" s="270">
        <f t="shared" si="1449"/>
        <v>0</v>
      </c>
      <c r="DV222" s="270">
        <f t="shared" si="1449"/>
        <v>0</v>
      </c>
      <c r="DW222" s="270">
        <f t="shared" si="1449"/>
        <v>0</v>
      </c>
      <c r="DX222" s="270">
        <f t="shared" si="1449"/>
        <v>0</v>
      </c>
      <c r="DY222" s="270">
        <f t="shared" si="29"/>
        <v>0</v>
      </c>
      <c r="DZ222" s="274"/>
      <c r="EA222" s="275">
        <f t="shared" si="38"/>
        <v>0</v>
      </c>
      <c r="EB222" s="270">
        <f t="shared" ref="EB222:FC222" si="1450">IF(AJ220&lt;=0,0,IF($C221&lt;=SUM($EA222:EA222),0,IF(CU221+$C221-SUM($EA222:EA222)&gt;AJ220+BO221,AJ220+BO221-CU221,$C221-SUM($EA222:EA222))))</f>
        <v>0</v>
      </c>
      <c r="EC222" s="270">
        <f t="shared" si="1450"/>
        <v>0</v>
      </c>
      <c r="ED222" s="270">
        <f t="shared" si="1450"/>
        <v>0</v>
      </c>
      <c r="EE222" s="270">
        <f t="shared" si="1450"/>
        <v>0</v>
      </c>
      <c r="EF222" s="270">
        <f t="shared" si="1450"/>
        <v>0</v>
      </c>
      <c r="EG222" s="270">
        <f t="shared" si="1450"/>
        <v>0</v>
      </c>
      <c r="EH222" s="270">
        <f t="shared" si="1450"/>
        <v>0</v>
      </c>
      <c r="EI222" s="270">
        <f t="shared" si="1450"/>
        <v>0</v>
      </c>
      <c r="EJ222" s="270">
        <f t="shared" si="1450"/>
        <v>0</v>
      </c>
      <c r="EK222" s="270">
        <f t="shared" si="1450"/>
        <v>0</v>
      </c>
      <c r="EL222" s="270">
        <f t="shared" si="1450"/>
        <v>0</v>
      </c>
      <c r="EM222" s="270">
        <f t="shared" si="1450"/>
        <v>0</v>
      </c>
      <c r="EN222" s="270">
        <f t="shared" si="1450"/>
        <v>0</v>
      </c>
      <c r="EO222" s="270">
        <f t="shared" si="1450"/>
        <v>0</v>
      </c>
      <c r="EP222" s="270">
        <f t="shared" si="1450"/>
        <v>0</v>
      </c>
      <c r="EQ222" s="270">
        <f t="shared" si="1450"/>
        <v>0</v>
      </c>
      <c r="ER222" s="270">
        <f t="shared" si="1450"/>
        <v>0</v>
      </c>
      <c r="ES222" s="270">
        <f t="shared" si="1450"/>
        <v>0</v>
      </c>
      <c r="ET222" s="270">
        <f t="shared" si="1450"/>
        <v>0</v>
      </c>
      <c r="EU222" s="270">
        <f t="shared" si="1450"/>
        <v>0</v>
      </c>
      <c r="EV222" s="270">
        <f t="shared" si="1450"/>
        <v>0</v>
      </c>
      <c r="EW222" s="270">
        <f t="shared" si="1450"/>
        <v>0</v>
      </c>
      <c r="EX222" s="270">
        <f t="shared" si="1450"/>
        <v>0</v>
      </c>
      <c r="EY222" s="270">
        <f t="shared" si="1450"/>
        <v>0</v>
      </c>
      <c r="EZ222" s="270">
        <f t="shared" si="1450"/>
        <v>0</v>
      </c>
      <c r="FA222" s="270">
        <f t="shared" si="1450"/>
        <v>0</v>
      </c>
      <c r="FB222" s="270">
        <f t="shared" si="1450"/>
        <v>0</v>
      </c>
      <c r="FC222" s="270">
        <f t="shared" si="1450"/>
        <v>0</v>
      </c>
      <c r="FD222" s="271"/>
      <c r="FE222" s="271"/>
      <c r="FF222" s="271"/>
      <c r="FG222" s="215"/>
      <c r="FH222" s="215"/>
    </row>
    <row r="223" ht="11.25" customHeight="1">
      <c r="A223" s="215" t="str">
        <f t="shared" si="19"/>
        <v/>
      </c>
      <c r="B223" s="241" t="str">
        <f t="shared" si="600"/>
        <v>#N/A</v>
      </c>
      <c r="C223" s="271" t="str">
        <f>IF(A223="","",IF(Calculator!snowball,IF(($E$5-DY223)&lt;0,0,$E$5-DY223),0)+D223)</f>
        <v/>
      </c>
      <c r="D223" s="271"/>
      <c r="E223" s="270">
        <f t="shared" si="40"/>
        <v>0</v>
      </c>
      <c r="F223" s="270">
        <f t="shared" ref="F223:AG223" si="1451">CU223+EB224</f>
        <v>0</v>
      </c>
      <c r="G223" s="270">
        <f t="shared" si="1451"/>
        <v>0</v>
      </c>
      <c r="H223" s="270">
        <f t="shared" si="1451"/>
        <v>0</v>
      </c>
      <c r="I223" s="270">
        <f t="shared" si="1451"/>
        <v>0</v>
      </c>
      <c r="J223" s="270">
        <f t="shared" si="1451"/>
        <v>0</v>
      </c>
      <c r="K223" s="270">
        <f t="shared" si="1451"/>
        <v>0</v>
      </c>
      <c r="L223" s="270">
        <f t="shared" si="1451"/>
        <v>0</v>
      </c>
      <c r="M223" s="270">
        <f t="shared" si="1451"/>
        <v>0</v>
      </c>
      <c r="N223" s="270">
        <f t="shared" si="1451"/>
        <v>0</v>
      </c>
      <c r="O223" s="270">
        <f t="shared" si="1451"/>
        <v>0</v>
      </c>
      <c r="P223" s="272">
        <f t="shared" si="1451"/>
        <v>0</v>
      </c>
      <c r="Q223" s="272">
        <f t="shared" si="1451"/>
        <v>0</v>
      </c>
      <c r="R223" s="272">
        <f t="shared" si="1451"/>
        <v>0</v>
      </c>
      <c r="S223" s="272">
        <f t="shared" si="1451"/>
        <v>0</v>
      </c>
      <c r="T223" s="272">
        <f t="shared" si="1451"/>
        <v>0</v>
      </c>
      <c r="U223" s="270">
        <f t="shared" si="1451"/>
        <v>0</v>
      </c>
      <c r="V223" s="270">
        <f t="shared" si="1451"/>
        <v>0</v>
      </c>
      <c r="W223" s="270">
        <f t="shared" si="1451"/>
        <v>0</v>
      </c>
      <c r="X223" s="270">
        <f t="shared" si="1451"/>
        <v>0</v>
      </c>
      <c r="Y223" s="270">
        <f t="shared" si="1451"/>
        <v>0</v>
      </c>
      <c r="Z223" s="270">
        <f t="shared" si="1451"/>
        <v>0</v>
      </c>
      <c r="AA223" s="270">
        <f t="shared" si="1451"/>
        <v>0</v>
      </c>
      <c r="AB223" s="270">
        <f t="shared" si="1451"/>
        <v>0</v>
      </c>
      <c r="AC223" s="270">
        <f t="shared" si="1451"/>
        <v>0</v>
      </c>
      <c r="AD223" s="270">
        <f t="shared" si="1451"/>
        <v>0</v>
      </c>
      <c r="AE223" s="270">
        <f t="shared" si="1451"/>
        <v>0</v>
      </c>
      <c r="AF223" s="270">
        <f t="shared" si="1451"/>
        <v>0</v>
      </c>
      <c r="AG223" s="270">
        <f t="shared" si="1451"/>
        <v>0</v>
      </c>
      <c r="AH223" s="279">
        <f t="shared" si="602"/>
        <v>0</v>
      </c>
      <c r="AI223" s="270">
        <f t="shared" si="43"/>
        <v>0</v>
      </c>
      <c r="AJ223" s="270">
        <f t="shared" ref="AJ223:AO223" si="1452">IF(F$8=0,0,ROUND(AJ222-(F223-BO223),2))</f>
        <v>0</v>
      </c>
      <c r="AK223" s="270">
        <f t="shared" si="1452"/>
        <v>0</v>
      </c>
      <c r="AL223" s="270">
        <f t="shared" si="1452"/>
        <v>0</v>
      </c>
      <c r="AM223" s="270">
        <f t="shared" si="1452"/>
        <v>0</v>
      </c>
      <c r="AN223" s="270">
        <f t="shared" si="1452"/>
        <v>0</v>
      </c>
      <c r="AO223" s="270">
        <f t="shared" si="1452"/>
        <v>0</v>
      </c>
      <c r="AP223" s="270">
        <v>0.0</v>
      </c>
      <c r="AQ223" s="270">
        <f t="shared" ref="AQ223:AS223" si="1453">IF(M$8=0,0,ROUND(AQ222-(M223-BV223),2))</f>
        <v>0</v>
      </c>
      <c r="AR223" s="270">
        <f t="shared" si="1453"/>
        <v>0</v>
      </c>
      <c r="AS223" s="270">
        <f t="shared" si="1453"/>
        <v>0</v>
      </c>
      <c r="AT223" s="270">
        <f t="shared" si="605"/>
        <v>-6.22</v>
      </c>
      <c r="AU223" s="270">
        <f t="shared" ref="AU223:BK223" si="1454">IF(Q$8=0,0,ROUND(AU222-(Q223-BY223),2))</f>
        <v>-14.18</v>
      </c>
      <c r="AV223" s="270">
        <f t="shared" si="1454"/>
        <v>0</v>
      </c>
      <c r="AW223" s="270">
        <f t="shared" si="1454"/>
        <v>0</v>
      </c>
      <c r="AX223" s="270">
        <f t="shared" si="1454"/>
        <v>0</v>
      </c>
      <c r="AY223" s="270">
        <f t="shared" si="1454"/>
        <v>0</v>
      </c>
      <c r="AZ223" s="270">
        <f t="shared" si="1454"/>
        <v>0</v>
      </c>
      <c r="BA223" s="270">
        <f t="shared" si="1454"/>
        <v>0</v>
      </c>
      <c r="BB223" s="270">
        <f t="shared" si="1454"/>
        <v>0</v>
      </c>
      <c r="BC223" s="270">
        <f t="shared" si="1454"/>
        <v>0</v>
      </c>
      <c r="BD223" s="270">
        <f t="shared" si="1454"/>
        <v>0</v>
      </c>
      <c r="BE223" s="270">
        <f t="shared" si="1454"/>
        <v>0</v>
      </c>
      <c r="BF223" s="270">
        <f t="shared" si="1454"/>
        <v>0</v>
      </c>
      <c r="BG223" s="270">
        <f t="shared" si="1454"/>
        <v>0</v>
      </c>
      <c r="BH223" s="270">
        <f t="shared" si="1454"/>
        <v>0</v>
      </c>
      <c r="BI223" s="270">
        <f t="shared" si="1454"/>
        <v>0</v>
      </c>
      <c r="BJ223" s="270">
        <f t="shared" si="1454"/>
        <v>0</v>
      </c>
      <c r="BK223" s="270">
        <f t="shared" si="1454"/>
        <v>0</v>
      </c>
      <c r="BL223" s="265">
        <f t="shared" si="16"/>
        <v>-20.4</v>
      </c>
      <c r="BM223" s="215"/>
      <c r="BN223" s="270">
        <f t="shared" ref="BN223:CP223" si="1455">ROUND(AI222*E$9/12,2)</f>
        <v>0</v>
      </c>
      <c r="BO223" s="270">
        <f t="shared" si="1455"/>
        <v>0</v>
      </c>
      <c r="BP223" s="270">
        <f t="shared" si="1455"/>
        <v>0</v>
      </c>
      <c r="BQ223" s="270">
        <f t="shared" si="1455"/>
        <v>0</v>
      </c>
      <c r="BR223" s="270">
        <f t="shared" si="1455"/>
        <v>0</v>
      </c>
      <c r="BS223" s="270">
        <f t="shared" si="1455"/>
        <v>0</v>
      </c>
      <c r="BT223" s="270">
        <f t="shared" si="1455"/>
        <v>0</v>
      </c>
      <c r="BU223" s="270">
        <f t="shared" si="1455"/>
        <v>0</v>
      </c>
      <c r="BV223" s="270">
        <f t="shared" si="1455"/>
        <v>0</v>
      </c>
      <c r="BW223" s="270">
        <f t="shared" si="1455"/>
        <v>0</v>
      </c>
      <c r="BX223" s="270">
        <f t="shared" si="1455"/>
        <v>0</v>
      </c>
      <c r="BY223" s="270">
        <f t="shared" si="1455"/>
        <v>-0.05</v>
      </c>
      <c r="BZ223" s="270">
        <f t="shared" si="1455"/>
        <v>-0.04</v>
      </c>
      <c r="CA223" s="270">
        <f t="shared" si="1455"/>
        <v>0</v>
      </c>
      <c r="CB223" s="270">
        <f t="shared" si="1455"/>
        <v>0</v>
      </c>
      <c r="CC223" s="270">
        <f t="shared" si="1455"/>
        <v>0</v>
      </c>
      <c r="CD223" s="270">
        <f t="shared" si="1455"/>
        <v>0</v>
      </c>
      <c r="CE223" s="270">
        <f t="shared" si="1455"/>
        <v>0</v>
      </c>
      <c r="CF223" s="270">
        <f t="shared" si="1455"/>
        <v>0</v>
      </c>
      <c r="CG223" s="270">
        <f t="shared" si="1455"/>
        <v>0</v>
      </c>
      <c r="CH223" s="270">
        <f t="shared" si="1455"/>
        <v>0</v>
      </c>
      <c r="CI223" s="270">
        <f t="shared" si="1455"/>
        <v>0</v>
      </c>
      <c r="CJ223" s="270">
        <f t="shared" si="1455"/>
        <v>0</v>
      </c>
      <c r="CK223" s="270">
        <f t="shared" si="1455"/>
        <v>0</v>
      </c>
      <c r="CL223" s="270">
        <f t="shared" si="1455"/>
        <v>0</v>
      </c>
      <c r="CM223" s="270">
        <f t="shared" si="1455"/>
        <v>0</v>
      </c>
      <c r="CN223" s="270">
        <f t="shared" si="1455"/>
        <v>0</v>
      </c>
      <c r="CO223" s="270">
        <f t="shared" si="1455"/>
        <v>0</v>
      </c>
      <c r="CP223" s="270">
        <f t="shared" si="1455"/>
        <v>0</v>
      </c>
      <c r="CQ223" s="215"/>
      <c r="CR223" s="270">
        <f t="shared" si="27"/>
        <v>-0.09</v>
      </c>
      <c r="CS223" s="215"/>
      <c r="CT223" s="270">
        <f t="shared" ref="CT223:DX223" si="1456">IF(AI222&gt;0,IF((AI222+BN223)&lt;E$10,AI222+BN223,E$10),0)</f>
        <v>0</v>
      </c>
      <c r="CU223" s="270">
        <f t="shared" si="1456"/>
        <v>0</v>
      </c>
      <c r="CV223" s="270">
        <f t="shared" si="1456"/>
        <v>0</v>
      </c>
      <c r="CW223" s="270">
        <f t="shared" si="1456"/>
        <v>0</v>
      </c>
      <c r="CX223" s="270">
        <f t="shared" si="1456"/>
        <v>0</v>
      </c>
      <c r="CY223" s="270">
        <f t="shared" si="1456"/>
        <v>0</v>
      </c>
      <c r="CZ223" s="270">
        <f t="shared" si="1456"/>
        <v>0</v>
      </c>
      <c r="DA223" s="270">
        <f t="shared" si="1456"/>
        <v>0</v>
      </c>
      <c r="DB223" s="270">
        <f t="shared" si="1456"/>
        <v>0</v>
      </c>
      <c r="DC223" s="270">
        <f t="shared" si="1456"/>
        <v>0</v>
      </c>
      <c r="DD223" s="270">
        <f t="shared" si="1456"/>
        <v>0</v>
      </c>
      <c r="DE223" s="270">
        <f t="shared" si="1456"/>
        <v>0</v>
      </c>
      <c r="DF223" s="270">
        <f t="shared" si="1456"/>
        <v>0</v>
      </c>
      <c r="DG223" s="270">
        <f t="shared" si="1456"/>
        <v>0</v>
      </c>
      <c r="DH223" s="270">
        <f t="shared" si="1456"/>
        <v>0</v>
      </c>
      <c r="DI223" s="270">
        <f t="shared" si="1456"/>
        <v>0</v>
      </c>
      <c r="DJ223" s="270">
        <f t="shared" si="1456"/>
        <v>0</v>
      </c>
      <c r="DK223" s="270">
        <f t="shared" si="1456"/>
        <v>0</v>
      </c>
      <c r="DL223" s="270">
        <f t="shared" si="1456"/>
        <v>0</v>
      </c>
      <c r="DM223" s="270">
        <f t="shared" si="1456"/>
        <v>0</v>
      </c>
      <c r="DN223" s="270">
        <f t="shared" si="1456"/>
        <v>0</v>
      </c>
      <c r="DO223" s="270">
        <f t="shared" si="1456"/>
        <v>0</v>
      </c>
      <c r="DP223" s="270">
        <f t="shared" si="1456"/>
        <v>0</v>
      </c>
      <c r="DQ223" s="270">
        <f t="shared" si="1456"/>
        <v>0</v>
      </c>
      <c r="DR223" s="270">
        <f t="shared" si="1456"/>
        <v>0</v>
      </c>
      <c r="DS223" s="270">
        <f t="shared" si="1456"/>
        <v>0</v>
      </c>
      <c r="DT223" s="270">
        <f t="shared" si="1456"/>
        <v>0</v>
      </c>
      <c r="DU223" s="270">
        <f t="shared" si="1456"/>
        <v>0</v>
      </c>
      <c r="DV223" s="270">
        <f t="shared" si="1456"/>
        <v>0</v>
      </c>
      <c r="DW223" s="270">
        <f t="shared" si="1456"/>
        <v>0</v>
      </c>
      <c r="DX223" s="270">
        <f t="shared" si="1456"/>
        <v>0</v>
      </c>
      <c r="DY223" s="270">
        <f t="shared" si="29"/>
        <v>0</v>
      </c>
      <c r="DZ223" s="274"/>
      <c r="EA223" s="275">
        <f t="shared" si="38"/>
        <v>0</v>
      </c>
      <c r="EB223" s="270">
        <f t="shared" ref="EB223:FC223" si="1457">IF(AJ221&lt;=0,0,IF($C222&lt;=SUM($EA223:EA223),0,IF(CU222+$C222-SUM($EA223:EA223)&gt;AJ221+BO222,AJ221+BO222-CU222,$C222-SUM($EA223:EA223))))</f>
        <v>0</v>
      </c>
      <c r="EC223" s="270">
        <f t="shared" si="1457"/>
        <v>0</v>
      </c>
      <c r="ED223" s="270">
        <f t="shared" si="1457"/>
        <v>0</v>
      </c>
      <c r="EE223" s="270">
        <f t="shared" si="1457"/>
        <v>0</v>
      </c>
      <c r="EF223" s="270">
        <f t="shared" si="1457"/>
        <v>0</v>
      </c>
      <c r="EG223" s="270">
        <f t="shared" si="1457"/>
        <v>0</v>
      </c>
      <c r="EH223" s="270">
        <f t="shared" si="1457"/>
        <v>0</v>
      </c>
      <c r="EI223" s="270">
        <f t="shared" si="1457"/>
        <v>0</v>
      </c>
      <c r="EJ223" s="270">
        <f t="shared" si="1457"/>
        <v>0</v>
      </c>
      <c r="EK223" s="270">
        <f t="shared" si="1457"/>
        <v>0</v>
      </c>
      <c r="EL223" s="270">
        <f t="shared" si="1457"/>
        <v>0</v>
      </c>
      <c r="EM223" s="270">
        <f t="shared" si="1457"/>
        <v>0</v>
      </c>
      <c r="EN223" s="270">
        <f t="shared" si="1457"/>
        <v>0</v>
      </c>
      <c r="EO223" s="270">
        <f t="shared" si="1457"/>
        <v>0</v>
      </c>
      <c r="EP223" s="270">
        <f t="shared" si="1457"/>
        <v>0</v>
      </c>
      <c r="EQ223" s="270">
        <f t="shared" si="1457"/>
        <v>0</v>
      </c>
      <c r="ER223" s="270">
        <f t="shared" si="1457"/>
        <v>0</v>
      </c>
      <c r="ES223" s="270">
        <f t="shared" si="1457"/>
        <v>0</v>
      </c>
      <c r="ET223" s="270">
        <f t="shared" si="1457"/>
        <v>0</v>
      </c>
      <c r="EU223" s="270">
        <f t="shared" si="1457"/>
        <v>0</v>
      </c>
      <c r="EV223" s="270">
        <f t="shared" si="1457"/>
        <v>0</v>
      </c>
      <c r="EW223" s="270">
        <f t="shared" si="1457"/>
        <v>0</v>
      </c>
      <c r="EX223" s="270">
        <f t="shared" si="1457"/>
        <v>0</v>
      </c>
      <c r="EY223" s="270">
        <f t="shared" si="1457"/>
        <v>0</v>
      </c>
      <c r="EZ223" s="270">
        <f t="shared" si="1457"/>
        <v>0</v>
      </c>
      <c r="FA223" s="270">
        <f t="shared" si="1457"/>
        <v>0</v>
      </c>
      <c r="FB223" s="270">
        <f t="shared" si="1457"/>
        <v>0</v>
      </c>
      <c r="FC223" s="270">
        <f t="shared" si="1457"/>
        <v>0</v>
      </c>
      <c r="FD223" s="271"/>
      <c r="FE223" s="271"/>
      <c r="FF223" s="271"/>
      <c r="FG223" s="215"/>
      <c r="FH223" s="215"/>
    </row>
    <row r="224" ht="11.25" customHeight="1">
      <c r="A224" s="215" t="str">
        <f t="shared" si="19"/>
        <v/>
      </c>
      <c r="B224" s="241" t="str">
        <f t="shared" si="600"/>
        <v>#N/A</v>
      </c>
      <c r="C224" s="271" t="str">
        <f>IF(A224="","",IF(Calculator!snowball,IF(($E$5-DY224)&lt;0,0,$E$5-DY224),0)+D224)</f>
        <v/>
      </c>
      <c r="D224" s="271"/>
      <c r="E224" s="270">
        <f t="shared" si="40"/>
        <v>0</v>
      </c>
      <c r="F224" s="270">
        <f t="shared" ref="F224:AG224" si="1458">CU224+EB225</f>
        <v>0</v>
      </c>
      <c r="G224" s="270">
        <f t="shared" si="1458"/>
        <v>0</v>
      </c>
      <c r="H224" s="270">
        <f t="shared" si="1458"/>
        <v>0</v>
      </c>
      <c r="I224" s="270">
        <f t="shared" si="1458"/>
        <v>0</v>
      </c>
      <c r="J224" s="270">
        <f t="shared" si="1458"/>
        <v>0</v>
      </c>
      <c r="K224" s="270">
        <f t="shared" si="1458"/>
        <v>0</v>
      </c>
      <c r="L224" s="270">
        <f t="shared" si="1458"/>
        <v>0</v>
      </c>
      <c r="M224" s="270">
        <f t="shared" si="1458"/>
        <v>0</v>
      </c>
      <c r="N224" s="270">
        <f t="shared" si="1458"/>
        <v>0</v>
      </c>
      <c r="O224" s="270">
        <f t="shared" si="1458"/>
        <v>0</v>
      </c>
      <c r="P224" s="272">
        <f t="shared" si="1458"/>
        <v>0</v>
      </c>
      <c r="Q224" s="272">
        <f t="shared" si="1458"/>
        <v>0</v>
      </c>
      <c r="R224" s="272">
        <f t="shared" si="1458"/>
        <v>0</v>
      </c>
      <c r="S224" s="272">
        <f t="shared" si="1458"/>
        <v>0</v>
      </c>
      <c r="T224" s="272">
        <f t="shared" si="1458"/>
        <v>0</v>
      </c>
      <c r="U224" s="270">
        <f t="shared" si="1458"/>
        <v>0</v>
      </c>
      <c r="V224" s="270">
        <f t="shared" si="1458"/>
        <v>0</v>
      </c>
      <c r="W224" s="270">
        <f t="shared" si="1458"/>
        <v>0</v>
      </c>
      <c r="X224" s="270">
        <f t="shared" si="1458"/>
        <v>0</v>
      </c>
      <c r="Y224" s="270">
        <f t="shared" si="1458"/>
        <v>0</v>
      </c>
      <c r="Z224" s="270">
        <f t="shared" si="1458"/>
        <v>0</v>
      </c>
      <c r="AA224" s="270">
        <f t="shared" si="1458"/>
        <v>0</v>
      </c>
      <c r="AB224" s="270">
        <f t="shared" si="1458"/>
        <v>0</v>
      </c>
      <c r="AC224" s="270">
        <f t="shared" si="1458"/>
        <v>0</v>
      </c>
      <c r="AD224" s="270">
        <f t="shared" si="1458"/>
        <v>0</v>
      </c>
      <c r="AE224" s="270">
        <f t="shared" si="1458"/>
        <v>0</v>
      </c>
      <c r="AF224" s="270">
        <f t="shared" si="1458"/>
        <v>0</v>
      </c>
      <c r="AG224" s="270">
        <f t="shared" si="1458"/>
        <v>0</v>
      </c>
      <c r="AH224" s="279">
        <f t="shared" si="602"/>
        <v>0</v>
      </c>
      <c r="AI224" s="270">
        <f t="shared" si="43"/>
        <v>0</v>
      </c>
      <c r="AJ224" s="270">
        <f t="shared" ref="AJ224:AO224" si="1459">IF(F$8=0,0,ROUND(AJ223-(F224-BO224),2))</f>
        <v>0</v>
      </c>
      <c r="AK224" s="270">
        <f t="shared" si="1459"/>
        <v>0</v>
      </c>
      <c r="AL224" s="270">
        <f t="shared" si="1459"/>
        <v>0</v>
      </c>
      <c r="AM224" s="270">
        <f t="shared" si="1459"/>
        <v>0</v>
      </c>
      <c r="AN224" s="270">
        <f t="shared" si="1459"/>
        <v>0</v>
      </c>
      <c r="AO224" s="270">
        <f t="shared" si="1459"/>
        <v>0</v>
      </c>
      <c r="AP224" s="270">
        <v>0.0</v>
      </c>
      <c r="AQ224" s="270">
        <f t="shared" ref="AQ224:AS224" si="1460">IF(M$8=0,0,ROUND(AQ223-(M224-BV224),2))</f>
        <v>0</v>
      </c>
      <c r="AR224" s="270">
        <f t="shared" si="1460"/>
        <v>0</v>
      </c>
      <c r="AS224" s="270">
        <f t="shared" si="1460"/>
        <v>0</v>
      </c>
      <c r="AT224" s="270">
        <f t="shared" si="605"/>
        <v>-6.22</v>
      </c>
      <c r="AU224" s="270">
        <f t="shared" ref="AU224:BK224" si="1461">IF(Q$8=0,0,ROUND(AU223-(Q224-BY224),2))</f>
        <v>-14.23</v>
      </c>
      <c r="AV224" s="270">
        <f t="shared" si="1461"/>
        <v>0</v>
      </c>
      <c r="AW224" s="270">
        <f t="shared" si="1461"/>
        <v>0</v>
      </c>
      <c r="AX224" s="270">
        <f t="shared" si="1461"/>
        <v>0</v>
      </c>
      <c r="AY224" s="270">
        <f t="shared" si="1461"/>
        <v>0</v>
      </c>
      <c r="AZ224" s="270">
        <f t="shared" si="1461"/>
        <v>0</v>
      </c>
      <c r="BA224" s="270">
        <f t="shared" si="1461"/>
        <v>0</v>
      </c>
      <c r="BB224" s="270">
        <f t="shared" si="1461"/>
        <v>0</v>
      </c>
      <c r="BC224" s="270">
        <f t="shared" si="1461"/>
        <v>0</v>
      </c>
      <c r="BD224" s="270">
        <f t="shared" si="1461"/>
        <v>0</v>
      </c>
      <c r="BE224" s="270">
        <f t="shared" si="1461"/>
        <v>0</v>
      </c>
      <c r="BF224" s="270">
        <f t="shared" si="1461"/>
        <v>0</v>
      </c>
      <c r="BG224" s="270">
        <f t="shared" si="1461"/>
        <v>0</v>
      </c>
      <c r="BH224" s="270">
        <f t="shared" si="1461"/>
        <v>0</v>
      </c>
      <c r="BI224" s="270">
        <f t="shared" si="1461"/>
        <v>0</v>
      </c>
      <c r="BJ224" s="270">
        <f t="shared" si="1461"/>
        <v>0</v>
      </c>
      <c r="BK224" s="270">
        <f t="shared" si="1461"/>
        <v>0</v>
      </c>
      <c r="BL224" s="265">
        <f t="shared" si="16"/>
        <v>-20.45</v>
      </c>
      <c r="BM224" s="215"/>
      <c r="BN224" s="270">
        <f t="shared" ref="BN224:CP224" si="1462">ROUND(AI223*E$9/12,2)</f>
        <v>0</v>
      </c>
      <c r="BO224" s="270">
        <f t="shared" si="1462"/>
        <v>0</v>
      </c>
      <c r="BP224" s="270">
        <f t="shared" si="1462"/>
        <v>0</v>
      </c>
      <c r="BQ224" s="270">
        <f t="shared" si="1462"/>
        <v>0</v>
      </c>
      <c r="BR224" s="270">
        <f t="shared" si="1462"/>
        <v>0</v>
      </c>
      <c r="BS224" s="270">
        <f t="shared" si="1462"/>
        <v>0</v>
      </c>
      <c r="BT224" s="270">
        <f t="shared" si="1462"/>
        <v>0</v>
      </c>
      <c r="BU224" s="270">
        <f t="shared" si="1462"/>
        <v>0</v>
      </c>
      <c r="BV224" s="270">
        <f t="shared" si="1462"/>
        <v>0</v>
      </c>
      <c r="BW224" s="270">
        <f t="shared" si="1462"/>
        <v>0</v>
      </c>
      <c r="BX224" s="270">
        <f t="shared" si="1462"/>
        <v>0</v>
      </c>
      <c r="BY224" s="270">
        <f t="shared" si="1462"/>
        <v>-0.05</v>
      </c>
      <c r="BZ224" s="270">
        <f t="shared" si="1462"/>
        <v>-0.04</v>
      </c>
      <c r="CA224" s="270">
        <f t="shared" si="1462"/>
        <v>0</v>
      </c>
      <c r="CB224" s="270">
        <f t="shared" si="1462"/>
        <v>0</v>
      </c>
      <c r="CC224" s="270">
        <f t="shared" si="1462"/>
        <v>0</v>
      </c>
      <c r="CD224" s="270">
        <f t="shared" si="1462"/>
        <v>0</v>
      </c>
      <c r="CE224" s="270">
        <f t="shared" si="1462"/>
        <v>0</v>
      </c>
      <c r="CF224" s="270">
        <f t="shared" si="1462"/>
        <v>0</v>
      </c>
      <c r="CG224" s="270">
        <f t="shared" si="1462"/>
        <v>0</v>
      </c>
      <c r="CH224" s="270">
        <f t="shared" si="1462"/>
        <v>0</v>
      </c>
      <c r="CI224" s="270">
        <f t="shared" si="1462"/>
        <v>0</v>
      </c>
      <c r="CJ224" s="270">
        <f t="shared" si="1462"/>
        <v>0</v>
      </c>
      <c r="CK224" s="270">
        <f t="shared" si="1462"/>
        <v>0</v>
      </c>
      <c r="CL224" s="270">
        <f t="shared" si="1462"/>
        <v>0</v>
      </c>
      <c r="CM224" s="270">
        <f t="shared" si="1462"/>
        <v>0</v>
      </c>
      <c r="CN224" s="270">
        <f t="shared" si="1462"/>
        <v>0</v>
      </c>
      <c r="CO224" s="270">
        <f t="shared" si="1462"/>
        <v>0</v>
      </c>
      <c r="CP224" s="270">
        <f t="shared" si="1462"/>
        <v>0</v>
      </c>
      <c r="CQ224" s="215"/>
      <c r="CR224" s="270">
        <f t="shared" si="27"/>
        <v>-0.09</v>
      </c>
      <c r="CS224" s="215"/>
      <c r="CT224" s="270">
        <f t="shared" ref="CT224:DX224" si="1463">IF(AI223&gt;0,IF((AI223+BN224)&lt;E$10,AI223+BN224,E$10),0)</f>
        <v>0</v>
      </c>
      <c r="CU224" s="270">
        <f t="shared" si="1463"/>
        <v>0</v>
      </c>
      <c r="CV224" s="270">
        <f t="shared" si="1463"/>
        <v>0</v>
      </c>
      <c r="CW224" s="270">
        <f t="shared" si="1463"/>
        <v>0</v>
      </c>
      <c r="CX224" s="270">
        <f t="shared" si="1463"/>
        <v>0</v>
      </c>
      <c r="CY224" s="270">
        <f t="shared" si="1463"/>
        <v>0</v>
      </c>
      <c r="CZ224" s="270">
        <f t="shared" si="1463"/>
        <v>0</v>
      </c>
      <c r="DA224" s="270">
        <f t="shared" si="1463"/>
        <v>0</v>
      </c>
      <c r="DB224" s="270">
        <f t="shared" si="1463"/>
        <v>0</v>
      </c>
      <c r="DC224" s="270">
        <f t="shared" si="1463"/>
        <v>0</v>
      </c>
      <c r="DD224" s="270">
        <f t="shared" si="1463"/>
        <v>0</v>
      </c>
      <c r="DE224" s="270">
        <f t="shared" si="1463"/>
        <v>0</v>
      </c>
      <c r="DF224" s="270">
        <f t="shared" si="1463"/>
        <v>0</v>
      </c>
      <c r="DG224" s="270">
        <f t="shared" si="1463"/>
        <v>0</v>
      </c>
      <c r="DH224" s="270">
        <f t="shared" si="1463"/>
        <v>0</v>
      </c>
      <c r="DI224" s="270">
        <f t="shared" si="1463"/>
        <v>0</v>
      </c>
      <c r="DJ224" s="270">
        <f t="shared" si="1463"/>
        <v>0</v>
      </c>
      <c r="DK224" s="270">
        <f t="shared" si="1463"/>
        <v>0</v>
      </c>
      <c r="DL224" s="270">
        <f t="shared" si="1463"/>
        <v>0</v>
      </c>
      <c r="DM224" s="270">
        <f t="shared" si="1463"/>
        <v>0</v>
      </c>
      <c r="DN224" s="270">
        <f t="shared" si="1463"/>
        <v>0</v>
      </c>
      <c r="DO224" s="270">
        <f t="shared" si="1463"/>
        <v>0</v>
      </c>
      <c r="DP224" s="270">
        <f t="shared" si="1463"/>
        <v>0</v>
      </c>
      <c r="DQ224" s="270">
        <f t="shared" si="1463"/>
        <v>0</v>
      </c>
      <c r="DR224" s="270">
        <f t="shared" si="1463"/>
        <v>0</v>
      </c>
      <c r="DS224" s="270">
        <f t="shared" si="1463"/>
        <v>0</v>
      </c>
      <c r="DT224" s="270">
        <f t="shared" si="1463"/>
        <v>0</v>
      </c>
      <c r="DU224" s="270">
        <f t="shared" si="1463"/>
        <v>0</v>
      </c>
      <c r="DV224" s="270">
        <f t="shared" si="1463"/>
        <v>0</v>
      </c>
      <c r="DW224" s="270">
        <f t="shared" si="1463"/>
        <v>0</v>
      </c>
      <c r="DX224" s="270">
        <f t="shared" si="1463"/>
        <v>0</v>
      </c>
      <c r="DY224" s="270">
        <f t="shared" si="29"/>
        <v>0</v>
      </c>
      <c r="DZ224" s="274"/>
      <c r="EA224" s="275">
        <f t="shared" si="38"/>
        <v>0</v>
      </c>
      <c r="EB224" s="270">
        <f t="shared" ref="EB224:FC224" si="1464">IF(AJ222&lt;=0,0,IF($C223&lt;=SUM($EA224:EA224),0,IF(CU223+$C223-SUM($EA224:EA224)&gt;AJ222+BO223,AJ222+BO223-CU223,$C223-SUM($EA224:EA224))))</f>
        <v>0</v>
      </c>
      <c r="EC224" s="270">
        <f t="shared" si="1464"/>
        <v>0</v>
      </c>
      <c r="ED224" s="270">
        <f t="shared" si="1464"/>
        <v>0</v>
      </c>
      <c r="EE224" s="270">
        <f t="shared" si="1464"/>
        <v>0</v>
      </c>
      <c r="EF224" s="270">
        <f t="shared" si="1464"/>
        <v>0</v>
      </c>
      <c r="EG224" s="270">
        <f t="shared" si="1464"/>
        <v>0</v>
      </c>
      <c r="EH224" s="270">
        <f t="shared" si="1464"/>
        <v>0</v>
      </c>
      <c r="EI224" s="270">
        <f t="shared" si="1464"/>
        <v>0</v>
      </c>
      <c r="EJ224" s="270">
        <f t="shared" si="1464"/>
        <v>0</v>
      </c>
      <c r="EK224" s="270">
        <f t="shared" si="1464"/>
        <v>0</v>
      </c>
      <c r="EL224" s="270">
        <f t="shared" si="1464"/>
        <v>0</v>
      </c>
      <c r="EM224" s="270">
        <f t="shared" si="1464"/>
        <v>0</v>
      </c>
      <c r="EN224" s="270">
        <f t="shared" si="1464"/>
        <v>0</v>
      </c>
      <c r="EO224" s="270">
        <f t="shared" si="1464"/>
        <v>0</v>
      </c>
      <c r="EP224" s="270">
        <f t="shared" si="1464"/>
        <v>0</v>
      </c>
      <c r="EQ224" s="270">
        <f t="shared" si="1464"/>
        <v>0</v>
      </c>
      <c r="ER224" s="270">
        <f t="shared" si="1464"/>
        <v>0</v>
      </c>
      <c r="ES224" s="270">
        <f t="shared" si="1464"/>
        <v>0</v>
      </c>
      <c r="ET224" s="270">
        <f t="shared" si="1464"/>
        <v>0</v>
      </c>
      <c r="EU224" s="270">
        <f t="shared" si="1464"/>
        <v>0</v>
      </c>
      <c r="EV224" s="270">
        <f t="shared" si="1464"/>
        <v>0</v>
      </c>
      <c r="EW224" s="270">
        <f t="shared" si="1464"/>
        <v>0</v>
      </c>
      <c r="EX224" s="270">
        <f t="shared" si="1464"/>
        <v>0</v>
      </c>
      <c r="EY224" s="270">
        <f t="shared" si="1464"/>
        <v>0</v>
      </c>
      <c r="EZ224" s="270">
        <f t="shared" si="1464"/>
        <v>0</v>
      </c>
      <c r="FA224" s="270">
        <f t="shared" si="1464"/>
        <v>0</v>
      </c>
      <c r="FB224" s="270">
        <f t="shared" si="1464"/>
        <v>0</v>
      </c>
      <c r="FC224" s="270">
        <f t="shared" si="1464"/>
        <v>0</v>
      </c>
      <c r="FD224" s="271"/>
      <c r="FE224" s="271"/>
      <c r="FF224" s="271"/>
      <c r="FG224" s="215"/>
      <c r="FH224" s="215"/>
    </row>
    <row r="225" ht="11.25" customHeight="1">
      <c r="A225" s="215" t="str">
        <f t="shared" si="19"/>
        <v/>
      </c>
      <c r="B225" s="241" t="str">
        <f t="shared" si="600"/>
        <v>#N/A</v>
      </c>
      <c r="C225" s="271" t="str">
        <f>IF(A225="","",IF(Calculator!snowball,IF(($E$5-DY225)&lt;0,0,$E$5-DY225),0)+D225)</f>
        <v/>
      </c>
      <c r="D225" s="271"/>
      <c r="E225" s="270">
        <f t="shared" si="40"/>
        <v>0</v>
      </c>
      <c r="F225" s="270">
        <f t="shared" ref="F225:AG225" si="1465">CU225+EB226</f>
        <v>0</v>
      </c>
      <c r="G225" s="270">
        <f t="shared" si="1465"/>
        <v>0</v>
      </c>
      <c r="H225" s="270">
        <f t="shared" si="1465"/>
        <v>0</v>
      </c>
      <c r="I225" s="270">
        <f t="shared" si="1465"/>
        <v>0</v>
      </c>
      <c r="J225" s="270">
        <f t="shared" si="1465"/>
        <v>0</v>
      </c>
      <c r="K225" s="270">
        <f t="shared" si="1465"/>
        <v>0</v>
      </c>
      <c r="L225" s="270">
        <f t="shared" si="1465"/>
        <v>0</v>
      </c>
      <c r="M225" s="270">
        <f t="shared" si="1465"/>
        <v>0</v>
      </c>
      <c r="N225" s="270">
        <f t="shared" si="1465"/>
        <v>0</v>
      </c>
      <c r="O225" s="270">
        <f t="shared" si="1465"/>
        <v>0</v>
      </c>
      <c r="P225" s="272">
        <f t="shared" si="1465"/>
        <v>0</v>
      </c>
      <c r="Q225" s="272">
        <f t="shared" si="1465"/>
        <v>0</v>
      </c>
      <c r="R225" s="272">
        <f t="shared" si="1465"/>
        <v>0</v>
      </c>
      <c r="S225" s="272">
        <f t="shared" si="1465"/>
        <v>0</v>
      </c>
      <c r="T225" s="272">
        <f t="shared" si="1465"/>
        <v>0</v>
      </c>
      <c r="U225" s="270">
        <f t="shared" si="1465"/>
        <v>0</v>
      </c>
      <c r="V225" s="270">
        <f t="shared" si="1465"/>
        <v>0</v>
      </c>
      <c r="W225" s="270">
        <f t="shared" si="1465"/>
        <v>0</v>
      </c>
      <c r="X225" s="270">
        <f t="shared" si="1465"/>
        <v>0</v>
      </c>
      <c r="Y225" s="270">
        <f t="shared" si="1465"/>
        <v>0</v>
      </c>
      <c r="Z225" s="270">
        <f t="shared" si="1465"/>
        <v>0</v>
      </c>
      <c r="AA225" s="270">
        <f t="shared" si="1465"/>
        <v>0</v>
      </c>
      <c r="AB225" s="270">
        <f t="shared" si="1465"/>
        <v>0</v>
      </c>
      <c r="AC225" s="270">
        <f t="shared" si="1465"/>
        <v>0</v>
      </c>
      <c r="AD225" s="270">
        <f t="shared" si="1465"/>
        <v>0</v>
      </c>
      <c r="AE225" s="270">
        <f t="shared" si="1465"/>
        <v>0</v>
      </c>
      <c r="AF225" s="270">
        <f t="shared" si="1465"/>
        <v>0</v>
      </c>
      <c r="AG225" s="270">
        <f t="shared" si="1465"/>
        <v>0</v>
      </c>
      <c r="AH225" s="279">
        <f t="shared" si="602"/>
        <v>0</v>
      </c>
      <c r="AI225" s="270">
        <f t="shared" si="43"/>
        <v>0</v>
      </c>
      <c r="AJ225" s="270">
        <f t="shared" ref="AJ225:AO225" si="1466">IF(F$8=0,0,ROUND(AJ224-(F225-BO225),2))</f>
        <v>0</v>
      </c>
      <c r="AK225" s="270">
        <f t="shared" si="1466"/>
        <v>0</v>
      </c>
      <c r="AL225" s="270">
        <f t="shared" si="1466"/>
        <v>0</v>
      </c>
      <c r="AM225" s="270">
        <f t="shared" si="1466"/>
        <v>0</v>
      </c>
      <c r="AN225" s="270">
        <f t="shared" si="1466"/>
        <v>0</v>
      </c>
      <c r="AO225" s="270">
        <f t="shared" si="1466"/>
        <v>0</v>
      </c>
      <c r="AP225" s="270">
        <v>0.0</v>
      </c>
      <c r="AQ225" s="270">
        <f t="shared" ref="AQ225:AS225" si="1467">IF(M$8=0,0,ROUND(AQ224-(M225-BV225),2))</f>
        <v>0</v>
      </c>
      <c r="AR225" s="270">
        <f t="shared" si="1467"/>
        <v>0</v>
      </c>
      <c r="AS225" s="270">
        <f t="shared" si="1467"/>
        <v>0</v>
      </c>
      <c r="AT225" s="270">
        <f t="shared" si="605"/>
        <v>-6.22</v>
      </c>
      <c r="AU225" s="270">
        <f t="shared" ref="AU225:BK225" si="1468">IF(Q$8=0,0,ROUND(AU224-(Q225-BY225),2))</f>
        <v>-14.28</v>
      </c>
      <c r="AV225" s="270">
        <f t="shared" si="1468"/>
        <v>0</v>
      </c>
      <c r="AW225" s="270">
        <f t="shared" si="1468"/>
        <v>0</v>
      </c>
      <c r="AX225" s="270">
        <f t="shared" si="1468"/>
        <v>0</v>
      </c>
      <c r="AY225" s="270">
        <f t="shared" si="1468"/>
        <v>0</v>
      </c>
      <c r="AZ225" s="270">
        <f t="shared" si="1468"/>
        <v>0</v>
      </c>
      <c r="BA225" s="270">
        <f t="shared" si="1468"/>
        <v>0</v>
      </c>
      <c r="BB225" s="270">
        <f t="shared" si="1468"/>
        <v>0</v>
      </c>
      <c r="BC225" s="270">
        <f t="shared" si="1468"/>
        <v>0</v>
      </c>
      <c r="BD225" s="270">
        <f t="shared" si="1468"/>
        <v>0</v>
      </c>
      <c r="BE225" s="270">
        <f t="shared" si="1468"/>
        <v>0</v>
      </c>
      <c r="BF225" s="270">
        <f t="shared" si="1468"/>
        <v>0</v>
      </c>
      <c r="BG225" s="270">
        <f t="shared" si="1468"/>
        <v>0</v>
      </c>
      <c r="BH225" s="270">
        <f t="shared" si="1468"/>
        <v>0</v>
      </c>
      <c r="BI225" s="270">
        <f t="shared" si="1468"/>
        <v>0</v>
      </c>
      <c r="BJ225" s="270">
        <f t="shared" si="1468"/>
        <v>0</v>
      </c>
      <c r="BK225" s="270">
        <f t="shared" si="1468"/>
        <v>0</v>
      </c>
      <c r="BL225" s="265">
        <f t="shared" si="16"/>
        <v>-20.5</v>
      </c>
      <c r="BM225" s="215"/>
      <c r="BN225" s="270">
        <f t="shared" ref="BN225:CP225" si="1469">ROUND(AI224*E$9/12,2)</f>
        <v>0</v>
      </c>
      <c r="BO225" s="270">
        <f t="shared" si="1469"/>
        <v>0</v>
      </c>
      <c r="BP225" s="270">
        <f t="shared" si="1469"/>
        <v>0</v>
      </c>
      <c r="BQ225" s="270">
        <f t="shared" si="1469"/>
        <v>0</v>
      </c>
      <c r="BR225" s="270">
        <f t="shared" si="1469"/>
        <v>0</v>
      </c>
      <c r="BS225" s="270">
        <f t="shared" si="1469"/>
        <v>0</v>
      </c>
      <c r="BT225" s="270">
        <f t="shared" si="1469"/>
        <v>0</v>
      </c>
      <c r="BU225" s="270">
        <f t="shared" si="1469"/>
        <v>0</v>
      </c>
      <c r="BV225" s="270">
        <f t="shared" si="1469"/>
        <v>0</v>
      </c>
      <c r="BW225" s="270">
        <f t="shared" si="1469"/>
        <v>0</v>
      </c>
      <c r="BX225" s="270">
        <f t="shared" si="1469"/>
        <v>0</v>
      </c>
      <c r="BY225" s="270">
        <f t="shared" si="1469"/>
        <v>-0.05</v>
      </c>
      <c r="BZ225" s="270">
        <f t="shared" si="1469"/>
        <v>-0.04</v>
      </c>
      <c r="CA225" s="270">
        <f t="shared" si="1469"/>
        <v>0</v>
      </c>
      <c r="CB225" s="270">
        <f t="shared" si="1469"/>
        <v>0</v>
      </c>
      <c r="CC225" s="270">
        <f t="shared" si="1469"/>
        <v>0</v>
      </c>
      <c r="CD225" s="270">
        <f t="shared" si="1469"/>
        <v>0</v>
      </c>
      <c r="CE225" s="270">
        <f t="shared" si="1469"/>
        <v>0</v>
      </c>
      <c r="CF225" s="270">
        <f t="shared" si="1469"/>
        <v>0</v>
      </c>
      <c r="CG225" s="270">
        <f t="shared" si="1469"/>
        <v>0</v>
      </c>
      <c r="CH225" s="270">
        <f t="shared" si="1469"/>
        <v>0</v>
      </c>
      <c r="CI225" s="270">
        <f t="shared" si="1469"/>
        <v>0</v>
      </c>
      <c r="CJ225" s="270">
        <f t="shared" si="1469"/>
        <v>0</v>
      </c>
      <c r="CK225" s="270">
        <f t="shared" si="1469"/>
        <v>0</v>
      </c>
      <c r="CL225" s="270">
        <f t="shared" si="1469"/>
        <v>0</v>
      </c>
      <c r="CM225" s="270">
        <f t="shared" si="1469"/>
        <v>0</v>
      </c>
      <c r="CN225" s="270">
        <f t="shared" si="1469"/>
        <v>0</v>
      </c>
      <c r="CO225" s="270">
        <f t="shared" si="1469"/>
        <v>0</v>
      </c>
      <c r="CP225" s="270">
        <f t="shared" si="1469"/>
        <v>0</v>
      </c>
      <c r="CQ225" s="215"/>
      <c r="CR225" s="270">
        <f t="shared" si="27"/>
        <v>-0.09</v>
      </c>
      <c r="CS225" s="215"/>
      <c r="CT225" s="270">
        <f t="shared" ref="CT225:DX225" si="1470">IF(AI224&gt;0,IF((AI224+BN225)&lt;E$10,AI224+BN225,E$10),0)</f>
        <v>0</v>
      </c>
      <c r="CU225" s="270">
        <f t="shared" si="1470"/>
        <v>0</v>
      </c>
      <c r="CV225" s="270">
        <f t="shared" si="1470"/>
        <v>0</v>
      </c>
      <c r="CW225" s="270">
        <f t="shared" si="1470"/>
        <v>0</v>
      </c>
      <c r="CX225" s="270">
        <f t="shared" si="1470"/>
        <v>0</v>
      </c>
      <c r="CY225" s="270">
        <f t="shared" si="1470"/>
        <v>0</v>
      </c>
      <c r="CZ225" s="270">
        <f t="shared" si="1470"/>
        <v>0</v>
      </c>
      <c r="DA225" s="270">
        <f t="shared" si="1470"/>
        <v>0</v>
      </c>
      <c r="DB225" s="270">
        <f t="shared" si="1470"/>
        <v>0</v>
      </c>
      <c r="DC225" s="270">
        <f t="shared" si="1470"/>
        <v>0</v>
      </c>
      <c r="DD225" s="270">
        <f t="shared" si="1470"/>
        <v>0</v>
      </c>
      <c r="DE225" s="270">
        <f t="shared" si="1470"/>
        <v>0</v>
      </c>
      <c r="DF225" s="270">
        <f t="shared" si="1470"/>
        <v>0</v>
      </c>
      <c r="DG225" s="270">
        <f t="shared" si="1470"/>
        <v>0</v>
      </c>
      <c r="DH225" s="270">
        <f t="shared" si="1470"/>
        <v>0</v>
      </c>
      <c r="DI225" s="270">
        <f t="shared" si="1470"/>
        <v>0</v>
      </c>
      <c r="DJ225" s="270">
        <f t="shared" si="1470"/>
        <v>0</v>
      </c>
      <c r="DK225" s="270">
        <f t="shared" si="1470"/>
        <v>0</v>
      </c>
      <c r="DL225" s="270">
        <f t="shared" si="1470"/>
        <v>0</v>
      </c>
      <c r="DM225" s="270">
        <f t="shared" si="1470"/>
        <v>0</v>
      </c>
      <c r="DN225" s="270">
        <f t="shared" si="1470"/>
        <v>0</v>
      </c>
      <c r="DO225" s="270">
        <f t="shared" si="1470"/>
        <v>0</v>
      </c>
      <c r="DP225" s="270">
        <f t="shared" si="1470"/>
        <v>0</v>
      </c>
      <c r="DQ225" s="270">
        <f t="shared" si="1470"/>
        <v>0</v>
      </c>
      <c r="DR225" s="270">
        <f t="shared" si="1470"/>
        <v>0</v>
      </c>
      <c r="DS225" s="270">
        <f t="shared" si="1470"/>
        <v>0</v>
      </c>
      <c r="DT225" s="270">
        <f t="shared" si="1470"/>
        <v>0</v>
      </c>
      <c r="DU225" s="270">
        <f t="shared" si="1470"/>
        <v>0</v>
      </c>
      <c r="DV225" s="270">
        <f t="shared" si="1470"/>
        <v>0</v>
      </c>
      <c r="DW225" s="270">
        <f t="shared" si="1470"/>
        <v>0</v>
      </c>
      <c r="DX225" s="270">
        <f t="shared" si="1470"/>
        <v>0</v>
      </c>
      <c r="DY225" s="270">
        <f t="shared" si="29"/>
        <v>0</v>
      </c>
      <c r="DZ225" s="274"/>
      <c r="EA225" s="275">
        <f t="shared" si="38"/>
        <v>0</v>
      </c>
      <c r="EB225" s="270">
        <f t="shared" ref="EB225:FC225" si="1471">IF(AJ223&lt;=0,0,IF($C224&lt;=SUM($EA225:EA225),0,IF(CU224+$C224-SUM($EA225:EA225)&gt;AJ223+BO224,AJ223+BO224-CU224,$C224-SUM($EA225:EA225))))</f>
        <v>0</v>
      </c>
      <c r="EC225" s="270">
        <f t="shared" si="1471"/>
        <v>0</v>
      </c>
      <c r="ED225" s="270">
        <f t="shared" si="1471"/>
        <v>0</v>
      </c>
      <c r="EE225" s="270">
        <f t="shared" si="1471"/>
        <v>0</v>
      </c>
      <c r="EF225" s="270">
        <f t="shared" si="1471"/>
        <v>0</v>
      </c>
      <c r="EG225" s="270">
        <f t="shared" si="1471"/>
        <v>0</v>
      </c>
      <c r="EH225" s="270">
        <f t="shared" si="1471"/>
        <v>0</v>
      </c>
      <c r="EI225" s="270">
        <f t="shared" si="1471"/>
        <v>0</v>
      </c>
      <c r="EJ225" s="270">
        <f t="shared" si="1471"/>
        <v>0</v>
      </c>
      <c r="EK225" s="270">
        <f t="shared" si="1471"/>
        <v>0</v>
      </c>
      <c r="EL225" s="270">
        <f t="shared" si="1471"/>
        <v>0</v>
      </c>
      <c r="EM225" s="270">
        <f t="shared" si="1471"/>
        <v>0</v>
      </c>
      <c r="EN225" s="270">
        <f t="shared" si="1471"/>
        <v>0</v>
      </c>
      <c r="EO225" s="270">
        <f t="shared" si="1471"/>
        <v>0</v>
      </c>
      <c r="EP225" s="270">
        <f t="shared" si="1471"/>
        <v>0</v>
      </c>
      <c r="EQ225" s="270">
        <f t="shared" si="1471"/>
        <v>0</v>
      </c>
      <c r="ER225" s="270">
        <f t="shared" si="1471"/>
        <v>0</v>
      </c>
      <c r="ES225" s="270">
        <f t="shared" si="1471"/>
        <v>0</v>
      </c>
      <c r="ET225" s="270">
        <f t="shared" si="1471"/>
        <v>0</v>
      </c>
      <c r="EU225" s="270">
        <f t="shared" si="1471"/>
        <v>0</v>
      </c>
      <c r="EV225" s="270">
        <f t="shared" si="1471"/>
        <v>0</v>
      </c>
      <c r="EW225" s="270">
        <f t="shared" si="1471"/>
        <v>0</v>
      </c>
      <c r="EX225" s="270">
        <f t="shared" si="1471"/>
        <v>0</v>
      </c>
      <c r="EY225" s="270">
        <f t="shared" si="1471"/>
        <v>0</v>
      </c>
      <c r="EZ225" s="270">
        <f t="shared" si="1471"/>
        <v>0</v>
      </c>
      <c r="FA225" s="270">
        <f t="shared" si="1471"/>
        <v>0</v>
      </c>
      <c r="FB225" s="270">
        <f t="shared" si="1471"/>
        <v>0</v>
      </c>
      <c r="FC225" s="270">
        <f t="shared" si="1471"/>
        <v>0</v>
      </c>
      <c r="FD225" s="271"/>
      <c r="FE225" s="271"/>
      <c r="FF225" s="271"/>
      <c r="FG225" s="215"/>
      <c r="FH225" s="215"/>
    </row>
    <row r="226" ht="11.25" customHeight="1">
      <c r="A226" s="215" t="str">
        <f t="shared" si="19"/>
        <v/>
      </c>
      <c r="B226" s="241" t="str">
        <f t="shared" si="600"/>
        <v>#N/A</v>
      </c>
      <c r="C226" s="271" t="str">
        <f>IF(A226="","",IF(Calculator!snowball,IF(($E$5-DY226)&lt;0,0,$E$5-DY226),0)+D226)</f>
        <v/>
      </c>
      <c r="D226" s="271"/>
      <c r="E226" s="270">
        <f t="shared" si="40"/>
        <v>0</v>
      </c>
      <c r="F226" s="270">
        <f t="shared" ref="F226:AG226" si="1472">CU226+EB227</f>
        <v>0</v>
      </c>
      <c r="G226" s="270">
        <f t="shared" si="1472"/>
        <v>0</v>
      </c>
      <c r="H226" s="270">
        <f t="shared" si="1472"/>
        <v>0</v>
      </c>
      <c r="I226" s="270">
        <f t="shared" si="1472"/>
        <v>0</v>
      </c>
      <c r="J226" s="270">
        <f t="shared" si="1472"/>
        <v>0</v>
      </c>
      <c r="K226" s="270">
        <f t="shared" si="1472"/>
        <v>0</v>
      </c>
      <c r="L226" s="270">
        <f t="shared" si="1472"/>
        <v>0</v>
      </c>
      <c r="M226" s="270">
        <f t="shared" si="1472"/>
        <v>0</v>
      </c>
      <c r="N226" s="270">
        <f t="shared" si="1472"/>
        <v>0</v>
      </c>
      <c r="O226" s="270">
        <f t="shared" si="1472"/>
        <v>0</v>
      </c>
      <c r="P226" s="272">
        <f t="shared" si="1472"/>
        <v>0</v>
      </c>
      <c r="Q226" s="272">
        <f t="shared" si="1472"/>
        <v>0</v>
      </c>
      <c r="R226" s="272">
        <f t="shared" si="1472"/>
        <v>0</v>
      </c>
      <c r="S226" s="272">
        <f t="shared" si="1472"/>
        <v>0</v>
      </c>
      <c r="T226" s="272">
        <f t="shared" si="1472"/>
        <v>0</v>
      </c>
      <c r="U226" s="270">
        <f t="shared" si="1472"/>
        <v>0</v>
      </c>
      <c r="V226" s="270">
        <f t="shared" si="1472"/>
        <v>0</v>
      </c>
      <c r="W226" s="270">
        <f t="shared" si="1472"/>
        <v>0</v>
      </c>
      <c r="X226" s="270">
        <f t="shared" si="1472"/>
        <v>0</v>
      </c>
      <c r="Y226" s="270">
        <f t="shared" si="1472"/>
        <v>0</v>
      </c>
      <c r="Z226" s="270">
        <f t="shared" si="1472"/>
        <v>0</v>
      </c>
      <c r="AA226" s="270">
        <f t="shared" si="1472"/>
        <v>0</v>
      </c>
      <c r="AB226" s="270">
        <f t="shared" si="1472"/>
        <v>0</v>
      </c>
      <c r="AC226" s="270">
        <f t="shared" si="1472"/>
        <v>0</v>
      </c>
      <c r="AD226" s="270">
        <f t="shared" si="1472"/>
        <v>0</v>
      </c>
      <c r="AE226" s="270">
        <f t="shared" si="1472"/>
        <v>0</v>
      </c>
      <c r="AF226" s="270">
        <f t="shared" si="1472"/>
        <v>0</v>
      </c>
      <c r="AG226" s="270">
        <f t="shared" si="1472"/>
        <v>0</v>
      </c>
      <c r="AH226" s="279">
        <f t="shared" si="602"/>
        <v>0</v>
      </c>
      <c r="AI226" s="270">
        <f t="shared" si="43"/>
        <v>0</v>
      </c>
      <c r="AJ226" s="270">
        <f t="shared" ref="AJ226:AO226" si="1473">IF(F$8=0,0,ROUND(AJ225-(F226-BO226),2))</f>
        <v>0</v>
      </c>
      <c r="AK226" s="270">
        <f t="shared" si="1473"/>
        <v>0</v>
      </c>
      <c r="AL226" s="270">
        <f t="shared" si="1473"/>
        <v>0</v>
      </c>
      <c r="AM226" s="270">
        <f t="shared" si="1473"/>
        <v>0</v>
      </c>
      <c r="AN226" s="270">
        <f t="shared" si="1473"/>
        <v>0</v>
      </c>
      <c r="AO226" s="270">
        <f t="shared" si="1473"/>
        <v>0</v>
      </c>
      <c r="AP226" s="270">
        <v>0.0</v>
      </c>
      <c r="AQ226" s="270">
        <f t="shared" ref="AQ226:AS226" si="1474">IF(M$8=0,0,ROUND(AQ225-(M226-BV226),2))</f>
        <v>0</v>
      </c>
      <c r="AR226" s="270">
        <f t="shared" si="1474"/>
        <v>0</v>
      </c>
      <c r="AS226" s="270">
        <f t="shared" si="1474"/>
        <v>0</v>
      </c>
      <c r="AT226" s="270">
        <f t="shared" si="605"/>
        <v>-6.22</v>
      </c>
      <c r="AU226" s="270">
        <f t="shared" ref="AU226:BK226" si="1475">IF(Q$8=0,0,ROUND(AU225-(Q226-BY226),2))</f>
        <v>-14.33</v>
      </c>
      <c r="AV226" s="270">
        <f t="shared" si="1475"/>
        <v>0</v>
      </c>
      <c r="AW226" s="270">
        <f t="shared" si="1475"/>
        <v>0</v>
      </c>
      <c r="AX226" s="270">
        <f t="shared" si="1475"/>
        <v>0</v>
      </c>
      <c r="AY226" s="270">
        <f t="shared" si="1475"/>
        <v>0</v>
      </c>
      <c r="AZ226" s="270">
        <f t="shared" si="1475"/>
        <v>0</v>
      </c>
      <c r="BA226" s="270">
        <f t="shared" si="1475"/>
        <v>0</v>
      </c>
      <c r="BB226" s="270">
        <f t="shared" si="1475"/>
        <v>0</v>
      </c>
      <c r="BC226" s="270">
        <f t="shared" si="1475"/>
        <v>0</v>
      </c>
      <c r="BD226" s="270">
        <f t="shared" si="1475"/>
        <v>0</v>
      </c>
      <c r="BE226" s="270">
        <f t="shared" si="1475"/>
        <v>0</v>
      </c>
      <c r="BF226" s="270">
        <f t="shared" si="1475"/>
        <v>0</v>
      </c>
      <c r="BG226" s="270">
        <f t="shared" si="1475"/>
        <v>0</v>
      </c>
      <c r="BH226" s="270">
        <f t="shared" si="1475"/>
        <v>0</v>
      </c>
      <c r="BI226" s="270">
        <f t="shared" si="1475"/>
        <v>0</v>
      </c>
      <c r="BJ226" s="270">
        <f t="shared" si="1475"/>
        <v>0</v>
      </c>
      <c r="BK226" s="270">
        <f t="shared" si="1475"/>
        <v>0</v>
      </c>
      <c r="BL226" s="265">
        <f t="shared" si="16"/>
        <v>-20.55</v>
      </c>
      <c r="BM226" s="215"/>
      <c r="BN226" s="270">
        <f t="shared" ref="BN226:CP226" si="1476">ROUND(AI225*E$9/12,2)</f>
        <v>0</v>
      </c>
      <c r="BO226" s="270">
        <f t="shared" si="1476"/>
        <v>0</v>
      </c>
      <c r="BP226" s="270">
        <f t="shared" si="1476"/>
        <v>0</v>
      </c>
      <c r="BQ226" s="270">
        <f t="shared" si="1476"/>
        <v>0</v>
      </c>
      <c r="BR226" s="270">
        <f t="shared" si="1476"/>
        <v>0</v>
      </c>
      <c r="BS226" s="270">
        <f t="shared" si="1476"/>
        <v>0</v>
      </c>
      <c r="BT226" s="270">
        <f t="shared" si="1476"/>
        <v>0</v>
      </c>
      <c r="BU226" s="270">
        <f t="shared" si="1476"/>
        <v>0</v>
      </c>
      <c r="BV226" s="270">
        <f t="shared" si="1476"/>
        <v>0</v>
      </c>
      <c r="BW226" s="270">
        <f t="shared" si="1476"/>
        <v>0</v>
      </c>
      <c r="BX226" s="270">
        <f t="shared" si="1476"/>
        <v>0</v>
      </c>
      <c r="BY226" s="270">
        <f t="shared" si="1476"/>
        <v>-0.05</v>
      </c>
      <c r="BZ226" s="270">
        <f t="shared" si="1476"/>
        <v>-0.04</v>
      </c>
      <c r="CA226" s="270">
        <f t="shared" si="1476"/>
        <v>0</v>
      </c>
      <c r="CB226" s="270">
        <f t="shared" si="1476"/>
        <v>0</v>
      </c>
      <c r="CC226" s="270">
        <f t="shared" si="1476"/>
        <v>0</v>
      </c>
      <c r="CD226" s="270">
        <f t="shared" si="1476"/>
        <v>0</v>
      </c>
      <c r="CE226" s="270">
        <f t="shared" si="1476"/>
        <v>0</v>
      </c>
      <c r="CF226" s="270">
        <f t="shared" si="1476"/>
        <v>0</v>
      </c>
      <c r="CG226" s="270">
        <f t="shared" si="1476"/>
        <v>0</v>
      </c>
      <c r="CH226" s="270">
        <f t="shared" si="1476"/>
        <v>0</v>
      </c>
      <c r="CI226" s="270">
        <f t="shared" si="1476"/>
        <v>0</v>
      </c>
      <c r="CJ226" s="270">
        <f t="shared" si="1476"/>
        <v>0</v>
      </c>
      <c r="CK226" s="270">
        <f t="shared" si="1476"/>
        <v>0</v>
      </c>
      <c r="CL226" s="270">
        <f t="shared" si="1476"/>
        <v>0</v>
      </c>
      <c r="CM226" s="270">
        <f t="shared" si="1476"/>
        <v>0</v>
      </c>
      <c r="CN226" s="270">
        <f t="shared" si="1476"/>
        <v>0</v>
      </c>
      <c r="CO226" s="270">
        <f t="shared" si="1476"/>
        <v>0</v>
      </c>
      <c r="CP226" s="270">
        <f t="shared" si="1476"/>
        <v>0</v>
      </c>
      <c r="CQ226" s="215"/>
      <c r="CR226" s="270">
        <f t="shared" si="27"/>
        <v>-0.09</v>
      </c>
      <c r="CS226" s="215"/>
      <c r="CT226" s="270">
        <f t="shared" ref="CT226:DX226" si="1477">IF(AI225&gt;0,IF((AI225+BN226)&lt;E$10,AI225+BN226,E$10),0)</f>
        <v>0</v>
      </c>
      <c r="CU226" s="270">
        <f t="shared" si="1477"/>
        <v>0</v>
      </c>
      <c r="CV226" s="270">
        <f t="shared" si="1477"/>
        <v>0</v>
      </c>
      <c r="CW226" s="270">
        <f t="shared" si="1477"/>
        <v>0</v>
      </c>
      <c r="CX226" s="270">
        <f t="shared" si="1477"/>
        <v>0</v>
      </c>
      <c r="CY226" s="270">
        <f t="shared" si="1477"/>
        <v>0</v>
      </c>
      <c r="CZ226" s="270">
        <f t="shared" si="1477"/>
        <v>0</v>
      </c>
      <c r="DA226" s="270">
        <f t="shared" si="1477"/>
        <v>0</v>
      </c>
      <c r="DB226" s="270">
        <f t="shared" si="1477"/>
        <v>0</v>
      </c>
      <c r="DC226" s="270">
        <f t="shared" si="1477"/>
        <v>0</v>
      </c>
      <c r="DD226" s="270">
        <f t="shared" si="1477"/>
        <v>0</v>
      </c>
      <c r="DE226" s="270">
        <f t="shared" si="1477"/>
        <v>0</v>
      </c>
      <c r="DF226" s="270">
        <f t="shared" si="1477"/>
        <v>0</v>
      </c>
      <c r="DG226" s="270">
        <f t="shared" si="1477"/>
        <v>0</v>
      </c>
      <c r="DH226" s="270">
        <f t="shared" si="1477"/>
        <v>0</v>
      </c>
      <c r="DI226" s="270">
        <f t="shared" si="1477"/>
        <v>0</v>
      </c>
      <c r="DJ226" s="270">
        <f t="shared" si="1477"/>
        <v>0</v>
      </c>
      <c r="DK226" s="270">
        <f t="shared" si="1477"/>
        <v>0</v>
      </c>
      <c r="DL226" s="270">
        <f t="shared" si="1477"/>
        <v>0</v>
      </c>
      <c r="DM226" s="270">
        <f t="shared" si="1477"/>
        <v>0</v>
      </c>
      <c r="DN226" s="270">
        <f t="shared" si="1477"/>
        <v>0</v>
      </c>
      <c r="DO226" s="270">
        <f t="shared" si="1477"/>
        <v>0</v>
      </c>
      <c r="DP226" s="270">
        <f t="shared" si="1477"/>
        <v>0</v>
      </c>
      <c r="DQ226" s="270">
        <f t="shared" si="1477"/>
        <v>0</v>
      </c>
      <c r="DR226" s="270">
        <f t="shared" si="1477"/>
        <v>0</v>
      </c>
      <c r="DS226" s="270">
        <f t="shared" si="1477"/>
        <v>0</v>
      </c>
      <c r="DT226" s="270">
        <f t="shared" si="1477"/>
        <v>0</v>
      </c>
      <c r="DU226" s="270">
        <f t="shared" si="1477"/>
        <v>0</v>
      </c>
      <c r="DV226" s="270">
        <f t="shared" si="1477"/>
        <v>0</v>
      </c>
      <c r="DW226" s="270">
        <f t="shared" si="1477"/>
        <v>0</v>
      </c>
      <c r="DX226" s="270">
        <f t="shared" si="1477"/>
        <v>0</v>
      </c>
      <c r="DY226" s="270">
        <f t="shared" si="29"/>
        <v>0</v>
      </c>
      <c r="DZ226" s="274"/>
      <c r="EA226" s="275">
        <f t="shared" si="38"/>
        <v>0</v>
      </c>
      <c r="EB226" s="270">
        <f t="shared" ref="EB226:FC226" si="1478">IF(AJ224&lt;=0,0,IF($C225&lt;=SUM($EA226:EA226),0,IF(CU225+$C225-SUM($EA226:EA226)&gt;AJ224+BO225,AJ224+BO225-CU225,$C225-SUM($EA226:EA226))))</f>
        <v>0</v>
      </c>
      <c r="EC226" s="270">
        <f t="shared" si="1478"/>
        <v>0</v>
      </c>
      <c r="ED226" s="270">
        <f t="shared" si="1478"/>
        <v>0</v>
      </c>
      <c r="EE226" s="270">
        <f t="shared" si="1478"/>
        <v>0</v>
      </c>
      <c r="EF226" s="270">
        <f t="shared" si="1478"/>
        <v>0</v>
      </c>
      <c r="EG226" s="270">
        <f t="shared" si="1478"/>
        <v>0</v>
      </c>
      <c r="EH226" s="270">
        <f t="shared" si="1478"/>
        <v>0</v>
      </c>
      <c r="EI226" s="270">
        <f t="shared" si="1478"/>
        <v>0</v>
      </c>
      <c r="EJ226" s="270">
        <f t="shared" si="1478"/>
        <v>0</v>
      </c>
      <c r="EK226" s="270">
        <f t="shared" si="1478"/>
        <v>0</v>
      </c>
      <c r="EL226" s="270">
        <f t="shared" si="1478"/>
        <v>0</v>
      </c>
      <c r="EM226" s="270">
        <f t="shared" si="1478"/>
        <v>0</v>
      </c>
      <c r="EN226" s="270">
        <f t="shared" si="1478"/>
        <v>0</v>
      </c>
      <c r="EO226" s="270">
        <f t="shared" si="1478"/>
        <v>0</v>
      </c>
      <c r="EP226" s="270">
        <f t="shared" si="1478"/>
        <v>0</v>
      </c>
      <c r="EQ226" s="270">
        <f t="shared" si="1478"/>
        <v>0</v>
      </c>
      <c r="ER226" s="270">
        <f t="shared" si="1478"/>
        <v>0</v>
      </c>
      <c r="ES226" s="270">
        <f t="shared" si="1478"/>
        <v>0</v>
      </c>
      <c r="ET226" s="270">
        <f t="shared" si="1478"/>
        <v>0</v>
      </c>
      <c r="EU226" s="270">
        <f t="shared" si="1478"/>
        <v>0</v>
      </c>
      <c r="EV226" s="270">
        <f t="shared" si="1478"/>
        <v>0</v>
      </c>
      <c r="EW226" s="270">
        <f t="shared" si="1478"/>
        <v>0</v>
      </c>
      <c r="EX226" s="270">
        <f t="shared" si="1478"/>
        <v>0</v>
      </c>
      <c r="EY226" s="270">
        <f t="shared" si="1478"/>
        <v>0</v>
      </c>
      <c r="EZ226" s="270">
        <f t="shared" si="1478"/>
        <v>0</v>
      </c>
      <c r="FA226" s="270">
        <f t="shared" si="1478"/>
        <v>0</v>
      </c>
      <c r="FB226" s="270">
        <f t="shared" si="1478"/>
        <v>0</v>
      </c>
      <c r="FC226" s="270">
        <f t="shared" si="1478"/>
        <v>0</v>
      </c>
      <c r="FD226" s="271"/>
      <c r="FE226" s="271"/>
      <c r="FF226" s="271"/>
      <c r="FG226" s="215"/>
      <c r="FH226" s="215"/>
    </row>
    <row r="227" ht="11.25" customHeight="1">
      <c r="A227" s="215" t="str">
        <f t="shared" si="19"/>
        <v/>
      </c>
      <c r="B227" s="241" t="str">
        <f t="shared" si="600"/>
        <v>#N/A</v>
      </c>
      <c r="C227" s="271" t="str">
        <f>IF(A227="","",IF(Calculator!snowball,IF(($E$5-DY227)&lt;0,0,$E$5-DY227),0)+D227)</f>
        <v/>
      </c>
      <c r="D227" s="271"/>
      <c r="E227" s="270">
        <f t="shared" si="40"/>
        <v>0</v>
      </c>
      <c r="F227" s="270">
        <f t="shared" ref="F227:AG227" si="1479">CU227+EB228</f>
        <v>0</v>
      </c>
      <c r="G227" s="270">
        <f t="shared" si="1479"/>
        <v>0</v>
      </c>
      <c r="H227" s="270">
        <f t="shared" si="1479"/>
        <v>0</v>
      </c>
      <c r="I227" s="270">
        <f t="shared" si="1479"/>
        <v>0</v>
      </c>
      <c r="J227" s="270">
        <f t="shared" si="1479"/>
        <v>0</v>
      </c>
      <c r="K227" s="270">
        <f t="shared" si="1479"/>
        <v>0</v>
      </c>
      <c r="L227" s="270">
        <f t="shared" si="1479"/>
        <v>0</v>
      </c>
      <c r="M227" s="270">
        <f t="shared" si="1479"/>
        <v>0</v>
      </c>
      <c r="N227" s="270">
        <f t="shared" si="1479"/>
        <v>0</v>
      </c>
      <c r="O227" s="270">
        <f t="shared" si="1479"/>
        <v>0</v>
      </c>
      <c r="P227" s="272">
        <f t="shared" si="1479"/>
        <v>0</v>
      </c>
      <c r="Q227" s="272">
        <f t="shared" si="1479"/>
        <v>0</v>
      </c>
      <c r="R227" s="272">
        <f t="shared" si="1479"/>
        <v>0</v>
      </c>
      <c r="S227" s="272">
        <f t="shared" si="1479"/>
        <v>0</v>
      </c>
      <c r="T227" s="272">
        <f t="shared" si="1479"/>
        <v>0</v>
      </c>
      <c r="U227" s="270">
        <f t="shared" si="1479"/>
        <v>0</v>
      </c>
      <c r="V227" s="270">
        <f t="shared" si="1479"/>
        <v>0</v>
      </c>
      <c r="W227" s="270">
        <f t="shared" si="1479"/>
        <v>0</v>
      </c>
      <c r="X227" s="270">
        <f t="shared" si="1479"/>
        <v>0</v>
      </c>
      <c r="Y227" s="270">
        <f t="shared" si="1479"/>
        <v>0</v>
      </c>
      <c r="Z227" s="270">
        <f t="shared" si="1479"/>
        <v>0</v>
      </c>
      <c r="AA227" s="270">
        <f t="shared" si="1479"/>
        <v>0</v>
      </c>
      <c r="AB227" s="270">
        <f t="shared" si="1479"/>
        <v>0</v>
      </c>
      <c r="AC227" s="270">
        <f t="shared" si="1479"/>
        <v>0</v>
      </c>
      <c r="AD227" s="270">
        <f t="shared" si="1479"/>
        <v>0</v>
      </c>
      <c r="AE227" s="270">
        <f t="shared" si="1479"/>
        <v>0</v>
      </c>
      <c r="AF227" s="270">
        <f t="shared" si="1479"/>
        <v>0</v>
      </c>
      <c r="AG227" s="270">
        <f t="shared" si="1479"/>
        <v>0</v>
      </c>
      <c r="AH227" s="279">
        <f t="shared" si="602"/>
        <v>0</v>
      </c>
      <c r="AI227" s="270">
        <f t="shared" si="43"/>
        <v>0</v>
      </c>
      <c r="AJ227" s="270">
        <f t="shared" ref="AJ227:AO227" si="1480">IF(F$8=0,0,ROUND(AJ226-(F227-BO227),2))</f>
        <v>0</v>
      </c>
      <c r="AK227" s="270">
        <f t="shared" si="1480"/>
        <v>0</v>
      </c>
      <c r="AL227" s="270">
        <f t="shared" si="1480"/>
        <v>0</v>
      </c>
      <c r="AM227" s="270">
        <f t="shared" si="1480"/>
        <v>0</v>
      </c>
      <c r="AN227" s="270">
        <f t="shared" si="1480"/>
        <v>0</v>
      </c>
      <c r="AO227" s="270">
        <f t="shared" si="1480"/>
        <v>0</v>
      </c>
      <c r="AP227" s="270">
        <v>0.0</v>
      </c>
      <c r="AQ227" s="270">
        <f t="shared" ref="AQ227:AS227" si="1481">IF(M$8=0,0,ROUND(AQ226-(M227-BV227),2))</f>
        <v>0</v>
      </c>
      <c r="AR227" s="270">
        <f t="shared" si="1481"/>
        <v>0</v>
      </c>
      <c r="AS227" s="270">
        <f t="shared" si="1481"/>
        <v>0</v>
      </c>
      <c r="AT227" s="270">
        <f t="shared" si="605"/>
        <v>-6.22</v>
      </c>
      <c r="AU227" s="270">
        <f t="shared" ref="AU227:BK227" si="1482">IF(Q$8=0,0,ROUND(AU226-(Q227-BY227),2))</f>
        <v>-14.38</v>
      </c>
      <c r="AV227" s="270">
        <f t="shared" si="1482"/>
        <v>0</v>
      </c>
      <c r="AW227" s="270">
        <f t="shared" si="1482"/>
        <v>0</v>
      </c>
      <c r="AX227" s="270">
        <f t="shared" si="1482"/>
        <v>0</v>
      </c>
      <c r="AY227" s="270">
        <f t="shared" si="1482"/>
        <v>0</v>
      </c>
      <c r="AZ227" s="270">
        <f t="shared" si="1482"/>
        <v>0</v>
      </c>
      <c r="BA227" s="270">
        <f t="shared" si="1482"/>
        <v>0</v>
      </c>
      <c r="BB227" s="270">
        <f t="shared" si="1482"/>
        <v>0</v>
      </c>
      <c r="BC227" s="270">
        <f t="shared" si="1482"/>
        <v>0</v>
      </c>
      <c r="BD227" s="270">
        <f t="shared" si="1482"/>
        <v>0</v>
      </c>
      <c r="BE227" s="270">
        <f t="shared" si="1482"/>
        <v>0</v>
      </c>
      <c r="BF227" s="270">
        <f t="shared" si="1482"/>
        <v>0</v>
      </c>
      <c r="BG227" s="270">
        <f t="shared" si="1482"/>
        <v>0</v>
      </c>
      <c r="BH227" s="270">
        <f t="shared" si="1482"/>
        <v>0</v>
      </c>
      <c r="BI227" s="270">
        <f t="shared" si="1482"/>
        <v>0</v>
      </c>
      <c r="BJ227" s="270">
        <f t="shared" si="1482"/>
        <v>0</v>
      </c>
      <c r="BK227" s="270">
        <f t="shared" si="1482"/>
        <v>0</v>
      </c>
      <c r="BL227" s="265">
        <f t="shared" si="16"/>
        <v>-20.6</v>
      </c>
      <c r="BM227" s="215"/>
      <c r="BN227" s="270">
        <f t="shared" ref="BN227:CP227" si="1483">ROUND(AI226*E$9/12,2)</f>
        <v>0</v>
      </c>
      <c r="BO227" s="270">
        <f t="shared" si="1483"/>
        <v>0</v>
      </c>
      <c r="BP227" s="270">
        <f t="shared" si="1483"/>
        <v>0</v>
      </c>
      <c r="BQ227" s="270">
        <f t="shared" si="1483"/>
        <v>0</v>
      </c>
      <c r="BR227" s="270">
        <f t="shared" si="1483"/>
        <v>0</v>
      </c>
      <c r="BS227" s="270">
        <f t="shared" si="1483"/>
        <v>0</v>
      </c>
      <c r="BT227" s="270">
        <f t="shared" si="1483"/>
        <v>0</v>
      </c>
      <c r="BU227" s="270">
        <f t="shared" si="1483"/>
        <v>0</v>
      </c>
      <c r="BV227" s="270">
        <f t="shared" si="1483"/>
        <v>0</v>
      </c>
      <c r="BW227" s="270">
        <f t="shared" si="1483"/>
        <v>0</v>
      </c>
      <c r="BX227" s="270">
        <f t="shared" si="1483"/>
        <v>0</v>
      </c>
      <c r="BY227" s="270">
        <f t="shared" si="1483"/>
        <v>-0.05</v>
      </c>
      <c r="BZ227" s="270">
        <f t="shared" si="1483"/>
        <v>-0.04</v>
      </c>
      <c r="CA227" s="270">
        <f t="shared" si="1483"/>
        <v>0</v>
      </c>
      <c r="CB227" s="270">
        <f t="shared" si="1483"/>
        <v>0</v>
      </c>
      <c r="CC227" s="270">
        <f t="shared" si="1483"/>
        <v>0</v>
      </c>
      <c r="CD227" s="270">
        <f t="shared" si="1483"/>
        <v>0</v>
      </c>
      <c r="CE227" s="270">
        <f t="shared" si="1483"/>
        <v>0</v>
      </c>
      <c r="CF227" s="270">
        <f t="shared" si="1483"/>
        <v>0</v>
      </c>
      <c r="CG227" s="270">
        <f t="shared" si="1483"/>
        <v>0</v>
      </c>
      <c r="CH227" s="270">
        <f t="shared" si="1483"/>
        <v>0</v>
      </c>
      <c r="CI227" s="270">
        <f t="shared" si="1483"/>
        <v>0</v>
      </c>
      <c r="CJ227" s="270">
        <f t="shared" si="1483"/>
        <v>0</v>
      </c>
      <c r="CK227" s="270">
        <f t="shared" si="1483"/>
        <v>0</v>
      </c>
      <c r="CL227" s="270">
        <f t="shared" si="1483"/>
        <v>0</v>
      </c>
      <c r="CM227" s="270">
        <f t="shared" si="1483"/>
        <v>0</v>
      </c>
      <c r="CN227" s="270">
        <f t="shared" si="1483"/>
        <v>0</v>
      </c>
      <c r="CO227" s="270">
        <f t="shared" si="1483"/>
        <v>0</v>
      </c>
      <c r="CP227" s="270">
        <f t="shared" si="1483"/>
        <v>0</v>
      </c>
      <c r="CQ227" s="215"/>
      <c r="CR227" s="270">
        <f t="shared" si="27"/>
        <v>-0.09</v>
      </c>
      <c r="CS227" s="215"/>
      <c r="CT227" s="270">
        <f t="shared" ref="CT227:DX227" si="1484">IF(AI226&gt;0,IF((AI226+BN227)&lt;E$10,AI226+BN227,E$10),0)</f>
        <v>0</v>
      </c>
      <c r="CU227" s="270">
        <f t="shared" si="1484"/>
        <v>0</v>
      </c>
      <c r="CV227" s="270">
        <f t="shared" si="1484"/>
        <v>0</v>
      </c>
      <c r="CW227" s="270">
        <f t="shared" si="1484"/>
        <v>0</v>
      </c>
      <c r="CX227" s="270">
        <f t="shared" si="1484"/>
        <v>0</v>
      </c>
      <c r="CY227" s="270">
        <f t="shared" si="1484"/>
        <v>0</v>
      </c>
      <c r="CZ227" s="270">
        <f t="shared" si="1484"/>
        <v>0</v>
      </c>
      <c r="DA227" s="270">
        <f t="shared" si="1484"/>
        <v>0</v>
      </c>
      <c r="DB227" s="270">
        <f t="shared" si="1484"/>
        <v>0</v>
      </c>
      <c r="DC227" s="270">
        <f t="shared" si="1484"/>
        <v>0</v>
      </c>
      <c r="DD227" s="270">
        <f t="shared" si="1484"/>
        <v>0</v>
      </c>
      <c r="DE227" s="270">
        <f t="shared" si="1484"/>
        <v>0</v>
      </c>
      <c r="DF227" s="270">
        <f t="shared" si="1484"/>
        <v>0</v>
      </c>
      <c r="DG227" s="270">
        <f t="shared" si="1484"/>
        <v>0</v>
      </c>
      <c r="DH227" s="270">
        <f t="shared" si="1484"/>
        <v>0</v>
      </c>
      <c r="DI227" s="270">
        <f t="shared" si="1484"/>
        <v>0</v>
      </c>
      <c r="DJ227" s="270">
        <f t="shared" si="1484"/>
        <v>0</v>
      </c>
      <c r="DK227" s="270">
        <f t="shared" si="1484"/>
        <v>0</v>
      </c>
      <c r="DL227" s="270">
        <f t="shared" si="1484"/>
        <v>0</v>
      </c>
      <c r="DM227" s="270">
        <f t="shared" si="1484"/>
        <v>0</v>
      </c>
      <c r="DN227" s="270">
        <f t="shared" si="1484"/>
        <v>0</v>
      </c>
      <c r="DO227" s="270">
        <f t="shared" si="1484"/>
        <v>0</v>
      </c>
      <c r="DP227" s="270">
        <f t="shared" si="1484"/>
        <v>0</v>
      </c>
      <c r="DQ227" s="270">
        <f t="shared" si="1484"/>
        <v>0</v>
      </c>
      <c r="DR227" s="270">
        <f t="shared" si="1484"/>
        <v>0</v>
      </c>
      <c r="DS227" s="270">
        <f t="shared" si="1484"/>
        <v>0</v>
      </c>
      <c r="DT227" s="270">
        <f t="shared" si="1484"/>
        <v>0</v>
      </c>
      <c r="DU227" s="270">
        <f t="shared" si="1484"/>
        <v>0</v>
      </c>
      <c r="DV227" s="270">
        <f t="shared" si="1484"/>
        <v>0</v>
      </c>
      <c r="DW227" s="270">
        <f t="shared" si="1484"/>
        <v>0</v>
      </c>
      <c r="DX227" s="270">
        <f t="shared" si="1484"/>
        <v>0</v>
      </c>
      <c r="DY227" s="270">
        <f t="shared" si="29"/>
        <v>0</v>
      </c>
      <c r="DZ227" s="274"/>
      <c r="EA227" s="275">
        <f t="shared" si="38"/>
        <v>0</v>
      </c>
      <c r="EB227" s="270">
        <f t="shared" ref="EB227:FC227" si="1485">IF(AJ225&lt;=0,0,IF($C226&lt;=SUM($EA227:EA227),0,IF(CU226+$C226-SUM($EA227:EA227)&gt;AJ225+BO226,AJ225+BO226-CU226,$C226-SUM($EA227:EA227))))</f>
        <v>0</v>
      </c>
      <c r="EC227" s="270">
        <f t="shared" si="1485"/>
        <v>0</v>
      </c>
      <c r="ED227" s="270">
        <f t="shared" si="1485"/>
        <v>0</v>
      </c>
      <c r="EE227" s="270">
        <f t="shared" si="1485"/>
        <v>0</v>
      </c>
      <c r="EF227" s="270">
        <f t="shared" si="1485"/>
        <v>0</v>
      </c>
      <c r="EG227" s="270">
        <f t="shared" si="1485"/>
        <v>0</v>
      </c>
      <c r="EH227" s="270">
        <f t="shared" si="1485"/>
        <v>0</v>
      </c>
      <c r="EI227" s="270">
        <f t="shared" si="1485"/>
        <v>0</v>
      </c>
      <c r="EJ227" s="270">
        <f t="shared" si="1485"/>
        <v>0</v>
      </c>
      <c r="EK227" s="270">
        <f t="shared" si="1485"/>
        <v>0</v>
      </c>
      <c r="EL227" s="270">
        <f t="shared" si="1485"/>
        <v>0</v>
      </c>
      <c r="EM227" s="270">
        <f t="shared" si="1485"/>
        <v>0</v>
      </c>
      <c r="EN227" s="270">
        <f t="shared" si="1485"/>
        <v>0</v>
      </c>
      <c r="EO227" s="270">
        <f t="shared" si="1485"/>
        <v>0</v>
      </c>
      <c r="EP227" s="270">
        <f t="shared" si="1485"/>
        <v>0</v>
      </c>
      <c r="EQ227" s="270">
        <f t="shared" si="1485"/>
        <v>0</v>
      </c>
      <c r="ER227" s="270">
        <f t="shared" si="1485"/>
        <v>0</v>
      </c>
      <c r="ES227" s="270">
        <f t="shared" si="1485"/>
        <v>0</v>
      </c>
      <c r="ET227" s="270">
        <f t="shared" si="1485"/>
        <v>0</v>
      </c>
      <c r="EU227" s="270">
        <f t="shared" si="1485"/>
        <v>0</v>
      </c>
      <c r="EV227" s="270">
        <f t="shared" si="1485"/>
        <v>0</v>
      </c>
      <c r="EW227" s="270">
        <f t="shared" si="1485"/>
        <v>0</v>
      </c>
      <c r="EX227" s="270">
        <f t="shared" si="1485"/>
        <v>0</v>
      </c>
      <c r="EY227" s="270">
        <f t="shared" si="1485"/>
        <v>0</v>
      </c>
      <c r="EZ227" s="270">
        <f t="shared" si="1485"/>
        <v>0</v>
      </c>
      <c r="FA227" s="270">
        <f t="shared" si="1485"/>
        <v>0</v>
      </c>
      <c r="FB227" s="270">
        <f t="shared" si="1485"/>
        <v>0</v>
      </c>
      <c r="FC227" s="270">
        <f t="shared" si="1485"/>
        <v>0</v>
      </c>
      <c r="FD227" s="271"/>
      <c r="FE227" s="271"/>
      <c r="FF227" s="271"/>
      <c r="FG227" s="215"/>
      <c r="FH227" s="215"/>
    </row>
    <row r="228" ht="11.25" customHeight="1">
      <c r="A228" s="215" t="str">
        <f t="shared" si="19"/>
        <v/>
      </c>
      <c r="B228" s="241" t="str">
        <f t="shared" si="600"/>
        <v>#N/A</v>
      </c>
      <c r="C228" s="271" t="str">
        <f>IF(A228="","",IF(Calculator!snowball,IF(($E$5-DY228)&lt;0,0,$E$5-DY228),0)+D228)</f>
        <v/>
      </c>
      <c r="D228" s="271"/>
      <c r="E228" s="270">
        <f t="shared" si="40"/>
        <v>0</v>
      </c>
      <c r="F228" s="270">
        <f t="shared" ref="F228:AG228" si="1486">CU228+EB229</f>
        <v>0</v>
      </c>
      <c r="G228" s="270">
        <f t="shared" si="1486"/>
        <v>0</v>
      </c>
      <c r="H228" s="270">
        <f t="shared" si="1486"/>
        <v>0</v>
      </c>
      <c r="I228" s="270">
        <f t="shared" si="1486"/>
        <v>0</v>
      </c>
      <c r="J228" s="270">
        <f t="shared" si="1486"/>
        <v>0</v>
      </c>
      <c r="K228" s="270">
        <f t="shared" si="1486"/>
        <v>0</v>
      </c>
      <c r="L228" s="270">
        <f t="shared" si="1486"/>
        <v>0</v>
      </c>
      <c r="M228" s="270">
        <f t="shared" si="1486"/>
        <v>0</v>
      </c>
      <c r="N228" s="270">
        <f t="shared" si="1486"/>
        <v>0</v>
      </c>
      <c r="O228" s="270">
        <f t="shared" si="1486"/>
        <v>0</v>
      </c>
      <c r="P228" s="272">
        <f t="shared" si="1486"/>
        <v>0</v>
      </c>
      <c r="Q228" s="272">
        <f t="shared" si="1486"/>
        <v>0</v>
      </c>
      <c r="R228" s="272">
        <f t="shared" si="1486"/>
        <v>0</v>
      </c>
      <c r="S228" s="272">
        <f t="shared" si="1486"/>
        <v>0</v>
      </c>
      <c r="T228" s="272">
        <f t="shared" si="1486"/>
        <v>0</v>
      </c>
      <c r="U228" s="270">
        <f t="shared" si="1486"/>
        <v>0</v>
      </c>
      <c r="V228" s="270">
        <f t="shared" si="1486"/>
        <v>0</v>
      </c>
      <c r="W228" s="270">
        <f t="shared" si="1486"/>
        <v>0</v>
      </c>
      <c r="X228" s="270">
        <f t="shared" si="1486"/>
        <v>0</v>
      </c>
      <c r="Y228" s="270">
        <f t="shared" si="1486"/>
        <v>0</v>
      </c>
      <c r="Z228" s="270">
        <f t="shared" si="1486"/>
        <v>0</v>
      </c>
      <c r="AA228" s="270">
        <f t="shared" si="1486"/>
        <v>0</v>
      </c>
      <c r="AB228" s="270">
        <f t="shared" si="1486"/>
        <v>0</v>
      </c>
      <c r="AC228" s="270">
        <f t="shared" si="1486"/>
        <v>0</v>
      </c>
      <c r="AD228" s="270">
        <f t="shared" si="1486"/>
        <v>0</v>
      </c>
      <c r="AE228" s="270">
        <f t="shared" si="1486"/>
        <v>0</v>
      </c>
      <c r="AF228" s="270">
        <f t="shared" si="1486"/>
        <v>0</v>
      </c>
      <c r="AG228" s="270">
        <f t="shared" si="1486"/>
        <v>0</v>
      </c>
      <c r="AH228" s="279">
        <f t="shared" si="602"/>
        <v>0</v>
      </c>
      <c r="AI228" s="270">
        <f t="shared" si="43"/>
        <v>0</v>
      </c>
      <c r="AJ228" s="270">
        <f t="shared" ref="AJ228:AO228" si="1487">IF(F$8=0,0,ROUND(AJ227-(F228-BO228),2))</f>
        <v>0</v>
      </c>
      <c r="AK228" s="270">
        <f t="shared" si="1487"/>
        <v>0</v>
      </c>
      <c r="AL228" s="270">
        <f t="shared" si="1487"/>
        <v>0</v>
      </c>
      <c r="AM228" s="270">
        <f t="shared" si="1487"/>
        <v>0</v>
      </c>
      <c r="AN228" s="270">
        <f t="shared" si="1487"/>
        <v>0</v>
      </c>
      <c r="AO228" s="270">
        <f t="shared" si="1487"/>
        <v>0</v>
      </c>
      <c r="AP228" s="270">
        <v>0.0</v>
      </c>
      <c r="AQ228" s="270">
        <f t="shared" ref="AQ228:AS228" si="1488">IF(M$8=0,0,ROUND(AQ227-(M228-BV228),2))</f>
        <v>0</v>
      </c>
      <c r="AR228" s="270">
        <f t="shared" si="1488"/>
        <v>0</v>
      </c>
      <c r="AS228" s="270">
        <f t="shared" si="1488"/>
        <v>0</v>
      </c>
      <c r="AT228" s="270">
        <f t="shared" si="605"/>
        <v>-6.22</v>
      </c>
      <c r="AU228" s="270">
        <f t="shared" ref="AU228:BK228" si="1489">IF(Q$8=0,0,ROUND(AU227-(Q228-BY228),2))</f>
        <v>-14.43</v>
      </c>
      <c r="AV228" s="270">
        <f t="shared" si="1489"/>
        <v>0</v>
      </c>
      <c r="AW228" s="270">
        <f t="shared" si="1489"/>
        <v>0</v>
      </c>
      <c r="AX228" s="270">
        <f t="shared" si="1489"/>
        <v>0</v>
      </c>
      <c r="AY228" s="270">
        <f t="shared" si="1489"/>
        <v>0</v>
      </c>
      <c r="AZ228" s="270">
        <f t="shared" si="1489"/>
        <v>0</v>
      </c>
      <c r="BA228" s="270">
        <f t="shared" si="1489"/>
        <v>0</v>
      </c>
      <c r="BB228" s="270">
        <f t="shared" si="1489"/>
        <v>0</v>
      </c>
      <c r="BC228" s="270">
        <f t="shared" si="1489"/>
        <v>0</v>
      </c>
      <c r="BD228" s="270">
        <f t="shared" si="1489"/>
        <v>0</v>
      </c>
      <c r="BE228" s="270">
        <f t="shared" si="1489"/>
        <v>0</v>
      </c>
      <c r="BF228" s="270">
        <f t="shared" si="1489"/>
        <v>0</v>
      </c>
      <c r="BG228" s="270">
        <f t="shared" si="1489"/>
        <v>0</v>
      </c>
      <c r="BH228" s="270">
        <f t="shared" si="1489"/>
        <v>0</v>
      </c>
      <c r="BI228" s="270">
        <f t="shared" si="1489"/>
        <v>0</v>
      </c>
      <c r="BJ228" s="270">
        <f t="shared" si="1489"/>
        <v>0</v>
      </c>
      <c r="BK228" s="270">
        <f t="shared" si="1489"/>
        <v>0</v>
      </c>
      <c r="BL228" s="265">
        <f t="shared" si="16"/>
        <v>-20.65</v>
      </c>
      <c r="BM228" s="215"/>
      <c r="BN228" s="270">
        <f t="shared" ref="BN228:CP228" si="1490">ROUND(AI227*E$9/12,2)</f>
        <v>0</v>
      </c>
      <c r="BO228" s="270">
        <f t="shared" si="1490"/>
        <v>0</v>
      </c>
      <c r="BP228" s="270">
        <f t="shared" si="1490"/>
        <v>0</v>
      </c>
      <c r="BQ228" s="270">
        <f t="shared" si="1490"/>
        <v>0</v>
      </c>
      <c r="BR228" s="270">
        <f t="shared" si="1490"/>
        <v>0</v>
      </c>
      <c r="BS228" s="270">
        <f t="shared" si="1490"/>
        <v>0</v>
      </c>
      <c r="BT228" s="270">
        <f t="shared" si="1490"/>
        <v>0</v>
      </c>
      <c r="BU228" s="270">
        <f t="shared" si="1490"/>
        <v>0</v>
      </c>
      <c r="BV228" s="270">
        <f t="shared" si="1490"/>
        <v>0</v>
      </c>
      <c r="BW228" s="270">
        <f t="shared" si="1490"/>
        <v>0</v>
      </c>
      <c r="BX228" s="270">
        <f t="shared" si="1490"/>
        <v>0</v>
      </c>
      <c r="BY228" s="270">
        <f t="shared" si="1490"/>
        <v>-0.05</v>
      </c>
      <c r="BZ228" s="270">
        <f t="shared" si="1490"/>
        <v>-0.04</v>
      </c>
      <c r="CA228" s="270">
        <f t="shared" si="1490"/>
        <v>0</v>
      </c>
      <c r="CB228" s="270">
        <f t="shared" si="1490"/>
        <v>0</v>
      </c>
      <c r="CC228" s="270">
        <f t="shared" si="1490"/>
        <v>0</v>
      </c>
      <c r="CD228" s="270">
        <f t="shared" si="1490"/>
        <v>0</v>
      </c>
      <c r="CE228" s="270">
        <f t="shared" si="1490"/>
        <v>0</v>
      </c>
      <c r="CF228" s="270">
        <f t="shared" si="1490"/>
        <v>0</v>
      </c>
      <c r="CG228" s="270">
        <f t="shared" si="1490"/>
        <v>0</v>
      </c>
      <c r="CH228" s="270">
        <f t="shared" si="1490"/>
        <v>0</v>
      </c>
      <c r="CI228" s="270">
        <f t="shared" si="1490"/>
        <v>0</v>
      </c>
      <c r="CJ228" s="270">
        <f t="shared" si="1490"/>
        <v>0</v>
      </c>
      <c r="CK228" s="270">
        <f t="shared" si="1490"/>
        <v>0</v>
      </c>
      <c r="CL228" s="270">
        <f t="shared" si="1490"/>
        <v>0</v>
      </c>
      <c r="CM228" s="270">
        <f t="shared" si="1490"/>
        <v>0</v>
      </c>
      <c r="CN228" s="270">
        <f t="shared" si="1490"/>
        <v>0</v>
      </c>
      <c r="CO228" s="270">
        <f t="shared" si="1490"/>
        <v>0</v>
      </c>
      <c r="CP228" s="270">
        <f t="shared" si="1490"/>
        <v>0</v>
      </c>
      <c r="CQ228" s="215"/>
      <c r="CR228" s="270">
        <f t="shared" si="27"/>
        <v>-0.09</v>
      </c>
      <c r="CS228" s="215"/>
      <c r="CT228" s="270">
        <f t="shared" ref="CT228:DX228" si="1491">IF(AI227&gt;0,IF((AI227+BN228)&lt;E$10,AI227+BN228,E$10),0)</f>
        <v>0</v>
      </c>
      <c r="CU228" s="270">
        <f t="shared" si="1491"/>
        <v>0</v>
      </c>
      <c r="CV228" s="270">
        <f t="shared" si="1491"/>
        <v>0</v>
      </c>
      <c r="CW228" s="270">
        <f t="shared" si="1491"/>
        <v>0</v>
      </c>
      <c r="CX228" s="270">
        <f t="shared" si="1491"/>
        <v>0</v>
      </c>
      <c r="CY228" s="270">
        <f t="shared" si="1491"/>
        <v>0</v>
      </c>
      <c r="CZ228" s="270">
        <f t="shared" si="1491"/>
        <v>0</v>
      </c>
      <c r="DA228" s="270">
        <f t="shared" si="1491"/>
        <v>0</v>
      </c>
      <c r="DB228" s="270">
        <f t="shared" si="1491"/>
        <v>0</v>
      </c>
      <c r="DC228" s="270">
        <f t="shared" si="1491"/>
        <v>0</v>
      </c>
      <c r="DD228" s="270">
        <f t="shared" si="1491"/>
        <v>0</v>
      </c>
      <c r="DE228" s="270">
        <f t="shared" si="1491"/>
        <v>0</v>
      </c>
      <c r="DF228" s="270">
        <f t="shared" si="1491"/>
        <v>0</v>
      </c>
      <c r="DG228" s="270">
        <f t="shared" si="1491"/>
        <v>0</v>
      </c>
      <c r="DH228" s="270">
        <f t="shared" si="1491"/>
        <v>0</v>
      </c>
      <c r="DI228" s="270">
        <f t="shared" si="1491"/>
        <v>0</v>
      </c>
      <c r="DJ228" s="270">
        <f t="shared" si="1491"/>
        <v>0</v>
      </c>
      <c r="DK228" s="270">
        <f t="shared" si="1491"/>
        <v>0</v>
      </c>
      <c r="DL228" s="270">
        <f t="shared" si="1491"/>
        <v>0</v>
      </c>
      <c r="DM228" s="270">
        <f t="shared" si="1491"/>
        <v>0</v>
      </c>
      <c r="DN228" s="270">
        <f t="shared" si="1491"/>
        <v>0</v>
      </c>
      <c r="DO228" s="270">
        <f t="shared" si="1491"/>
        <v>0</v>
      </c>
      <c r="DP228" s="270">
        <f t="shared" si="1491"/>
        <v>0</v>
      </c>
      <c r="DQ228" s="270">
        <f t="shared" si="1491"/>
        <v>0</v>
      </c>
      <c r="DR228" s="270">
        <f t="shared" si="1491"/>
        <v>0</v>
      </c>
      <c r="DS228" s="270">
        <f t="shared" si="1491"/>
        <v>0</v>
      </c>
      <c r="DT228" s="270">
        <f t="shared" si="1491"/>
        <v>0</v>
      </c>
      <c r="DU228" s="270">
        <f t="shared" si="1491"/>
        <v>0</v>
      </c>
      <c r="DV228" s="270">
        <f t="shared" si="1491"/>
        <v>0</v>
      </c>
      <c r="DW228" s="270">
        <f t="shared" si="1491"/>
        <v>0</v>
      </c>
      <c r="DX228" s="270">
        <f t="shared" si="1491"/>
        <v>0</v>
      </c>
      <c r="DY228" s="270">
        <f t="shared" si="29"/>
        <v>0</v>
      </c>
      <c r="DZ228" s="274"/>
      <c r="EA228" s="275">
        <f t="shared" si="38"/>
        <v>0</v>
      </c>
      <c r="EB228" s="270">
        <f t="shared" ref="EB228:FC228" si="1492">IF(AJ226&lt;=0,0,IF($C227&lt;=SUM($EA228:EA228),0,IF(CU227+$C227-SUM($EA228:EA228)&gt;AJ226+BO227,AJ226+BO227-CU227,$C227-SUM($EA228:EA228))))</f>
        <v>0</v>
      </c>
      <c r="EC228" s="270">
        <f t="shared" si="1492"/>
        <v>0</v>
      </c>
      <c r="ED228" s="270">
        <f t="shared" si="1492"/>
        <v>0</v>
      </c>
      <c r="EE228" s="270">
        <f t="shared" si="1492"/>
        <v>0</v>
      </c>
      <c r="EF228" s="270">
        <f t="shared" si="1492"/>
        <v>0</v>
      </c>
      <c r="EG228" s="270">
        <f t="shared" si="1492"/>
        <v>0</v>
      </c>
      <c r="EH228" s="270">
        <f t="shared" si="1492"/>
        <v>0</v>
      </c>
      <c r="EI228" s="270">
        <f t="shared" si="1492"/>
        <v>0</v>
      </c>
      <c r="EJ228" s="270">
        <f t="shared" si="1492"/>
        <v>0</v>
      </c>
      <c r="EK228" s="270">
        <f t="shared" si="1492"/>
        <v>0</v>
      </c>
      <c r="EL228" s="270">
        <f t="shared" si="1492"/>
        <v>0</v>
      </c>
      <c r="EM228" s="270">
        <f t="shared" si="1492"/>
        <v>0</v>
      </c>
      <c r="EN228" s="270">
        <f t="shared" si="1492"/>
        <v>0</v>
      </c>
      <c r="EO228" s="270">
        <f t="shared" si="1492"/>
        <v>0</v>
      </c>
      <c r="EP228" s="270">
        <f t="shared" si="1492"/>
        <v>0</v>
      </c>
      <c r="EQ228" s="270">
        <f t="shared" si="1492"/>
        <v>0</v>
      </c>
      <c r="ER228" s="270">
        <f t="shared" si="1492"/>
        <v>0</v>
      </c>
      <c r="ES228" s="270">
        <f t="shared" si="1492"/>
        <v>0</v>
      </c>
      <c r="ET228" s="270">
        <f t="shared" si="1492"/>
        <v>0</v>
      </c>
      <c r="EU228" s="270">
        <f t="shared" si="1492"/>
        <v>0</v>
      </c>
      <c r="EV228" s="270">
        <f t="shared" si="1492"/>
        <v>0</v>
      </c>
      <c r="EW228" s="270">
        <f t="shared" si="1492"/>
        <v>0</v>
      </c>
      <c r="EX228" s="270">
        <f t="shared" si="1492"/>
        <v>0</v>
      </c>
      <c r="EY228" s="270">
        <f t="shared" si="1492"/>
        <v>0</v>
      </c>
      <c r="EZ228" s="270">
        <f t="shared" si="1492"/>
        <v>0</v>
      </c>
      <c r="FA228" s="270">
        <f t="shared" si="1492"/>
        <v>0</v>
      </c>
      <c r="FB228" s="270">
        <f t="shared" si="1492"/>
        <v>0</v>
      </c>
      <c r="FC228" s="270">
        <f t="shared" si="1492"/>
        <v>0</v>
      </c>
      <c r="FD228" s="271"/>
      <c r="FE228" s="271"/>
      <c r="FF228" s="271"/>
      <c r="FG228" s="215"/>
      <c r="FH228" s="215"/>
    </row>
    <row r="229" ht="11.25" customHeight="1">
      <c r="A229" s="215" t="str">
        <f t="shared" si="19"/>
        <v/>
      </c>
      <c r="B229" s="241" t="str">
        <f t="shared" si="600"/>
        <v>#N/A</v>
      </c>
      <c r="C229" s="271" t="str">
        <f>IF(A229="","",IF(Calculator!snowball,IF(($E$5-DY229)&lt;0,0,$E$5-DY229),0)+D229)</f>
        <v/>
      </c>
      <c r="D229" s="271"/>
      <c r="E229" s="270">
        <f t="shared" si="40"/>
        <v>0</v>
      </c>
      <c r="F229" s="270">
        <f t="shared" ref="F229:AG229" si="1493">CU229+EB230</f>
        <v>0</v>
      </c>
      <c r="G229" s="270">
        <f t="shared" si="1493"/>
        <v>0</v>
      </c>
      <c r="H229" s="270">
        <f t="shared" si="1493"/>
        <v>0</v>
      </c>
      <c r="I229" s="270">
        <f t="shared" si="1493"/>
        <v>0</v>
      </c>
      <c r="J229" s="270">
        <f t="shared" si="1493"/>
        <v>0</v>
      </c>
      <c r="K229" s="270">
        <f t="shared" si="1493"/>
        <v>0</v>
      </c>
      <c r="L229" s="270">
        <f t="shared" si="1493"/>
        <v>0</v>
      </c>
      <c r="M229" s="270">
        <f t="shared" si="1493"/>
        <v>0</v>
      </c>
      <c r="N229" s="270">
        <f t="shared" si="1493"/>
        <v>0</v>
      </c>
      <c r="O229" s="270">
        <f t="shared" si="1493"/>
        <v>0</v>
      </c>
      <c r="P229" s="272">
        <f t="shared" si="1493"/>
        <v>0</v>
      </c>
      <c r="Q229" s="272">
        <f t="shared" si="1493"/>
        <v>0</v>
      </c>
      <c r="R229" s="272">
        <f t="shared" si="1493"/>
        <v>0</v>
      </c>
      <c r="S229" s="272">
        <f t="shared" si="1493"/>
        <v>0</v>
      </c>
      <c r="T229" s="272">
        <f t="shared" si="1493"/>
        <v>0</v>
      </c>
      <c r="U229" s="270">
        <f t="shared" si="1493"/>
        <v>0</v>
      </c>
      <c r="V229" s="270">
        <f t="shared" si="1493"/>
        <v>0</v>
      </c>
      <c r="W229" s="270">
        <f t="shared" si="1493"/>
        <v>0</v>
      </c>
      <c r="X229" s="270">
        <f t="shared" si="1493"/>
        <v>0</v>
      </c>
      <c r="Y229" s="270">
        <f t="shared" si="1493"/>
        <v>0</v>
      </c>
      <c r="Z229" s="270">
        <f t="shared" si="1493"/>
        <v>0</v>
      </c>
      <c r="AA229" s="270">
        <f t="shared" si="1493"/>
        <v>0</v>
      </c>
      <c r="AB229" s="270">
        <f t="shared" si="1493"/>
        <v>0</v>
      </c>
      <c r="AC229" s="270">
        <f t="shared" si="1493"/>
        <v>0</v>
      </c>
      <c r="AD229" s="270">
        <f t="shared" si="1493"/>
        <v>0</v>
      </c>
      <c r="AE229" s="270">
        <f t="shared" si="1493"/>
        <v>0</v>
      </c>
      <c r="AF229" s="270">
        <f t="shared" si="1493"/>
        <v>0</v>
      </c>
      <c r="AG229" s="270">
        <f t="shared" si="1493"/>
        <v>0</v>
      </c>
      <c r="AH229" s="279">
        <f t="shared" si="602"/>
        <v>0</v>
      </c>
      <c r="AI229" s="270">
        <f t="shared" si="43"/>
        <v>0</v>
      </c>
      <c r="AJ229" s="270">
        <f t="shared" ref="AJ229:AO229" si="1494">IF(F$8=0,0,ROUND(AJ228-(F229-BO229),2))</f>
        <v>0</v>
      </c>
      <c r="AK229" s="270">
        <f t="shared" si="1494"/>
        <v>0</v>
      </c>
      <c r="AL229" s="270">
        <f t="shared" si="1494"/>
        <v>0</v>
      </c>
      <c r="AM229" s="270">
        <f t="shared" si="1494"/>
        <v>0</v>
      </c>
      <c r="AN229" s="270">
        <f t="shared" si="1494"/>
        <v>0</v>
      </c>
      <c r="AO229" s="270">
        <f t="shared" si="1494"/>
        <v>0</v>
      </c>
      <c r="AP229" s="270">
        <v>0.0</v>
      </c>
      <c r="AQ229" s="270">
        <f t="shared" ref="AQ229:AS229" si="1495">IF(M$8=0,0,ROUND(AQ228-(M229-BV229),2))</f>
        <v>0</v>
      </c>
      <c r="AR229" s="270">
        <f t="shared" si="1495"/>
        <v>0</v>
      </c>
      <c r="AS229" s="270">
        <f t="shared" si="1495"/>
        <v>0</v>
      </c>
      <c r="AT229" s="270">
        <f t="shared" si="605"/>
        <v>-6.22</v>
      </c>
      <c r="AU229" s="270">
        <f t="shared" ref="AU229:BK229" si="1496">IF(Q$8=0,0,ROUND(AU228-(Q229-BY229),2))</f>
        <v>-14.48</v>
      </c>
      <c r="AV229" s="270">
        <f t="shared" si="1496"/>
        <v>0</v>
      </c>
      <c r="AW229" s="270">
        <f t="shared" si="1496"/>
        <v>0</v>
      </c>
      <c r="AX229" s="270">
        <f t="shared" si="1496"/>
        <v>0</v>
      </c>
      <c r="AY229" s="270">
        <f t="shared" si="1496"/>
        <v>0</v>
      </c>
      <c r="AZ229" s="270">
        <f t="shared" si="1496"/>
        <v>0</v>
      </c>
      <c r="BA229" s="270">
        <f t="shared" si="1496"/>
        <v>0</v>
      </c>
      <c r="BB229" s="270">
        <f t="shared" si="1496"/>
        <v>0</v>
      </c>
      <c r="BC229" s="270">
        <f t="shared" si="1496"/>
        <v>0</v>
      </c>
      <c r="BD229" s="270">
        <f t="shared" si="1496"/>
        <v>0</v>
      </c>
      <c r="BE229" s="270">
        <f t="shared" si="1496"/>
        <v>0</v>
      </c>
      <c r="BF229" s="270">
        <f t="shared" si="1496"/>
        <v>0</v>
      </c>
      <c r="BG229" s="270">
        <f t="shared" si="1496"/>
        <v>0</v>
      </c>
      <c r="BH229" s="270">
        <f t="shared" si="1496"/>
        <v>0</v>
      </c>
      <c r="BI229" s="270">
        <f t="shared" si="1496"/>
        <v>0</v>
      </c>
      <c r="BJ229" s="270">
        <f t="shared" si="1496"/>
        <v>0</v>
      </c>
      <c r="BK229" s="270">
        <f t="shared" si="1496"/>
        <v>0</v>
      </c>
      <c r="BL229" s="265">
        <f t="shared" si="16"/>
        <v>-20.7</v>
      </c>
      <c r="BM229" s="215"/>
      <c r="BN229" s="270">
        <f t="shared" ref="BN229:CP229" si="1497">ROUND(AI228*E$9/12,2)</f>
        <v>0</v>
      </c>
      <c r="BO229" s="270">
        <f t="shared" si="1497"/>
        <v>0</v>
      </c>
      <c r="BP229" s="270">
        <f t="shared" si="1497"/>
        <v>0</v>
      </c>
      <c r="BQ229" s="270">
        <f t="shared" si="1497"/>
        <v>0</v>
      </c>
      <c r="BR229" s="270">
        <f t="shared" si="1497"/>
        <v>0</v>
      </c>
      <c r="BS229" s="270">
        <f t="shared" si="1497"/>
        <v>0</v>
      </c>
      <c r="BT229" s="270">
        <f t="shared" si="1497"/>
        <v>0</v>
      </c>
      <c r="BU229" s="270">
        <f t="shared" si="1497"/>
        <v>0</v>
      </c>
      <c r="BV229" s="270">
        <f t="shared" si="1497"/>
        <v>0</v>
      </c>
      <c r="BW229" s="270">
        <f t="shared" si="1497"/>
        <v>0</v>
      </c>
      <c r="BX229" s="270">
        <f t="shared" si="1497"/>
        <v>0</v>
      </c>
      <c r="BY229" s="270">
        <f t="shared" si="1497"/>
        <v>-0.05</v>
      </c>
      <c r="BZ229" s="270">
        <f t="shared" si="1497"/>
        <v>-0.05</v>
      </c>
      <c r="CA229" s="270">
        <f t="shared" si="1497"/>
        <v>0</v>
      </c>
      <c r="CB229" s="270">
        <f t="shared" si="1497"/>
        <v>0</v>
      </c>
      <c r="CC229" s="270">
        <f t="shared" si="1497"/>
        <v>0</v>
      </c>
      <c r="CD229" s="270">
        <f t="shared" si="1497"/>
        <v>0</v>
      </c>
      <c r="CE229" s="270">
        <f t="shared" si="1497"/>
        <v>0</v>
      </c>
      <c r="CF229" s="270">
        <f t="shared" si="1497"/>
        <v>0</v>
      </c>
      <c r="CG229" s="270">
        <f t="shared" si="1497"/>
        <v>0</v>
      </c>
      <c r="CH229" s="270">
        <f t="shared" si="1497"/>
        <v>0</v>
      </c>
      <c r="CI229" s="270">
        <f t="shared" si="1497"/>
        <v>0</v>
      </c>
      <c r="CJ229" s="270">
        <f t="shared" si="1497"/>
        <v>0</v>
      </c>
      <c r="CK229" s="270">
        <f t="shared" si="1497"/>
        <v>0</v>
      </c>
      <c r="CL229" s="270">
        <f t="shared" si="1497"/>
        <v>0</v>
      </c>
      <c r="CM229" s="270">
        <f t="shared" si="1497"/>
        <v>0</v>
      </c>
      <c r="CN229" s="270">
        <f t="shared" si="1497"/>
        <v>0</v>
      </c>
      <c r="CO229" s="270">
        <f t="shared" si="1497"/>
        <v>0</v>
      </c>
      <c r="CP229" s="270">
        <f t="shared" si="1497"/>
        <v>0</v>
      </c>
      <c r="CQ229" s="215"/>
      <c r="CR229" s="270">
        <f t="shared" si="27"/>
        <v>-0.1</v>
      </c>
      <c r="CS229" s="215"/>
      <c r="CT229" s="270">
        <f t="shared" ref="CT229:DX229" si="1498">IF(AI228&gt;0,IF((AI228+BN229)&lt;E$10,AI228+BN229,E$10),0)</f>
        <v>0</v>
      </c>
      <c r="CU229" s="270">
        <f t="shared" si="1498"/>
        <v>0</v>
      </c>
      <c r="CV229" s="270">
        <f t="shared" si="1498"/>
        <v>0</v>
      </c>
      <c r="CW229" s="270">
        <f t="shared" si="1498"/>
        <v>0</v>
      </c>
      <c r="CX229" s="270">
        <f t="shared" si="1498"/>
        <v>0</v>
      </c>
      <c r="CY229" s="270">
        <f t="shared" si="1498"/>
        <v>0</v>
      </c>
      <c r="CZ229" s="270">
        <f t="shared" si="1498"/>
        <v>0</v>
      </c>
      <c r="DA229" s="270">
        <f t="shared" si="1498"/>
        <v>0</v>
      </c>
      <c r="DB229" s="270">
        <f t="shared" si="1498"/>
        <v>0</v>
      </c>
      <c r="DC229" s="270">
        <f t="shared" si="1498"/>
        <v>0</v>
      </c>
      <c r="DD229" s="270">
        <f t="shared" si="1498"/>
        <v>0</v>
      </c>
      <c r="DE229" s="270">
        <f t="shared" si="1498"/>
        <v>0</v>
      </c>
      <c r="DF229" s="270">
        <f t="shared" si="1498"/>
        <v>0</v>
      </c>
      <c r="DG229" s="270">
        <f t="shared" si="1498"/>
        <v>0</v>
      </c>
      <c r="DH229" s="270">
        <f t="shared" si="1498"/>
        <v>0</v>
      </c>
      <c r="DI229" s="270">
        <f t="shared" si="1498"/>
        <v>0</v>
      </c>
      <c r="DJ229" s="270">
        <f t="shared" si="1498"/>
        <v>0</v>
      </c>
      <c r="DK229" s="270">
        <f t="shared" si="1498"/>
        <v>0</v>
      </c>
      <c r="DL229" s="270">
        <f t="shared" si="1498"/>
        <v>0</v>
      </c>
      <c r="DM229" s="270">
        <f t="shared" si="1498"/>
        <v>0</v>
      </c>
      <c r="DN229" s="270">
        <f t="shared" si="1498"/>
        <v>0</v>
      </c>
      <c r="DO229" s="270">
        <f t="shared" si="1498"/>
        <v>0</v>
      </c>
      <c r="DP229" s="270">
        <f t="shared" si="1498"/>
        <v>0</v>
      </c>
      <c r="DQ229" s="270">
        <f t="shared" si="1498"/>
        <v>0</v>
      </c>
      <c r="DR229" s="270">
        <f t="shared" si="1498"/>
        <v>0</v>
      </c>
      <c r="DS229" s="270">
        <f t="shared" si="1498"/>
        <v>0</v>
      </c>
      <c r="DT229" s="270">
        <f t="shared" si="1498"/>
        <v>0</v>
      </c>
      <c r="DU229" s="270">
        <f t="shared" si="1498"/>
        <v>0</v>
      </c>
      <c r="DV229" s="270">
        <f t="shared" si="1498"/>
        <v>0</v>
      </c>
      <c r="DW229" s="270">
        <f t="shared" si="1498"/>
        <v>0</v>
      </c>
      <c r="DX229" s="270">
        <f t="shared" si="1498"/>
        <v>0</v>
      </c>
      <c r="DY229" s="270">
        <f t="shared" si="29"/>
        <v>0</v>
      </c>
      <c r="DZ229" s="274"/>
      <c r="EA229" s="275">
        <f t="shared" si="38"/>
        <v>0</v>
      </c>
      <c r="EB229" s="270">
        <f t="shared" ref="EB229:FC229" si="1499">IF(AJ227&lt;=0,0,IF($C228&lt;=SUM($EA229:EA229),0,IF(CU228+$C228-SUM($EA229:EA229)&gt;AJ227+BO228,AJ227+BO228-CU228,$C228-SUM($EA229:EA229))))</f>
        <v>0</v>
      </c>
      <c r="EC229" s="270">
        <f t="shared" si="1499"/>
        <v>0</v>
      </c>
      <c r="ED229" s="270">
        <f t="shared" si="1499"/>
        <v>0</v>
      </c>
      <c r="EE229" s="270">
        <f t="shared" si="1499"/>
        <v>0</v>
      </c>
      <c r="EF229" s="270">
        <f t="shared" si="1499"/>
        <v>0</v>
      </c>
      <c r="EG229" s="270">
        <f t="shared" si="1499"/>
        <v>0</v>
      </c>
      <c r="EH229" s="270">
        <f t="shared" si="1499"/>
        <v>0</v>
      </c>
      <c r="EI229" s="270">
        <f t="shared" si="1499"/>
        <v>0</v>
      </c>
      <c r="EJ229" s="270">
        <f t="shared" si="1499"/>
        <v>0</v>
      </c>
      <c r="EK229" s="270">
        <f t="shared" si="1499"/>
        <v>0</v>
      </c>
      <c r="EL229" s="270">
        <f t="shared" si="1499"/>
        <v>0</v>
      </c>
      <c r="EM229" s="270">
        <f t="shared" si="1499"/>
        <v>0</v>
      </c>
      <c r="EN229" s="270">
        <f t="shared" si="1499"/>
        <v>0</v>
      </c>
      <c r="EO229" s="270">
        <f t="shared" si="1499"/>
        <v>0</v>
      </c>
      <c r="EP229" s="270">
        <f t="shared" si="1499"/>
        <v>0</v>
      </c>
      <c r="EQ229" s="270">
        <f t="shared" si="1499"/>
        <v>0</v>
      </c>
      <c r="ER229" s="270">
        <f t="shared" si="1499"/>
        <v>0</v>
      </c>
      <c r="ES229" s="270">
        <f t="shared" si="1499"/>
        <v>0</v>
      </c>
      <c r="ET229" s="270">
        <f t="shared" si="1499"/>
        <v>0</v>
      </c>
      <c r="EU229" s="270">
        <f t="shared" si="1499"/>
        <v>0</v>
      </c>
      <c r="EV229" s="270">
        <f t="shared" si="1499"/>
        <v>0</v>
      </c>
      <c r="EW229" s="270">
        <f t="shared" si="1499"/>
        <v>0</v>
      </c>
      <c r="EX229" s="270">
        <f t="shared" si="1499"/>
        <v>0</v>
      </c>
      <c r="EY229" s="270">
        <f t="shared" si="1499"/>
        <v>0</v>
      </c>
      <c r="EZ229" s="270">
        <f t="shared" si="1499"/>
        <v>0</v>
      </c>
      <c r="FA229" s="270">
        <f t="shared" si="1499"/>
        <v>0</v>
      </c>
      <c r="FB229" s="270">
        <f t="shared" si="1499"/>
        <v>0</v>
      </c>
      <c r="FC229" s="270">
        <f t="shared" si="1499"/>
        <v>0</v>
      </c>
      <c r="FD229" s="271"/>
      <c r="FE229" s="271"/>
      <c r="FF229" s="271"/>
      <c r="FG229" s="215"/>
      <c r="FH229" s="215"/>
    </row>
    <row r="230" ht="11.25" customHeight="1">
      <c r="A230" s="215" t="str">
        <f t="shared" si="19"/>
        <v/>
      </c>
      <c r="B230" s="241" t="str">
        <f t="shared" si="600"/>
        <v>#N/A</v>
      </c>
      <c r="C230" s="271" t="str">
        <f>IF(A230="","",IF(Calculator!snowball,IF(($E$5-DY230)&lt;0,0,$E$5-DY230),0)+D230)</f>
        <v/>
      </c>
      <c r="D230" s="271"/>
      <c r="E230" s="270">
        <f t="shared" si="40"/>
        <v>0</v>
      </c>
      <c r="F230" s="270">
        <f t="shared" ref="F230:AG230" si="1500">CU230+EB231</f>
        <v>0</v>
      </c>
      <c r="G230" s="270">
        <f t="shared" si="1500"/>
        <v>0</v>
      </c>
      <c r="H230" s="270">
        <f t="shared" si="1500"/>
        <v>0</v>
      </c>
      <c r="I230" s="270">
        <f t="shared" si="1500"/>
        <v>0</v>
      </c>
      <c r="J230" s="270">
        <f t="shared" si="1500"/>
        <v>0</v>
      </c>
      <c r="K230" s="270">
        <f t="shared" si="1500"/>
        <v>0</v>
      </c>
      <c r="L230" s="270">
        <f t="shared" si="1500"/>
        <v>0</v>
      </c>
      <c r="M230" s="270">
        <f t="shared" si="1500"/>
        <v>0</v>
      </c>
      <c r="N230" s="270">
        <f t="shared" si="1500"/>
        <v>0</v>
      </c>
      <c r="O230" s="270">
        <f t="shared" si="1500"/>
        <v>0</v>
      </c>
      <c r="P230" s="272">
        <f t="shared" si="1500"/>
        <v>0</v>
      </c>
      <c r="Q230" s="272">
        <f t="shared" si="1500"/>
        <v>0</v>
      </c>
      <c r="R230" s="272">
        <f t="shared" si="1500"/>
        <v>0</v>
      </c>
      <c r="S230" s="272">
        <f t="shared" si="1500"/>
        <v>0</v>
      </c>
      <c r="T230" s="272">
        <f t="shared" si="1500"/>
        <v>0</v>
      </c>
      <c r="U230" s="270">
        <f t="shared" si="1500"/>
        <v>0</v>
      </c>
      <c r="V230" s="270">
        <f t="shared" si="1500"/>
        <v>0</v>
      </c>
      <c r="W230" s="270">
        <f t="shared" si="1500"/>
        <v>0</v>
      </c>
      <c r="X230" s="270">
        <f t="shared" si="1500"/>
        <v>0</v>
      </c>
      <c r="Y230" s="270">
        <f t="shared" si="1500"/>
        <v>0</v>
      </c>
      <c r="Z230" s="270">
        <f t="shared" si="1500"/>
        <v>0</v>
      </c>
      <c r="AA230" s="270">
        <f t="shared" si="1500"/>
        <v>0</v>
      </c>
      <c r="AB230" s="270">
        <f t="shared" si="1500"/>
        <v>0</v>
      </c>
      <c r="AC230" s="270">
        <f t="shared" si="1500"/>
        <v>0</v>
      </c>
      <c r="AD230" s="270">
        <f t="shared" si="1500"/>
        <v>0</v>
      </c>
      <c r="AE230" s="270">
        <f t="shared" si="1500"/>
        <v>0</v>
      </c>
      <c r="AF230" s="270">
        <f t="shared" si="1500"/>
        <v>0</v>
      </c>
      <c r="AG230" s="270">
        <f t="shared" si="1500"/>
        <v>0</v>
      </c>
      <c r="AH230" s="279">
        <f t="shared" si="602"/>
        <v>0</v>
      </c>
      <c r="AI230" s="270">
        <f t="shared" si="43"/>
        <v>0</v>
      </c>
      <c r="AJ230" s="270">
        <f t="shared" ref="AJ230:AO230" si="1501">IF(F$8=0,0,ROUND(AJ229-(F230-BO230),2))</f>
        <v>0</v>
      </c>
      <c r="AK230" s="270">
        <f t="shared" si="1501"/>
        <v>0</v>
      </c>
      <c r="AL230" s="270">
        <f t="shared" si="1501"/>
        <v>0</v>
      </c>
      <c r="AM230" s="270">
        <f t="shared" si="1501"/>
        <v>0</v>
      </c>
      <c r="AN230" s="270">
        <f t="shared" si="1501"/>
        <v>0</v>
      </c>
      <c r="AO230" s="270">
        <f t="shared" si="1501"/>
        <v>0</v>
      </c>
      <c r="AP230" s="270">
        <v>0.0</v>
      </c>
      <c r="AQ230" s="270">
        <f t="shared" ref="AQ230:AS230" si="1502">IF(M$8=0,0,ROUND(AQ229-(M230-BV230),2))</f>
        <v>0</v>
      </c>
      <c r="AR230" s="270">
        <f t="shared" si="1502"/>
        <v>0</v>
      </c>
      <c r="AS230" s="270">
        <f t="shared" si="1502"/>
        <v>0</v>
      </c>
      <c r="AT230" s="270">
        <f t="shared" si="605"/>
        <v>-6.22</v>
      </c>
      <c r="AU230" s="270">
        <f t="shared" ref="AU230:BK230" si="1503">IF(Q$8=0,0,ROUND(AU229-(Q230-BY230),2))</f>
        <v>-14.53</v>
      </c>
      <c r="AV230" s="270">
        <f t="shared" si="1503"/>
        <v>0</v>
      </c>
      <c r="AW230" s="270">
        <f t="shared" si="1503"/>
        <v>0</v>
      </c>
      <c r="AX230" s="270">
        <f t="shared" si="1503"/>
        <v>0</v>
      </c>
      <c r="AY230" s="270">
        <f t="shared" si="1503"/>
        <v>0</v>
      </c>
      <c r="AZ230" s="270">
        <f t="shared" si="1503"/>
        <v>0</v>
      </c>
      <c r="BA230" s="270">
        <f t="shared" si="1503"/>
        <v>0</v>
      </c>
      <c r="BB230" s="270">
        <f t="shared" si="1503"/>
        <v>0</v>
      </c>
      <c r="BC230" s="270">
        <f t="shared" si="1503"/>
        <v>0</v>
      </c>
      <c r="BD230" s="270">
        <f t="shared" si="1503"/>
        <v>0</v>
      </c>
      <c r="BE230" s="270">
        <f t="shared" si="1503"/>
        <v>0</v>
      </c>
      <c r="BF230" s="270">
        <f t="shared" si="1503"/>
        <v>0</v>
      </c>
      <c r="BG230" s="270">
        <f t="shared" si="1503"/>
        <v>0</v>
      </c>
      <c r="BH230" s="270">
        <f t="shared" si="1503"/>
        <v>0</v>
      </c>
      <c r="BI230" s="270">
        <f t="shared" si="1503"/>
        <v>0</v>
      </c>
      <c r="BJ230" s="270">
        <f t="shared" si="1503"/>
        <v>0</v>
      </c>
      <c r="BK230" s="270">
        <f t="shared" si="1503"/>
        <v>0</v>
      </c>
      <c r="BL230" s="265">
        <f t="shared" si="16"/>
        <v>-20.75</v>
      </c>
      <c r="BM230" s="215"/>
      <c r="BN230" s="270">
        <f t="shared" ref="BN230:CP230" si="1504">ROUND(AI229*E$9/12,2)</f>
        <v>0</v>
      </c>
      <c r="BO230" s="270">
        <f t="shared" si="1504"/>
        <v>0</v>
      </c>
      <c r="BP230" s="270">
        <f t="shared" si="1504"/>
        <v>0</v>
      </c>
      <c r="BQ230" s="270">
        <f t="shared" si="1504"/>
        <v>0</v>
      </c>
      <c r="BR230" s="270">
        <f t="shared" si="1504"/>
        <v>0</v>
      </c>
      <c r="BS230" s="270">
        <f t="shared" si="1504"/>
        <v>0</v>
      </c>
      <c r="BT230" s="270">
        <f t="shared" si="1504"/>
        <v>0</v>
      </c>
      <c r="BU230" s="270">
        <f t="shared" si="1504"/>
        <v>0</v>
      </c>
      <c r="BV230" s="270">
        <f t="shared" si="1504"/>
        <v>0</v>
      </c>
      <c r="BW230" s="270">
        <f t="shared" si="1504"/>
        <v>0</v>
      </c>
      <c r="BX230" s="270">
        <f t="shared" si="1504"/>
        <v>0</v>
      </c>
      <c r="BY230" s="270">
        <f t="shared" si="1504"/>
        <v>-0.05</v>
      </c>
      <c r="BZ230" s="270">
        <f t="shared" si="1504"/>
        <v>-0.05</v>
      </c>
      <c r="CA230" s="270">
        <f t="shared" si="1504"/>
        <v>0</v>
      </c>
      <c r="CB230" s="270">
        <f t="shared" si="1504"/>
        <v>0</v>
      </c>
      <c r="CC230" s="270">
        <f t="shared" si="1504"/>
        <v>0</v>
      </c>
      <c r="CD230" s="270">
        <f t="shared" si="1504"/>
        <v>0</v>
      </c>
      <c r="CE230" s="270">
        <f t="shared" si="1504"/>
        <v>0</v>
      </c>
      <c r="CF230" s="270">
        <f t="shared" si="1504"/>
        <v>0</v>
      </c>
      <c r="CG230" s="270">
        <f t="shared" si="1504"/>
        <v>0</v>
      </c>
      <c r="CH230" s="270">
        <f t="shared" si="1504"/>
        <v>0</v>
      </c>
      <c r="CI230" s="270">
        <f t="shared" si="1504"/>
        <v>0</v>
      </c>
      <c r="CJ230" s="270">
        <f t="shared" si="1504"/>
        <v>0</v>
      </c>
      <c r="CK230" s="270">
        <f t="shared" si="1504"/>
        <v>0</v>
      </c>
      <c r="CL230" s="270">
        <f t="shared" si="1504"/>
        <v>0</v>
      </c>
      <c r="CM230" s="270">
        <f t="shared" si="1504"/>
        <v>0</v>
      </c>
      <c r="CN230" s="270">
        <f t="shared" si="1504"/>
        <v>0</v>
      </c>
      <c r="CO230" s="270">
        <f t="shared" si="1504"/>
        <v>0</v>
      </c>
      <c r="CP230" s="270">
        <f t="shared" si="1504"/>
        <v>0</v>
      </c>
      <c r="CQ230" s="215"/>
      <c r="CR230" s="270">
        <f t="shared" si="27"/>
        <v>-0.1</v>
      </c>
      <c r="CS230" s="215"/>
      <c r="CT230" s="270">
        <f t="shared" ref="CT230:DX230" si="1505">IF(AI229&gt;0,IF((AI229+BN230)&lt;E$10,AI229+BN230,E$10),0)</f>
        <v>0</v>
      </c>
      <c r="CU230" s="270">
        <f t="shared" si="1505"/>
        <v>0</v>
      </c>
      <c r="CV230" s="270">
        <f t="shared" si="1505"/>
        <v>0</v>
      </c>
      <c r="CW230" s="270">
        <f t="shared" si="1505"/>
        <v>0</v>
      </c>
      <c r="CX230" s="270">
        <f t="shared" si="1505"/>
        <v>0</v>
      </c>
      <c r="CY230" s="270">
        <f t="shared" si="1505"/>
        <v>0</v>
      </c>
      <c r="CZ230" s="270">
        <f t="shared" si="1505"/>
        <v>0</v>
      </c>
      <c r="DA230" s="270">
        <f t="shared" si="1505"/>
        <v>0</v>
      </c>
      <c r="DB230" s="270">
        <f t="shared" si="1505"/>
        <v>0</v>
      </c>
      <c r="DC230" s="270">
        <f t="shared" si="1505"/>
        <v>0</v>
      </c>
      <c r="DD230" s="270">
        <f t="shared" si="1505"/>
        <v>0</v>
      </c>
      <c r="DE230" s="270">
        <f t="shared" si="1505"/>
        <v>0</v>
      </c>
      <c r="DF230" s="270">
        <f t="shared" si="1505"/>
        <v>0</v>
      </c>
      <c r="DG230" s="270">
        <f t="shared" si="1505"/>
        <v>0</v>
      </c>
      <c r="DH230" s="270">
        <f t="shared" si="1505"/>
        <v>0</v>
      </c>
      <c r="DI230" s="270">
        <f t="shared" si="1505"/>
        <v>0</v>
      </c>
      <c r="DJ230" s="270">
        <f t="shared" si="1505"/>
        <v>0</v>
      </c>
      <c r="DK230" s="270">
        <f t="shared" si="1505"/>
        <v>0</v>
      </c>
      <c r="DL230" s="270">
        <f t="shared" si="1505"/>
        <v>0</v>
      </c>
      <c r="DM230" s="270">
        <f t="shared" si="1505"/>
        <v>0</v>
      </c>
      <c r="DN230" s="270">
        <f t="shared" si="1505"/>
        <v>0</v>
      </c>
      <c r="DO230" s="270">
        <f t="shared" si="1505"/>
        <v>0</v>
      </c>
      <c r="DP230" s="270">
        <f t="shared" si="1505"/>
        <v>0</v>
      </c>
      <c r="DQ230" s="270">
        <f t="shared" si="1505"/>
        <v>0</v>
      </c>
      <c r="DR230" s="270">
        <f t="shared" si="1505"/>
        <v>0</v>
      </c>
      <c r="DS230" s="270">
        <f t="shared" si="1505"/>
        <v>0</v>
      </c>
      <c r="DT230" s="270">
        <f t="shared" si="1505"/>
        <v>0</v>
      </c>
      <c r="DU230" s="270">
        <f t="shared" si="1505"/>
        <v>0</v>
      </c>
      <c r="DV230" s="270">
        <f t="shared" si="1505"/>
        <v>0</v>
      </c>
      <c r="DW230" s="270">
        <f t="shared" si="1505"/>
        <v>0</v>
      </c>
      <c r="DX230" s="270">
        <f t="shared" si="1505"/>
        <v>0</v>
      </c>
      <c r="DY230" s="270">
        <f t="shared" si="29"/>
        <v>0</v>
      </c>
      <c r="DZ230" s="274"/>
      <c r="EA230" s="275">
        <f t="shared" si="38"/>
        <v>0</v>
      </c>
      <c r="EB230" s="270">
        <f t="shared" ref="EB230:FC230" si="1506">IF(AJ228&lt;=0,0,IF($C229&lt;=SUM($EA230:EA230),0,IF(CU229+$C229-SUM($EA230:EA230)&gt;AJ228+BO229,AJ228+BO229-CU229,$C229-SUM($EA230:EA230))))</f>
        <v>0</v>
      </c>
      <c r="EC230" s="270">
        <f t="shared" si="1506"/>
        <v>0</v>
      </c>
      <c r="ED230" s="270">
        <f t="shared" si="1506"/>
        <v>0</v>
      </c>
      <c r="EE230" s="270">
        <f t="shared" si="1506"/>
        <v>0</v>
      </c>
      <c r="EF230" s="270">
        <f t="shared" si="1506"/>
        <v>0</v>
      </c>
      <c r="EG230" s="270">
        <f t="shared" si="1506"/>
        <v>0</v>
      </c>
      <c r="EH230" s="270">
        <f t="shared" si="1506"/>
        <v>0</v>
      </c>
      <c r="EI230" s="270">
        <f t="shared" si="1506"/>
        <v>0</v>
      </c>
      <c r="EJ230" s="270">
        <f t="shared" si="1506"/>
        <v>0</v>
      </c>
      <c r="EK230" s="270">
        <f t="shared" si="1506"/>
        <v>0</v>
      </c>
      <c r="EL230" s="270">
        <f t="shared" si="1506"/>
        <v>0</v>
      </c>
      <c r="EM230" s="270">
        <f t="shared" si="1506"/>
        <v>0</v>
      </c>
      <c r="EN230" s="270">
        <f t="shared" si="1506"/>
        <v>0</v>
      </c>
      <c r="EO230" s="270">
        <f t="shared" si="1506"/>
        <v>0</v>
      </c>
      <c r="EP230" s="270">
        <f t="shared" si="1506"/>
        <v>0</v>
      </c>
      <c r="EQ230" s="270">
        <f t="shared" si="1506"/>
        <v>0</v>
      </c>
      <c r="ER230" s="270">
        <f t="shared" si="1506"/>
        <v>0</v>
      </c>
      <c r="ES230" s="270">
        <f t="shared" si="1506"/>
        <v>0</v>
      </c>
      <c r="ET230" s="270">
        <f t="shared" si="1506"/>
        <v>0</v>
      </c>
      <c r="EU230" s="270">
        <f t="shared" si="1506"/>
        <v>0</v>
      </c>
      <c r="EV230" s="270">
        <f t="shared" si="1506"/>
        <v>0</v>
      </c>
      <c r="EW230" s="270">
        <f t="shared" si="1506"/>
        <v>0</v>
      </c>
      <c r="EX230" s="270">
        <f t="shared" si="1506"/>
        <v>0</v>
      </c>
      <c r="EY230" s="270">
        <f t="shared" si="1506"/>
        <v>0</v>
      </c>
      <c r="EZ230" s="270">
        <f t="shared" si="1506"/>
        <v>0</v>
      </c>
      <c r="FA230" s="270">
        <f t="shared" si="1506"/>
        <v>0</v>
      </c>
      <c r="FB230" s="270">
        <f t="shared" si="1506"/>
        <v>0</v>
      </c>
      <c r="FC230" s="270">
        <f t="shared" si="1506"/>
        <v>0</v>
      </c>
      <c r="FD230" s="271"/>
      <c r="FE230" s="271"/>
      <c r="FF230" s="271"/>
      <c r="FG230" s="215"/>
      <c r="FH230" s="215"/>
    </row>
    <row r="231" ht="11.25" customHeight="1">
      <c r="A231" s="215" t="str">
        <f t="shared" si="19"/>
        <v/>
      </c>
      <c r="B231" s="241" t="str">
        <f t="shared" si="600"/>
        <v>#N/A</v>
      </c>
      <c r="C231" s="271" t="str">
        <f>IF(A231="","",IF(Calculator!snowball,IF(($E$5-DY231)&lt;0,0,$E$5-DY231),0)+D231)</f>
        <v/>
      </c>
      <c r="D231" s="271"/>
      <c r="E231" s="270">
        <f t="shared" si="40"/>
        <v>0</v>
      </c>
      <c r="F231" s="270">
        <f t="shared" ref="F231:AG231" si="1507">CU231+EB232</f>
        <v>0</v>
      </c>
      <c r="G231" s="270">
        <f t="shared" si="1507"/>
        <v>0</v>
      </c>
      <c r="H231" s="270">
        <f t="shared" si="1507"/>
        <v>0</v>
      </c>
      <c r="I231" s="270">
        <f t="shared" si="1507"/>
        <v>0</v>
      </c>
      <c r="J231" s="270">
        <f t="shared" si="1507"/>
        <v>0</v>
      </c>
      <c r="K231" s="270">
        <f t="shared" si="1507"/>
        <v>0</v>
      </c>
      <c r="L231" s="270">
        <f t="shared" si="1507"/>
        <v>0</v>
      </c>
      <c r="M231" s="270">
        <f t="shared" si="1507"/>
        <v>0</v>
      </c>
      <c r="N231" s="270">
        <f t="shared" si="1507"/>
        <v>0</v>
      </c>
      <c r="O231" s="270">
        <f t="shared" si="1507"/>
        <v>0</v>
      </c>
      <c r="P231" s="272">
        <f t="shared" si="1507"/>
        <v>0</v>
      </c>
      <c r="Q231" s="272">
        <f t="shared" si="1507"/>
        <v>0</v>
      </c>
      <c r="R231" s="272">
        <f t="shared" si="1507"/>
        <v>0</v>
      </c>
      <c r="S231" s="272">
        <f t="shared" si="1507"/>
        <v>0</v>
      </c>
      <c r="T231" s="272">
        <f t="shared" si="1507"/>
        <v>0</v>
      </c>
      <c r="U231" s="270">
        <f t="shared" si="1507"/>
        <v>0</v>
      </c>
      <c r="V231" s="270">
        <f t="shared" si="1507"/>
        <v>0</v>
      </c>
      <c r="W231" s="270">
        <f t="shared" si="1507"/>
        <v>0</v>
      </c>
      <c r="X231" s="270">
        <f t="shared" si="1507"/>
        <v>0</v>
      </c>
      <c r="Y231" s="270">
        <f t="shared" si="1507"/>
        <v>0</v>
      </c>
      <c r="Z231" s="270">
        <f t="shared" si="1507"/>
        <v>0</v>
      </c>
      <c r="AA231" s="270">
        <f t="shared" si="1507"/>
        <v>0</v>
      </c>
      <c r="AB231" s="270">
        <f t="shared" si="1507"/>
        <v>0</v>
      </c>
      <c r="AC231" s="270">
        <f t="shared" si="1507"/>
        <v>0</v>
      </c>
      <c r="AD231" s="270">
        <f t="shared" si="1507"/>
        <v>0</v>
      </c>
      <c r="AE231" s="270">
        <f t="shared" si="1507"/>
        <v>0</v>
      </c>
      <c r="AF231" s="270">
        <f t="shared" si="1507"/>
        <v>0</v>
      </c>
      <c r="AG231" s="270">
        <f t="shared" si="1507"/>
        <v>0</v>
      </c>
      <c r="AH231" s="279">
        <f t="shared" si="602"/>
        <v>0</v>
      </c>
      <c r="AI231" s="270">
        <f t="shared" si="43"/>
        <v>0</v>
      </c>
      <c r="AJ231" s="270">
        <f t="shared" ref="AJ231:AO231" si="1508">IF(F$8=0,0,ROUND(AJ230-(F231-BO231),2))</f>
        <v>0</v>
      </c>
      <c r="AK231" s="270">
        <f t="shared" si="1508"/>
        <v>0</v>
      </c>
      <c r="AL231" s="270">
        <f t="shared" si="1508"/>
        <v>0</v>
      </c>
      <c r="AM231" s="270">
        <f t="shared" si="1508"/>
        <v>0</v>
      </c>
      <c r="AN231" s="270">
        <f t="shared" si="1508"/>
        <v>0</v>
      </c>
      <c r="AO231" s="270">
        <f t="shared" si="1508"/>
        <v>0</v>
      </c>
      <c r="AP231" s="270">
        <v>0.0</v>
      </c>
      <c r="AQ231" s="270">
        <f t="shared" ref="AQ231:AS231" si="1509">IF(M$8=0,0,ROUND(AQ230-(M231-BV231),2))</f>
        <v>0</v>
      </c>
      <c r="AR231" s="270">
        <f t="shared" si="1509"/>
        <v>0</v>
      </c>
      <c r="AS231" s="270">
        <f t="shared" si="1509"/>
        <v>0</v>
      </c>
      <c r="AT231" s="270">
        <f t="shared" si="605"/>
        <v>-6.22</v>
      </c>
      <c r="AU231" s="270">
        <f t="shared" ref="AU231:BK231" si="1510">IF(Q$8=0,0,ROUND(AU230-(Q231-BY231),2))</f>
        <v>-14.58</v>
      </c>
      <c r="AV231" s="270">
        <f t="shared" si="1510"/>
        <v>0</v>
      </c>
      <c r="AW231" s="270">
        <f t="shared" si="1510"/>
        <v>0</v>
      </c>
      <c r="AX231" s="270">
        <f t="shared" si="1510"/>
        <v>0</v>
      </c>
      <c r="AY231" s="270">
        <f t="shared" si="1510"/>
        <v>0</v>
      </c>
      <c r="AZ231" s="270">
        <f t="shared" si="1510"/>
        <v>0</v>
      </c>
      <c r="BA231" s="270">
        <f t="shared" si="1510"/>
        <v>0</v>
      </c>
      <c r="BB231" s="270">
        <f t="shared" si="1510"/>
        <v>0</v>
      </c>
      <c r="BC231" s="270">
        <f t="shared" si="1510"/>
        <v>0</v>
      </c>
      <c r="BD231" s="270">
        <f t="shared" si="1510"/>
        <v>0</v>
      </c>
      <c r="BE231" s="270">
        <f t="shared" si="1510"/>
        <v>0</v>
      </c>
      <c r="BF231" s="270">
        <f t="shared" si="1510"/>
        <v>0</v>
      </c>
      <c r="BG231" s="270">
        <f t="shared" si="1510"/>
        <v>0</v>
      </c>
      <c r="BH231" s="270">
        <f t="shared" si="1510"/>
        <v>0</v>
      </c>
      <c r="BI231" s="270">
        <f t="shared" si="1510"/>
        <v>0</v>
      </c>
      <c r="BJ231" s="270">
        <f t="shared" si="1510"/>
        <v>0</v>
      </c>
      <c r="BK231" s="270">
        <f t="shared" si="1510"/>
        <v>0</v>
      </c>
      <c r="BL231" s="265">
        <f t="shared" si="16"/>
        <v>-20.8</v>
      </c>
      <c r="BM231" s="215"/>
      <c r="BN231" s="270">
        <f t="shared" ref="BN231:CP231" si="1511">ROUND(AI230*E$9/12,2)</f>
        <v>0</v>
      </c>
      <c r="BO231" s="270">
        <f t="shared" si="1511"/>
        <v>0</v>
      </c>
      <c r="BP231" s="270">
        <f t="shared" si="1511"/>
        <v>0</v>
      </c>
      <c r="BQ231" s="270">
        <f t="shared" si="1511"/>
        <v>0</v>
      </c>
      <c r="BR231" s="270">
        <f t="shared" si="1511"/>
        <v>0</v>
      </c>
      <c r="BS231" s="270">
        <f t="shared" si="1511"/>
        <v>0</v>
      </c>
      <c r="BT231" s="270">
        <f t="shared" si="1511"/>
        <v>0</v>
      </c>
      <c r="BU231" s="270">
        <f t="shared" si="1511"/>
        <v>0</v>
      </c>
      <c r="BV231" s="270">
        <f t="shared" si="1511"/>
        <v>0</v>
      </c>
      <c r="BW231" s="270">
        <f t="shared" si="1511"/>
        <v>0</v>
      </c>
      <c r="BX231" s="270">
        <f t="shared" si="1511"/>
        <v>0</v>
      </c>
      <c r="BY231" s="270">
        <f t="shared" si="1511"/>
        <v>-0.05</v>
      </c>
      <c r="BZ231" s="270">
        <f t="shared" si="1511"/>
        <v>-0.05</v>
      </c>
      <c r="CA231" s="270">
        <f t="shared" si="1511"/>
        <v>0</v>
      </c>
      <c r="CB231" s="270">
        <f t="shared" si="1511"/>
        <v>0</v>
      </c>
      <c r="CC231" s="270">
        <f t="shared" si="1511"/>
        <v>0</v>
      </c>
      <c r="CD231" s="270">
        <f t="shared" si="1511"/>
        <v>0</v>
      </c>
      <c r="CE231" s="270">
        <f t="shared" si="1511"/>
        <v>0</v>
      </c>
      <c r="CF231" s="270">
        <f t="shared" si="1511"/>
        <v>0</v>
      </c>
      <c r="CG231" s="270">
        <f t="shared" si="1511"/>
        <v>0</v>
      </c>
      <c r="CH231" s="270">
        <f t="shared" si="1511"/>
        <v>0</v>
      </c>
      <c r="CI231" s="270">
        <f t="shared" si="1511"/>
        <v>0</v>
      </c>
      <c r="CJ231" s="270">
        <f t="shared" si="1511"/>
        <v>0</v>
      </c>
      <c r="CK231" s="270">
        <f t="shared" si="1511"/>
        <v>0</v>
      </c>
      <c r="CL231" s="270">
        <f t="shared" si="1511"/>
        <v>0</v>
      </c>
      <c r="CM231" s="270">
        <f t="shared" si="1511"/>
        <v>0</v>
      </c>
      <c r="CN231" s="270">
        <f t="shared" si="1511"/>
        <v>0</v>
      </c>
      <c r="CO231" s="270">
        <f t="shared" si="1511"/>
        <v>0</v>
      </c>
      <c r="CP231" s="270">
        <f t="shared" si="1511"/>
        <v>0</v>
      </c>
      <c r="CQ231" s="215"/>
      <c r="CR231" s="270">
        <f t="shared" si="27"/>
        <v>-0.1</v>
      </c>
      <c r="CS231" s="215"/>
      <c r="CT231" s="270">
        <f t="shared" ref="CT231:DX231" si="1512">IF(AI230&gt;0,IF((AI230+BN231)&lt;E$10,AI230+BN231,E$10),0)</f>
        <v>0</v>
      </c>
      <c r="CU231" s="270">
        <f t="shared" si="1512"/>
        <v>0</v>
      </c>
      <c r="CV231" s="270">
        <f t="shared" si="1512"/>
        <v>0</v>
      </c>
      <c r="CW231" s="270">
        <f t="shared" si="1512"/>
        <v>0</v>
      </c>
      <c r="CX231" s="270">
        <f t="shared" si="1512"/>
        <v>0</v>
      </c>
      <c r="CY231" s="270">
        <f t="shared" si="1512"/>
        <v>0</v>
      </c>
      <c r="CZ231" s="270">
        <f t="shared" si="1512"/>
        <v>0</v>
      </c>
      <c r="DA231" s="270">
        <f t="shared" si="1512"/>
        <v>0</v>
      </c>
      <c r="DB231" s="270">
        <f t="shared" si="1512"/>
        <v>0</v>
      </c>
      <c r="DC231" s="270">
        <f t="shared" si="1512"/>
        <v>0</v>
      </c>
      <c r="DD231" s="270">
        <f t="shared" si="1512"/>
        <v>0</v>
      </c>
      <c r="DE231" s="270">
        <f t="shared" si="1512"/>
        <v>0</v>
      </c>
      <c r="DF231" s="270">
        <f t="shared" si="1512"/>
        <v>0</v>
      </c>
      <c r="DG231" s="270">
        <f t="shared" si="1512"/>
        <v>0</v>
      </c>
      <c r="DH231" s="270">
        <f t="shared" si="1512"/>
        <v>0</v>
      </c>
      <c r="DI231" s="270">
        <f t="shared" si="1512"/>
        <v>0</v>
      </c>
      <c r="DJ231" s="270">
        <f t="shared" si="1512"/>
        <v>0</v>
      </c>
      <c r="DK231" s="270">
        <f t="shared" si="1512"/>
        <v>0</v>
      </c>
      <c r="DL231" s="270">
        <f t="shared" si="1512"/>
        <v>0</v>
      </c>
      <c r="DM231" s="270">
        <f t="shared" si="1512"/>
        <v>0</v>
      </c>
      <c r="DN231" s="270">
        <f t="shared" si="1512"/>
        <v>0</v>
      </c>
      <c r="DO231" s="270">
        <f t="shared" si="1512"/>
        <v>0</v>
      </c>
      <c r="DP231" s="270">
        <f t="shared" si="1512"/>
        <v>0</v>
      </c>
      <c r="DQ231" s="270">
        <f t="shared" si="1512"/>
        <v>0</v>
      </c>
      <c r="DR231" s="270">
        <f t="shared" si="1512"/>
        <v>0</v>
      </c>
      <c r="DS231" s="270">
        <f t="shared" si="1512"/>
        <v>0</v>
      </c>
      <c r="DT231" s="270">
        <f t="shared" si="1512"/>
        <v>0</v>
      </c>
      <c r="DU231" s="270">
        <f t="shared" si="1512"/>
        <v>0</v>
      </c>
      <c r="DV231" s="270">
        <f t="shared" si="1512"/>
        <v>0</v>
      </c>
      <c r="DW231" s="270">
        <f t="shared" si="1512"/>
        <v>0</v>
      </c>
      <c r="DX231" s="270">
        <f t="shared" si="1512"/>
        <v>0</v>
      </c>
      <c r="DY231" s="270">
        <f t="shared" si="29"/>
        <v>0</v>
      </c>
      <c r="DZ231" s="274"/>
      <c r="EA231" s="275">
        <f t="shared" si="38"/>
        <v>0</v>
      </c>
      <c r="EB231" s="270">
        <f t="shared" ref="EB231:FC231" si="1513">IF(AJ229&lt;=0,0,IF($C230&lt;=SUM($EA231:EA231),0,IF(CU230+$C230-SUM($EA231:EA231)&gt;AJ229+BO230,AJ229+BO230-CU230,$C230-SUM($EA231:EA231))))</f>
        <v>0</v>
      </c>
      <c r="EC231" s="270">
        <f t="shared" si="1513"/>
        <v>0</v>
      </c>
      <c r="ED231" s="270">
        <f t="shared" si="1513"/>
        <v>0</v>
      </c>
      <c r="EE231" s="270">
        <f t="shared" si="1513"/>
        <v>0</v>
      </c>
      <c r="EF231" s="270">
        <f t="shared" si="1513"/>
        <v>0</v>
      </c>
      <c r="EG231" s="270">
        <f t="shared" si="1513"/>
        <v>0</v>
      </c>
      <c r="EH231" s="270">
        <f t="shared" si="1513"/>
        <v>0</v>
      </c>
      <c r="EI231" s="270">
        <f t="shared" si="1513"/>
        <v>0</v>
      </c>
      <c r="EJ231" s="270">
        <f t="shared" si="1513"/>
        <v>0</v>
      </c>
      <c r="EK231" s="270">
        <f t="shared" si="1513"/>
        <v>0</v>
      </c>
      <c r="EL231" s="270">
        <f t="shared" si="1513"/>
        <v>0</v>
      </c>
      <c r="EM231" s="270">
        <f t="shared" si="1513"/>
        <v>0</v>
      </c>
      <c r="EN231" s="270">
        <f t="shared" si="1513"/>
        <v>0</v>
      </c>
      <c r="EO231" s="270">
        <f t="shared" si="1513"/>
        <v>0</v>
      </c>
      <c r="EP231" s="270">
        <f t="shared" si="1513"/>
        <v>0</v>
      </c>
      <c r="EQ231" s="270">
        <f t="shared" si="1513"/>
        <v>0</v>
      </c>
      <c r="ER231" s="270">
        <f t="shared" si="1513"/>
        <v>0</v>
      </c>
      <c r="ES231" s="270">
        <f t="shared" si="1513"/>
        <v>0</v>
      </c>
      <c r="ET231" s="270">
        <f t="shared" si="1513"/>
        <v>0</v>
      </c>
      <c r="EU231" s="270">
        <f t="shared" si="1513"/>
        <v>0</v>
      </c>
      <c r="EV231" s="270">
        <f t="shared" si="1513"/>
        <v>0</v>
      </c>
      <c r="EW231" s="270">
        <f t="shared" si="1513"/>
        <v>0</v>
      </c>
      <c r="EX231" s="270">
        <f t="shared" si="1513"/>
        <v>0</v>
      </c>
      <c r="EY231" s="270">
        <f t="shared" si="1513"/>
        <v>0</v>
      </c>
      <c r="EZ231" s="270">
        <f t="shared" si="1513"/>
        <v>0</v>
      </c>
      <c r="FA231" s="270">
        <f t="shared" si="1513"/>
        <v>0</v>
      </c>
      <c r="FB231" s="270">
        <f t="shared" si="1513"/>
        <v>0</v>
      </c>
      <c r="FC231" s="270">
        <f t="shared" si="1513"/>
        <v>0</v>
      </c>
      <c r="FD231" s="271"/>
      <c r="FE231" s="271"/>
      <c r="FF231" s="271"/>
      <c r="FG231" s="215"/>
      <c r="FH231" s="215"/>
    </row>
    <row r="232" ht="11.25" customHeight="1">
      <c r="A232" s="215" t="str">
        <f t="shared" si="19"/>
        <v/>
      </c>
      <c r="B232" s="241" t="str">
        <f t="shared" si="600"/>
        <v>#N/A</v>
      </c>
      <c r="C232" s="271" t="str">
        <f>IF(A232="","",IF(Calculator!snowball,IF(($E$5-DY232)&lt;0,0,$E$5-DY232),0)+D232)</f>
        <v/>
      </c>
      <c r="D232" s="271"/>
      <c r="E232" s="270">
        <f t="shared" si="40"/>
        <v>0</v>
      </c>
      <c r="F232" s="270">
        <f t="shared" ref="F232:AG232" si="1514">CU232+EB233</f>
        <v>0</v>
      </c>
      <c r="G232" s="270">
        <f t="shared" si="1514"/>
        <v>0</v>
      </c>
      <c r="H232" s="270">
        <f t="shared" si="1514"/>
        <v>0</v>
      </c>
      <c r="I232" s="270">
        <f t="shared" si="1514"/>
        <v>0</v>
      </c>
      <c r="J232" s="270">
        <f t="shared" si="1514"/>
        <v>0</v>
      </c>
      <c r="K232" s="270">
        <f t="shared" si="1514"/>
        <v>0</v>
      </c>
      <c r="L232" s="270">
        <f t="shared" si="1514"/>
        <v>0</v>
      </c>
      <c r="M232" s="270">
        <f t="shared" si="1514"/>
        <v>0</v>
      </c>
      <c r="N232" s="270">
        <f t="shared" si="1514"/>
        <v>0</v>
      </c>
      <c r="O232" s="270">
        <f t="shared" si="1514"/>
        <v>0</v>
      </c>
      <c r="P232" s="272">
        <f t="shared" si="1514"/>
        <v>0</v>
      </c>
      <c r="Q232" s="272">
        <f t="shared" si="1514"/>
        <v>0</v>
      </c>
      <c r="R232" s="272">
        <f t="shared" si="1514"/>
        <v>0</v>
      </c>
      <c r="S232" s="272">
        <f t="shared" si="1514"/>
        <v>0</v>
      </c>
      <c r="T232" s="272">
        <f t="shared" si="1514"/>
        <v>0</v>
      </c>
      <c r="U232" s="270">
        <f t="shared" si="1514"/>
        <v>0</v>
      </c>
      <c r="V232" s="270">
        <f t="shared" si="1514"/>
        <v>0</v>
      </c>
      <c r="W232" s="270">
        <f t="shared" si="1514"/>
        <v>0</v>
      </c>
      <c r="X232" s="270">
        <f t="shared" si="1514"/>
        <v>0</v>
      </c>
      <c r="Y232" s="270">
        <f t="shared" si="1514"/>
        <v>0</v>
      </c>
      <c r="Z232" s="270">
        <f t="shared" si="1514"/>
        <v>0</v>
      </c>
      <c r="AA232" s="270">
        <f t="shared" si="1514"/>
        <v>0</v>
      </c>
      <c r="AB232" s="270">
        <f t="shared" si="1514"/>
        <v>0</v>
      </c>
      <c r="AC232" s="270">
        <f t="shared" si="1514"/>
        <v>0</v>
      </c>
      <c r="AD232" s="270">
        <f t="shared" si="1514"/>
        <v>0</v>
      </c>
      <c r="AE232" s="270">
        <f t="shared" si="1514"/>
        <v>0</v>
      </c>
      <c r="AF232" s="270">
        <f t="shared" si="1514"/>
        <v>0</v>
      </c>
      <c r="AG232" s="270">
        <f t="shared" si="1514"/>
        <v>0</v>
      </c>
      <c r="AH232" s="279">
        <f t="shared" si="602"/>
        <v>0</v>
      </c>
      <c r="AI232" s="270">
        <f t="shared" si="43"/>
        <v>0</v>
      </c>
      <c r="AJ232" s="270">
        <f t="shared" ref="AJ232:AO232" si="1515">IF(F$8=0,0,ROUND(AJ231-(F232-BO232),2))</f>
        <v>0</v>
      </c>
      <c r="AK232" s="270">
        <f t="shared" si="1515"/>
        <v>0</v>
      </c>
      <c r="AL232" s="270">
        <f t="shared" si="1515"/>
        <v>0</v>
      </c>
      <c r="AM232" s="270">
        <f t="shared" si="1515"/>
        <v>0</v>
      </c>
      <c r="AN232" s="270">
        <f t="shared" si="1515"/>
        <v>0</v>
      </c>
      <c r="AO232" s="270">
        <f t="shared" si="1515"/>
        <v>0</v>
      </c>
      <c r="AP232" s="270">
        <v>0.0</v>
      </c>
      <c r="AQ232" s="270">
        <f t="shared" ref="AQ232:AS232" si="1516">IF(M$8=0,0,ROUND(AQ231-(M232-BV232),2))</f>
        <v>0</v>
      </c>
      <c r="AR232" s="270">
        <f t="shared" si="1516"/>
        <v>0</v>
      </c>
      <c r="AS232" s="270">
        <f t="shared" si="1516"/>
        <v>0</v>
      </c>
      <c r="AT232" s="270">
        <f t="shared" si="605"/>
        <v>-6.22</v>
      </c>
      <c r="AU232" s="270">
        <f t="shared" ref="AU232:BK232" si="1517">IF(Q$8=0,0,ROUND(AU231-(Q232-BY232),2))</f>
        <v>-14.63</v>
      </c>
      <c r="AV232" s="270">
        <f t="shared" si="1517"/>
        <v>0</v>
      </c>
      <c r="AW232" s="270">
        <f t="shared" si="1517"/>
        <v>0</v>
      </c>
      <c r="AX232" s="270">
        <f t="shared" si="1517"/>
        <v>0</v>
      </c>
      <c r="AY232" s="270">
        <f t="shared" si="1517"/>
        <v>0</v>
      </c>
      <c r="AZ232" s="270">
        <f t="shared" si="1517"/>
        <v>0</v>
      </c>
      <c r="BA232" s="270">
        <f t="shared" si="1517"/>
        <v>0</v>
      </c>
      <c r="BB232" s="270">
        <f t="shared" si="1517"/>
        <v>0</v>
      </c>
      <c r="BC232" s="270">
        <f t="shared" si="1517"/>
        <v>0</v>
      </c>
      <c r="BD232" s="270">
        <f t="shared" si="1517"/>
        <v>0</v>
      </c>
      <c r="BE232" s="270">
        <f t="shared" si="1517"/>
        <v>0</v>
      </c>
      <c r="BF232" s="270">
        <f t="shared" si="1517"/>
        <v>0</v>
      </c>
      <c r="BG232" s="270">
        <f t="shared" si="1517"/>
        <v>0</v>
      </c>
      <c r="BH232" s="270">
        <f t="shared" si="1517"/>
        <v>0</v>
      </c>
      <c r="BI232" s="270">
        <f t="shared" si="1517"/>
        <v>0</v>
      </c>
      <c r="BJ232" s="270">
        <f t="shared" si="1517"/>
        <v>0</v>
      </c>
      <c r="BK232" s="270">
        <f t="shared" si="1517"/>
        <v>0</v>
      </c>
      <c r="BL232" s="265">
        <f t="shared" si="16"/>
        <v>-20.85</v>
      </c>
      <c r="BM232" s="215"/>
      <c r="BN232" s="270">
        <f t="shared" ref="BN232:CP232" si="1518">ROUND(AI231*E$9/12,2)</f>
        <v>0</v>
      </c>
      <c r="BO232" s="270">
        <f t="shared" si="1518"/>
        <v>0</v>
      </c>
      <c r="BP232" s="270">
        <f t="shared" si="1518"/>
        <v>0</v>
      </c>
      <c r="BQ232" s="270">
        <f t="shared" si="1518"/>
        <v>0</v>
      </c>
      <c r="BR232" s="270">
        <f t="shared" si="1518"/>
        <v>0</v>
      </c>
      <c r="BS232" s="270">
        <f t="shared" si="1518"/>
        <v>0</v>
      </c>
      <c r="BT232" s="270">
        <f t="shared" si="1518"/>
        <v>0</v>
      </c>
      <c r="BU232" s="270">
        <f t="shared" si="1518"/>
        <v>0</v>
      </c>
      <c r="BV232" s="270">
        <f t="shared" si="1518"/>
        <v>0</v>
      </c>
      <c r="BW232" s="270">
        <f t="shared" si="1518"/>
        <v>0</v>
      </c>
      <c r="BX232" s="270">
        <f t="shared" si="1518"/>
        <v>0</v>
      </c>
      <c r="BY232" s="270">
        <f t="shared" si="1518"/>
        <v>-0.05</v>
      </c>
      <c r="BZ232" s="270">
        <f t="shared" si="1518"/>
        <v>-0.05</v>
      </c>
      <c r="CA232" s="270">
        <f t="shared" si="1518"/>
        <v>0</v>
      </c>
      <c r="CB232" s="270">
        <f t="shared" si="1518"/>
        <v>0</v>
      </c>
      <c r="CC232" s="270">
        <f t="shared" si="1518"/>
        <v>0</v>
      </c>
      <c r="CD232" s="270">
        <f t="shared" si="1518"/>
        <v>0</v>
      </c>
      <c r="CE232" s="270">
        <f t="shared" si="1518"/>
        <v>0</v>
      </c>
      <c r="CF232" s="270">
        <f t="shared" si="1518"/>
        <v>0</v>
      </c>
      <c r="CG232" s="270">
        <f t="shared" si="1518"/>
        <v>0</v>
      </c>
      <c r="CH232" s="270">
        <f t="shared" si="1518"/>
        <v>0</v>
      </c>
      <c r="CI232" s="270">
        <f t="shared" si="1518"/>
        <v>0</v>
      </c>
      <c r="CJ232" s="270">
        <f t="shared" si="1518"/>
        <v>0</v>
      </c>
      <c r="CK232" s="270">
        <f t="shared" si="1518"/>
        <v>0</v>
      </c>
      <c r="CL232" s="270">
        <f t="shared" si="1518"/>
        <v>0</v>
      </c>
      <c r="CM232" s="270">
        <f t="shared" si="1518"/>
        <v>0</v>
      </c>
      <c r="CN232" s="270">
        <f t="shared" si="1518"/>
        <v>0</v>
      </c>
      <c r="CO232" s="270">
        <f t="shared" si="1518"/>
        <v>0</v>
      </c>
      <c r="CP232" s="270">
        <f t="shared" si="1518"/>
        <v>0</v>
      </c>
      <c r="CQ232" s="215"/>
      <c r="CR232" s="270">
        <f t="shared" si="27"/>
        <v>-0.1</v>
      </c>
      <c r="CS232" s="215"/>
      <c r="CT232" s="270">
        <f t="shared" ref="CT232:DX232" si="1519">IF(AI231&gt;0,IF((AI231+BN232)&lt;E$10,AI231+BN232,E$10),0)</f>
        <v>0</v>
      </c>
      <c r="CU232" s="270">
        <f t="shared" si="1519"/>
        <v>0</v>
      </c>
      <c r="CV232" s="270">
        <f t="shared" si="1519"/>
        <v>0</v>
      </c>
      <c r="CW232" s="270">
        <f t="shared" si="1519"/>
        <v>0</v>
      </c>
      <c r="CX232" s="270">
        <f t="shared" si="1519"/>
        <v>0</v>
      </c>
      <c r="CY232" s="270">
        <f t="shared" si="1519"/>
        <v>0</v>
      </c>
      <c r="CZ232" s="270">
        <f t="shared" si="1519"/>
        <v>0</v>
      </c>
      <c r="DA232" s="270">
        <f t="shared" si="1519"/>
        <v>0</v>
      </c>
      <c r="DB232" s="270">
        <f t="shared" si="1519"/>
        <v>0</v>
      </c>
      <c r="DC232" s="270">
        <f t="shared" si="1519"/>
        <v>0</v>
      </c>
      <c r="DD232" s="270">
        <f t="shared" si="1519"/>
        <v>0</v>
      </c>
      <c r="DE232" s="270">
        <f t="shared" si="1519"/>
        <v>0</v>
      </c>
      <c r="DF232" s="270">
        <f t="shared" si="1519"/>
        <v>0</v>
      </c>
      <c r="DG232" s="270">
        <f t="shared" si="1519"/>
        <v>0</v>
      </c>
      <c r="DH232" s="270">
        <f t="shared" si="1519"/>
        <v>0</v>
      </c>
      <c r="DI232" s="270">
        <f t="shared" si="1519"/>
        <v>0</v>
      </c>
      <c r="DJ232" s="270">
        <f t="shared" si="1519"/>
        <v>0</v>
      </c>
      <c r="DK232" s="270">
        <f t="shared" si="1519"/>
        <v>0</v>
      </c>
      <c r="DL232" s="270">
        <f t="shared" si="1519"/>
        <v>0</v>
      </c>
      <c r="DM232" s="270">
        <f t="shared" si="1519"/>
        <v>0</v>
      </c>
      <c r="DN232" s="270">
        <f t="shared" si="1519"/>
        <v>0</v>
      </c>
      <c r="DO232" s="270">
        <f t="shared" si="1519"/>
        <v>0</v>
      </c>
      <c r="DP232" s="270">
        <f t="shared" si="1519"/>
        <v>0</v>
      </c>
      <c r="DQ232" s="270">
        <f t="shared" si="1519"/>
        <v>0</v>
      </c>
      <c r="DR232" s="270">
        <f t="shared" si="1519"/>
        <v>0</v>
      </c>
      <c r="DS232" s="270">
        <f t="shared" si="1519"/>
        <v>0</v>
      </c>
      <c r="DT232" s="270">
        <f t="shared" si="1519"/>
        <v>0</v>
      </c>
      <c r="DU232" s="270">
        <f t="shared" si="1519"/>
        <v>0</v>
      </c>
      <c r="DV232" s="270">
        <f t="shared" si="1519"/>
        <v>0</v>
      </c>
      <c r="DW232" s="270">
        <f t="shared" si="1519"/>
        <v>0</v>
      </c>
      <c r="DX232" s="270">
        <f t="shared" si="1519"/>
        <v>0</v>
      </c>
      <c r="DY232" s="270">
        <f t="shared" si="29"/>
        <v>0</v>
      </c>
      <c r="DZ232" s="274"/>
      <c r="EA232" s="275">
        <f t="shared" si="38"/>
        <v>0</v>
      </c>
      <c r="EB232" s="270">
        <f t="shared" ref="EB232:FC232" si="1520">IF(AJ230&lt;=0,0,IF($C231&lt;=SUM($EA232:EA232),0,IF(CU231+$C231-SUM($EA232:EA232)&gt;AJ230+BO231,AJ230+BO231-CU231,$C231-SUM($EA232:EA232))))</f>
        <v>0</v>
      </c>
      <c r="EC232" s="270">
        <f t="shared" si="1520"/>
        <v>0</v>
      </c>
      <c r="ED232" s="270">
        <f t="shared" si="1520"/>
        <v>0</v>
      </c>
      <c r="EE232" s="270">
        <f t="shared" si="1520"/>
        <v>0</v>
      </c>
      <c r="EF232" s="270">
        <f t="shared" si="1520"/>
        <v>0</v>
      </c>
      <c r="EG232" s="270">
        <f t="shared" si="1520"/>
        <v>0</v>
      </c>
      <c r="EH232" s="270">
        <f t="shared" si="1520"/>
        <v>0</v>
      </c>
      <c r="EI232" s="270">
        <f t="shared" si="1520"/>
        <v>0</v>
      </c>
      <c r="EJ232" s="270">
        <f t="shared" si="1520"/>
        <v>0</v>
      </c>
      <c r="EK232" s="270">
        <f t="shared" si="1520"/>
        <v>0</v>
      </c>
      <c r="EL232" s="270">
        <f t="shared" si="1520"/>
        <v>0</v>
      </c>
      <c r="EM232" s="270">
        <f t="shared" si="1520"/>
        <v>0</v>
      </c>
      <c r="EN232" s="270">
        <f t="shared" si="1520"/>
        <v>0</v>
      </c>
      <c r="EO232" s="270">
        <f t="shared" si="1520"/>
        <v>0</v>
      </c>
      <c r="EP232" s="270">
        <f t="shared" si="1520"/>
        <v>0</v>
      </c>
      <c r="EQ232" s="270">
        <f t="shared" si="1520"/>
        <v>0</v>
      </c>
      <c r="ER232" s="270">
        <f t="shared" si="1520"/>
        <v>0</v>
      </c>
      <c r="ES232" s="270">
        <f t="shared" si="1520"/>
        <v>0</v>
      </c>
      <c r="ET232" s="270">
        <f t="shared" si="1520"/>
        <v>0</v>
      </c>
      <c r="EU232" s="270">
        <f t="shared" si="1520"/>
        <v>0</v>
      </c>
      <c r="EV232" s="270">
        <f t="shared" si="1520"/>
        <v>0</v>
      </c>
      <c r="EW232" s="270">
        <f t="shared" si="1520"/>
        <v>0</v>
      </c>
      <c r="EX232" s="270">
        <f t="shared" si="1520"/>
        <v>0</v>
      </c>
      <c r="EY232" s="270">
        <f t="shared" si="1520"/>
        <v>0</v>
      </c>
      <c r="EZ232" s="270">
        <f t="shared" si="1520"/>
        <v>0</v>
      </c>
      <c r="FA232" s="270">
        <f t="shared" si="1520"/>
        <v>0</v>
      </c>
      <c r="FB232" s="270">
        <f t="shared" si="1520"/>
        <v>0</v>
      </c>
      <c r="FC232" s="270">
        <f t="shared" si="1520"/>
        <v>0</v>
      </c>
      <c r="FD232" s="271"/>
      <c r="FE232" s="271"/>
      <c r="FF232" s="271"/>
      <c r="FG232" s="215"/>
      <c r="FH232" s="215"/>
    </row>
    <row r="233" ht="11.25" customHeight="1">
      <c r="A233" s="215" t="str">
        <f t="shared" si="19"/>
        <v/>
      </c>
      <c r="B233" s="241" t="str">
        <f t="shared" si="600"/>
        <v>#N/A</v>
      </c>
      <c r="C233" s="271" t="str">
        <f>IF(A233="","",IF(Calculator!snowball,IF(($E$5-DY233)&lt;0,0,$E$5-DY233),0)+D233)</f>
        <v/>
      </c>
      <c r="D233" s="271"/>
      <c r="E233" s="270">
        <f t="shared" si="40"/>
        <v>0</v>
      </c>
      <c r="F233" s="270">
        <f t="shared" ref="F233:AG233" si="1521">CU233+EB234</f>
        <v>0</v>
      </c>
      <c r="G233" s="270">
        <f t="shared" si="1521"/>
        <v>0</v>
      </c>
      <c r="H233" s="270">
        <f t="shared" si="1521"/>
        <v>0</v>
      </c>
      <c r="I233" s="270">
        <f t="shared" si="1521"/>
        <v>0</v>
      </c>
      <c r="J233" s="270">
        <f t="shared" si="1521"/>
        <v>0</v>
      </c>
      <c r="K233" s="270">
        <f t="shared" si="1521"/>
        <v>0</v>
      </c>
      <c r="L233" s="270">
        <f t="shared" si="1521"/>
        <v>0</v>
      </c>
      <c r="M233" s="270">
        <f t="shared" si="1521"/>
        <v>0</v>
      </c>
      <c r="N233" s="270">
        <f t="shared" si="1521"/>
        <v>0</v>
      </c>
      <c r="O233" s="270">
        <f t="shared" si="1521"/>
        <v>0</v>
      </c>
      <c r="P233" s="272">
        <f t="shared" si="1521"/>
        <v>0</v>
      </c>
      <c r="Q233" s="272">
        <f t="shared" si="1521"/>
        <v>0</v>
      </c>
      <c r="R233" s="272">
        <f t="shared" si="1521"/>
        <v>0</v>
      </c>
      <c r="S233" s="272">
        <f t="shared" si="1521"/>
        <v>0</v>
      </c>
      <c r="T233" s="272">
        <f t="shared" si="1521"/>
        <v>0</v>
      </c>
      <c r="U233" s="270">
        <f t="shared" si="1521"/>
        <v>0</v>
      </c>
      <c r="V233" s="270">
        <f t="shared" si="1521"/>
        <v>0</v>
      </c>
      <c r="W233" s="270">
        <f t="shared" si="1521"/>
        <v>0</v>
      </c>
      <c r="X233" s="270">
        <f t="shared" si="1521"/>
        <v>0</v>
      </c>
      <c r="Y233" s="270">
        <f t="shared" si="1521"/>
        <v>0</v>
      </c>
      <c r="Z233" s="270">
        <f t="shared" si="1521"/>
        <v>0</v>
      </c>
      <c r="AA233" s="270">
        <f t="shared" si="1521"/>
        <v>0</v>
      </c>
      <c r="AB233" s="270">
        <f t="shared" si="1521"/>
        <v>0</v>
      </c>
      <c r="AC233" s="270">
        <f t="shared" si="1521"/>
        <v>0</v>
      </c>
      <c r="AD233" s="270">
        <f t="shared" si="1521"/>
        <v>0</v>
      </c>
      <c r="AE233" s="270">
        <f t="shared" si="1521"/>
        <v>0</v>
      </c>
      <c r="AF233" s="270">
        <f t="shared" si="1521"/>
        <v>0</v>
      </c>
      <c r="AG233" s="270">
        <f t="shared" si="1521"/>
        <v>0</v>
      </c>
      <c r="AH233" s="279">
        <f t="shared" si="602"/>
        <v>0</v>
      </c>
      <c r="AI233" s="270">
        <f t="shared" si="43"/>
        <v>0</v>
      </c>
      <c r="AJ233" s="270">
        <f t="shared" ref="AJ233:AO233" si="1522">IF(F$8=0,0,ROUND(AJ232-(F233-BO233),2))</f>
        <v>0</v>
      </c>
      <c r="AK233" s="270">
        <f t="shared" si="1522"/>
        <v>0</v>
      </c>
      <c r="AL233" s="270">
        <f t="shared" si="1522"/>
        <v>0</v>
      </c>
      <c r="AM233" s="270">
        <f t="shared" si="1522"/>
        <v>0</v>
      </c>
      <c r="AN233" s="270">
        <f t="shared" si="1522"/>
        <v>0</v>
      </c>
      <c r="AO233" s="270">
        <f t="shared" si="1522"/>
        <v>0</v>
      </c>
      <c r="AP233" s="270">
        <v>0.0</v>
      </c>
      <c r="AQ233" s="270">
        <f t="shared" ref="AQ233:AS233" si="1523">IF(M$8=0,0,ROUND(AQ232-(M233-BV233),2))</f>
        <v>0</v>
      </c>
      <c r="AR233" s="270">
        <f t="shared" si="1523"/>
        <v>0</v>
      </c>
      <c r="AS233" s="270">
        <f t="shared" si="1523"/>
        <v>0</v>
      </c>
      <c r="AT233" s="270">
        <f t="shared" si="605"/>
        <v>-6.22</v>
      </c>
      <c r="AU233" s="270">
        <f t="shared" ref="AU233:BK233" si="1524">IF(Q$8=0,0,ROUND(AU232-(Q233-BY233),2))</f>
        <v>-14.68</v>
      </c>
      <c r="AV233" s="270">
        <f t="shared" si="1524"/>
        <v>0</v>
      </c>
      <c r="AW233" s="270">
        <f t="shared" si="1524"/>
        <v>0</v>
      </c>
      <c r="AX233" s="270">
        <f t="shared" si="1524"/>
        <v>0</v>
      </c>
      <c r="AY233" s="270">
        <f t="shared" si="1524"/>
        <v>0</v>
      </c>
      <c r="AZ233" s="270">
        <f t="shared" si="1524"/>
        <v>0</v>
      </c>
      <c r="BA233" s="270">
        <f t="shared" si="1524"/>
        <v>0</v>
      </c>
      <c r="BB233" s="270">
        <f t="shared" si="1524"/>
        <v>0</v>
      </c>
      <c r="BC233" s="270">
        <f t="shared" si="1524"/>
        <v>0</v>
      </c>
      <c r="BD233" s="270">
        <f t="shared" si="1524"/>
        <v>0</v>
      </c>
      <c r="BE233" s="270">
        <f t="shared" si="1524"/>
        <v>0</v>
      </c>
      <c r="BF233" s="270">
        <f t="shared" si="1524"/>
        <v>0</v>
      </c>
      <c r="BG233" s="270">
        <f t="shared" si="1524"/>
        <v>0</v>
      </c>
      <c r="BH233" s="270">
        <f t="shared" si="1524"/>
        <v>0</v>
      </c>
      <c r="BI233" s="270">
        <f t="shared" si="1524"/>
        <v>0</v>
      </c>
      <c r="BJ233" s="270">
        <f t="shared" si="1524"/>
        <v>0</v>
      </c>
      <c r="BK233" s="270">
        <f t="shared" si="1524"/>
        <v>0</v>
      </c>
      <c r="BL233" s="265">
        <f t="shared" si="16"/>
        <v>-20.9</v>
      </c>
      <c r="BM233" s="215"/>
      <c r="BN233" s="270">
        <f t="shared" ref="BN233:CP233" si="1525">ROUND(AI232*E$9/12,2)</f>
        <v>0</v>
      </c>
      <c r="BO233" s="270">
        <f t="shared" si="1525"/>
        <v>0</v>
      </c>
      <c r="BP233" s="270">
        <f t="shared" si="1525"/>
        <v>0</v>
      </c>
      <c r="BQ233" s="270">
        <f t="shared" si="1525"/>
        <v>0</v>
      </c>
      <c r="BR233" s="270">
        <f t="shared" si="1525"/>
        <v>0</v>
      </c>
      <c r="BS233" s="270">
        <f t="shared" si="1525"/>
        <v>0</v>
      </c>
      <c r="BT233" s="270">
        <f t="shared" si="1525"/>
        <v>0</v>
      </c>
      <c r="BU233" s="270">
        <f t="shared" si="1525"/>
        <v>0</v>
      </c>
      <c r="BV233" s="270">
        <f t="shared" si="1525"/>
        <v>0</v>
      </c>
      <c r="BW233" s="270">
        <f t="shared" si="1525"/>
        <v>0</v>
      </c>
      <c r="BX233" s="270">
        <f t="shared" si="1525"/>
        <v>0</v>
      </c>
      <c r="BY233" s="270">
        <f t="shared" si="1525"/>
        <v>-0.05</v>
      </c>
      <c r="BZ233" s="270">
        <f t="shared" si="1525"/>
        <v>-0.05</v>
      </c>
      <c r="CA233" s="270">
        <f t="shared" si="1525"/>
        <v>0</v>
      </c>
      <c r="CB233" s="270">
        <f t="shared" si="1525"/>
        <v>0</v>
      </c>
      <c r="CC233" s="270">
        <f t="shared" si="1525"/>
        <v>0</v>
      </c>
      <c r="CD233" s="270">
        <f t="shared" si="1525"/>
        <v>0</v>
      </c>
      <c r="CE233" s="270">
        <f t="shared" si="1525"/>
        <v>0</v>
      </c>
      <c r="CF233" s="270">
        <f t="shared" si="1525"/>
        <v>0</v>
      </c>
      <c r="CG233" s="270">
        <f t="shared" si="1525"/>
        <v>0</v>
      </c>
      <c r="CH233" s="270">
        <f t="shared" si="1525"/>
        <v>0</v>
      </c>
      <c r="CI233" s="270">
        <f t="shared" si="1525"/>
        <v>0</v>
      </c>
      <c r="CJ233" s="270">
        <f t="shared" si="1525"/>
        <v>0</v>
      </c>
      <c r="CK233" s="270">
        <f t="shared" si="1525"/>
        <v>0</v>
      </c>
      <c r="CL233" s="270">
        <f t="shared" si="1525"/>
        <v>0</v>
      </c>
      <c r="CM233" s="270">
        <f t="shared" si="1525"/>
        <v>0</v>
      </c>
      <c r="CN233" s="270">
        <f t="shared" si="1525"/>
        <v>0</v>
      </c>
      <c r="CO233" s="270">
        <f t="shared" si="1525"/>
        <v>0</v>
      </c>
      <c r="CP233" s="270">
        <f t="shared" si="1525"/>
        <v>0</v>
      </c>
      <c r="CQ233" s="215"/>
      <c r="CR233" s="270">
        <f t="shared" si="27"/>
        <v>-0.1</v>
      </c>
      <c r="CS233" s="215"/>
      <c r="CT233" s="270">
        <f t="shared" ref="CT233:DX233" si="1526">IF(AI232&gt;0,IF((AI232+BN233)&lt;E$10,AI232+BN233,E$10),0)</f>
        <v>0</v>
      </c>
      <c r="CU233" s="270">
        <f t="shared" si="1526"/>
        <v>0</v>
      </c>
      <c r="CV233" s="270">
        <f t="shared" si="1526"/>
        <v>0</v>
      </c>
      <c r="CW233" s="270">
        <f t="shared" si="1526"/>
        <v>0</v>
      </c>
      <c r="CX233" s="270">
        <f t="shared" si="1526"/>
        <v>0</v>
      </c>
      <c r="CY233" s="270">
        <f t="shared" si="1526"/>
        <v>0</v>
      </c>
      <c r="CZ233" s="270">
        <f t="shared" si="1526"/>
        <v>0</v>
      </c>
      <c r="DA233" s="270">
        <f t="shared" si="1526"/>
        <v>0</v>
      </c>
      <c r="DB233" s="270">
        <f t="shared" si="1526"/>
        <v>0</v>
      </c>
      <c r="DC233" s="270">
        <f t="shared" si="1526"/>
        <v>0</v>
      </c>
      <c r="DD233" s="270">
        <f t="shared" si="1526"/>
        <v>0</v>
      </c>
      <c r="DE233" s="270">
        <f t="shared" si="1526"/>
        <v>0</v>
      </c>
      <c r="DF233" s="270">
        <f t="shared" si="1526"/>
        <v>0</v>
      </c>
      <c r="DG233" s="270">
        <f t="shared" si="1526"/>
        <v>0</v>
      </c>
      <c r="DH233" s="270">
        <f t="shared" si="1526"/>
        <v>0</v>
      </c>
      <c r="DI233" s="270">
        <f t="shared" si="1526"/>
        <v>0</v>
      </c>
      <c r="DJ233" s="270">
        <f t="shared" si="1526"/>
        <v>0</v>
      </c>
      <c r="DK233" s="270">
        <f t="shared" si="1526"/>
        <v>0</v>
      </c>
      <c r="DL233" s="270">
        <f t="shared" si="1526"/>
        <v>0</v>
      </c>
      <c r="DM233" s="270">
        <f t="shared" si="1526"/>
        <v>0</v>
      </c>
      <c r="DN233" s="270">
        <f t="shared" si="1526"/>
        <v>0</v>
      </c>
      <c r="DO233" s="270">
        <f t="shared" si="1526"/>
        <v>0</v>
      </c>
      <c r="DP233" s="270">
        <f t="shared" si="1526"/>
        <v>0</v>
      </c>
      <c r="DQ233" s="270">
        <f t="shared" si="1526"/>
        <v>0</v>
      </c>
      <c r="DR233" s="270">
        <f t="shared" si="1526"/>
        <v>0</v>
      </c>
      <c r="DS233" s="270">
        <f t="shared" si="1526"/>
        <v>0</v>
      </c>
      <c r="DT233" s="270">
        <f t="shared" si="1526"/>
        <v>0</v>
      </c>
      <c r="DU233" s="270">
        <f t="shared" si="1526"/>
        <v>0</v>
      </c>
      <c r="DV233" s="270">
        <f t="shared" si="1526"/>
        <v>0</v>
      </c>
      <c r="DW233" s="270">
        <f t="shared" si="1526"/>
        <v>0</v>
      </c>
      <c r="DX233" s="270">
        <f t="shared" si="1526"/>
        <v>0</v>
      </c>
      <c r="DY233" s="270">
        <f t="shared" si="29"/>
        <v>0</v>
      </c>
      <c r="DZ233" s="274"/>
      <c r="EA233" s="275">
        <f t="shared" si="38"/>
        <v>0</v>
      </c>
      <c r="EB233" s="270">
        <f t="shared" ref="EB233:FC233" si="1527">IF(AJ231&lt;=0,0,IF($C232&lt;=SUM($EA233:EA233),0,IF(CU232+$C232-SUM($EA233:EA233)&gt;AJ231+BO232,AJ231+BO232-CU232,$C232-SUM($EA233:EA233))))</f>
        <v>0</v>
      </c>
      <c r="EC233" s="270">
        <f t="shared" si="1527"/>
        <v>0</v>
      </c>
      <c r="ED233" s="270">
        <f t="shared" si="1527"/>
        <v>0</v>
      </c>
      <c r="EE233" s="270">
        <f t="shared" si="1527"/>
        <v>0</v>
      </c>
      <c r="EF233" s="270">
        <f t="shared" si="1527"/>
        <v>0</v>
      </c>
      <c r="EG233" s="270">
        <f t="shared" si="1527"/>
        <v>0</v>
      </c>
      <c r="EH233" s="270">
        <f t="shared" si="1527"/>
        <v>0</v>
      </c>
      <c r="EI233" s="270">
        <f t="shared" si="1527"/>
        <v>0</v>
      </c>
      <c r="EJ233" s="270">
        <f t="shared" si="1527"/>
        <v>0</v>
      </c>
      <c r="EK233" s="270">
        <f t="shared" si="1527"/>
        <v>0</v>
      </c>
      <c r="EL233" s="270">
        <f t="shared" si="1527"/>
        <v>0</v>
      </c>
      <c r="EM233" s="270">
        <f t="shared" si="1527"/>
        <v>0</v>
      </c>
      <c r="EN233" s="270">
        <f t="shared" si="1527"/>
        <v>0</v>
      </c>
      <c r="EO233" s="270">
        <f t="shared" si="1527"/>
        <v>0</v>
      </c>
      <c r="EP233" s="270">
        <f t="shared" si="1527"/>
        <v>0</v>
      </c>
      <c r="EQ233" s="270">
        <f t="shared" si="1527"/>
        <v>0</v>
      </c>
      <c r="ER233" s="270">
        <f t="shared" si="1527"/>
        <v>0</v>
      </c>
      <c r="ES233" s="270">
        <f t="shared" si="1527"/>
        <v>0</v>
      </c>
      <c r="ET233" s="270">
        <f t="shared" si="1527"/>
        <v>0</v>
      </c>
      <c r="EU233" s="270">
        <f t="shared" si="1527"/>
        <v>0</v>
      </c>
      <c r="EV233" s="270">
        <f t="shared" si="1527"/>
        <v>0</v>
      </c>
      <c r="EW233" s="270">
        <f t="shared" si="1527"/>
        <v>0</v>
      </c>
      <c r="EX233" s="270">
        <f t="shared" si="1527"/>
        <v>0</v>
      </c>
      <c r="EY233" s="270">
        <f t="shared" si="1527"/>
        <v>0</v>
      </c>
      <c r="EZ233" s="270">
        <f t="shared" si="1527"/>
        <v>0</v>
      </c>
      <c r="FA233" s="270">
        <f t="shared" si="1527"/>
        <v>0</v>
      </c>
      <c r="FB233" s="270">
        <f t="shared" si="1527"/>
        <v>0</v>
      </c>
      <c r="FC233" s="270">
        <f t="shared" si="1527"/>
        <v>0</v>
      </c>
      <c r="FD233" s="271"/>
      <c r="FE233" s="271"/>
      <c r="FF233" s="271"/>
      <c r="FG233" s="215"/>
      <c r="FH233" s="215"/>
    </row>
    <row r="234" ht="11.25" customHeight="1">
      <c r="A234" s="215" t="str">
        <f t="shared" si="19"/>
        <v/>
      </c>
      <c r="B234" s="241" t="str">
        <f t="shared" si="600"/>
        <v>#N/A</v>
      </c>
      <c r="C234" s="271" t="str">
        <f>IF(A234="","",IF(Calculator!snowball,IF(($E$5-DY234)&lt;0,0,$E$5-DY234),0)+D234)</f>
        <v/>
      </c>
      <c r="D234" s="271"/>
      <c r="E234" s="270">
        <f t="shared" si="40"/>
        <v>0</v>
      </c>
      <c r="F234" s="270">
        <f t="shared" ref="F234:AG234" si="1528">CU234+EB235</f>
        <v>0</v>
      </c>
      <c r="G234" s="270">
        <f t="shared" si="1528"/>
        <v>0</v>
      </c>
      <c r="H234" s="270">
        <f t="shared" si="1528"/>
        <v>0</v>
      </c>
      <c r="I234" s="270">
        <f t="shared" si="1528"/>
        <v>0</v>
      </c>
      <c r="J234" s="270">
        <f t="shared" si="1528"/>
        <v>0</v>
      </c>
      <c r="K234" s="270">
        <f t="shared" si="1528"/>
        <v>0</v>
      </c>
      <c r="L234" s="270">
        <f t="shared" si="1528"/>
        <v>0</v>
      </c>
      <c r="M234" s="270">
        <f t="shared" si="1528"/>
        <v>0</v>
      </c>
      <c r="N234" s="270">
        <f t="shared" si="1528"/>
        <v>0</v>
      </c>
      <c r="O234" s="270">
        <f t="shared" si="1528"/>
        <v>0</v>
      </c>
      <c r="P234" s="272">
        <f t="shared" si="1528"/>
        <v>0</v>
      </c>
      <c r="Q234" s="272">
        <f t="shared" si="1528"/>
        <v>0</v>
      </c>
      <c r="R234" s="272">
        <f t="shared" si="1528"/>
        <v>0</v>
      </c>
      <c r="S234" s="272">
        <f t="shared" si="1528"/>
        <v>0</v>
      </c>
      <c r="T234" s="272">
        <f t="shared" si="1528"/>
        <v>0</v>
      </c>
      <c r="U234" s="270">
        <f t="shared" si="1528"/>
        <v>0</v>
      </c>
      <c r="V234" s="270">
        <f t="shared" si="1528"/>
        <v>0</v>
      </c>
      <c r="W234" s="270">
        <f t="shared" si="1528"/>
        <v>0</v>
      </c>
      <c r="X234" s="270">
        <f t="shared" si="1528"/>
        <v>0</v>
      </c>
      <c r="Y234" s="270">
        <f t="shared" si="1528"/>
        <v>0</v>
      </c>
      <c r="Z234" s="270">
        <f t="shared" si="1528"/>
        <v>0</v>
      </c>
      <c r="AA234" s="270">
        <f t="shared" si="1528"/>
        <v>0</v>
      </c>
      <c r="AB234" s="270">
        <f t="shared" si="1528"/>
        <v>0</v>
      </c>
      <c r="AC234" s="270">
        <f t="shared" si="1528"/>
        <v>0</v>
      </c>
      <c r="AD234" s="270">
        <f t="shared" si="1528"/>
        <v>0</v>
      </c>
      <c r="AE234" s="270">
        <f t="shared" si="1528"/>
        <v>0</v>
      </c>
      <c r="AF234" s="270">
        <f t="shared" si="1528"/>
        <v>0</v>
      </c>
      <c r="AG234" s="270">
        <f t="shared" si="1528"/>
        <v>0</v>
      </c>
      <c r="AH234" s="279">
        <f t="shared" si="602"/>
        <v>0</v>
      </c>
      <c r="AI234" s="270">
        <f t="shared" si="43"/>
        <v>0</v>
      </c>
      <c r="AJ234" s="270">
        <f t="shared" ref="AJ234:AO234" si="1529">IF(F$8=0,0,ROUND(AJ233-(F234-BO234),2))</f>
        <v>0</v>
      </c>
      <c r="AK234" s="270">
        <f t="shared" si="1529"/>
        <v>0</v>
      </c>
      <c r="AL234" s="270">
        <f t="shared" si="1529"/>
        <v>0</v>
      </c>
      <c r="AM234" s="270">
        <f t="shared" si="1529"/>
        <v>0</v>
      </c>
      <c r="AN234" s="270">
        <f t="shared" si="1529"/>
        <v>0</v>
      </c>
      <c r="AO234" s="270">
        <f t="shared" si="1529"/>
        <v>0</v>
      </c>
      <c r="AP234" s="270">
        <v>0.0</v>
      </c>
      <c r="AQ234" s="270">
        <f t="shared" ref="AQ234:AS234" si="1530">IF(M$8=0,0,ROUND(AQ233-(M234-BV234),2))</f>
        <v>0</v>
      </c>
      <c r="AR234" s="270">
        <f t="shared" si="1530"/>
        <v>0</v>
      </c>
      <c r="AS234" s="270">
        <f t="shared" si="1530"/>
        <v>0</v>
      </c>
      <c r="AT234" s="270">
        <f t="shared" si="605"/>
        <v>-6.22</v>
      </c>
      <c r="AU234" s="270">
        <f t="shared" ref="AU234:BK234" si="1531">IF(Q$8=0,0,ROUND(AU233-(Q234-BY234),2))</f>
        <v>-14.73</v>
      </c>
      <c r="AV234" s="270">
        <f t="shared" si="1531"/>
        <v>0</v>
      </c>
      <c r="AW234" s="270">
        <f t="shared" si="1531"/>
        <v>0</v>
      </c>
      <c r="AX234" s="270">
        <f t="shared" si="1531"/>
        <v>0</v>
      </c>
      <c r="AY234" s="270">
        <f t="shared" si="1531"/>
        <v>0</v>
      </c>
      <c r="AZ234" s="270">
        <f t="shared" si="1531"/>
        <v>0</v>
      </c>
      <c r="BA234" s="270">
        <f t="shared" si="1531"/>
        <v>0</v>
      </c>
      <c r="BB234" s="270">
        <f t="shared" si="1531"/>
        <v>0</v>
      </c>
      <c r="BC234" s="270">
        <f t="shared" si="1531"/>
        <v>0</v>
      </c>
      <c r="BD234" s="270">
        <f t="shared" si="1531"/>
        <v>0</v>
      </c>
      <c r="BE234" s="270">
        <f t="shared" si="1531"/>
        <v>0</v>
      </c>
      <c r="BF234" s="270">
        <f t="shared" si="1531"/>
        <v>0</v>
      </c>
      <c r="BG234" s="270">
        <f t="shared" si="1531"/>
        <v>0</v>
      </c>
      <c r="BH234" s="270">
        <f t="shared" si="1531"/>
        <v>0</v>
      </c>
      <c r="BI234" s="270">
        <f t="shared" si="1531"/>
        <v>0</v>
      </c>
      <c r="BJ234" s="270">
        <f t="shared" si="1531"/>
        <v>0</v>
      </c>
      <c r="BK234" s="270">
        <f t="shared" si="1531"/>
        <v>0</v>
      </c>
      <c r="BL234" s="265">
        <f t="shared" si="16"/>
        <v>-20.95</v>
      </c>
      <c r="BM234" s="215"/>
      <c r="BN234" s="270">
        <f t="shared" ref="BN234:CP234" si="1532">ROUND(AI233*E$9/12,2)</f>
        <v>0</v>
      </c>
      <c r="BO234" s="270">
        <f t="shared" si="1532"/>
        <v>0</v>
      </c>
      <c r="BP234" s="270">
        <f t="shared" si="1532"/>
        <v>0</v>
      </c>
      <c r="BQ234" s="270">
        <f t="shared" si="1532"/>
        <v>0</v>
      </c>
      <c r="BR234" s="270">
        <f t="shared" si="1532"/>
        <v>0</v>
      </c>
      <c r="BS234" s="270">
        <f t="shared" si="1532"/>
        <v>0</v>
      </c>
      <c r="BT234" s="270">
        <f t="shared" si="1532"/>
        <v>0</v>
      </c>
      <c r="BU234" s="270">
        <f t="shared" si="1532"/>
        <v>0</v>
      </c>
      <c r="BV234" s="270">
        <f t="shared" si="1532"/>
        <v>0</v>
      </c>
      <c r="BW234" s="270">
        <f t="shared" si="1532"/>
        <v>0</v>
      </c>
      <c r="BX234" s="270">
        <f t="shared" si="1532"/>
        <v>0</v>
      </c>
      <c r="BY234" s="270">
        <f t="shared" si="1532"/>
        <v>-0.05</v>
      </c>
      <c r="BZ234" s="270">
        <f t="shared" si="1532"/>
        <v>-0.05</v>
      </c>
      <c r="CA234" s="270">
        <f t="shared" si="1532"/>
        <v>0</v>
      </c>
      <c r="CB234" s="270">
        <f t="shared" si="1532"/>
        <v>0</v>
      </c>
      <c r="CC234" s="270">
        <f t="shared" si="1532"/>
        <v>0</v>
      </c>
      <c r="CD234" s="270">
        <f t="shared" si="1532"/>
        <v>0</v>
      </c>
      <c r="CE234" s="270">
        <f t="shared" si="1532"/>
        <v>0</v>
      </c>
      <c r="CF234" s="270">
        <f t="shared" si="1532"/>
        <v>0</v>
      </c>
      <c r="CG234" s="270">
        <f t="shared" si="1532"/>
        <v>0</v>
      </c>
      <c r="CH234" s="270">
        <f t="shared" si="1532"/>
        <v>0</v>
      </c>
      <c r="CI234" s="270">
        <f t="shared" si="1532"/>
        <v>0</v>
      </c>
      <c r="CJ234" s="270">
        <f t="shared" si="1532"/>
        <v>0</v>
      </c>
      <c r="CK234" s="270">
        <f t="shared" si="1532"/>
        <v>0</v>
      </c>
      <c r="CL234" s="270">
        <f t="shared" si="1532"/>
        <v>0</v>
      </c>
      <c r="CM234" s="270">
        <f t="shared" si="1532"/>
        <v>0</v>
      </c>
      <c r="CN234" s="270">
        <f t="shared" si="1532"/>
        <v>0</v>
      </c>
      <c r="CO234" s="270">
        <f t="shared" si="1532"/>
        <v>0</v>
      </c>
      <c r="CP234" s="270">
        <f t="shared" si="1532"/>
        <v>0</v>
      </c>
      <c r="CQ234" s="215"/>
      <c r="CR234" s="270">
        <f t="shared" si="27"/>
        <v>-0.1</v>
      </c>
      <c r="CS234" s="215"/>
      <c r="CT234" s="270">
        <f t="shared" ref="CT234:DX234" si="1533">IF(AI233&gt;0,IF((AI233+BN234)&lt;E$10,AI233+BN234,E$10),0)</f>
        <v>0</v>
      </c>
      <c r="CU234" s="270">
        <f t="shared" si="1533"/>
        <v>0</v>
      </c>
      <c r="CV234" s="270">
        <f t="shared" si="1533"/>
        <v>0</v>
      </c>
      <c r="CW234" s="270">
        <f t="shared" si="1533"/>
        <v>0</v>
      </c>
      <c r="CX234" s="270">
        <f t="shared" si="1533"/>
        <v>0</v>
      </c>
      <c r="CY234" s="270">
        <f t="shared" si="1533"/>
        <v>0</v>
      </c>
      <c r="CZ234" s="270">
        <f t="shared" si="1533"/>
        <v>0</v>
      </c>
      <c r="DA234" s="270">
        <f t="shared" si="1533"/>
        <v>0</v>
      </c>
      <c r="DB234" s="270">
        <f t="shared" si="1533"/>
        <v>0</v>
      </c>
      <c r="DC234" s="270">
        <f t="shared" si="1533"/>
        <v>0</v>
      </c>
      <c r="DD234" s="270">
        <f t="shared" si="1533"/>
        <v>0</v>
      </c>
      <c r="DE234" s="270">
        <f t="shared" si="1533"/>
        <v>0</v>
      </c>
      <c r="DF234" s="270">
        <f t="shared" si="1533"/>
        <v>0</v>
      </c>
      <c r="DG234" s="270">
        <f t="shared" si="1533"/>
        <v>0</v>
      </c>
      <c r="DH234" s="270">
        <f t="shared" si="1533"/>
        <v>0</v>
      </c>
      <c r="DI234" s="270">
        <f t="shared" si="1533"/>
        <v>0</v>
      </c>
      <c r="DJ234" s="270">
        <f t="shared" si="1533"/>
        <v>0</v>
      </c>
      <c r="DK234" s="270">
        <f t="shared" si="1533"/>
        <v>0</v>
      </c>
      <c r="DL234" s="270">
        <f t="shared" si="1533"/>
        <v>0</v>
      </c>
      <c r="DM234" s="270">
        <f t="shared" si="1533"/>
        <v>0</v>
      </c>
      <c r="DN234" s="270">
        <f t="shared" si="1533"/>
        <v>0</v>
      </c>
      <c r="DO234" s="270">
        <f t="shared" si="1533"/>
        <v>0</v>
      </c>
      <c r="DP234" s="270">
        <f t="shared" si="1533"/>
        <v>0</v>
      </c>
      <c r="DQ234" s="270">
        <f t="shared" si="1533"/>
        <v>0</v>
      </c>
      <c r="DR234" s="270">
        <f t="shared" si="1533"/>
        <v>0</v>
      </c>
      <c r="DS234" s="270">
        <f t="shared" si="1533"/>
        <v>0</v>
      </c>
      <c r="DT234" s="270">
        <f t="shared" si="1533"/>
        <v>0</v>
      </c>
      <c r="DU234" s="270">
        <f t="shared" si="1533"/>
        <v>0</v>
      </c>
      <c r="DV234" s="270">
        <f t="shared" si="1533"/>
        <v>0</v>
      </c>
      <c r="DW234" s="270">
        <f t="shared" si="1533"/>
        <v>0</v>
      </c>
      <c r="DX234" s="270">
        <f t="shared" si="1533"/>
        <v>0</v>
      </c>
      <c r="DY234" s="270">
        <f t="shared" si="29"/>
        <v>0</v>
      </c>
      <c r="DZ234" s="274"/>
      <c r="EA234" s="275">
        <f t="shared" si="38"/>
        <v>0</v>
      </c>
      <c r="EB234" s="270">
        <f t="shared" ref="EB234:FC234" si="1534">IF(AJ232&lt;=0,0,IF($C233&lt;=SUM($EA234:EA234),0,IF(CU233+$C233-SUM($EA234:EA234)&gt;AJ232+BO233,AJ232+BO233-CU233,$C233-SUM($EA234:EA234))))</f>
        <v>0</v>
      </c>
      <c r="EC234" s="270">
        <f t="shared" si="1534"/>
        <v>0</v>
      </c>
      <c r="ED234" s="270">
        <f t="shared" si="1534"/>
        <v>0</v>
      </c>
      <c r="EE234" s="270">
        <f t="shared" si="1534"/>
        <v>0</v>
      </c>
      <c r="EF234" s="270">
        <f t="shared" si="1534"/>
        <v>0</v>
      </c>
      <c r="EG234" s="270">
        <f t="shared" si="1534"/>
        <v>0</v>
      </c>
      <c r="EH234" s="270">
        <f t="shared" si="1534"/>
        <v>0</v>
      </c>
      <c r="EI234" s="270">
        <f t="shared" si="1534"/>
        <v>0</v>
      </c>
      <c r="EJ234" s="270">
        <f t="shared" si="1534"/>
        <v>0</v>
      </c>
      <c r="EK234" s="270">
        <f t="shared" si="1534"/>
        <v>0</v>
      </c>
      <c r="EL234" s="270">
        <f t="shared" si="1534"/>
        <v>0</v>
      </c>
      <c r="EM234" s="270">
        <f t="shared" si="1534"/>
        <v>0</v>
      </c>
      <c r="EN234" s="270">
        <f t="shared" si="1534"/>
        <v>0</v>
      </c>
      <c r="EO234" s="270">
        <f t="shared" si="1534"/>
        <v>0</v>
      </c>
      <c r="EP234" s="270">
        <f t="shared" si="1534"/>
        <v>0</v>
      </c>
      <c r="EQ234" s="270">
        <f t="shared" si="1534"/>
        <v>0</v>
      </c>
      <c r="ER234" s="270">
        <f t="shared" si="1534"/>
        <v>0</v>
      </c>
      <c r="ES234" s="270">
        <f t="shared" si="1534"/>
        <v>0</v>
      </c>
      <c r="ET234" s="270">
        <f t="shared" si="1534"/>
        <v>0</v>
      </c>
      <c r="EU234" s="270">
        <f t="shared" si="1534"/>
        <v>0</v>
      </c>
      <c r="EV234" s="270">
        <f t="shared" si="1534"/>
        <v>0</v>
      </c>
      <c r="EW234" s="270">
        <f t="shared" si="1534"/>
        <v>0</v>
      </c>
      <c r="EX234" s="270">
        <f t="shared" si="1534"/>
        <v>0</v>
      </c>
      <c r="EY234" s="270">
        <f t="shared" si="1534"/>
        <v>0</v>
      </c>
      <c r="EZ234" s="270">
        <f t="shared" si="1534"/>
        <v>0</v>
      </c>
      <c r="FA234" s="270">
        <f t="shared" si="1534"/>
        <v>0</v>
      </c>
      <c r="FB234" s="270">
        <f t="shared" si="1534"/>
        <v>0</v>
      </c>
      <c r="FC234" s="270">
        <f t="shared" si="1534"/>
        <v>0</v>
      </c>
      <c r="FD234" s="271"/>
      <c r="FE234" s="271"/>
      <c r="FF234" s="271"/>
      <c r="FG234" s="215"/>
      <c r="FH234" s="215"/>
    </row>
    <row r="235" ht="11.25" customHeight="1">
      <c r="A235" s="215" t="str">
        <f t="shared" si="19"/>
        <v/>
      </c>
      <c r="B235" s="241" t="str">
        <f t="shared" si="600"/>
        <v>#N/A</v>
      </c>
      <c r="C235" s="271" t="str">
        <f>IF(A235="","",IF(Calculator!snowball,IF(($E$5-DY235)&lt;0,0,$E$5-DY235),0)+D235)</f>
        <v/>
      </c>
      <c r="D235" s="271"/>
      <c r="E235" s="270">
        <f t="shared" si="40"/>
        <v>0</v>
      </c>
      <c r="F235" s="270">
        <f t="shared" ref="F235:AG235" si="1535">CU235+EB236</f>
        <v>0</v>
      </c>
      <c r="G235" s="270">
        <f t="shared" si="1535"/>
        <v>0</v>
      </c>
      <c r="H235" s="270">
        <f t="shared" si="1535"/>
        <v>0</v>
      </c>
      <c r="I235" s="270">
        <f t="shared" si="1535"/>
        <v>0</v>
      </c>
      <c r="J235" s="270">
        <f t="shared" si="1535"/>
        <v>0</v>
      </c>
      <c r="K235" s="270">
        <f t="shared" si="1535"/>
        <v>0</v>
      </c>
      <c r="L235" s="270">
        <f t="shared" si="1535"/>
        <v>0</v>
      </c>
      <c r="M235" s="270">
        <f t="shared" si="1535"/>
        <v>0</v>
      </c>
      <c r="N235" s="270">
        <f t="shared" si="1535"/>
        <v>0</v>
      </c>
      <c r="O235" s="270">
        <f t="shared" si="1535"/>
        <v>0</v>
      </c>
      <c r="P235" s="272">
        <f t="shared" si="1535"/>
        <v>0</v>
      </c>
      <c r="Q235" s="272">
        <f t="shared" si="1535"/>
        <v>0</v>
      </c>
      <c r="R235" s="272">
        <f t="shared" si="1535"/>
        <v>0</v>
      </c>
      <c r="S235" s="272">
        <f t="shared" si="1535"/>
        <v>0</v>
      </c>
      <c r="T235" s="272">
        <f t="shared" si="1535"/>
        <v>0</v>
      </c>
      <c r="U235" s="270">
        <f t="shared" si="1535"/>
        <v>0</v>
      </c>
      <c r="V235" s="270">
        <f t="shared" si="1535"/>
        <v>0</v>
      </c>
      <c r="W235" s="270">
        <f t="shared" si="1535"/>
        <v>0</v>
      </c>
      <c r="X235" s="270">
        <f t="shared" si="1535"/>
        <v>0</v>
      </c>
      <c r="Y235" s="270">
        <f t="shared" si="1535"/>
        <v>0</v>
      </c>
      <c r="Z235" s="270">
        <f t="shared" si="1535"/>
        <v>0</v>
      </c>
      <c r="AA235" s="270">
        <f t="shared" si="1535"/>
        <v>0</v>
      </c>
      <c r="AB235" s="270">
        <f t="shared" si="1535"/>
        <v>0</v>
      </c>
      <c r="AC235" s="270">
        <f t="shared" si="1535"/>
        <v>0</v>
      </c>
      <c r="AD235" s="270">
        <f t="shared" si="1535"/>
        <v>0</v>
      </c>
      <c r="AE235" s="270">
        <f t="shared" si="1535"/>
        <v>0</v>
      </c>
      <c r="AF235" s="270">
        <f t="shared" si="1535"/>
        <v>0</v>
      </c>
      <c r="AG235" s="270">
        <f t="shared" si="1535"/>
        <v>0</v>
      </c>
      <c r="AH235" s="279">
        <f t="shared" si="602"/>
        <v>0</v>
      </c>
      <c r="AI235" s="270">
        <f t="shared" si="43"/>
        <v>0</v>
      </c>
      <c r="AJ235" s="270">
        <f t="shared" ref="AJ235:AO235" si="1536">IF(F$8=0,0,ROUND(AJ234-(F235-BO235),2))</f>
        <v>0</v>
      </c>
      <c r="AK235" s="270">
        <f t="shared" si="1536"/>
        <v>0</v>
      </c>
      <c r="AL235" s="270">
        <f t="shared" si="1536"/>
        <v>0</v>
      </c>
      <c r="AM235" s="270">
        <f t="shared" si="1536"/>
        <v>0</v>
      </c>
      <c r="AN235" s="270">
        <f t="shared" si="1536"/>
        <v>0</v>
      </c>
      <c r="AO235" s="270">
        <f t="shared" si="1536"/>
        <v>0</v>
      </c>
      <c r="AP235" s="270">
        <v>0.0</v>
      </c>
      <c r="AQ235" s="270">
        <f t="shared" ref="AQ235:AS235" si="1537">IF(M$8=0,0,ROUND(AQ234-(M235-BV235),2))</f>
        <v>0</v>
      </c>
      <c r="AR235" s="270">
        <f t="shared" si="1537"/>
        <v>0</v>
      </c>
      <c r="AS235" s="270">
        <f t="shared" si="1537"/>
        <v>0</v>
      </c>
      <c r="AT235" s="270">
        <f t="shared" si="605"/>
        <v>-6.22</v>
      </c>
      <c r="AU235" s="270">
        <f t="shared" ref="AU235:BK235" si="1538">IF(Q$8=0,0,ROUND(AU234-(Q235-BY235),2))</f>
        <v>-14.78</v>
      </c>
      <c r="AV235" s="270">
        <f t="shared" si="1538"/>
        <v>0</v>
      </c>
      <c r="AW235" s="270">
        <f t="shared" si="1538"/>
        <v>0</v>
      </c>
      <c r="AX235" s="270">
        <f t="shared" si="1538"/>
        <v>0</v>
      </c>
      <c r="AY235" s="270">
        <f t="shared" si="1538"/>
        <v>0</v>
      </c>
      <c r="AZ235" s="270">
        <f t="shared" si="1538"/>
        <v>0</v>
      </c>
      <c r="BA235" s="270">
        <f t="shared" si="1538"/>
        <v>0</v>
      </c>
      <c r="BB235" s="270">
        <f t="shared" si="1538"/>
        <v>0</v>
      </c>
      <c r="BC235" s="270">
        <f t="shared" si="1538"/>
        <v>0</v>
      </c>
      <c r="BD235" s="270">
        <f t="shared" si="1538"/>
        <v>0</v>
      </c>
      <c r="BE235" s="270">
        <f t="shared" si="1538"/>
        <v>0</v>
      </c>
      <c r="BF235" s="270">
        <f t="shared" si="1538"/>
        <v>0</v>
      </c>
      <c r="BG235" s="270">
        <f t="shared" si="1538"/>
        <v>0</v>
      </c>
      <c r="BH235" s="270">
        <f t="shared" si="1538"/>
        <v>0</v>
      </c>
      <c r="BI235" s="270">
        <f t="shared" si="1538"/>
        <v>0</v>
      </c>
      <c r="BJ235" s="270">
        <f t="shared" si="1538"/>
        <v>0</v>
      </c>
      <c r="BK235" s="270">
        <f t="shared" si="1538"/>
        <v>0</v>
      </c>
      <c r="BL235" s="265">
        <f t="shared" si="16"/>
        <v>-21</v>
      </c>
      <c r="BM235" s="215"/>
      <c r="BN235" s="270">
        <f t="shared" ref="BN235:CP235" si="1539">ROUND(AI234*E$9/12,2)</f>
        <v>0</v>
      </c>
      <c r="BO235" s="270">
        <f t="shared" si="1539"/>
        <v>0</v>
      </c>
      <c r="BP235" s="270">
        <f t="shared" si="1539"/>
        <v>0</v>
      </c>
      <c r="BQ235" s="270">
        <f t="shared" si="1539"/>
        <v>0</v>
      </c>
      <c r="BR235" s="270">
        <f t="shared" si="1539"/>
        <v>0</v>
      </c>
      <c r="BS235" s="270">
        <f t="shared" si="1539"/>
        <v>0</v>
      </c>
      <c r="BT235" s="270">
        <f t="shared" si="1539"/>
        <v>0</v>
      </c>
      <c r="BU235" s="270">
        <f t="shared" si="1539"/>
        <v>0</v>
      </c>
      <c r="BV235" s="270">
        <f t="shared" si="1539"/>
        <v>0</v>
      </c>
      <c r="BW235" s="270">
        <f t="shared" si="1539"/>
        <v>0</v>
      </c>
      <c r="BX235" s="270">
        <f t="shared" si="1539"/>
        <v>0</v>
      </c>
      <c r="BY235" s="270">
        <f t="shared" si="1539"/>
        <v>-0.05</v>
      </c>
      <c r="BZ235" s="270">
        <f t="shared" si="1539"/>
        <v>-0.05</v>
      </c>
      <c r="CA235" s="270">
        <f t="shared" si="1539"/>
        <v>0</v>
      </c>
      <c r="CB235" s="270">
        <f t="shared" si="1539"/>
        <v>0</v>
      </c>
      <c r="CC235" s="270">
        <f t="shared" si="1539"/>
        <v>0</v>
      </c>
      <c r="CD235" s="270">
        <f t="shared" si="1539"/>
        <v>0</v>
      </c>
      <c r="CE235" s="270">
        <f t="shared" si="1539"/>
        <v>0</v>
      </c>
      <c r="CF235" s="270">
        <f t="shared" si="1539"/>
        <v>0</v>
      </c>
      <c r="CG235" s="270">
        <f t="shared" si="1539"/>
        <v>0</v>
      </c>
      <c r="CH235" s="270">
        <f t="shared" si="1539"/>
        <v>0</v>
      </c>
      <c r="CI235" s="270">
        <f t="shared" si="1539"/>
        <v>0</v>
      </c>
      <c r="CJ235" s="270">
        <f t="shared" si="1539"/>
        <v>0</v>
      </c>
      <c r="CK235" s="270">
        <f t="shared" si="1539"/>
        <v>0</v>
      </c>
      <c r="CL235" s="270">
        <f t="shared" si="1539"/>
        <v>0</v>
      </c>
      <c r="CM235" s="270">
        <f t="shared" si="1539"/>
        <v>0</v>
      </c>
      <c r="CN235" s="270">
        <f t="shared" si="1539"/>
        <v>0</v>
      </c>
      <c r="CO235" s="270">
        <f t="shared" si="1539"/>
        <v>0</v>
      </c>
      <c r="CP235" s="270">
        <f t="shared" si="1539"/>
        <v>0</v>
      </c>
      <c r="CQ235" s="215"/>
      <c r="CR235" s="270">
        <f t="shared" si="27"/>
        <v>-0.1</v>
      </c>
      <c r="CS235" s="215"/>
      <c r="CT235" s="270">
        <f t="shared" ref="CT235:DX235" si="1540">IF(AI234&gt;0,IF((AI234+BN235)&lt;E$10,AI234+BN235,E$10),0)</f>
        <v>0</v>
      </c>
      <c r="CU235" s="270">
        <f t="shared" si="1540"/>
        <v>0</v>
      </c>
      <c r="CV235" s="270">
        <f t="shared" si="1540"/>
        <v>0</v>
      </c>
      <c r="CW235" s="270">
        <f t="shared" si="1540"/>
        <v>0</v>
      </c>
      <c r="CX235" s="270">
        <f t="shared" si="1540"/>
        <v>0</v>
      </c>
      <c r="CY235" s="270">
        <f t="shared" si="1540"/>
        <v>0</v>
      </c>
      <c r="CZ235" s="270">
        <f t="shared" si="1540"/>
        <v>0</v>
      </c>
      <c r="DA235" s="270">
        <f t="shared" si="1540"/>
        <v>0</v>
      </c>
      <c r="DB235" s="270">
        <f t="shared" si="1540"/>
        <v>0</v>
      </c>
      <c r="DC235" s="270">
        <f t="shared" si="1540"/>
        <v>0</v>
      </c>
      <c r="DD235" s="270">
        <f t="shared" si="1540"/>
        <v>0</v>
      </c>
      <c r="DE235" s="270">
        <f t="shared" si="1540"/>
        <v>0</v>
      </c>
      <c r="DF235" s="270">
        <f t="shared" si="1540"/>
        <v>0</v>
      </c>
      <c r="DG235" s="270">
        <f t="shared" si="1540"/>
        <v>0</v>
      </c>
      <c r="DH235" s="270">
        <f t="shared" si="1540"/>
        <v>0</v>
      </c>
      <c r="DI235" s="270">
        <f t="shared" si="1540"/>
        <v>0</v>
      </c>
      <c r="DJ235" s="270">
        <f t="shared" si="1540"/>
        <v>0</v>
      </c>
      <c r="DK235" s="270">
        <f t="shared" si="1540"/>
        <v>0</v>
      </c>
      <c r="DL235" s="270">
        <f t="shared" si="1540"/>
        <v>0</v>
      </c>
      <c r="DM235" s="270">
        <f t="shared" si="1540"/>
        <v>0</v>
      </c>
      <c r="DN235" s="270">
        <f t="shared" si="1540"/>
        <v>0</v>
      </c>
      <c r="DO235" s="270">
        <f t="shared" si="1540"/>
        <v>0</v>
      </c>
      <c r="DP235" s="270">
        <f t="shared" si="1540"/>
        <v>0</v>
      </c>
      <c r="DQ235" s="270">
        <f t="shared" si="1540"/>
        <v>0</v>
      </c>
      <c r="DR235" s="270">
        <f t="shared" si="1540"/>
        <v>0</v>
      </c>
      <c r="DS235" s="270">
        <f t="shared" si="1540"/>
        <v>0</v>
      </c>
      <c r="DT235" s="270">
        <f t="shared" si="1540"/>
        <v>0</v>
      </c>
      <c r="DU235" s="270">
        <f t="shared" si="1540"/>
        <v>0</v>
      </c>
      <c r="DV235" s="270">
        <f t="shared" si="1540"/>
        <v>0</v>
      </c>
      <c r="DW235" s="270">
        <f t="shared" si="1540"/>
        <v>0</v>
      </c>
      <c r="DX235" s="270">
        <f t="shared" si="1540"/>
        <v>0</v>
      </c>
      <c r="DY235" s="270">
        <f t="shared" si="29"/>
        <v>0</v>
      </c>
      <c r="DZ235" s="274"/>
      <c r="EA235" s="275">
        <f t="shared" si="38"/>
        <v>0</v>
      </c>
      <c r="EB235" s="270">
        <f t="shared" ref="EB235:FC235" si="1541">IF(AJ233&lt;=0,0,IF($C234&lt;=SUM($EA235:EA235),0,IF(CU234+$C234-SUM($EA235:EA235)&gt;AJ233+BO234,AJ233+BO234-CU234,$C234-SUM($EA235:EA235))))</f>
        <v>0</v>
      </c>
      <c r="EC235" s="270">
        <f t="shared" si="1541"/>
        <v>0</v>
      </c>
      <c r="ED235" s="270">
        <f t="shared" si="1541"/>
        <v>0</v>
      </c>
      <c r="EE235" s="270">
        <f t="shared" si="1541"/>
        <v>0</v>
      </c>
      <c r="EF235" s="270">
        <f t="shared" si="1541"/>
        <v>0</v>
      </c>
      <c r="EG235" s="270">
        <f t="shared" si="1541"/>
        <v>0</v>
      </c>
      <c r="EH235" s="270">
        <f t="shared" si="1541"/>
        <v>0</v>
      </c>
      <c r="EI235" s="270">
        <f t="shared" si="1541"/>
        <v>0</v>
      </c>
      <c r="EJ235" s="270">
        <f t="shared" si="1541"/>
        <v>0</v>
      </c>
      <c r="EK235" s="270">
        <f t="shared" si="1541"/>
        <v>0</v>
      </c>
      <c r="EL235" s="270">
        <f t="shared" si="1541"/>
        <v>0</v>
      </c>
      <c r="EM235" s="270">
        <f t="shared" si="1541"/>
        <v>0</v>
      </c>
      <c r="EN235" s="270">
        <f t="shared" si="1541"/>
        <v>0</v>
      </c>
      <c r="EO235" s="270">
        <f t="shared" si="1541"/>
        <v>0</v>
      </c>
      <c r="EP235" s="270">
        <f t="shared" si="1541"/>
        <v>0</v>
      </c>
      <c r="EQ235" s="270">
        <f t="shared" si="1541"/>
        <v>0</v>
      </c>
      <c r="ER235" s="270">
        <f t="shared" si="1541"/>
        <v>0</v>
      </c>
      <c r="ES235" s="270">
        <f t="shared" si="1541"/>
        <v>0</v>
      </c>
      <c r="ET235" s="270">
        <f t="shared" si="1541"/>
        <v>0</v>
      </c>
      <c r="EU235" s="270">
        <f t="shared" si="1541"/>
        <v>0</v>
      </c>
      <c r="EV235" s="270">
        <f t="shared" si="1541"/>
        <v>0</v>
      </c>
      <c r="EW235" s="270">
        <f t="shared" si="1541"/>
        <v>0</v>
      </c>
      <c r="EX235" s="270">
        <f t="shared" si="1541"/>
        <v>0</v>
      </c>
      <c r="EY235" s="270">
        <f t="shared" si="1541"/>
        <v>0</v>
      </c>
      <c r="EZ235" s="270">
        <f t="shared" si="1541"/>
        <v>0</v>
      </c>
      <c r="FA235" s="270">
        <f t="shared" si="1541"/>
        <v>0</v>
      </c>
      <c r="FB235" s="270">
        <f t="shared" si="1541"/>
        <v>0</v>
      </c>
      <c r="FC235" s="270">
        <f t="shared" si="1541"/>
        <v>0</v>
      </c>
      <c r="FD235" s="271"/>
      <c r="FE235" s="271"/>
      <c r="FF235" s="271"/>
      <c r="FG235" s="215"/>
      <c r="FH235" s="215"/>
    </row>
    <row r="236" ht="11.25" customHeight="1">
      <c r="A236" s="215" t="str">
        <f t="shared" si="19"/>
        <v/>
      </c>
      <c r="B236" s="241" t="str">
        <f t="shared" si="600"/>
        <v>#N/A</v>
      </c>
      <c r="C236" s="271" t="str">
        <f>IF(A236="","",IF(Calculator!snowball,IF(($E$5-DY236)&lt;0,0,$E$5-DY236),0)+D236)</f>
        <v/>
      </c>
      <c r="D236" s="271"/>
      <c r="E236" s="270">
        <f t="shared" si="40"/>
        <v>0</v>
      </c>
      <c r="F236" s="270">
        <f t="shared" ref="F236:AG236" si="1542">CU236+EB237</f>
        <v>0</v>
      </c>
      <c r="G236" s="270">
        <f t="shared" si="1542"/>
        <v>0</v>
      </c>
      <c r="H236" s="270">
        <f t="shared" si="1542"/>
        <v>0</v>
      </c>
      <c r="I236" s="270">
        <f t="shared" si="1542"/>
        <v>0</v>
      </c>
      <c r="J236" s="270">
        <f t="shared" si="1542"/>
        <v>0</v>
      </c>
      <c r="K236" s="270">
        <f t="shared" si="1542"/>
        <v>0</v>
      </c>
      <c r="L236" s="270">
        <f t="shared" si="1542"/>
        <v>0</v>
      </c>
      <c r="M236" s="270">
        <f t="shared" si="1542"/>
        <v>0</v>
      </c>
      <c r="N236" s="270">
        <f t="shared" si="1542"/>
        <v>0</v>
      </c>
      <c r="O236" s="270">
        <f t="shared" si="1542"/>
        <v>0</v>
      </c>
      <c r="P236" s="272">
        <f t="shared" si="1542"/>
        <v>0</v>
      </c>
      <c r="Q236" s="272">
        <f t="shared" si="1542"/>
        <v>0</v>
      </c>
      <c r="R236" s="272">
        <f t="shared" si="1542"/>
        <v>0</v>
      </c>
      <c r="S236" s="272">
        <f t="shared" si="1542"/>
        <v>0</v>
      </c>
      <c r="T236" s="272">
        <f t="shared" si="1542"/>
        <v>0</v>
      </c>
      <c r="U236" s="270">
        <f t="shared" si="1542"/>
        <v>0</v>
      </c>
      <c r="V236" s="270">
        <f t="shared" si="1542"/>
        <v>0</v>
      </c>
      <c r="W236" s="270">
        <f t="shared" si="1542"/>
        <v>0</v>
      </c>
      <c r="X236" s="270">
        <f t="shared" si="1542"/>
        <v>0</v>
      </c>
      <c r="Y236" s="270">
        <f t="shared" si="1542"/>
        <v>0</v>
      </c>
      <c r="Z236" s="270">
        <f t="shared" si="1542"/>
        <v>0</v>
      </c>
      <c r="AA236" s="270">
        <f t="shared" si="1542"/>
        <v>0</v>
      </c>
      <c r="AB236" s="270">
        <f t="shared" si="1542"/>
        <v>0</v>
      </c>
      <c r="AC236" s="270">
        <f t="shared" si="1542"/>
        <v>0</v>
      </c>
      <c r="AD236" s="270">
        <f t="shared" si="1542"/>
        <v>0</v>
      </c>
      <c r="AE236" s="270">
        <f t="shared" si="1542"/>
        <v>0</v>
      </c>
      <c r="AF236" s="270">
        <f t="shared" si="1542"/>
        <v>0</v>
      </c>
      <c r="AG236" s="270">
        <f t="shared" si="1542"/>
        <v>0</v>
      </c>
      <c r="AH236" s="279">
        <f t="shared" si="602"/>
        <v>0</v>
      </c>
      <c r="AI236" s="270">
        <f t="shared" si="43"/>
        <v>0</v>
      </c>
      <c r="AJ236" s="270">
        <f t="shared" ref="AJ236:AO236" si="1543">IF(F$8=0,0,ROUND(AJ235-(F236-BO236),2))</f>
        <v>0</v>
      </c>
      <c r="AK236" s="270">
        <f t="shared" si="1543"/>
        <v>0</v>
      </c>
      <c r="AL236" s="270">
        <f t="shared" si="1543"/>
        <v>0</v>
      </c>
      <c r="AM236" s="270">
        <f t="shared" si="1543"/>
        <v>0</v>
      </c>
      <c r="AN236" s="270">
        <f t="shared" si="1543"/>
        <v>0</v>
      </c>
      <c r="AO236" s="270">
        <f t="shared" si="1543"/>
        <v>0</v>
      </c>
      <c r="AP236" s="270">
        <v>0.0</v>
      </c>
      <c r="AQ236" s="270">
        <f t="shared" ref="AQ236:AS236" si="1544">IF(M$8=0,0,ROUND(AQ235-(M236-BV236),2))</f>
        <v>0</v>
      </c>
      <c r="AR236" s="270">
        <f t="shared" si="1544"/>
        <v>0</v>
      </c>
      <c r="AS236" s="270">
        <f t="shared" si="1544"/>
        <v>0</v>
      </c>
      <c r="AT236" s="270">
        <f t="shared" si="605"/>
        <v>-6.22</v>
      </c>
      <c r="AU236" s="270">
        <f t="shared" ref="AU236:BK236" si="1545">IF(Q$8=0,0,ROUND(AU235-(Q236-BY236),2))</f>
        <v>-14.83</v>
      </c>
      <c r="AV236" s="270">
        <f t="shared" si="1545"/>
        <v>0</v>
      </c>
      <c r="AW236" s="270">
        <f t="shared" si="1545"/>
        <v>0</v>
      </c>
      <c r="AX236" s="270">
        <f t="shared" si="1545"/>
        <v>0</v>
      </c>
      <c r="AY236" s="270">
        <f t="shared" si="1545"/>
        <v>0</v>
      </c>
      <c r="AZ236" s="270">
        <f t="shared" si="1545"/>
        <v>0</v>
      </c>
      <c r="BA236" s="270">
        <f t="shared" si="1545"/>
        <v>0</v>
      </c>
      <c r="BB236" s="270">
        <f t="shared" si="1545"/>
        <v>0</v>
      </c>
      <c r="BC236" s="270">
        <f t="shared" si="1545"/>
        <v>0</v>
      </c>
      <c r="BD236" s="270">
        <f t="shared" si="1545"/>
        <v>0</v>
      </c>
      <c r="BE236" s="270">
        <f t="shared" si="1545"/>
        <v>0</v>
      </c>
      <c r="BF236" s="270">
        <f t="shared" si="1545"/>
        <v>0</v>
      </c>
      <c r="BG236" s="270">
        <f t="shared" si="1545"/>
        <v>0</v>
      </c>
      <c r="BH236" s="270">
        <f t="shared" si="1545"/>
        <v>0</v>
      </c>
      <c r="BI236" s="270">
        <f t="shared" si="1545"/>
        <v>0</v>
      </c>
      <c r="BJ236" s="270">
        <f t="shared" si="1545"/>
        <v>0</v>
      </c>
      <c r="BK236" s="270">
        <f t="shared" si="1545"/>
        <v>0</v>
      </c>
      <c r="BL236" s="265">
        <f t="shared" si="16"/>
        <v>-21.05</v>
      </c>
      <c r="BM236" s="215"/>
      <c r="BN236" s="270">
        <f t="shared" ref="BN236:CP236" si="1546">ROUND(AI235*E$9/12,2)</f>
        <v>0</v>
      </c>
      <c r="BO236" s="270">
        <f t="shared" si="1546"/>
        <v>0</v>
      </c>
      <c r="BP236" s="270">
        <f t="shared" si="1546"/>
        <v>0</v>
      </c>
      <c r="BQ236" s="270">
        <f t="shared" si="1546"/>
        <v>0</v>
      </c>
      <c r="BR236" s="270">
        <f t="shared" si="1546"/>
        <v>0</v>
      </c>
      <c r="BS236" s="270">
        <f t="shared" si="1546"/>
        <v>0</v>
      </c>
      <c r="BT236" s="270">
        <f t="shared" si="1546"/>
        <v>0</v>
      </c>
      <c r="BU236" s="270">
        <f t="shared" si="1546"/>
        <v>0</v>
      </c>
      <c r="BV236" s="270">
        <f t="shared" si="1546"/>
        <v>0</v>
      </c>
      <c r="BW236" s="270">
        <f t="shared" si="1546"/>
        <v>0</v>
      </c>
      <c r="BX236" s="270">
        <f t="shared" si="1546"/>
        <v>0</v>
      </c>
      <c r="BY236" s="270">
        <f t="shared" si="1546"/>
        <v>-0.05</v>
      </c>
      <c r="BZ236" s="270">
        <f t="shared" si="1546"/>
        <v>-0.05</v>
      </c>
      <c r="CA236" s="270">
        <f t="shared" si="1546"/>
        <v>0</v>
      </c>
      <c r="CB236" s="270">
        <f t="shared" si="1546"/>
        <v>0</v>
      </c>
      <c r="CC236" s="270">
        <f t="shared" si="1546"/>
        <v>0</v>
      </c>
      <c r="CD236" s="270">
        <f t="shared" si="1546"/>
        <v>0</v>
      </c>
      <c r="CE236" s="270">
        <f t="shared" si="1546"/>
        <v>0</v>
      </c>
      <c r="CF236" s="270">
        <f t="shared" si="1546"/>
        <v>0</v>
      </c>
      <c r="CG236" s="270">
        <f t="shared" si="1546"/>
        <v>0</v>
      </c>
      <c r="CH236" s="270">
        <f t="shared" si="1546"/>
        <v>0</v>
      </c>
      <c r="CI236" s="270">
        <f t="shared" si="1546"/>
        <v>0</v>
      </c>
      <c r="CJ236" s="270">
        <f t="shared" si="1546"/>
        <v>0</v>
      </c>
      <c r="CK236" s="270">
        <f t="shared" si="1546"/>
        <v>0</v>
      </c>
      <c r="CL236" s="270">
        <f t="shared" si="1546"/>
        <v>0</v>
      </c>
      <c r="CM236" s="270">
        <f t="shared" si="1546"/>
        <v>0</v>
      </c>
      <c r="CN236" s="270">
        <f t="shared" si="1546"/>
        <v>0</v>
      </c>
      <c r="CO236" s="270">
        <f t="shared" si="1546"/>
        <v>0</v>
      </c>
      <c r="CP236" s="270">
        <f t="shared" si="1546"/>
        <v>0</v>
      </c>
      <c r="CQ236" s="215"/>
      <c r="CR236" s="270">
        <f t="shared" si="27"/>
        <v>-0.1</v>
      </c>
      <c r="CS236" s="215"/>
      <c r="CT236" s="270">
        <f t="shared" ref="CT236:DX236" si="1547">IF(AI235&gt;0,IF((AI235+BN236)&lt;E$10,AI235+BN236,E$10),0)</f>
        <v>0</v>
      </c>
      <c r="CU236" s="270">
        <f t="shared" si="1547"/>
        <v>0</v>
      </c>
      <c r="CV236" s="270">
        <f t="shared" si="1547"/>
        <v>0</v>
      </c>
      <c r="CW236" s="270">
        <f t="shared" si="1547"/>
        <v>0</v>
      </c>
      <c r="CX236" s="270">
        <f t="shared" si="1547"/>
        <v>0</v>
      </c>
      <c r="CY236" s="270">
        <f t="shared" si="1547"/>
        <v>0</v>
      </c>
      <c r="CZ236" s="270">
        <f t="shared" si="1547"/>
        <v>0</v>
      </c>
      <c r="DA236" s="270">
        <f t="shared" si="1547"/>
        <v>0</v>
      </c>
      <c r="DB236" s="270">
        <f t="shared" si="1547"/>
        <v>0</v>
      </c>
      <c r="DC236" s="270">
        <f t="shared" si="1547"/>
        <v>0</v>
      </c>
      <c r="DD236" s="270">
        <f t="shared" si="1547"/>
        <v>0</v>
      </c>
      <c r="DE236" s="270">
        <f t="shared" si="1547"/>
        <v>0</v>
      </c>
      <c r="DF236" s="270">
        <f t="shared" si="1547"/>
        <v>0</v>
      </c>
      <c r="DG236" s="270">
        <f t="shared" si="1547"/>
        <v>0</v>
      </c>
      <c r="DH236" s="270">
        <f t="shared" si="1547"/>
        <v>0</v>
      </c>
      <c r="DI236" s="270">
        <f t="shared" si="1547"/>
        <v>0</v>
      </c>
      <c r="DJ236" s="270">
        <f t="shared" si="1547"/>
        <v>0</v>
      </c>
      <c r="DK236" s="270">
        <f t="shared" si="1547"/>
        <v>0</v>
      </c>
      <c r="DL236" s="270">
        <f t="shared" si="1547"/>
        <v>0</v>
      </c>
      <c r="DM236" s="270">
        <f t="shared" si="1547"/>
        <v>0</v>
      </c>
      <c r="DN236" s="270">
        <f t="shared" si="1547"/>
        <v>0</v>
      </c>
      <c r="DO236" s="270">
        <f t="shared" si="1547"/>
        <v>0</v>
      </c>
      <c r="DP236" s="270">
        <f t="shared" si="1547"/>
        <v>0</v>
      </c>
      <c r="DQ236" s="270">
        <f t="shared" si="1547"/>
        <v>0</v>
      </c>
      <c r="DR236" s="270">
        <f t="shared" si="1547"/>
        <v>0</v>
      </c>
      <c r="DS236" s="270">
        <f t="shared" si="1547"/>
        <v>0</v>
      </c>
      <c r="DT236" s="270">
        <f t="shared" si="1547"/>
        <v>0</v>
      </c>
      <c r="DU236" s="270">
        <f t="shared" si="1547"/>
        <v>0</v>
      </c>
      <c r="DV236" s="270">
        <f t="shared" si="1547"/>
        <v>0</v>
      </c>
      <c r="DW236" s="270">
        <f t="shared" si="1547"/>
        <v>0</v>
      </c>
      <c r="DX236" s="270">
        <f t="shared" si="1547"/>
        <v>0</v>
      </c>
      <c r="DY236" s="270">
        <f t="shared" si="29"/>
        <v>0</v>
      </c>
      <c r="DZ236" s="274"/>
      <c r="EA236" s="275">
        <f t="shared" si="38"/>
        <v>0</v>
      </c>
      <c r="EB236" s="270">
        <f t="shared" ref="EB236:FC236" si="1548">IF(AJ234&lt;=0,0,IF($C235&lt;=SUM($EA236:EA236),0,IF(CU235+$C235-SUM($EA236:EA236)&gt;AJ234+BO235,AJ234+BO235-CU235,$C235-SUM($EA236:EA236))))</f>
        <v>0</v>
      </c>
      <c r="EC236" s="270">
        <f t="shared" si="1548"/>
        <v>0</v>
      </c>
      <c r="ED236" s="270">
        <f t="shared" si="1548"/>
        <v>0</v>
      </c>
      <c r="EE236" s="270">
        <f t="shared" si="1548"/>
        <v>0</v>
      </c>
      <c r="EF236" s="270">
        <f t="shared" si="1548"/>
        <v>0</v>
      </c>
      <c r="EG236" s="270">
        <f t="shared" si="1548"/>
        <v>0</v>
      </c>
      <c r="EH236" s="270">
        <f t="shared" si="1548"/>
        <v>0</v>
      </c>
      <c r="EI236" s="270">
        <f t="shared" si="1548"/>
        <v>0</v>
      </c>
      <c r="EJ236" s="270">
        <f t="shared" si="1548"/>
        <v>0</v>
      </c>
      <c r="EK236" s="270">
        <f t="shared" si="1548"/>
        <v>0</v>
      </c>
      <c r="EL236" s="270">
        <f t="shared" si="1548"/>
        <v>0</v>
      </c>
      <c r="EM236" s="270">
        <f t="shared" si="1548"/>
        <v>0</v>
      </c>
      <c r="EN236" s="270">
        <f t="shared" si="1548"/>
        <v>0</v>
      </c>
      <c r="EO236" s="270">
        <f t="shared" si="1548"/>
        <v>0</v>
      </c>
      <c r="EP236" s="270">
        <f t="shared" si="1548"/>
        <v>0</v>
      </c>
      <c r="EQ236" s="270">
        <f t="shared" si="1548"/>
        <v>0</v>
      </c>
      <c r="ER236" s="270">
        <f t="shared" si="1548"/>
        <v>0</v>
      </c>
      <c r="ES236" s="270">
        <f t="shared" si="1548"/>
        <v>0</v>
      </c>
      <c r="ET236" s="270">
        <f t="shared" si="1548"/>
        <v>0</v>
      </c>
      <c r="EU236" s="270">
        <f t="shared" si="1548"/>
        <v>0</v>
      </c>
      <c r="EV236" s="270">
        <f t="shared" si="1548"/>
        <v>0</v>
      </c>
      <c r="EW236" s="270">
        <f t="shared" si="1548"/>
        <v>0</v>
      </c>
      <c r="EX236" s="270">
        <f t="shared" si="1548"/>
        <v>0</v>
      </c>
      <c r="EY236" s="270">
        <f t="shared" si="1548"/>
        <v>0</v>
      </c>
      <c r="EZ236" s="270">
        <f t="shared" si="1548"/>
        <v>0</v>
      </c>
      <c r="FA236" s="270">
        <f t="shared" si="1548"/>
        <v>0</v>
      </c>
      <c r="FB236" s="270">
        <f t="shared" si="1548"/>
        <v>0</v>
      </c>
      <c r="FC236" s="270">
        <f t="shared" si="1548"/>
        <v>0</v>
      </c>
      <c r="FD236" s="271"/>
      <c r="FE236" s="271"/>
      <c r="FF236" s="271"/>
      <c r="FG236" s="215"/>
      <c r="FH236" s="215"/>
    </row>
    <row r="237" ht="11.25" customHeight="1">
      <c r="A237" s="215" t="str">
        <f t="shared" si="19"/>
        <v/>
      </c>
      <c r="B237" s="241" t="str">
        <f t="shared" si="600"/>
        <v>#N/A</v>
      </c>
      <c r="C237" s="271" t="str">
        <f>IF(A237="","",IF(Calculator!snowball,IF(($E$5-DY237)&lt;0,0,$E$5-DY237),0)+D237)</f>
        <v/>
      </c>
      <c r="D237" s="271"/>
      <c r="E237" s="270">
        <f t="shared" si="40"/>
        <v>0</v>
      </c>
      <c r="F237" s="270">
        <f t="shared" ref="F237:AG237" si="1549">CU237+EB238</f>
        <v>0</v>
      </c>
      <c r="G237" s="270">
        <f t="shared" si="1549"/>
        <v>0</v>
      </c>
      <c r="H237" s="270">
        <f t="shared" si="1549"/>
        <v>0</v>
      </c>
      <c r="I237" s="270">
        <f t="shared" si="1549"/>
        <v>0</v>
      </c>
      <c r="J237" s="270">
        <f t="shared" si="1549"/>
        <v>0</v>
      </c>
      <c r="K237" s="270">
        <f t="shared" si="1549"/>
        <v>0</v>
      </c>
      <c r="L237" s="270">
        <f t="shared" si="1549"/>
        <v>0</v>
      </c>
      <c r="M237" s="270">
        <f t="shared" si="1549"/>
        <v>0</v>
      </c>
      <c r="N237" s="270">
        <f t="shared" si="1549"/>
        <v>0</v>
      </c>
      <c r="O237" s="270">
        <f t="shared" si="1549"/>
        <v>0</v>
      </c>
      <c r="P237" s="272">
        <f t="shared" si="1549"/>
        <v>0</v>
      </c>
      <c r="Q237" s="272">
        <f t="shared" si="1549"/>
        <v>0</v>
      </c>
      <c r="R237" s="272">
        <f t="shared" si="1549"/>
        <v>0</v>
      </c>
      <c r="S237" s="272">
        <f t="shared" si="1549"/>
        <v>0</v>
      </c>
      <c r="T237" s="272">
        <f t="shared" si="1549"/>
        <v>0</v>
      </c>
      <c r="U237" s="270">
        <f t="shared" si="1549"/>
        <v>0</v>
      </c>
      <c r="V237" s="270">
        <f t="shared" si="1549"/>
        <v>0</v>
      </c>
      <c r="W237" s="270">
        <f t="shared" si="1549"/>
        <v>0</v>
      </c>
      <c r="X237" s="270">
        <f t="shared" si="1549"/>
        <v>0</v>
      </c>
      <c r="Y237" s="270">
        <f t="shared" si="1549"/>
        <v>0</v>
      </c>
      <c r="Z237" s="270">
        <f t="shared" si="1549"/>
        <v>0</v>
      </c>
      <c r="AA237" s="270">
        <f t="shared" si="1549"/>
        <v>0</v>
      </c>
      <c r="AB237" s="270">
        <f t="shared" si="1549"/>
        <v>0</v>
      </c>
      <c r="AC237" s="270">
        <f t="shared" si="1549"/>
        <v>0</v>
      </c>
      <c r="AD237" s="270">
        <f t="shared" si="1549"/>
        <v>0</v>
      </c>
      <c r="AE237" s="270">
        <f t="shared" si="1549"/>
        <v>0</v>
      </c>
      <c r="AF237" s="270">
        <f t="shared" si="1549"/>
        <v>0</v>
      </c>
      <c r="AG237" s="270">
        <f t="shared" si="1549"/>
        <v>0</v>
      </c>
      <c r="AH237" s="279">
        <f t="shared" si="602"/>
        <v>0</v>
      </c>
      <c r="AI237" s="270">
        <f t="shared" si="43"/>
        <v>0</v>
      </c>
      <c r="AJ237" s="270">
        <f t="shared" ref="AJ237:AO237" si="1550">IF(F$8=0,0,ROUND(AJ236-(F237-BO237),2))</f>
        <v>0</v>
      </c>
      <c r="AK237" s="270">
        <f t="shared" si="1550"/>
        <v>0</v>
      </c>
      <c r="AL237" s="270">
        <f t="shared" si="1550"/>
        <v>0</v>
      </c>
      <c r="AM237" s="270">
        <f t="shared" si="1550"/>
        <v>0</v>
      </c>
      <c r="AN237" s="270">
        <f t="shared" si="1550"/>
        <v>0</v>
      </c>
      <c r="AO237" s="270">
        <f t="shared" si="1550"/>
        <v>0</v>
      </c>
      <c r="AP237" s="270">
        <v>0.0</v>
      </c>
      <c r="AQ237" s="270">
        <f t="shared" ref="AQ237:AS237" si="1551">IF(M$8=0,0,ROUND(AQ236-(M237-BV237),2))</f>
        <v>0</v>
      </c>
      <c r="AR237" s="270">
        <f t="shared" si="1551"/>
        <v>0</v>
      </c>
      <c r="AS237" s="270">
        <f t="shared" si="1551"/>
        <v>0</v>
      </c>
      <c r="AT237" s="270">
        <f t="shared" si="605"/>
        <v>-6.22</v>
      </c>
      <c r="AU237" s="270">
        <f t="shared" ref="AU237:BK237" si="1552">IF(Q$8=0,0,ROUND(AU236-(Q237-BY237),2))</f>
        <v>-14.88</v>
      </c>
      <c r="AV237" s="270">
        <f t="shared" si="1552"/>
        <v>0</v>
      </c>
      <c r="AW237" s="270">
        <f t="shared" si="1552"/>
        <v>0</v>
      </c>
      <c r="AX237" s="270">
        <f t="shared" si="1552"/>
        <v>0</v>
      </c>
      <c r="AY237" s="270">
        <f t="shared" si="1552"/>
        <v>0</v>
      </c>
      <c r="AZ237" s="270">
        <f t="shared" si="1552"/>
        <v>0</v>
      </c>
      <c r="BA237" s="270">
        <f t="shared" si="1552"/>
        <v>0</v>
      </c>
      <c r="BB237" s="270">
        <f t="shared" si="1552"/>
        <v>0</v>
      </c>
      <c r="BC237" s="270">
        <f t="shared" si="1552"/>
        <v>0</v>
      </c>
      <c r="BD237" s="270">
        <f t="shared" si="1552"/>
        <v>0</v>
      </c>
      <c r="BE237" s="270">
        <f t="shared" si="1552"/>
        <v>0</v>
      </c>
      <c r="BF237" s="270">
        <f t="shared" si="1552"/>
        <v>0</v>
      </c>
      <c r="BG237" s="270">
        <f t="shared" si="1552"/>
        <v>0</v>
      </c>
      <c r="BH237" s="270">
        <f t="shared" si="1552"/>
        <v>0</v>
      </c>
      <c r="BI237" s="270">
        <f t="shared" si="1552"/>
        <v>0</v>
      </c>
      <c r="BJ237" s="270">
        <f t="shared" si="1552"/>
        <v>0</v>
      </c>
      <c r="BK237" s="270">
        <f t="shared" si="1552"/>
        <v>0</v>
      </c>
      <c r="BL237" s="265">
        <f t="shared" si="16"/>
        <v>-21.1</v>
      </c>
      <c r="BM237" s="215"/>
      <c r="BN237" s="270">
        <f t="shared" ref="BN237:CP237" si="1553">ROUND(AI236*E$9/12,2)</f>
        <v>0</v>
      </c>
      <c r="BO237" s="270">
        <f t="shared" si="1553"/>
        <v>0</v>
      </c>
      <c r="BP237" s="270">
        <f t="shared" si="1553"/>
        <v>0</v>
      </c>
      <c r="BQ237" s="270">
        <f t="shared" si="1553"/>
        <v>0</v>
      </c>
      <c r="BR237" s="270">
        <f t="shared" si="1553"/>
        <v>0</v>
      </c>
      <c r="BS237" s="270">
        <f t="shared" si="1553"/>
        <v>0</v>
      </c>
      <c r="BT237" s="270">
        <f t="shared" si="1553"/>
        <v>0</v>
      </c>
      <c r="BU237" s="270">
        <f t="shared" si="1553"/>
        <v>0</v>
      </c>
      <c r="BV237" s="270">
        <f t="shared" si="1553"/>
        <v>0</v>
      </c>
      <c r="BW237" s="270">
        <f t="shared" si="1553"/>
        <v>0</v>
      </c>
      <c r="BX237" s="270">
        <f t="shared" si="1553"/>
        <v>0</v>
      </c>
      <c r="BY237" s="270">
        <f t="shared" si="1553"/>
        <v>-0.05</v>
      </c>
      <c r="BZ237" s="270">
        <f t="shared" si="1553"/>
        <v>-0.05</v>
      </c>
      <c r="CA237" s="270">
        <f t="shared" si="1553"/>
        <v>0</v>
      </c>
      <c r="CB237" s="270">
        <f t="shared" si="1553"/>
        <v>0</v>
      </c>
      <c r="CC237" s="270">
        <f t="shared" si="1553"/>
        <v>0</v>
      </c>
      <c r="CD237" s="270">
        <f t="shared" si="1553"/>
        <v>0</v>
      </c>
      <c r="CE237" s="270">
        <f t="shared" si="1553"/>
        <v>0</v>
      </c>
      <c r="CF237" s="270">
        <f t="shared" si="1553"/>
        <v>0</v>
      </c>
      <c r="CG237" s="270">
        <f t="shared" si="1553"/>
        <v>0</v>
      </c>
      <c r="CH237" s="270">
        <f t="shared" si="1553"/>
        <v>0</v>
      </c>
      <c r="CI237" s="270">
        <f t="shared" si="1553"/>
        <v>0</v>
      </c>
      <c r="CJ237" s="270">
        <f t="shared" si="1553"/>
        <v>0</v>
      </c>
      <c r="CK237" s="270">
        <f t="shared" si="1553"/>
        <v>0</v>
      </c>
      <c r="CL237" s="270">
        <f t="shared" si="1553"/>
        <v>0</v>
      </c>
      <c r="CM237" s="270">
        <f t="shared" si="1553"/>
        <v>0</v>
      </c>
      <c r="CN237" s="270">
        <f t="shared" si="1553"/>
        <v>0</v>
      </c>
      <c r="CO237" s="270">
        <f t="shared" si="1553"/>
        <v>0</v>
      </c>
      <c r="CP237" s="270">
        <f t="shared" si="1553"/>
        <v>0</v>
      </c>
      <c r="CQ237" s="215"/>
      <c r="CR237" s="270">
        <f t="shared" si="27"/>
        <v>-0.1</v>
      </c>
      <c r="CS237" s="215"/>
      <c r="CT237" s="270">
        <f t="shared" ref="CT237:DX237" si="1554">IF(AI236&gt;0,IF((AI236+BN237)&lt;E$10,AI236+BN237,E$10),0)</f>
        <v>0</v>
      </c>
      <c r="CU237" s="270">
        <f t="shared" si="1554"/>
        <v>0</v>
      </c>
      <c r="CV237" s="270">
        <f t="shared" si="1554"/>
        <v>0</v>
      </c>
      <c r="CW237" s="270">
        <f t="shared" si="1554"/>
        <v>0</v>
      </c>
      <c r="CX237" s="270">
        <f t="shared" si="1554"/>
        <v>0</v>
      </c>
      <c r="CY237" s="270">
        <f t="shared" si="1554"/>
        <v>0</v>
      </c>
      <c r="CZ237" s="270">
        <f t="shared" si="1554"/>
        <v>0</v>
      </c>
      <c r="DA237" s="270">
        <f t="shared" si="1554"/>
        <v>0</v>
      </c>
      <c r="DB237" s="270">
        <f t="shared" si="1554"/>
        <v>0</v>
      </c>
      <c r="DC237" s="270">
        <f t="shared" si="1554"/>
        <v>0</v>
      </c>
      <c r="DD237" s="270">
        <f t="shared" si="1554"/>
        <v>0</v>
      </c>
      <c r="DE237" s="270">
        <f t="shared" si="1554"/>
        <v>0</v>
      </c>
      <c r="DF237" s="270">
        <f t="shared" si="1554"/>
        <v>0</v>
      </c>
      <c r="DG237" s="270">
        <f t="shared" si="1554"/>
        <v>0</v>
      </c>
      <c r="DH237" s="270">
        <f t="shared" si="1554"/>
        <v>0</v>
      </c>
      <c r="DI237" s="270">
        <f t="shared" si="1554"/>
        <v>0</v>
      </c>
      <c r="DJ237" s="270">
        <f t="shared" si="1554"/>
        <v>0</v>
      </c>
      <c r="DK237" s="270">
        <f t="shared" si="1554"/>
        <v>0</v>
      </c>
      <c r="DL237" s="270">
        <f t="shared" si="1554"/>
        <v>0</v>
      </c>
      <c r="DM237" s="270">
        <f t="shared" si="1554"/>
        <v>0</v>
      </c>
      <c r="DN237" s="270">
        <f t="shared" si="1554"/>
        <v>0</v>
      </c>
      <c r="DO237" s="270">
        <f t="shared" si="1554"/>
        <v>0</v>
      </c>
      <c r="DP237" s="270">
        <f t="shared" si="1554"/>
        <v>0</v>
      </c>
      <c r="DQ237" s="270">
        <f t="shared" si="1554"/>
        <v>0</v>
      </c>
      <c r="DR237" s="270">
        <f t="shared" si="1554"/>
        <v>0</v>
      </c>
      <c r="DS237" s="270">
        <f t="shared" si="1554"/>
        <v>0</v>
      </c>
      <c r="DT237" s="270">
        <f t="shared" si="1554"/>
        <v>0</v>
      </c>
      <c r="DU237" s="270">
        <f t="shared" si="1554"/>
        <v>0</v>
      </c>
      <c r="DV237" s="270">
        <f t="shared" si="1554"/>
        <v>0</v>
      </c>
      <c r="DW237" s="270">
        <f t="shared" si="1554"/>
        <v>0</v>
      </c>
      <c r="DX237" s="270">
        <f t="shared" si="1554"/>
        <v>0</v>
      </c>
      <c r="DY237" s="270">
        <f t="shared" si="29"/>
        <v>0</v>
      </c>
      <c r="DZ237" s="274"/>
      <c r="EA237" s="275">
        <f t="shared" si="38"/>
        <v>0</v>
      </c>
      <c r="EB237" s="270">
        <f t="shared" ref="EB237:FC237" si="1555">IF(AJ235&lt;=0,0,IF($C236&lt;=SUM($EA237:EA237),0,IF(CU236+$C236-SUM($EA237:EA237)&gt;AJ235+BO236,AJ235+BO236-CU236,$C236-SUM($EA237:EA237))))</f>
        <v>0</v>
      </c>
      <c r="EC237" s="270">
        <f t="shared" si="1555"/>
        <v>0</v>
      </c>
      <c r="ED237" s="270">
        <f t="shared" si="1555"/>
        <v>0</v>
      </c>
      <c r="EE237" s="270">
        <f t="shared" si="1555"/>
        <v>0</v>
      </c>
      <c r="EF237" s="270">
        <f t="shared" si="1555"/>
        <v>0</v>
      </c>
      <c r="EG237" s="270">
        <f t="shared" si="1555"/>
        <v>0</v>
      </c>
      <c r="EH237" s="270">
        <f t="shared" si="1555"/>
        <v>0</v>
      </c>
      <c r="EI237" s="270">
        <f t="shared" si="1555"/>
        <v>0</v>
      </c>
      <c r="EJ237" s="270">
        <f t="shared" si="1555"/>
        <v>0</v>
      </c>
      <c r="EK237" s="270">
        <f t="shared" si="1555"/>
        <v>0</v>
      </c>
      <c r="EL237" s="270">
        <f t="shared" si="1555"/>
        <v>0</v>
      </c>
      <c r="EM237" s="270">
        <f t="shared" si="1555"/>
        <v>0</v>
      </c>
      <c r="EN237" s="270">
        <f t="shared" si="1555"/>
        <v>0</v>
      </c>
      <c r="EO237" s="270">
        <f t="shared" si="1555"/>
        <v>0</v>
      </c>
      <c r="EP237" s="270">
        <f t="shared" si="1555"/>
        <v>0</v>
      </c>
      <c r="EQ237" s="270">
        <f t="shared" si="1555"/>
        <v>0</v>
      </c>
      <c r="ER237" s="270">
        <f t="shared" si="1555"/>
        <v>0</v>
      </c>
      <c r="ES237" s="270">
        <f t="shared" si="1555"/>
        <v>0</v>
      </c>
      <c r="ET237" s="270">
        <f t="shared" si="1555"/>
        <v>0</v>
      </c>
      <c r="EU237" s="270">
        <f t="shared" si="1555"/>
        <v>0</v>
      </c>
      <c r="EV237" s="270">
        <f t="shared" si="1555"/>
        <v>0</v>
      </c>
      <c r="EW237" s="270">
        <f t="shared" si="1555"/>
        <v>0</v>
      </c>
      <c r="EX237" s="270">
        <f t="shared" si="1555"/>
        <v>0</v>
      </c>
      <c r="EY237" s="270">
        <f t="shared" si="1555"/>
        <v>0</v>
      </c>
      <c r="EZ237" s="270">
        <f t="shared" si="1555"/>
        <v>0</v>
      </c>
      <c r="FA237" s="270">
        <f t="shared" si="1555"/>
        <v>0</v>
      </c>
      <c r="FB237" s="270">
        <f t="shared" si="1555"/>
        <v>0</v>
      </c>
      <c r="FC237" s="270">
        <f t="shared" si="1555"/>
        <v>0</v>
      </c>
      <c r="FD237" s="271"/>
      <c r="FE237" s="271"/>
      <c r="FF237" s="271"/>
      <c r="FG237" s="215"/>
      <c r="FH237" s="215"/>
    </row>
    <row r="238" ht="11.25" customHeight="1">
      <c r="A238" s="215" t="str">
        <f t="shared" si="19"/>
        <v/>
      </c>
      <c r="B238" s="241" t="str">
        <f t="shared" si="600"/>
        <v>#N/A</v>
      </c>
      <c r="C238" s="271" t="str">
        <f>IF(A238="","",IF(Calculator!snowball,IF(($E$5-DY238)&lt;0,0,$E$5-DY238),0)+D238)</f>
        <v/>
      </c>
      <c r="D238" s="271"/>
      <c r="E238" s="270">
        <f t="shared" si="40"/>
        <v>0</v>
      </c>
      <c r="F238" s="270">
        <f t="shared" ref="F238:AG238" si="1556">CU238+EB239</f>
        <v>0</v>
      </c>
      <c r="G238" s="270">
        <f t="shared" si="1556"/>
        <v>0</v>
      </c>
      <c r="H238" s="270">
        <f t="shared" si="1556"/>
        <v>0</v>
      </c>
      <c r="I238" s="270">
        <f t="shared" si="1556"/>
        <v>0</v>
      </c>
      <c r="J238" s="270">
        <f t="shared" si="1556"/>
        <v>0</v>
      </c>
      <c r="K238" s="270">
        <f t="shared" si="1556"/>
        <v>0</v>
      </c>
      <c r="L238" s="270">
        <f t="shared" si="1556"/>
        <v>0</v>
      </c>
      <c r="M238" s="270">
        <f t="shared" si="1556"/>
        <v>0</v>
      </c>
      <c r="N238" s="270">
        <f t="shared" si="1556"/>
        <v>0</v>
      </c>
      <c r="O238" s="270">
        <f t="shared" si="1556"/>
        <v>0</v>
      </c>
      <c r="P238" s="272">
        <f t="shared" si="1556"/>
        <v>0</v>
      </c>
      <c r="Q238" s="272">
        <f t="shared" si="1556"/>
        <v>0</v>
      </c>
      <c r="R238" s="272">
        <f t="shared" si="1556"/>
        <v>0</v>
      </c>
      <c r="S238" s="272">
        <f t="shared" si="1556"/>
        <v>0</v>
      </c>
      <c r="T238" s="272">
        <f t="shared" si="1556"/>
        <v>0</v>
      </c>
      <c r="U238" s="270">
        <f t="shared" si="1556"/>
        <v>0</v>
      </c>
      <c r="V238" s="270">
        <f t="shared" si="1556"/>
        <v>0</v>
      </c>
      <c r="W238" s="270">
        <f t="shared" si="1556"/>
        <v>0</v>
      </c>
      <c r="X238" s="270">
        <f t="shared" si="1556"/>
        <v>0</v>
      </c>
      <c r="Y238" s="270">
        <f t="shared" si="1556"/>
        <v>0</v>
      </c>
      <c r="Z238" s="270">
        <f t="shared" si="1556"/>
        <v>0</v>
      </c>
      <c r="AA238" s="270">
        <f t="shared" si="1556"/>
        <v>0</v>
      </c>
      <c r="AB238" s="270">
        <f t="shared" si="1556"/>
        <v>0</v>
      </c>
      <c r="AC238" s="270">
        <f t="shared" si="1556"/>
        <v>0</v>
      </c>
      <c r="AD238" s="270">
        <f t="shared" si="1556"/>
        <v>0</v>
      </c>
      <c r="AE238" s="270">
        <f t="shared" si="1556"/>
        <v>0</v>
      </c>
      <c r="AF238" s="270">
        <f t="shared" si="1556"/>
        <v>0</v>
      </c>
      <c r="AG238" s="270">
        <f t="shared" si="1556"/>
        <v>0</v>
      </c>
      <c r="AH238" s="279">
        <f t="shared" si="602"/>
        <v>0</v>
      </c>
      <c r="AI238" s="270">
        <f t="shared" si="43"/>
        <v>0</v>
      </c>
      <c r="AJ238" s="270">
        <f t="shared" ref="AJ238:AO238" si="1557">IF(F$8=0,0,ROUND(AJ237-(F238-BO238),2))</f>
        <v>0</v>
      </c>
      <c r="AK238" s="270">
        <f t="shared" si="1557"/>
        <v>0</v>
      </c>
      <c r="AL238" s="270">
        <f t="shared" si="1557"/>
        <v>0</v>
      </c>
      <c r="AM238" s="270">
        <f t="shared" si="1557"/>
        <v>0</v>
      </c>
      <c r="AN238" s="270">
        <f t="shared" si="1557"/>
        <v>0</v>
      </c>
      <c r="AO238" s="270">
        <f t="shared" si="1557"/>
        <v>0</v>
      </c>
      <c r="AP238" s="270">
        <v>0.0</v>
      </c>
      <c r="AQ238" s="270">
        <f t="shared" ref="AQ238:AS238" si="1558">IF(M$8=0,0,ROUND(AQ237-(M238-BV238),2))</f>
        <v>0</v>
      </c>
      <c r="AR238" s="270">
        <f t="shared" si="1558"/>
        <v>0</v>
      </c>
      <c r="AS238" s="270">
        <f t="shared" si="1558"/>
        <v>0</v>
      </c>
      <c r="AT238" s="270">
        <f t="shared" si="605"/>
        <v>-6.22</v>
      </c>
      <c r="AU238" s="270">
        <f t="shared" ref="AU238:BK238" si="1559">IF(Q$8=0,0,ROUND(AU237-(Q238-BY238),2))</f>
        <v>-14.93</v>
      </c>
      <c r="AV238" s="270">
        <f t="shared" si="1559"/>
        <v>0</v>
      </c>
      <c r="AW238" s="270">
        <f t="shared" si="1559"/>
        <v>0</v>
      </c>
      <c r="AX238" s="270">
        <f t="shared" si="1559"/>
        <v>0</v>
      </c>
      <c r="AY238" s="270">
        <f t="shared" si="1559"/>
        <v>0</v>
      </c>
      <c r="AZ238" s="270">
        <f t="shared" si="1559"/>
        <v>0</v>
      </c>
      <c r="BA238" s="270">
        <f t="shared" si="1559"/>
        <v>0</v>
      </c>
      <c r="BB238" s="270">
        <f t="shared" si="1559"/>
        <v>0</v>
      </c>
      <c r="BC238" s="270">
        <f t="shared" si="1559"/>
        <v>0</v>
      </c>
      <c r="BD238" s="270">
        <f t="shared" si="1559"/>
        <v>0</v>
      </c>
      <c r="BE238" s="270">
        <f t="shared" si="1559"/>
        <v>0</v>
      </c>
      <c r="BF238" s="270">
        <f t="shared" si="1559"/>
        <v>0</v>
      </c>
      <c r="BG238" s="270">
        <f t="shared" si="1559"/>
        <v>0</v>
      </c>
      <c r="BH238" s="270">
        <f t="shared" si="1559"/>
        <v>0</v>
      </c>
      <c r="BI238" s="270">
        <f t="shared" si="1559"/>
        <v>0</v>
      </c>
      <c r="BJ238" s="270">
        <f t="shared" si="1559"/>
        <v>0</v>
      </c>
      <c r="BK238" s="270">
        <f t="shared" si="1559"/>
        <v>0</v>
      </c>
      <c r="BL238" s="265">
        <f t="shared" si="16"/>
        <v>-21.15</v>
      </c>
      <c r="BM238" s="215"/>
      <c r="BN238" s="270">
        <f t="shared" ref="BN238:CP238" si="1560">ROUND(AI237*E$9/12,2)</f>
        <v>0</v>
      </c>
      <c r="BO238" s="270">
        <f t="shared" si="1560"/>
        <v>0</v>
      </c>
      <c r="BP238" s="270">
        <f t="shared" si="1560"/>
        <v>0</v>
      </c>
      <c r="BQ238" s="270">
        <f t="shared" si="1560"/>
        <v>0</v>
      </c>
      <c r="BR238" s="270">
        <f t="shared" si="1560"/>
        <v>0</v>
      </c>
      <c r="BS238" s="270">
        <f t="shared" si="1560"/>
        <v>0</v>
      </c>
      <c r="BT238" s="270">
        <f t="shared" si="1560"/>
        <v>0</v>
      </c>
      <c r="BU238" s="270">
        <f t="shared" si="1560"/>
        <v>0</v>
      </c>
      <c r="BV238" s="270">
        <f t="shared" si="1560"/>
        <v>0</v>
      </c>
      <c r="BW238" s="270">
        <f t="shared" si="1560"/>
        <v>0</v>
      </c>
      <c r="BX238" s="270">
        <f t="shared" si="1560"/>
        <v>0</v>
      </c>
      <c r="BY238" s="270">
        <f t="shared" si="1560"/>
        <v>-0.05</v>
      </c>
      <c r="BZ238" s="270">
        <f t="shared" si="1560"/>
        <v>-0.05</v>
      </c>
      <c r="CA238" s="270">
        <f t="shared" si="1560"/>
        <v>0</v>
      </c>
      <c r="CB238" s="270">
        <f t="shared" si="1560"/>
        <v>0</v>
      </c>
      <c r="CC238" s="270">
        <f t="shared" si="1560"/>
        <v>0</v>
      </c>
      <c r="CD238" s="270">
        <f t="shared" si="1560"/>
        <v>0</v>
      </c>
      <c r="CE238" s="270">
        <f t="shared" si="1560"/>
        <v>0</v>
      </c>
      <c r="CF238" s="270">
        <f t="shared" si="1560"/>
        <v>0</v>
      </c>
      <c r="CG238" s="270">
        <f t="shared" si="1560"/>
        <v>0</v>
      </c>
      <c r="CH238" s="270">
        <f t="shared" si="1560"/>
        <v>0</v>
      </c>
      <c r="CI238" s="270">
        <f t="shared" si="1560"/>
        <v>0</v>
      </c>
      <c r="CJ238" s="270">
        <f t="shared" si="1560"/>
        <v>0</v>
      </c>
      <c r="CK238" s="270">
        <f t="shared" si="1560"/>
        <v>0</v>
      </c>
      <c r="CL238" s="270">
        <f t="shared" si="1560"/>
        <v>0</v>
      </c>
      <c r="CM238" s="270">
        <f t="shared" si="1560"/>
        <v>0</v>
      </c>
      <c r="CN238" s="270">
        <f t="shared" si="1560"/>
        <v>0</v>
      </c>
      <c r="CO238" s="270">
        <f t="shared" si="1560"/>
        <v>0</v>
      </c>
      <c r="CP238" s="270">
        <f t="shared" si="1560"/>
        <v>0</v>
      </c>
      <c r="CQ238" s="215"/>
      <c r="CR238" s="270">
        <f t="shared" si="27"/>
        <v>-0.1</v>
      </c>
      <c r="CS238" s="215"/>
      <c r="CT238" s="270">
        <f t="shared" ref="CT238:DX238" si="1561">IF(AI237&gt;0,IF((AI237+BN238)&lt;E$10,AI237+BN238,E$10),0)</f>
        <v>0</v>
      </c>
      <c r="CU238" s="270">
        <f t="shared" si="1561"/>
        <v>0</v>
      </c>
      <c r="CV238" s="270">
        <f t="shared" si="1561"/>
        <v>0</v>
      </c>
      <c r="CW238" s="270">
        <f t="shared" si="1561"/>
        <v>0</v>
      </c>
      <c r="CX238" s="270">
        <f t="shared" si="1561"/>
        <v>0</v>
      </c>
      <c r="CY238" s="270">
        <f t="shared" si="1561"/>
        <v>0</v>
      </c>
      <c r="CZ238" s="270">
        <f t="shared" si="1561"/>
        <v>0</v>
      </c>
      <c r="DA238" s="270">
        <f t="shared" si="1561"/>
        <v>0</v>
      </c>
      <c r="DB238" s="270">
        <f t="shared" si="1561"/>
        <v>0</v>
      </c>
      <c r="DC238" s="270">
        <f t="shared" si="1561"/>
        <v>0</v>
      </c>
      <c r="DD238" s="270">
        <f t="shared" si="1561"/>
        <v>0</v>
      </c>
      <c r="DE238" s="270">
        <f t="shared" si="1561"/>
        <v>0</v>
      </c>
      <c r="DF238" s="270">
        <f t="shared" si="1561"/>
        <v>0</v>
      </c>
      <c r="DG238" s="270">
        <f t="shared" si="1561"/>
        <v>0</v>
      </c>
      <c r="DH238" s="270">
        <f t="shared" si="1561"/>
        <v>0</v>
      </c>
      <c r="DI238" s="270">
        <f t="shared" si="1561"/>
        <v>0</v>
      </c>
      <c r="DJ238" s="270">
        <f t="shared" si="1561"/>
        <v>0</v>
      </c>
      <c r="DK238" s="270">
        <f t="shared" si="1561"/>
        <v>0</v>
      </c>
      <c r="DL238" s="270">
        <f t="shared" si="1561"/>
        <v>0</v>
      </c>
      <c r="DM238" s="270">
        <f t="shared" si="1561"/>
        <v>0</v>
      </c>
      <c r="DN238" s="270">
        <f t="shared" si="1561"/>
        <v>0</v>
      </c>
      <c r="DO238" s="270">
        <f t="shared" si="1561"/>
        <v>0</v>
      </c>
      <c r="DP238" s="270">
        <f t="shared" si="1561"/>
        <v>0</v>
      </c>
      <c r="DQ238" s="270">
        <f t="shared" si="1561"/>
        <v>0</v>
      </c>
      <c r="DR238" s="270">
        <f t="shared" si="1561"/>
        <v>0</v>
      </c>
      <c r="DS238" s="270">
        <f t="shared" si="1561"/>
        <v>0</v>
      </c>
      <c r="DT238" s="270">
        <f t="shared" si="1561"/>
        <v>0</v>
      </c>
      <c r="DU238" s="270">
        <f t="shared" si="1561"/>
        <v>0</v>
      </c>
      <c r="DV238" s="270">
        <f t="shared" si="1561"/>
        <v>0</v>
      </c>
      <c r="DW238" s="270">
        <f t="shared" si="1561"/>
        <v>0</v>
      </c>
      <c r="DX238" s="270">
        <f t="shared" si="1561"/>
        <v>0</v>
      </c>
      <c r="DY238" s="270">
        <f t="shared" si="29"/>
        <v>0</v>
      </c>
      <c r="DZ238" s="274"/>
      <c r="EA238" s="275">
        <f t="shared" si="38"/>
        <v>0</v>
      </c>
      <c r="EB238" s="270">
        <f t="shared" ref="EB238:FC238" si="1562">IF(AJ236&lt;=0,0,IF($C237&lt;=SUM($EA238:EA238),0,IF(CU237+$C237-SUM($EA238:EA238)&gt;AJ236+BO237,AJ236+BO237-CU237,$C237-SUM($EA238:EA238))))</f>
        <v>0</v>
      </c>
      <c r="EC238" s="270">
        <f t="shared" si="1562"/>
        <v>0</v>
      </c>
      <c r="ED238" s="270">
        <f t="shared" si="1562"/>
        <v>0</v>
      </c>
      <c r="EE238" s="270">
        <f t="shared" si="1562"/>
        <v>0</v>
      </c>
      <c r="EF238" s="270">
        <f t="shared" si="1562"/>
        <v>0</v>
      </c>
      <c r="EG238" s="270">
        <f t="shared" si="1562"/>
        <v>0</v>
      </c>
      <c r="EH238" s="270">
        <f t="shared" si="1562"/>
        <v>0</v>
      </c>
      <c r="EI238" s="270">
        <f t="shared" si="1562"/>
        <v>0</v>
      </c>
      <c r="EJ238" s="270">
        <f t="shared" si="1562"/>
        <v>0</v>
      </c>
      <c r="EK238" s="270">
        <f t="shared" si="1562"/>
        <v>0</v>
      </c>
      <c r="EL238" s="270">
        <f t="shared" si="1562"/>
        <v>0</v>
      </c>
      <c r="EM238" s="270">
        <f t="shared" si="1562"/>
        <v>0</v>
      </c>
      <c r="EN238" s="270">
        <f t="shared" si="1562"/>
        <v>0</v>
      </c>
      <c r="EO238" s="270">
        <f t="shared" si="1562"/>
        <v>0</v>
      </c>
      <c r="EP238" s="270">
        <f t="shared" si="1562"/>
        <v>0</v>
      </c>
      <c r="EQ238" s="270">
        <f t="shared" si="1562"/>
        <v>0</v>
      </c>
      <c r="ER238" s="270">
        <f t="shared" si="1562"/>
        <v>0</v>
      </c>
      <c r="ES238" s="270">
        <f t="shared" si="1562"/>
        <v>0</v>
      </c>
      <c r="ET238" s="270">
        <f t="shared" si="1562"/>
        <v>0</v>
      </c>
      <c r="EU238" s="270">
        <f t="shared" si="1562"/>
        <v>0</v>
      </c>
      <c r="EV238" s="270">
        <f t="shared" si="1562"/>
        <v>0</v>
      </c>
      <c r="EW238" s="270">
        <f t="shared" si="1562"/>
        <v>0</v>
      </c>
      <c r="EX238" s="270">
        <f t="shared" si="1562"/>
        <v>0</v>
      </c>
      <c r="EY238" s="270">
        <f t="shared" si="1562"/>
        <v>0</v>
      </c>
      <c r="EZ238" s="270">
        <f t="shared" si="1562"/>
        <v>0</v>
      </c>
      <c r="FA238" s="270">
        <f t="shared" si="1562"/>
        <v>0</v>
      </c>
      <c r="FB238" s="270">
        <f t="shared" si="1562"/>
        <v>0</v>
      </c>
      <c r="FC238" s="270">
        <f t="shared" si="1562"/>
        <v>0</v>
      </c>
      <c r="FD238" s="271"/>
      <c r="FE238" s="271"/>
      <c r="FF238" s="271"/>
      <c r="FG238" s="215"/>
      <c r="FH238" s="215"/>
    </row>
    <row r="239" ht="11.25" customHeight="1">
      <c r="A239" s="215" t="str">
        <f t="shared" si="19"/>
        <v/>
      </c>
      <c r="B239" s="241" t="str">
        <f t="shared" si="600"/>
        <v>#N/A</v>
      </c>
      <c r="C239" s="271" t="str">
        <f>IF(A239="","",IF(Calculator!snowball,IF(($E$5-DY239)&lt;0,0,$E$5-DY239),0)+D239)</f>
        <v/>
      </c>
      <c r="D239" s="271"/>
      <c r="E239" s="270">
        <f t="shared" si="40"/>
        <v>0</v>
      </c>
      <c r="F239" s="270">
        <f t="shared" ref="F239:AG239" si="1563">CU239+EB240</f>
        <v>0</v>
      </c>
      <c r="G239" s="270">
        <f t="shared" si="1563"/>
        <v>0</v>
      </c>
      <c r="H239" s="270">
        <f t="shared" si="1563"/>
        <v>0</v>
      </c>
      <c r="I239" s="270">
        <f t="shared" si="1563"/>
        <v>0</v>
      </c>
      <c r="J239" s="270">
        <f t="shared" si="1563"/>
        <v>0</v>
      </c>
      <c r="K239" s="270">
        <f t="shared" si="1563"/>
        <v>0</v>
      </c>
      <c r="L239" s="270">
        <f t="shared" si="1563"/>
        <v>0</v>
      </c>
      <c r="M239" s="270">
        <f t="shared" si="1563"/>
        <v>0</v>
      </c>
      <c r="N239" s="270">
        <f t="shared" si="1563"/>
        <v>0</v>
      </c>
      <c r="O239" s="270">
        <f t="shared" si="1563"/>
        <v>0</v>
      </c>
      <c r="P239" s="272">
        <f t="shared" si="1563"/>
        <v>0</v>
      </c>
      <c r="Q239" s="272">
        <f t="shared" si="1563"/>
        <v>0</v>
      </c>
      <c r="R239" s="272">
        <f t="shared" si="1563"/>
        <v>0</v>
      </c>
      <c r="S239" s="272">
        <f t="shared" si="1563"/>
        <v>0</v>
      </c>
      <c r="T239" s="272">
        <f t="shared" si="1563"/>
        <v>0</v>
      </c>
      <c r="U239" s="270">
        <f t="shared" si="1563"/>
        <v>0</v>
      </c>
      <c r="V239" s="270">
        <f t="shared" si="1563"/>
        <v>0</v>
      </c>
      <c r="W239" s="270">
        <f t="shared" si="1563"/>
        <v>0</v>
      </c>
      <c r="X239" s="270">
        <f t="shared" si="1563"/>
        <v>0</v>
      </c>
      <c r="Y239" s="270">
        <f t="shared" si="1563"/>
        <v>0</v>
      </c>
      <c r="Z239" s="270">
        <f t="shared" si="1563"/>
        <v>0</v>
      </c>
      <c r="AA239" s="270">
        <f t="shared" si="1563"/>
        <v>0</v>
      </c>
      <c r="AB239" s="270">
        <f t="shared" si="1563"/>
        <v>0</v>
      </c>
      <c r="AC239" s="270">
        <f t="shared" si="1563"/>
        <v>0</v>
      </c>
      <c r="AD239" s="270">
        <f t="shared" si="1563"/>
        <v>0</v>
      </c>
      <c r="AE239" s="270">
        <f t="shared" si="1563"/>
        <v>0</v>
      </c>
      <c r="AF239" s="270">
        <f t="shared" si="1563"/>
        <v>0</v>
      </c>
      <c r="AG239" s="270">
        <f t="shared" si="1563"/>
        <v>0</v>
      </c>
      <c r="AH239" s="279">
        <f t="shared" si="602"/>
        <v>0</v>
      </c>
      <c r="AI239" s="270">
        <f t="shared" si="43"/>
        <v>0</v>
      </c>
      <c r="AJ239" s="270">
        <f t="shared" ref="AJ239:AO239" si="1564">IF(F$8=0,0,ROUND(AJ238-(F239-BO239),2))</f>
        <v>0</v>
      </c>
      <c r="AK239" s="270">
        <f t="shared" si="1564"/>
        <v>0</v>
      </c>
      <c r="AL239" s="270">
        <f t="shared" si="1564"/>
        <v>0</v>
      </c>
      <c r="AM239" s="270">
        <f t="shared" si="1564"/>
        <v>0</v>
      </c>
      <c r="AN239" s="270">
        <f t="shared" si="1564"/>
        <v>0</v>
      </c>
      <c r="AO239" s="270">
        <f t="shared" si="1564"/>
        <v>0</v>
      </c>
      <c r="AP239" s="270">
        <v>0.0</v>
      </c>
      <c r="AQ239" s="270">
        <f t="shared" ref="AQ239:AS239" si="1565">IF(M$8=0,0,ROUND(AQ238-(M239-BV239),2))</f>
        <v>0</v>
      </c>
      <c r="AR239" s="270">
        <f t="shared" si="1565"/>
        <v>0</v>
      </c>
      <c r="AS239" s="270">
        <f t="shared" si="1565"/>
        <v>0</v>
      </c>
      <c r="AT239" s="270">
        <f t="shared" si="605"/>
        <v>-6.22</v>
      </c>
      <c r="AU239" s="270">
        <f t="shared" ref="AU239:BK239" si="1566">IF(Q$8=0,0,ROUND(AU238-(Q239-BY239),2))</f>
        <v>-14.98</v>
      </c>
      <c r="AV239" s="270">
        <f t="shared" si="1566"/>
        <v>0</v>
      </c>
      <c r="AW239" s="270">
        <f t="shared" si="1566"/>
        <v>0</v>
      </c>
      <c r="AX239" s="270">
        <f t="shared" si="1566"/>
        <v>0</v>
      </c>
      <c r="AY239" s="270">
        <f t="shared" si="1566"/>
        <v>0</v>
      </c>
      <c r="AZ239" s="270">
        <f t="shared" si="1566"/>
        <v>0</v>
      </c>
      <c r="BA239" s="270">
        <f t="shared" si="1566"/>
        <v>0</v>
      </c>
      <c r="BB239" s="270">
        <f t="shared" si="1566"/>
        <v>0</v>
      </c>
      <c r="BC239" s="270">
        <f t="shared" si="1566"/>
        <v>0</v>
      </c>
      <c r="BD239" s="270">
        <f t="shared" si="1566"/>
        <v>0</v>
      </c>
      <c r="BE239" s="270">
        <f t="shared" si="1566"/>
        <v>0</v>
      </c>
      <c r="BF239" s="270">
        <f t="shared" si="1566"/>
        <v>0</v>
      </c>
      <c r="BG239" s="270">
        <f t="shared" si="1566"/>
        <v>0</v>
      </c>
      <c r="BH239" s="270">
        <f t="shared" si="1566"/>
        <v>0</v>
      </c>
      <c r="BI239" s="270">
        <f t="shared" si="1566"/>
        <v>0</v>
      </c>
      <c r="BJ239" s="270">
        <f t="shared" si="1566"/>
        <v>0</v>
      </c>
      <c r="BK239" s="270">
        <f t="shared" si="1566"/>
        <v>0</v>
      </c>
      <c r="BL239" s="265">
        <f t="shared" si="16"/>
        <v>-21.2</v>
      </c>
      <c r="BM239" s="215"/>
      <c r="BN239" s="270">
        <f t="shared" ref="BN239:CP239" si="1567">ROUND(AI238*E$9/12,2)</f>
        <v>0</v>
      </c>
      <c r="BO239" s="270">
        <f t="shared" si="1567"/>
        <v>0</v>
      </c>
      <c r="BP239" s="270">
        <f t="shared" si="1567"/>
        <v>0</v>
      </c>
      <c r="BQ239" s="270">
        <f t="shared" si="1567"/>
        <v>0</v>
      </c>
      <c r="BR239" s="270">
        <f t="shared" si="1567"/>
        <v>0</v>
      </c>
      <c r="BS239" s="270">
        <f t="shared" si="1567"/>
        <v>0</v>
      </c>
      <c r="BT239" s="270">
        <f t="shared" si="1567"/>
        <v>0</v>
      </c>
      <c r="BU239" s="270">
        <f t="shared" si="1567"/>
        <v>0</v>
      </c>
      <c r="BV239" s="270">
        <f t="shared" si="1567"/>
        <v>0</v>
      </c>
      <c r="BW239" s="270">
        <f t="shared" si="1567"/>
        <v>0</v>
      </c>
      <c r="BX239" s="270">
        <f t="shared" si="1567"/>
        <v>0</v>
      </c>
      <c r="BY239" s="270">
        <f t="shared" si="1567"/>
        <v>-0.05</v>
      </c>
      <c r="BZ239" s="270">
        <f t="shared" si="1567"/>
        <v>-0.05</v>
      </c>
      <c r="CA239" s="270">
        <f t="shared" si="1567"/>
        <v>0</v>
      </c>
      <c r="CB239" s="270">
        <f t="shared" si="1567"/>
        <v>0</v>
      </c>
      <c r="CC239" s="270">
        <f t="shared" si="1567"/>
        <v>0</v>
      </c>
      <c r="CD239" s="270">
        <f t="shared" si="1567"/>
        <v>0</v>
      </c>
      <c r="CE239" s="270">
        <f t="shared" si="1567"/>
        <v>0</v>
      </c>
      <c r="CF239" s="270">
        <f t="shared" si="1567"/>
        <v>0</v>
      </c>
      <c r="CG239" s="270">
        <f t="shared" si="1567"/>
        <v>0</v>
      </c>
      <c r="CH239" s="270">
        <f t="shared" si="1567"/>
        <v>0</v>
      </c>
      <c r="CI239" s="270">
        <f t="shared" si="1567"/>
        <v>0</v>
      </c>
      <c r="CJ239" s="270">
        <f t="shared" si="1567"/>
        <v>0</v>
      </c>
      <c r="CK239" s="270">
        <f t="shared" si="1567"/>
        <v>0</v>
      </c>
      <c r="CL239" s="270">
        <f t="shared" si="1567"/>
        <v>0</v>
      </c>
      <c r="CM239" s="270">
        <f t="shared" si="1567"/>
        <v>0</v>
      </c>
      <c r="CN239" s="270">
        <f t="shared" si="1567"/>
        <v>0</v>
      </c>
      <c r="CO239" s="270">
        <f t="shared" si="1567"/>
        <v>0</v>
      </c>
      <c r="CP239" s="270">
        <f t="shared" si="1567"/>
        <v>0</v>
      </c>
      <c r="CQ239" s="215"/>
      <c r="CR239" s="270">
        <f t="shared" si="27"/>
        <v>-0.1</v>
      </c>
      <c r="CS239" s="215"/>
      <c r="CT239" s="270">
        <f t="shared" ref="CT239:DX239" si="1568">IF(AI238&gt;0,IF((AI238+BN239)&lt;E$10,AI238+BN239,E$10),0)</f>
        <v>0</v>
      </c>
      <c r="CU239" s="270">
        <f t="shared" si="1568"/>
        <v>0</v>
      </c>
      <c r="CV239" s="270">
        <f t="shared" si="1568"/>
        <v>0</v>
      </c>
      <c r="CW239" s="270">
        <f t="shared" si="1568"/>
        <v>0</v>
      </c>
      <c r="CX239" s="270">
        <f t="shared" si="1568"/>
        <v>0</v>
      </c>
      <c r="CY239" s="270">
        <f t="shared" si="1568"/>
        <v>0</v>
      </c>
      <c r="CZ239" s="270">
        <f t="shared" si="1568"/>
        <v>0</v>
      </c>
      <c r="DA239" s="270">
        <f t="shared" si="1568"/>
        <v>0</v>
      </c>
      <c r="DB239" s="270">
        <f t="shared" si="1568"/>
        <v>0</v>
      </c>
      <c r="DC239" s="270">
        <f t="shared" si="1568"/>
        <v>0</v>
      </c>
      <c r="DD239" s="270">
        <f t="shared" si="1568"/>
        <v>0</v>
      </c>
      <c r="DE239" s="270">
        <f t="shared" si="1568"/>
        <v>0</v>
      </c>
      <c r="DF239" s="270">
        <f t="shared" si="1568"/>
        <v>0</v>
      </c>
      <c r="DG239" s="270">
        <f t="shared" si="1568"/>
        <v>0</v>
      </c>
      <c r="DH239" s="270">
        <f t="shared" si="1568"/>
        <v>0</v>
      </c>
      <c r="DI239" s="270">
        <f t="shared" si="1568"/>
        <v>0</v>
      </c>
      <c r="DJ239" s="270">
        <f t="shared" si="1568"/>
        <v>0</v>
      </c>
      <c r="DK239" s="270">
        <f t="shared" si="1568"/>
        <v>0</v>
      </c>
      <c r="DL239" s="270">
        <f t="shared" si="1568"/>
        <v>0</v>
      </c>
      <c r="DM239" s="270">
        <f t="shared" si="1568"/>
        <v>0</v>
      </c>
      <c r="DN239" s="270">
        <f t="shared" si="1568"/>
        <v>0</v>
      </c>
      <c r="DO239" s="270">
        <f t="shared" si="1568"/>
        <v>0</v>
      </c>
      <c r="DP239" s="270">
        <f t="shared" si="1568"/>
        <v>0</v>
      </c>
      <c r="DQ239" s="270">
        <f t="shared" si="1568"/>
        <v>0</v>
      </c>
      <c r="DR239" s="270">
        <f t="shared" si="1568"/>
        <v>0</v>
      </c>
      <c r="DS239" s="270">
        <f t="shared" si="1568"/>
        <v>0</v>
      </c>
      <c r="DT239" s="270">
        <f t="shared" si="1568"/>
        <v>0</v>
      </c>
      <c r="DU239" s="270">
        <f t="shared" si="1568"/>
        <v>0</v>
      </c>
      <c r="DV239" s="270">
        <f t="shared" si="1568"/>
        <v>0</v>
      </c>
      <c r="DW239" s="270">
        <f t="shared" si="1568"/>
        <v>0</v>
      </c>
      <c r="DX239" s="270">
        <f t="shared" si="1568"/>
        <v>0</v>
      </c>
      <c r="DY239" s="270">
        <f t="shared" si="29"/>
        <v>0</v>
      </c>
      <c r="DZ239" s="274"/>
      <c r="EA239" s="275">
        <f t="shared" si="38"/>
        <v>0</v>
      </c>
      <c r="EB239" s="270">
        <f t="shared" ref="EB239:FC239" si="1569">IF(AJ237&lt;=0,0,IF($C238&lt;=SUM($EA239:EA239),0,IF(CU238+$C238-SUM($EA239:EA239)&gt;AJ237+BO238,AJ237+BO238-CU238,$C238-SUM($EA239:EA239))))</f>
        <v>0</v>
      </c>
      <c r="EC239" s="270">
        <f t="shared" si="1569"/>
        <v>0</v>
      </c>
      <c r="ED239" s="270">
        <f t="shared" si="1569"/>
        <v>0</v>
      </c>
      <c r="EE239" s="270">
        <f t="shared" si="1569"/>
        <v>0</v>
      </c>
      <c r="EF239" s="270">
        <f t="shared" si="1569"/>
        <v>0</v>
      </c>
      <c r="EG239" s="270">
        <f t="shared" si="1569"/>
        <v>0</v>
      </c>
      <c r="EH239" s="270">
        <f t="shared" si="1569"/>
        <v>0</v>
      </c>
      <c r="EI239" s="270">
        <f t="shared" si="1569"/>
        <v>0</v>
      </c>
      <c r="EJ239" s="270">
        <f t="shared" si="1569"/>
        <v>0</v>
      </c>
      <c r="EK239" s="270">
        <f t="shared" si="1569"/>
        <v>0</v>
      </c>
      <c r="EL239" s="270">
        <f t="shared" si="1569"/>
        <v>0</v>
      </c>
      <c r="EM239" s="270">
        <f t="shared" si="1569"/>
        <v>0</v>
      </c>
      <c r="EN239" s="270">
        <f t="shared" si="1569"/>
        <v>0</v>
      </c>
      <c r="EO239" s="270">
        <f t="shared" si="1569"/>
        <v>0</v>
      </c>
      <c r="EP239" s="270">
        <f t="shared" si="1569"/>
        <v>0</v>
      </c>
      <c r="EQ239" s="270">
        <f t="shared" si="1569"/>
        <v>0</v>
      </c>
      <c r="ER239" s="270">
        <f t="shared" si="1569"/>
        <v>0</v>
      </c>
      <c r="ES239" s="270">
        <f t="shared" si="1569"/>
        <v>0</v>
      </c>
      <c r="ET239" s="270">
        <f t="shared" si="1569"/>
        <v>0</v>
      </c>
      <c r="EU239" s="270">
        <f t="shared" si="1569"/>
        <v>0</v>
      </c>
      <c r="EV239" s="270">
        <f t="shared" si="1569"/>
        <v>0</v>
      </c>
      <c r="EW239" s="270">
        <f t="shared" si="1569"/>
        <v>0</v>
      </c>
      <c r="EX239" s="270">
        <f t="shared" si="1569"/>
        <v>0</v>
      </c>
      <c r="EY239" s="270">
        <f t="shared" si="1569"/>
        <v>0</v>
      </c>
      <c r="EZ239" s="270">
        <f t="shared" si="1569"/>
        <v>0</v>
      </c>
      <c r="FA239" s="270">
        <f t="shared" si="1569"/>
        <v>0</v>
      </c>
      <c r="FB239" s="270">
        <f t="shared" si="1569"/>
        <v>0</v>
      </c>
      <c r="FC239" s="270">
        <f t="shared" si="1569"/>
        <v>0</v>
      </c>
      <c r="FD239" s="271"/>
      <c r="FE239" s="271"/>
      <c r="FF239" s="271"/>
      <c r="FG239" s="215"/>
      <c r="FH239" s="215"/>
    </row>
    <row r="240" ht="11.25" customHeight="1">
      <c r="A240" s="215" t="str">
        <f t="shared" si="19"/>
        <v/>
      </c>
      <c r="B240" s="241" t="str">
        <f t="shared" si="600"/>
        <v>#N/A</v>
      </c>
      <c r="C240" s="271" t="str">
        <f>IF(A240="","",IF(Calculator!snowball,IF(($E$5-DY240)&lt;0,0,$E$5-DY240),0)+D240)</f>
        <v/>
      </c>
      <c r="D240" s="271"/>
      <c r="E240" s="270">
        <f t="shared" si="40"/>
        <v>0</v>
      </c>
      <c r="F240" s="270">
        <f t="shared" ref="F240:AG240" si="1570">CU240+EB241</f>
        <v>0</v>
      </c>
      <c r="G240" s="270">
        <f t="shared" si="1570"/>
        <v>0</v>
      </c>
      <c r="H240" s="270">
        <f t="shared" si="1570"/>
        <v>0</v>
      </c>
      <c r="I240" s="270">
        <f t="shared" si="1570"/>
        <v>0</v>
      </c>
      <c r="J240" s="270">
        <f t="shared" si="1570"/>
        <v>0</v>
      </c>
      <c r="K240" s="270">
        <f t="shared" si="1570"/>
        <v>0</v>
      </c>
      <c r="L240" s="270">
        <f t="shared" si="1570"/>
        <v>0</v>
      </c>
      <c r="M240" s="270">
        <f t="shared" si="1570"/>
        <v>0</v>
      </c>
      <c r="N240" s="270">
        <f t="shared" si="1570"/>
        <v>0</v>
      </c>
      <c r="O240" s="270">
        <f t="shared" si="1570"/>
        <v>0</v>
      </c>
      <c r="P240" s="272">
        <f t="shared" si="1570"/>
        <v>0</v>
      </c>
      <c r="Q240" s="272">
        <f t="shared" si="1570"/>
        <v>0</v>
      </c>
      <c r="R240" s="272">
        <f t="shared" si="1570"/>
        <v>0</v>
      </c>
      <c r="S240" s="272">
        <f t="shared" si="1570"/>
        <v>0</v>
      </c>
      <c r="T240" s="272">
        <f t="shared" si="1570"/>
        <v>0</v>
      </c>
      <c r="U240" s="270">
        <f t="shared" si="1570"/>
        <v>0</v>
      </c>
      <c r="V240" s="270">
        <f t="shared" si="1570"/>
        <v>0</v>
      </c>
      <c r="W240" s="270">
        <f t="shared" si="1570"/>
        <v>0</v>
      </c>
      <c r="X240" s="270">
        <f t="shared" si="1570"/>
        <v>0</v>
      </c>
      <c r="Y240" s="270">
        <f t="shared" si="1570"/>
        <v>0</v>
      </c>
      <c r="Z240" s="270">
        <f t="shared" si="1570"/>
        <v>0</v>
      </c>
      <c r="AA240" s="270">
        <f t="shared" si="1570"/>
        <v>0</v>
      </c>
      <c r="AB240" s="270">
        <f t="shared" si="1570"/>
        <v>0</v>
      </c>
      <c r="AC240" s="270">
        <f t="shared" si="1570"/>
        <v>0</v>
      </c>
      <c r="AD240" s="270">
        <f t="shared" si="1570"/>
        <v>0</v>
      </c>
      <c r="AE240" s="270">
        <f t="shared" si="1570"/>
        <v>0</v>
      </c>
      <c r="AF240" s="270">
        <f t="shared" si="1570"/>
        <v>0</v>
      </c>
      <c r="AG240" s="270">
        <f t="shared" si="1570"/>
        <v>0</v>
      </c>
      <c r="AH240" s="279">
        <f t="shared" si="602"/>
        <v>0</v>
      </c>
      <c r="AI240" s="270">
        <f t="shared" si="43"/>
        <v>0</v>
      </c>
      <c r="AJ240" s="270">
        <f t="shared" ref="AJ240:AO240" si="1571">IF(F$8=0,0,ROUND(AJ239-(F240-BO240),2))</f>
        <v>0</v>
      </c>
      <c r="AK240" s="270">
        <f t="shared" si="1571"/>
        <v>0</v>
      </c>
      <c r="AL240" s="270">
        <f t="shared" si="1571"/>
        <v>0</v>
      </c>
      <c r="AM240" s="270">
        <f t="shared" si="1571"/>
        <v>0</v>
      </c>
      <c r="AN240" s="270">
        <f t="shared" si="1571"/>
        <v>0</v>
      </c>
      <c r="AO240" s="270">
        <f t="shared" si="1571"/>
        <v>0</v>
      </c>
      <c r="AP240" s="270">
        <v>0.0</v>
      </c>
      <c r="AQ240" s="270">
        <f t="shared" ref="AQ240:AS240" si="1572">IF(M$8=0,0,ROUND(AQ239-(M240-BV240),2))</f>
        <v>0</v>
      </c>
      <c r="AR240" s="270">
        <f t="shared" si="1572"/>
        <v>0</v>
      </c>
      <c r="AS240" s="270">
        <f t="shared" si="1572"/>
        <v>0</v>
      </c>
      <c r="AT240" s="270">
        <f t="shared" si="605"/>
        <v>-6.22</v>
      </c>
      <c r="AU240" s="270">
        <f t="shared" ref="AU240:BK240" si="1573">IF(Q$8=0,0,ROUND(AU239-(Q240-BY240),2))</f>
        <v>-15.03</v>
      </c>
      <c r="AV240" s="270">
        <f t="shared" si="1573"/>
        <v>0</v>
      </c>
      <c r="AW240" s="270">
        <f t="shared" si="1573"/>
        <v>0</v>
      </c>
      <c r="AX240" s="270">
        <f t="shared" si="1573"/>
        <v>0</v>
      </c>
      <c r="AY240" s="270">
        <f t="shared" si="1573"/>
        <v>0</v>
      </c>
      <c r="AZ240" s="270">
        <f t="shared" si="1573"/>
        <v>0</v>
      </c>
      <c r="BA240" s="270">
        <f t="shared" si="1573"/>
        <v>0</v>
      </c>
      <c r="BB240" s="270">
        <f t="shared" si="1573"/>
        <v>0</v>
      </c>
      <c r="BC240" s="270">
        <f t="shared" si="1573"/>
        <v>0</v>
      </c>
      <c r="BD240" s="270">
        <f t="shared" si="1573"/>
        <v>0</v>
      </c>
      <c r="BE240" s="270">
        <f t="shared" si="1573"/>
        <v>0</v>
      </c>
      <c r="BF240" s="270">
        <f t="shared" si="1573"/>
        <v>0</v>
      </c>
      <c r="BG240" s="270">
        <f t="shared" si="1573"/>
        <v>0</v>
      </c>
      <c r="BH240" s="270">
        <f t="shared" si="1573"/>
        <v>0</v>
      </c>
      <c r="BI240" s="270">
        <f t="shared" si="1573"/>
        <v>0</v>
      </c>
      <c r="BJ240" s="270">
        <f t="shared" si="1573"/>
        <v>0</v>
      </c>
      <c r="BK240" s="270">
        <f t="shared" si="1573"/>
        <v>0</v>
      </c>
      <c r="BL240" s="265">
        <f t="shared" si="16"/>
        <v>-21.25</v>
      </c>
      <c r="BM240" s="215"/>
      <c r="BN240" s="270">
        <f t="shared" ref="BN240:CP240" si="1574">ROUND(AI239*E$9/12,2)</f>
        <v>0</v>
      </c>
      <c r="BO240" s="270">
        <f t="shared" si="1574"/>
        <v>0</v>
      </c>
      <c r="BP240" s="270">
        <f t="shared" si="1574"/>
        <v>0</v>
      </c>
      <c r="BQ240" s="270">
        <f t="shared" si="1574"/>
        <v>0</v>
      </c>
      <c r="BR240" s="270">
        <f t="shared" si="1574"/>
        <v>0</v>
      </c>
      <c r="BS240" s="270">
        <f t="shared" si="1574"/>
        <v>0</v>
      </c>
      <c r="BT240" s="270">
        <f t="shared" si="1574"/>
        <v>0</v>
      </c>
      <c r="BU240" s="270">
        <f t="shared" si="1574"/>
        <v>0</v>
      </c>
      <c r="BV240" s="270">
        <f t="shared" si="1574"/>
        <v>0</v>
      </c>
      <c r="BW240" s="270">
        <f t="shared" si="1574"/>
        <v>0</v>
      </c>
      <c r="BX240" s="270">
        <f t="shared" si="1574"/>
        <v>0</v>
      </c>
      <c r="BY240" s="270">
        <f t="shared" si="1574"/>
        <v>-0.05</v>
      </c>
      <c r="BZ240" s="270">
        <f t="shared" si="1574"/>
        <v>-0.05</v>
      </c>
      <c r="CA240" s="270">
        <f t="shared" si="1574"/>
        <v>0</v>
      </c>
      <c r="CB240" s="270">
        <f t="shared" si="1574"/>
        <v>0</v>
      </c>
      <c r="CC240" s="270">
        <f t="shared" si="1574"/>
        <v>0</v>
      </c>
      <c r="CD240" s="270">
        <f t="shared" si="1574"/>
        <v>0</v>
      </c>
      <c r="CE240" s="270">
        <f t="shared" si="1574"/>
        <v>0</v>
      </c>
      <c r="CF240" s="270">
        <f t="shared" si="1574"/>
        <v>0</v>
      </c>
      <c r="CG240" s="270">
        <f t="shared" si="1574"/>
        <v>0</v>
      </c>
      <c r="CH240" s="270">
        <f t="shared" si="1574"/>
        <v>0</v>
      </c>
      <c r="CI240" s="270">
        <f t="shared" si="1574"/>
        <v>0</v>
      </c>
      <c r="CJ240" s="270">
        <f t="shared" si="1574"/>
        <v>0</v>
      </c>
      <c r="CK240" s="270">
        <f t="shared" si="1574"/>
        <v>0</v>
      </c>
      <c r="CL240" s="270">
        <f t="shared" si="1574"/>
        <v>0</v>
      </c>
      <c r="CM240" s="270">
        <f t="shared" si="1574"/>
        <v>0</v>
      </c>
      <c r="CN240" s="270">
        <f t="shared" si="1574"/>
        <v>0</v>
      </c>
      <c r="CO240" s="270">
        <f t="shared" si="1574"/>
        <v>0</v>
      </c>
      <c r="CP240" s="270">
        <f t="shared" si="1574"/>
        <v>0</v>
      </c>
      <c r="CQ240" s="215"/>
      <c r="CR240" s="270">
        <f t="shared" si="27"/>
        <v>-0.1</v>
      </c>
      <c r="CS240" s="215"/>
      <c r="CT240" s="270">
        <f t="shared" ref="CT240:DX240" si="1575">IF(AI239&gt;0,IF((AI239+BN240)&lt;E$10,AI239+BN240,E$10),0)</f>
        <v>0</v>
      </c>
      <c r="CU240" s="270">
        <f t="shared" si="1575"/>
        <v>0</v>
      </c>
      <c r="CV240" s="270">
        <f t="shared" si="1575"/>
        <v>0</v>
      </c>
      <c r="CW240" s="270">
        <f t="shared" si="1575"/>
        <v>0</v>
      </c>
      <c r="CX240" s="270">
        <f t="shared" si="1575"/>
        <v>0</v>
      </c>
      <c r="CY240" s="270">
        <f t="shared" si="1575"/>
        <v>0</v>
      </c>
      <c r="CZ240" s="270">
        <f t="shared" si="1575"/>
        <v>0</v>
      </c>
      <c r="DA240" s="270">
        <f t="shared" si="1575"/>
        <v>0</v>
      </c>
      <c r="DB240" s="270">
        <f t="shared" si="1575"/>
        <v>0</v>
      </c>
      <c r="DC240" s="270">
        <f t="shared" si="1575"/>
        <v>0</v>
      </c>
      <c r="DD240" s="270">
        <f t="shared" si="1575"/>
        <v>0</v>
      </c>
      <c r="DE240" s="270">
        <f t="shared" si="1575"/>
        <v>0</v>
      </c>
      <c r="DF240" s="270">
        <f t="shared" si="1575"/>
        <v>0</v>
      </c>
      <c r="DG240" s="270">
        <f t="shared" si="1575"/>
        <v>0</v>
      </c>
      <c r="DH240" s="270">
        <f t="shared" si="1575"/>
        <v>0</v>
      </c>
      <c r="DI240" s="270">
        <f t="shared" si="1575"/>
        <v>0</v>
      </c>
      <c r="DJ240" s="270">
        <f t="shared" si="1575"/>
        <v>0</v>
      </c>
      <c r="DK240" s="270">
        <f t="shared" si="1575"/>
        <v>0</v>
      </c>
      <c r="DL240" s="270">
        <f t="shared" si="1575"/>
        <v>0</v>
      </c>
      <c r="DM240" s="270">
        <f t="shared" si="1575"/>
        <v>0</v>
      </c>
      <c r="DN240" s="270">
        <f t="shared" si="1575"/>
        <v>0</v>
      </c>
      <c r="DO240" s="270">
        <f t="shared" si="1575"/>
        <v>0</v>
      </c>
      <c r="DP240" s="270">
        <f t="shared" si="1575"/>
        <v>0</v>
      </c>
      <c r="DQ240" s="270">
        <f t="shared" si="1575"/>
        <v>0</v>
      </c>
      <c r="DR240" s="270">
        <f t="shared" si="1575"/>
        <v>0</v>
      </c>
      <c r="DS240" s="270">
        <f t="shared" si="1575"/>
        <v>0</v>
      </c>
      <c r="DT240" s="270">
        <f t="shared" si="1575"/>
        <v>0</v>
      </c>
      <c r="DU240" s="270">
        <f t="shared" si="1575"/>
        <v>0</v>
      </c>
      <c r="DV240" s="270">
        <f t="shared" si="1575"/>
        <v>0</v>
      </c>
      <c r="DW240" s="270">
        <f t="shared" si="1575"/>
        <v>0</v>
      </c>
      <c r="DX240" s="270">
        <f t="shared" si="1575"/>
        <v>0</v>
      </c>
      <c r="DY240" s="270">
        <f t="shared" si="29"/>
        <v>0</v>
      </c>
      <c r="DZ240" s="274"/>
      <c r="EA240" s="275">
        <f t="shared" si="38"/>
        <v>0</v>
      </c>
      <c r="EB240" s="270">
        <f t="shared" ref="EB240:FC240" si="1576">IF(AJ238&lt;=0,0,IF($C239&lt;=SUM($EA240:EA240),0,IF(CU239+$C239-SUM($EA240:EA240)&gt;AJ238+BO239,AJ238+BO239-CU239,$C239-SUM($EA240:EA240))))</f>
        <v>0</v>
      </c>
      <c r="EC240" s="270">
        <f t="shared" si="1576"/>
        <v>0</v>
      </c>
      <c r="ED240" s="270">
        <f t="shared" si="1576"/>
        <v>0</v>
      </c>
      <c r="EE240" s="270">
        <f t="shared" si="1576"/>
        <v>0</v>
      </c>
      <c r="EF240" s="270">
        <f t="shared" si="1576"/>
        <v>0</v>
      </c>
      <c r="EG240" s="270">
        <f t="shared" si="1576"/>
        <v>0</v>
      </c>
      <c r="EH240" s="270">
        <f t="shared" si="1576"/>
        <v>0</v>
      </c>
      <c r="EI240" s="270">
        <f t="shared" si="1576"/>
        <v>0</v>
      </c>
      <c r="EJ240" s="270">
        <f t="shared" si="1576"/>
        <v>0</v>
      </c>
      <c r="EK240" s="270">
        <f t="shared" si="1576"/>
        <v>0</v>
      </c>
      <c r="EL240" s="270">
        <f t="shared" si="1576"/>
        <v>0</v>
      </c>
      <c r="EM240" s="270">
        <f t="shared" si="1576"/>
        <v>0</v>
      </c>
      <c r="EN240" s="270">
        <f t="shared" si="1576"/>
        <v>0</v>
      </c>
      <c r="EO240" s="270">
        <f t="shared" si="1576"/>
        <v>0</v>
      </c>
      <c r="EP240" s="270">
        <f t="shared" si="1576"/>
        <v>0</v>
      </c>
      <c r="EQ240" s="270">
        <f t="shared" si="1576"/>
        <v>0</v>
      </c>
      <c r="ER240" s="270">
        <f t="shared" si="1576"/>
        <v>0</v>
      </c>
      <c r="ES240" s="270">
        <f t="shared" si="1576"/>
        <v>0</v>
      </c>
      <c r="ET240" s="270">
        <f t="shared" si="1576"/>
        <v>0</v>
      </c>
      <c r="EU240" s="270">
        <f t="shared" si="1576"/>
        <v>0</v>
      </c>
      <c r="EV240" s="270">
        <f t="shared" si="1576"/>
        <v>0</v>
      </c>
      <c r="EW240" s="270">
        <f t="shared" si="1576"/>
        <v>0</v>
      </c>
      <c r="EX240" s="270">
        <f t="shared" si="1576"/>
        <v>0</v>
      </c>
      <c r="EY240" s="270">
        <f t="shared" si="1576"/>
        <v>0</v>
      </c>
      <c r="EZ240" s="270">
        <f t="shared" si="1576"/>
        <v>0</v>
      </c>
      <c r="FA240" s="270">
        <f t="shared" si="1576"/>
        <v>0</v>
      </c>
      <c r="FB240" s="270">
        <f t="shared" si="1576"/>
        <v>0</v>
      </c>
      <c r="FC240" s="270">
        <f t="shared" si="1576"/>
        <v>0</v>
      </c>
      <c r="FD240" s="271"/>
      <c r="FE240" s="271"/>
      <c r="FF240" s="271"/>
      <c r="FG240" s="215"/>
      <c r="FH240" s="215"/>
    </row>
    <row r="241" ht="11.25" customHeight="1">
      <c r="A241" s="215" t="str">
        <f t="shared" si="19"/>
        <v/>
      </c>
      <c r="B241" s="241" t="str">
        <f t="shared" si="600"/>
        <v>#N/A</v>
      </c>
      <c r="C241" s="271" t="str">
        <f>IF(A241="","",IF(Calculator!snowball,IF(($E$5-DY241)&lt;0,0,$E$5-DY241),0)+D241)</f>
        <v/>
      </c>
      <c r="D241" s="271"/>
      <c r="E241" s="270">
        <f t="shared" si="40"/>
        <v>0</v>
      </c>
      <c r="F241" s="270">
        <f t="shared" ref="F241:AG241" si="1577">CU241+EB242</f>
        <v>0</v>
      </c>
      <c r="G241" s="270">
        <f t="shared" si="1577"/>
        <v>0</v>
      </c>
      <c r="H241" s="270">
        <f t="shared" si="1577"/>
        <v>0</v>
      </c>
      <c r="I241" s="270">
        <f t="shared" si="1577"/>
        <v>0</v>
      </c>
      <c r="J241" s="270">
        <f t="shared" si="1577"/>
        <v>0</v>
      </c>
      <c r="K241" s="270">
        <f t="shared" si="1577"/>
        <v>0</v>
      </c>
      <c r="L241" s="270">
        <f t="shared" si="1577"/>
        <v>0</v>
      </c>
      <c r="M241" s="270">
        <f t="shared" si="1577"/>
        <v>0</v>
      </c>
      <c r="N241" s="270">
        <f t="shared" si="1577"/>
        <v>0</v>
      </c>
      <c r="O241" s="270">
        <f t="shared" si="1577"/>
        <v>0</v>
      </c>
      <c r="P241" s="272">
        <f t="shared" si="1577"/>
        <v>0</v>
      </c>
      <c r="Q241" s="272">
        <f t="shared" si="1577"/>
        <v>0</v>
      </c>
      <c r="R241" s="272">
        <f t="shared" si="1577"/>
        <v>0</v>
      </c>
      <c r="S241" s="272">
        <f t="shared" si="1577"/>
        <v>0</v>
      </c>
      <c r="T241" s="272">
        <f t="shared" si="1577"/>
        <v>0</v>
      </c>
      <c r="U241" s="270">
        <f t="shared" si="1577"/>
        <v>0</v>
      </c>
      <c r="V241" s="270">
        <f t="shared" si="1577"/>
        <v>0</v>
      </c>
      <c r="W241" s="270">
        <f t="shared" si="1577"/>
        <v>0</v>
      </c>
      <c r="X241" s="270">
        <f t="shared" si="1577"/>
        <v>0</v>
      </c>
      <c r="Y241" s="270">
        <f t="shared" si="1577"/>
        <v>0</v>
      </c>
      <c r="Z241" s="270">
        <f t="shared" si="1577"/>
        <v>0</v>
      </c>
      <c r="AA241" s="270">
        <f t="shared" si="1577"/>
        <v>0</v>
      </c>
      <c r="AB241" s="270">
        <f t="shared" si="1577"/>
        <v>0</v>
      </c>
      <c r="AC241" s="270">
        <f t="shared" si="1577"/>
        <v>0</v>
      </c>
      <c r="AD241" s="270">
        <f t="shared" si="1577"/>
        <v>0</v>
      </c>
      <c r="AE241" s="270">
        <f t="shared" si="1577"/>
        <v>0</v>
      </c>
      <c r="AF241" s="270">
        <f t="shared" si="1577"/>
        <v>0</v>
      </c>
      <c r="AG241" s="270">
        <f t="shared" si="1577"/>
        <v>0</v>
      </c>
      <c r="AH241" s="279">
        <f t="shared" si="602"/>
        <v>0</v>
      </c>
      <c r="AI241" s="270">
        <f t="shared" si="43"/>
        <v>0</v>
      </c>
      <c r="AJ241" s="270">
        <f t="shared" ref="AJ241:AO241" si="1578">IF(F$8=0,0,ROUND(AJ240-(F241-BO241),2))</f>
        <v>0</v>
      </c>
      <c r="AK241" s="270">
        <f t="shared" si="1578"/>
        <v>0</v>
      </c>
      <c r="AL241" s="270">
        <f t="shared" si="1578"/>
        <v>0</v>
      </c>
      <c r="AM241" s="270">
        <f t="shared" si="1578"/>
        <v>0</v>
      </c>
      <c r="AN241" s="270">
        <f t="shared" si="1578"/>
        <v>0</v>
      </c>
      <c r="AO241" s="270">
        <f t="shared" si="1578"/>
        <v>0</v>
      </c>
      <c r="AP241" s="270">
        <v>0.0</v>
      </c>
      <c r="AQ241" s="270">
        <f t="shared" ref="AQ241:AS241" si="1579">IF(M$8=0,0,ROUND(AQ240-(M241-BV241),2))</f>
        <v>0</v>
      </c>
      <c r="AR241" s="270">
        <f t="shared" si="1579"/>
        <v>0</v>
      </c>
      <c r="AS241" s="270">
        <f t="shared" si="1579"/>
        <v>0</v>
      </c>
      <c r="AT241" s="270">
        <f t="shared" si="605"/>
        <v>-6.22</v>
      </c>
      <c r="AU241" s="270">
        <f t="shared" ref="AU241:BK241" si="1580">IF(Q$8=0,0,ROUND(AU240-(Q241-BY241),2))</f>
        <v>-15.08</v>
      </c>
      <c r="AV241" s="270">
        <f t="shared" si="1580"/>
        <v>0</v>
      </c>
      <c r="AW241" s="270">
        <f t="shared" si="1580"/>
        <v>0</v>
      </c>
      <c r="AX241" s="270">
        <f t="shared" si="1580"/>
        <v>0</v>
      </c>
      <c r="AY241" s="270">
        <f t="shared" si="1580"/>
        <v>0</v>
      </c>
      <c r="AZ241" s="270">
        <f t="shared" si="1580"/>
        <v>0</v>
      </c>
      <c r="BA241" s="270">
        <f t="shared" si="1580"/>
        <v>0</v>
      </c>
      <c r="BB241" s="270">
        <f t="shared" si="1580"/>
        <v>0</v>
      </c>
      <c r="BC241" s="270">
        <f t="shared" si="1580"/>
        <v>0</v>
      </c>
      <c r="BD241" s="270">
        <f t="shared" si="1580"/>
        <v>0</v>
      </c>
      <c r="BE241" s="270">
        <f t="shared" si="1580"/>
        <v>0</v>
      </c>
      <c r="BF241" s="270">
        <f t="shared" si="1580"/>
        <v>0</v>
      </c>
      <c r="BG241" s="270">
        <f t="shared" si="1580"/>
        <v>0</v>
      </c>
      <c r="BH241" s="270">
        <f t="shared" si="1580"/>
        <v>0</v>
      </c>
      <c r="BI241" s="270">
        <f t="shared" si="1580"/>
        <v>0</v>
      </c>
      <c r="BJ241" s="270">
        <f t="shared" si="1580"/>
        <v>0</v>
      </c>
      <c r="BK241" s="270">
        <f t="shared" si="1580"/>
        <v>0</v>
      </c>
      <c r="BL241" s="265">
        <f t="shared" si="16"/>
        <v>-21.3</v>
      </c>
      <c r="BM241" s="215"/>
      <c r="BN241" s="270">
        <f t="shared" ref="BN241:CP241" si="1581">ROUND(AI240*E$9/12,2)</f>
        <v>0</v>
      </c>
      <c r="BO241" s="270">
        <f t="shared" si="1581"/>
        <v>0</v>
      </c>
      <c r="BP241" s="270">
        <f t="shared" si="1581"/>
        <v>0</v>
      </c>
      <c r="BQ241" s="270">
        <f t="shared" si="1581"/>
        <v>0</v>
      </c>
      <c r="BR241" s="270">
        <f t="shared" si="1581"/>
        <v>0</v>
      </c>
      <c r="BS241" s="270">
        <f t="shared" si="1581"/>
        <v>0</v>
      </c>
      <c r="BT241" s="270">
        <f t="shared" si="1581"/>
        <v>0</v>
      </c>
      <c r="BU241" s="270">
        <f t="shared" si="1581"/>
        <v>0</v>
      </c>
      <c r="BV241" s="270">
        <f t="shared" si="1581"/>
        <v>0</v>
      </c>
      <c r="BW241" s="270">
        <f t="shared" si="1581"/>
        <v>0</v>
      </c>
      <c r="BX241" s="270">
        <f t="shared" si="1581"/>
        <v>0</v>
      </c>
      <c r="BY241" s="270">
        <f t="shared" si="1581"/>
        <v>-0.05</v>
      </c>
      <c r="BZ241" s="270">
        <f t="shared" si="1581"/>
        <v>-0.05</v>
      </c>
      <c r="CA241" s="270">
        <f t="shared" si="1581"/>
        <v>0</v>
      </c>
      <c r="CB241" s="270">
        <f t="shared" si="1581"/>
        <v>0</v>
      </c>
      <c r="CC241" s="270">
        <f t="shared" si="1581"/>
        <v>0</v>
      </c>
      <c r="CD241" s="270">
        <f t="shared" si="1581"/>
        <v>0</v>
      </c>
      <c r="CE241" s="270">
        <f t="shared" si="1581"/>
        <v>0</v>
      </c>
      <c r="CF241" s="270">
        <f t="shared" si="1581"/>
        <v>0</v>
      </c>
      <c r="CG241" s="270">
        <f t="shared" si="1581"/>
        <v>0</v>
      </c>
      <c r="CH241" s="270">
        <f t="shared" si="1581"/>
        <v>0</v>
      </c>
      <c r="CI241" s="270">
        <f t="shared" si="1581"/>
        <v>0</v>
      </c>
      <c r="CJ241" s="270">
        <f t="shared" si="1581"/>
        <v>0</v>
      </c>
      <c r="CK241" s="270">
        <f t="shared" si="1581"/>
        <v>0</v>
      </c>
      <c r="CL241" s="270">
        <f t="shared" si="1581"/>
        <v>0</v>
      </c>
      <c r="CM241" s="270">
        <f t="shared" si="1581"/>
        <v>0</v>
      </c>
      <c r="CN241" s="270">
        <f t="shared" si="1581"/>
        <v>0</v>
      </c>
      <c r="CO241" s="270">
        <f t="shared" si="1581"/>
        <v>0</v>
      </c>
      <c r="CP241" s="270">
        <f t="shared" si="1581"/>
        <v>0</v>
      </c>
      <c r="CQ241" s="215"/>
      <c r="CR241" s="270">
        <f t="shared" si="27"/>
        <v>-0.1</v>
      </c>
      <c r="CS241" s="215"/>
      <c r="CT241" s="270">
        <f t="shared" ref="CT241:DX241" si="1582">IF(AI240&gt;0,IF((AI240+BN241)&lt;E$10,AI240+BN241,E$10),0)</f>
        <v>0</v>
      </c>
      <c r="CU241" s="270">
        <f t="shared" si="1582"/>
        <v>0</v>
      </c>
      <c r="CV241" s="270">
        <f t="shared" si="1582"/>
        <v>0</v>
      </c>
      <c r="CW241" s="270">
        <f t="shared" si="1582"/>
        <v>0</v>
      </c>
      <c r="CX241" s="270">
        <f t="shared" si="1582"/>
        <v>0</v>
      </c>
      <c r="CY241" s="270">
        <f t="shared" si="1582"/>
        <v>0</v>
      </c>
      <c r="CZ241" s="270">
        <f t="shared" si="1582"/>
        <v>0</v>
      </c>
      <c r="DA241" s="270">
        <f t="shared" si="1582"/>
        <v>0</v>
      </c>
      <c r="DB241" s="270">
        <f t="shared" si="1582"/>
        <v>0</v>
      </c>
      <c r="DC241" s="270">
        <f t="shared" si="1582"/>
        <v>0</v>
      </c>
      <c r="DD241" s="270">
        <f t="shared" si="1582"/>
        <v>0</v>
      </c>
      <c r="DE241" s="270">
        <f t="shared" si="1582"/>
        <v>0</v>
      </c>
      <c r="DF241" s="270">
        <f t="shared" si="1582"/>
        <v>0</v>
      </c>
      <c r="DG241" s="270">
        <f t="shared" si="1582"/>
        <v>0</v>
      </c>
      <c r="DH241" s="270">
        <f t="shared" si="1582"/>
        <v>0</v>
      </c>
      <c r="DI241" s="270">
        <f t="shared" si="1582"/>
        <v>0</v>
      </c>
      <c r="DJ241" s="270">
        <f t="shared" si="1582"/>
        <v>0</v>
      </c>
      <c r="DK241" s="270">
        <f t="shared" si="1582"/>
        <v>0</v>
      </c>
      <c r="DL241" s="270">
        <f t="shared" si="1582"/>
        <v>0</v>
      </c>
      <c r="DM241" s="270">
        <f t="shared" si="1582"/>
        <v>0</v>
      </c>
      <c r="DN241" s="270">
        <f t="shared" si="1582"/>
        <v>0</v>
      </c>
      <c r="DO241" s="270">
        <f t="shared" si="1582"/>
        <v>0</v>
      </c>
      <c r="DP241" s="270">
        <f t="shared" si="1582"/>
        <v>0</v>
      </c>
      <c r="DQ241" s="270">
        <f t="shared" si="1582"/>
        <v>0</v>
      </c>
      <c r="DR241" s="270">
        <f t="shared" si="1582"/>
        <v>0</v>
      </c>
      <c r="DS241" s="270">
        <f t="shared" si="1582"/>
        <v>0</v>
      </c>
      <c r="DT241" s="270">
        <f t="shared" si="1582"/>
        <v>0</v>
      </c>
      <c r="DU241" s="270">
        <f t="shared" si="1582"/>
        <v>0</v>
      </c>
      <c r="DV241" s="270">
        <f t="shared" si="1582"/>
        <v>0</v>
      </c>
      <c r="DW241" s="270">
        <f t="shared" si="1582"/>
        <v>0</v>
      </c>
      <c r="DX241" s="270">
        <f t="shared" si="1582"/>
        <v>0</v>
      </c>
      <c r="DY241" s="270">
        <f t="shared" si="29"/>
        <v>0</v>
      </c>
      <c r="DZ241" s="274"/>
      <c r="EA241" s="275">
        <f t="shared" si="38"/>
        <v>0</v>
      </c>
      <c r="EB241" s="270">
        <f t="shared" ref="EB241:FC241" si="1583">IF(AJ239&lt;=0,0,IF($C240&lt;=SUM($EA241:EA241),0,IF(CU240+$C240-SUM($EA241:EA241)&gt;AJ239+BO240,AJ239+BO240-CU240,$C240-SUM($EA241:EA241))))</f>
        <v>0</v>
      </c>
      <c r="EC241" s="270">
        <f t="shared" si="1583"/>
        <v>0</v>
      </c>
      <c r="ED241" s="270">
        <f t="shared" si="1583"/>
        <v>0</v>
      </c>
      <c r="EE241" s="270">
        <f t="shared" si="1583"/>
        <v>0</v>
      </c>
      <c r="EF241" s="270">
        <f t="shared" si="1583"/>
        <v>0</v>
      </c>
      <c r="EG241" s="270">
        <f t="shared" si="1583"/>
        <v>0</v>
      </c>
      <c r="EH241" s="270">
        <f t="shared" si="1583"/>
        <v>0</v>
      </c>
      <c r="EI241" s="270">
        <f t="shared" si="1583"/>
        <v>0</v>
      </c>
      <c r="EJ241" s="270">
        <f t="shared" si="1583"/>
        <v>0</v>
      </c>
      <c r="EK241" s="270">
        <f t="shared" si="1583"/>
        <v>0</v>
      </c>
      <c r="EL241" s="270">
        <f t="shared" si="1583"/>
        <v>0</v>
      </c>
      <c r="EM241" s="270">
        <f t="shared" si="1583"/>
        <v>0</v>
      </c>
      <c r="EN241" s="270">
        <f t="shared" si="1583"/>
        <v>0</v>
      </c>
      <c r="EO241" s="270">
        <f t="shared" si="1583"/>
        <v>0</v>
      </c>
      <c r="EP241" s="270">
        <f t="shared" si="1583"/>
        <v>0</v>
      </c>
      <c r="EQ241" s="270">
        <f t="shared" si="1583"/>
        <v>0</v>
      </c>
      <c r="ER241" s="270">
        <f t="shared" si="1583"/>
        <v>0</v>
      </c>
      <c r="ES241" s="270">
        <f t="shared" si="1583"/>
        <v>0</v>
      </c>
      <c r="ET241" s="270">
        <f t="shared" si="1583"/>
        <v>0</v>
      </c>
      <c r="EU241" s="270">
        <f t="shared" si="1583"/>
        <v>0</v>
      </c>
      <c r="EV241" s="270">
        <f t="shared" si="1583"/>
        <v>0</v>
      </c>
      <c r="EW241" s="270">
        <f t="shared" si="1583"/>
        <v>0</v>
      </c>
      <c r="EX241" s="270">
        <f t="shared" si="1583"/>
        <v>0</v>
      </c>
      <c r="EY241" s="270">
        <f t="shared" si="1583"/>
        <v>0</v>
      </c>
      <c r="EZ241" s="270">
        <f t="shared" si="1583"/>
        <v>0</v>
      </c>
      <c r="FA241" s="270">
        <f t="shared" si="1583"/>
        <v>0</v>
      </c>
      <c r="FB241" s="270">
        <f t="shared" si="1583"/>
        <v>0</v>
      </c>
      <c r="FC241" s="270">
        <f t="shared" si="1583"/>
        <v>0</v>
      </c>
      <c r="FD241" s="271"/>
      <c r="FE241" s="271"/>
      <c r="FF241" s="271"/>
      <c r="FG241" s="215"/>
      <c r="FH241" s="215"/>
    </row>
    <row r="242" ht="11.25" customHeight="1">
      <c r="A242" s="215" t="str">
        <f t="shared" si="19"/>
        <v/>
      </c>
      <c r="B242" s="241" t="str">
        <f t="shared" si="600"/>
        <v>#N/A</v>
      </c>
      <c r="C242" s="271" t="str">
        <f>IF(A242="","",IF(Calculator!snowball,IF(($E$5-DY242)&lt;0,0,$E$5-DY242),0)+D242)</f>
        <v/>
      </c>
      <c r="D242" s="271"/>
      <c r="E242" s="270">
        <f t="shared" si="40"/>
        <v>0</v>
      </c>
      <c r="F242" s="270">
        <f t="shared" ref="F242:AG242" si="1584">CU242+EB243</f>
        <v>0</v>
      </c>
      <c r="G242" s="270">
        <f t="shared" si="1584"/>
        <v>0</v>
      </c>
      <c r="H242" s="270">
        <f t="shared" si="1584"/>
        <v>0</v>
      </c>
      <c r="I242" s="270">
        <f t="shared" si="1584"/>
        <v>0</v>
      </c>
      <c r="J242" s="270">
        <f t="shared" si="1584"/>
        <v>0</v>
      </c>
      <c r="K242" s="270">
        <f t="shared" si="1584"/>
        <v>0</v>
      </c>
      <c r="L242" s="270">
        <f t="shared" si="1584"/>
        <v>0</v>
      </c>
      <c r="M242" s="270">
        <f t="shared" si="1584"/>
        <v>0</v>
      </c>
      <c r="N242" s="270">
        <f t="shared" si="1584"/>
        <v>0</v>
      </c>
      <c r="O242" s="270">
        <f t="shared" si="1584"/>
        <v>0</v>
      </c>
      <c r="P242" s="272">
        <f t="shared" si="1584"/>
        <v>0</v>
      </c>
      <c r="Q242" s="272">
        <f t="shared" si="1584"/>
        <v>0</v>
      </c>
      <c r="R242" s="272">
        <f t="shared" si="1584"/>
        <v>0</v>
      </c>
      <c r="S242" s="272">
        <f t="shared" si="1584"/>
        <v>0</v>
      </c>
      <c r="T242" s="272">
        <f t="shared" si="1584"/>
        <v>0</v>
      </c>
      <c r="U242" s="270">
        <f t="shared" si="1584"/>
        <v>0</v>
      </c>
      <c r="V242" s="270">
        <f t="shared" si="1584"/>
        <v>0</v>
      </c>
      <c r="W242" s="270">
        <f t="shared" si="1584"/>
        <v>0</v>
      </c>
      <c r="X242" s="270">
        <f t="shared" si="1584"/>
        <v>0</v>
      </c>
      <c r="Y242" s="270">
        <f t="shared" si="1584"/>
        <v>0</v>
      </c>
      <c r="Z242" s="270">
        <f t="shared" si="1584"/>
        <v>0</v>
      </c>
      <c r="AA242" s="270">
        <f t="shared" si="1584"/>
        <v>0</v>
      </c>
      <c r="AB242" s="270">
        <f t="shared" si="1584"/>
        <v>0</v>
      </c>
      <c r="AC242" s="270">
        <f t="shared" si="1584"/>
        <v>0</v>
      </c>
      <c r="AD242" s="270">
        <f t="shared" si="1584"/>
        <v>0</v>
      </c>
      <c r="AE242" s="270">
        <f t="shared" si="1584"/>
        <v>0</v>
      </c>
      <c r="AF242" s="270">
        <f t="shared" si="1584"/>
        <v>0</v>
      </c>
      <c r="AG242" s="270">
        <f t="shared" si="1584"/>
        <v>0</v>
      </c>
      <c r="AH242" s="279">
        <f t="shared" si="602"/>
        <v>0</v>
      </c>
      <c r="AI242" s="270">
        <f t="shared" si="43"/>
        <v>0</v>
      </c>
      <c r="AJ242" s="270">
        <f t="shared" ref="AJ242:AO242" si="1585">IF(F$8=0,0,ROUND(AJ241-(F242-BO242),2))</f>
        <v>0</v>
      </c>
      <c r="AK242" s="270">
        <f t="shared" si="1585"/>
        <v>0</v>
      </c>
      <c r="AL242" s="270">
        <f t="shared" si="1585"/>
        <v>0</v>
      </c>
      <c r="AM242" s="270">
        <f t="shared" si="1585"/>
        <v>0</v>
      </c>
      <c r="AN242" s="270">
        <f t="shared" si="1585"/>
        <v>0</v>
      </c>
      <c r="AO242" s="270">
        <f t="shared" si="1585"/>
        <v>0</v>
      </c>
      <c r="AP242" s="270">
        <v>0.0</v>
      </c>
      <c r="AQ242" s="270">
        <f t="shared" ref="AQ242:AS242" si="1586">IF(M$8=0,0,ROUND(AQ241-(M242-BV242),2))</f>
        <v>0</v>
      </c>
      <c r="AR242" s="270">
        <f t="shared" si="1586"/>
        <v>0</v>
      </c>
      <c r="AS242" s="270">
        <f t="shared" si="1586"/>
        <v>0</v>
      </c>
      <c r="AT242" s="270">
        <f t="shared" si="605"/>
        <v>-6.22</v>
      </c>
      <c r="AU242" s="270">
        <f t="shared" ref="AU242:BK242" si="1587">IF(Q$8=0,0,ROUND(AU241-(Q242-BY242),2))</f>
        <v>-15.13</v>
      </c>
      <c r="AV242" s="270">
        <f t="shared" si="1587"/>
        <v>0</v>
      </c>
      <c r="AW242" s="270">
        <f t="shared" si="1587"/>
        <v>0</v>
      </c>
      <c r="AX242" s="270">
        <f t="shared" si="1587"/>
        <v>0</v>
      </c>
      <c r="AY242" s="270">
        <f t="shared" si="1587"/>
        <v>0</v>
      </c>
      <c r="AZ242" s="270">
        <f t="shared" si="1587"/>
        <v>0</v>
      </c>
      <c r="BA242" s="270">
        <f t="shared" si="1587"/>
        <v>0</v>
      </c>
      <c r="BB242" s="270">
        <f t="shared" si="1587"/>
        <v>0</v>
      </c>
      <c r="BC242" s="270">
        <f t="shared" si="1587"/>
        <v>0</v>
      </c>
      <c r="BD242" s="270">
        <f t="shared" si="1587"/>
        <v>0</v>
      </c>
      <c r="BE242" s="270">
        <f t="shared" si="1587"/>
        <v>0</v>
      </c>
      <c r="BF242" s="270">
        <f t="shared" si="1587"/>
        <v>0</v>
      </c>
      <c r="BG242" s="270">
        <f t="shared" si="1587"/>
        <v>0</v>
      </c>
      <c r="BH242" s="270">
        <f t="shared" si="1587"/>
        <v>0</v>
      </c>
      <c r="BI242" s="270">
        <f t="shared" si="1587"/>
        <v>0</v>
      </c>
      <c r="BJ242" s="270">
        <f t="shared" si="1587"/>
        <v>0</v>
      </c>
      <c r="BK242" s="270">
        <f t="shared" si="1587"/>
        <v>0</v>
      </c>
      <c r="BL242" s="265">
        <f t="shared" si="16"/>
        <v>-21.35</v>
      </c>
      <c r="BM242" s="215"/>
      <c r="BN242" s="270">
        <f t="shared" ref="BN242:CP242" si="1588">ROUND(AI241*E$9/12,2)</f>
        <v>0</v>
      </c>
      <c r="BO242" s="270">
        <f t="shared" si="1588"/>
        <v>0</v>
      </c>
      <c r="BP242" s="270">
        <f t="shared" si="1588"/>
        <v>0</v>
      </c>
      <c r="BQ242" s="270">
        <f t="shared" si="1588"/>
        <v>0</v>
      </c>
      <c r="BR242" s="270">
        <f t="shared" si="1588"/>
        <v>0</v>
      </c>
      <c r="BS242" s="270">
        <f t="shared" si="1588"/>
        <v>0</v>
      </c>
      <c r="BT242" s="270">
        <f t="shared" si="1588"/>
        <v>0</v>
      </c>
      <c r="BU242" s="270">
        <f t="shared" si="1588"/>
        <v>0</v>
      </c>
      <c r="BV242" s="270">
        <f t="shared" si="1588"/>
        <v>0</v>
      </c>
      <c r="BW242" s="270">
        <f t="shared" si="1588"/>
        <v>0</v>
      </c>
      <c r="BX242" s="270">
        <f t="shared" si="1588"/>
        <v>0</v>
      </c>
      <c r="BY242" s="270">
        <f t="shared" si="1588"/>
        <v>-0.05</v>
      </c>
      <c r="BZ242" s="270">
        <f t="shared" si="1588"/>
        <v>-0.05</v>
      </c>
      <c r="CA242" s="270">
        <f t="shared" si="1588"/>
        <v>0</v>
      </c>
      <c r="CB242" s="270">
        <f t="shared" si="1588"/>
        <v>0</v>
      </c>
      <c r="CC242" s="270">
        <f t="shared" si="1588"/>
        <v>0</v>
      </c>
      <c r="CD242" s="270">
        <f t="shared" si="1588"/>
        <v>0</v>
      </c>
      <c r="CE242" s="270">
        <f t="shared" si="1588"/>
        <v>0</v>
      </c>
      <c r="CF242" s="270">
        <f t="shared" si="1588"/>
        <v>0</v>
      </c>
      <c r="CG242" s="270">
        <f t="shared" si="1588"/>
        <v>0</v>
      </c>
      <c r="CH242" s="270">
        <f t="shared" si="1588"/>
        <v>0</v>
      </c>
      <c r="CI242" s="270">
        <f t="shared" si="1588"/>
        <v>0</v>
      </c>
      <c r="CJ242" s="270">
        <f t="shared" si="1588"/>
        <v>0</v>
      </c>
      <c r="CK242" s="270">
        <f t="shared" si="1588"/>
        <v>0</v>
      </c>
      <c r="CL242" s="270">
        <f t="shared" si="1588"/>
        <v>0</v>
      </c>
      <c r="CM242" s="270">
        <f t="shared" si="1588"/>
        <v>0</v>
      </c>
      <c r="CN242" s="270">
        <f t="shared" si="1588"/>
        <v>0</v>
      </c>
      <c r="CO242" s="270">
        <f t="shared" si="1588"/>
        <v>0</v>
      </c>
      <c r="CP242" s="270">
        <f t="shared" si="1588"/>
        <v>0</v>
      </c>
      <c r="CQ242" s="215"/>
      <c r="CR242" s="270">
        <f t="shared" si="27"/>
        <v>-0.1</v>
      </c>
      <c r="CS242" s="215"/>
      <c r="CT242" s="270">
        <f t="shared" ref="CT242:DX242" si="1589">IF(AI241&gt;0,IF((AI241+BN242)&lt;E$10,AI241+BN242,E$10),0)</f>
        <v>0</v>
      </c>
      <c r="CU242" s="270">
        <f t="shared" si="1589"/>
        <v>0</v>
      </c>
      <c r="CV242" s="270">
        <f t="shared" si="1589"/>
        <v>0</v>
      </c>
      <c r="CW242" s="270">
        <f t="shared" si="1589"/>
        <v>0</v>
      </c>
      <c r="CX242" s="270">
        <f t="shared" si="1589"/>
        <v>0</v>
      </c>
      <c r="CY242" s="270">
        <f t="shared" si="1589"/>
        <v>0</v>
      </c>
      <c r="CZ242" s="270">
        <f t="shared" si="1589"/>
        <v>0</v>
      </c>
      <c r="DA242" s="270">
        <f t="shared" si="1589"/>
        <v>0</v>
      </c>
      <c r="DB242" s="270">
        <f t="shared" si="1589"/>
        <v>0</v>
      </c>
      <c r="DC242" s="270">
        <f t="shared" si="1589"/>
        <v>0</v>
      </c>
      <c r="DD242" s="270">
        <f t="shared" si="1589"/>
        <v>0</v>
      </c>
      <c r="DE242" s="270">
        <f t="shared" si="1589"/>
        <v>0</v>
      </c>
      <c r="DF242" s="270">
        <f t="shared" si="1589"/>
        <v>0</v>
      </c>
      <c r="DG242" s="270">
        <f t="shared" si="1589"/>
        <v>0</v>
      </c>
      <c r="DH242" s="270">
        <f t="shared" si="1589"/>
        <v>0</v>
      </c>
      <c r="DI242" s="270">
        <f t="shared" si="1589"/>
        <v>0</v>
      </c>
      <c r="DJ242" s="270">
        <f t="shared" si="1589"/>
        <v>0</v>
      </c>
      <c r="DK242" s="270">
        <f t="shared" si="1589"/>
        <v>0</v>
      </c>
      <c r="DL242" s="270">
        <f t="shared" si="1589"/>
        <v>0</v>
      </c>
      <c r="DM242" s="270">
        <f t="shared" si="1589"/>
        <v>0</v>
      </c>
      <c r="DN242" s="270">
        <f t="shared" si="1589"/>
        <v>0</v>
      </c>
      <c r="DO242" s="270">
        <f t="shared" si="1589"/>
        <v>0</v>
      </c>
      <c r="DP242" s="270">
        <f t="shared" si="1589"/>
        <v>0</v>
      </c>
      <c r="DQ242" s="270">
        <f t="shared" si="1589"/>
        <v>0</v>
      </c>
      <c r="DR242" s="270">
        <f t="shared" si="1589"/>
        <v>0</v>
      </c>
      <c r="DS242" s="270">
        <f t="shared" si="1589"/>
        <v>0</v>
      </c>
      <c r="DT242" s="270">
        <f t="shared" si="1589"/>
        <v>0</v>
      </c>
      <c r="DU242" s="270">
        <f t="shared" si="1589"/>
        <v>0</v>
      </c>
      <c r="DV242" s="270">
        <f t="shared" si="1589"/>
        <v>0</v>
      </c>
      <c r="DW242" s="270">
        <f t="shared" si="1589"/>
        <v>0</v>
      </c>
      <c r="DX242" s="270">
        <f t="shared" si="1589"/>
        <v>0</v>
      </c>
      <c r="DY242" s="270">
        <f t="shared" si="29"/>
        <v>0</v>
      </c>
      <c r="DZ242" s="274"/>
      <c r="EA242" s="275">
        <f t="shared" si="38"/>
        <v>0</v>
      </c>
      <c r="EB242" s="270">
        <f t="shared" ref="EB242:FC242" si="1590">IF(AJ240&lt;=0,0,IF($C241&lt;=SUM($EA242:EA242),0,IF(CU241+$C241-SUM($EA242:EA242)&gt;AJ240+BO241,AJ240+BO241-CU241,$C241-SUM($EA242:EA242))))</f>
        <v>0</v>
      </c>
      <c r="EC242" s="270">
        <f t="shared" si="1590"/>
        <v>0</v>
      </c>
      <c r="ED242" s="270">
        <f t="shared" si="1590"/>
        <v>0</v>
      </c>
      <c r="EE242" s="270">
        <f t="shared" si="1590"/>
        <v>0</v>
      </c>
      <c r="EF242" s="270">
        <f t="shared" si="1590"/>
        <v>0</v>
      </c>
      <c r="EG242" s="270">
        <f t="shared" si="1590"/>
        <v>0</v>
      </c>
      <c r="EH242" s="270">
        <f t="shared" si="1590"/>
        <v>0</v>
      </c>
      <c r="EI242" s="270">
        <f t="shared" si="1590"/>
        <v>0</v>
      </c>
      <c r="EJ242" s="270">
        <f t="shared" si="1590"/>
        <v>0</v>
      </c>
      <c r="EK242" s="270">
        <f t="shared" si="1590"/>
        <v>0</v>
      </c>
      <c r="EL242" s="270">
        <f t="shared" si="1590"/>
        <v>0</v>
      </c>
      <c r="EM242" s="270">
        <f t="shared" si="1590"/>
        <v>0</v>
      </c>
      <c r="EN242" s="270">
        <f t="shared" si="1590"/>
        <v>0</v>
      </c>
      <c r="EO242" s="270">
        <f t="shared" si="1590"/>
        <v>0</v>
      </c>
      <c r="EP242" s="270">
        <f t="shared" si="1590"/>
        <v>0</v>
      </c>
      <c r="EQ242" s="270">
        <f t="shared" si="1590"/>
        <v>0</v>
      </c>
      <c r="ER242" s="270">
        <f t="shared" si="1590"/>
        <v>0</v>
      </c>
      <c r="ES242" s="270">
        <f t="shared" si="1590"/>
        <v>0</v>
      </c>
      <c r="ET242" s="270">
        <f t="shared" si="1590"/>
        <v>0</v>
      </c>
      <c r="EU242" s="270">
        <f t="shared" si="1590"/>
        <v>0</v>
      </c>
      <c r="EV242" s="270">
        <f t="shared" si="1590"/>
        <v>0</v>
      </c>
      <c r="EW242" s="270">
        <f t="shared" si="1590"/>
        <v>0</v>
      </c>
      <c r="EX242" s="270">
        <f t="shared" si="1590"/>
        <v>0</v>
      </c>
      <c r="EY242" s="270">
        <f t="shared" si="1590"/>
        <v>0</v>
      </c>
      <c r="EZ242" s="270">
        <f t="shared" si="1590"/>
        <v>0</v>
      </c>
      <c r="FA242" s="270">
        <f t="shared" si="1590"/>
        <v>0</v>
      </c>
      <c r="FB242" s="270">
        <f t="shared" si="1590"/>
        <v>0</v>
      </c>
      <c r="FC242" s="270">
        <f t="shared" si="1590"/>
        <v>0</v>
      </c>
      <c r="FD242" s="271"/>
      <c r="FE242" s="271"/>
      <c r="FF242" s="271"/>
      <c r="FG242" s="215"/>
      <c r="FH242" s="215"/>
    </row>
    <row r="243" ht="11.25" customHeight="1">
      <c r="A243" s="215" t="str">
        <f t="shared" si="19"/>
        <v/>
      </c>
      <c r="B243" s="241" t="str">
        <f t="shared" si="600"/>
        <v>#N/A</v>
      </c>
      <c r="C243" s="271" t="str">
        <f>IF(A243="","",IF(Calculator!snowball,IF(($E$5-DY243)&lt;0,0,$E$5-DY243),0)+D243)</f>
        <v/>
      </c>
      <c r="D243" s="271"/>
      <c r="E243" s="270">
        <f t="shared" si="40"/>
        <v>0</v>
      </c>
      <c r="F243" s="270">
        <f t="shared" ref="F243:AG243" si="1591">CU243+EB244</f>
        <v>0</v>
      </c>
      <c r="G243" s="270">
        <f t="shared" si="1591"/>
        <v>0</v>
      </c>
      <c r="H243" s="270">
        <f t="shared" si="1591"/>
        <v>0</v>
      </c>
      <c r="I243" s="270">
        <f t="shared" si="1591"/>
        <v>0</v>
      </c>
      <c r="J243" s="270">
        <f t="shared" si="1591"/>
        <v>0</v>
      </c>
      <c r="K243" s="270">
        <f t="shared" si="1591"/>
        <v>0</v>
      </c>
      <c r="L243" s="270">
        <f t="shared" si="1591"/>
        <v>0</v>
      </c>
      <c r="M243" s="270">
        <f t="shared" si="1591"/>
        <v>0</v>
      </c>
      <c r="N243" s="270">
        <f t="shared" si="1591"/>
        <v>0</v>
      </c>
      <c r="O243" s="270">
        <f t="shared" si="1591"/>
        <v>0</v>
      </c>
      <c r="P243" s="272">
        <f t="shared" si="1591"/>
        <v>0</v>
      </c>
      <c r="Q243" s="272">
        <f t="shared" si="1591"/>
        <v>0</v>
      </c>
      <c r="R243" s="272">
        <f t="shared" si="1591"/>
        <v>0</v>
      </c>
      <c r="S243" s="272">
        <f t="shared" si="1591"/>
        <v>0</v>
      </c>
      <c r="T243" s="272">
        <f t="shared" si="1591"/>
        <v>0</v>
      </c>
      <c r="U243" s="270">
        <f t="shared" si="1591"/>
        <v>0</v>
      </c>
      <c r="V243" s="270">
        <f t="shared" si="1591"/>
        <v>0</v>
      </c>
      <c r="W243" s="270">
        <f t="shared" si="1591"/>
        <v>0</v>
      </c>
      <c r="X243" s="270">
        <f t="shared" si="1591"/>
        <v>0</v>
      </c>
      <c r="Y243" s="270">
        <f t="shared" si="1591"/>
        <v>0</v>
      </c>
      <c r="Z243" s="270">
        <f t="shared" si="1591"/>
        <v>0</v>
      </c>
      <c r="AA243" s="270">
        <f t="shared" si="1591"/>
        <v>0</v>
      </c>
      <c r="AB243" s="270">
        <f t="shared" si="1591"/>
        <v>0</v>
      </c>
      <c r="AC243" s="270">
        <f t="shared" si="1591"/>
        <v>0</v>
      </c>
      <c r="AD243" s="270">
        <f t="shared" si="1591"/>
        <v>0</v>
      </c>
      <c r="AE243" s="270">
        <f t="shared" si="1591"/>
        <v>0</v>
      </c>
      <c r="AF243" s="270">
        <f t="shared" si="1591"/>
        <v>0</v>
      </c>
      <c r="AG243" s="270">
        <f t="shared" si="1591"/>
        <v>0</v>
      </c>
      <c r="AH243" s="279">
        <f t="shared" si="602"/>
        <v>0</v>
      </c>
      <c r="AI243" s="270">
        <f t="shared" si="43"/>
        <v>0</v>
      </c>
      <c r="AJ243" s="270">
        <f t="shared" ref="AJ243:AO243" si="1592">IF(F$8=0,0,ROUND(AJ242-(F243-BO243),2))</f>
        <v>0</v>
      </c>
      <c r="AK243" s="270">
        <f t="shared" si="1592"/>
        <v>0</v>
      </c>
      <c r="AL243" s="270">
        <f t="shared" si="1592"/>
        <v>0</v>
      </c>
      <c r="AM243" s="270">
        <f t="shared" si="1592"/>
        <v>0</v>
      </c>
      <c r="AN243" s="270">
        <f t="shared" si="1592"/>
        <v>0</v>
      </c>
      <c r="AO243" s="270">
        <f t="shared" si="1592"/>
        <v>0</v>
      </c>
      <c r="AP243" s="270">
        <v>0.0</v>
      </c>
      <c r="AQ243" s="270">
        <f t="shared" ref="AQ243:AS243" si="1593">IF(M$8=0,0,ROUND(AQ242-(M243-BV243),2))</f>
        <v>0</v>
      </c>
      <c r="AR243" s="270">
        <f t="shared" si="1593"/>
        <v>0</v>
      </c>
      <c r="AS243" s="270">
        <f t="shared" si="1593"/>
        <v>0</v>
      </c>
      <c r="AT243" s="270">
        <f t="shared" si="605"/>
        <v>-6.22</v>
      </c>
      <c r="AU243" s="270">
        <f t="shared" ref="AU243:BK243" si="1594">IF(Q$8=0,0,ROUND(AU242-(Q243-BY243),2))</f>
        <v>-15.18</v>
      </c>
      <c r="AV243" s="270">
        <f t="shared" si="1594"/>
        <v>0</v>
      </c>
      <c r="AW243" s="270">
        <f t="shared" si="1594"/>
        <v>0</v>
      </c>
      <c r="AX243" s="270">
        <f t="shared" si="1594"/>
        <v>0</v>
      </c>
      <c r="AY243" s="270">
        <f t="shared" si="1594"/>
        <v>0</v>
      </c>
      <c r="AZ243" s="270">
        <f t="shared" si="1594"/>
        <v>0</v>
      </c>
      <c r="BA243" s="270">
        <f t="shared" si="1594"/>
        <v>0</v>
      </c>
      <c r="BB243" s="270">
        <f t="shared" si="1594"/>
        <v>0</v>
      </c>
      <c r="BC243" s="270">
        <f t="shared" si="1594"/>
        <v>0</v>
      </c>
      <c r="BD243" s="270">
        <f t="shared" si="1594"/>
        <v>0</v>
      </c>
      <c r="BE243" s="270">
        <f t="shared" si="1594"/>
        <v>0</v>
      </c>
      <c r="BF243" s="270">
        <f t="shared" si="1594"/>
        <v>0</v>
      </c>
      <c r="BG243" s="270">
        <f t="shared" si="1594"/>
        <v>0</v>
      </c>
      <c r="BH243" s="270">
        <f t="shared" si="1594"/>
        <v>0</v>
      </c>
      <c r="BI243" s="270">
        <f t="shared" si="1594"/>
        <v>0</v>
      </c>
      <c r="BJ243" s="270">
        <f t="shared" si="1594"/>
        <v>0</v>
      </c>
      <c r="BK243" s="270">
        <f t="shared" si="1594"/>
        <v>0</v>
      </c>
      <c r="BL243" s="265">
        <f t="shared" si="16"/>
        <v>-21.4</v>
      </c>
      <c r="BM243" s="215"/>
      <c r="BN243" s="270">
        <f t="shared" ref="BN243:CP243" si="1595">ROUND(AI242*E$9/12,2)</f>
        <v>0</v>
      </c>
      <c r="BO243" s="270">
        <f t="shared" si="1595"/>
        <v>0</v>
      </c>
      <c r="BP243" s="270">
        <f t="shared" si="1595"/>
        <v>0</v>
      </c>
      <c r="BQ243" s="270">
        <f t="shared" si="1595"/>
        <v>0</v>
      </c>
      <c r="BR243" s="270">
        <f t="shared" si="1595"/>
        <v>0</v>
      </c>
      <c r="BS243" s="270">
        <f t="shared" si="1595"/>
        <v>0</v>
      </c>
      <c r="BT243" s="270">
        <f t="shared" si="1595"/>
        <v>0</v>
      </c>
      <c r="BU243" s="270">
        <f t="shared" si="1595"/>
        <v>0</v>
      </c>
      <c r="BV243" s="270">
        <f t="shared" si="1595"/>
        <v>0</v>
      </c>
      <c r="BW243" s="270">
        <f t="shared" si="1595"/>
        <v>0</v>
      </c>
      <c r="BX243" s="270">
        <f t="shared" si="1595"/>
        <v>0</v>
      </c>
      <c r="BY243" s="270">
        <f t="shared" si="1595"/>
        <v>-0.05</v>
      </c>
      <c r="BZ243" s="270">
        <f t="shared" si="1595"/>
        <v>-0.05</v>
      </c>
      <c r="CA243" s="270">
        <f t="shared" si="1595"/>
        <v>0</v>
      </c>
      <c r="CB243" s="270">
        <f t="shared" si="1595"/>
        <v>0</v>
      </c>
      <c r="CC243" s="270">
        <f t="shared" si="1595"/>
        <v>0</v>
      </c>
      <c r="CD243" s="270">
        <f t="shared" si="1595"/>
        <v>0</v>
      </c>
      <c r="CE243" s="270">
        <f t="shared" si="1595"/>
        <v>0</v>
      </c>
      <c r="CF243" s="270">
        <f t="shared" si="1595"/>
        <v>0</v>
      </c>
      <c r="CG243" s="270">
        <f t="shared" si="1595"/>
        <v>0</v>
      </c>
      <c r="CH243" s="270">
        <f t="shared" si="1595"/>
        <v>0</v>
      </c>
      <c r="CI243" s="270">
        <f t="shared" si="1595"/>
        <v>0</v>
      </c>
      <c r="CJ243" s="270">
        <f t="shared" si="1595"/>
        <v>0</v>
      </c>
      <c r="CK243" s="270">
        <f t="shared" si="1595"/>
        <v>0</v>
      </c>
      <c r="CL243" s="270">
        <f t="shared" si="1595"/>
        <v>0</v>
      </c>
      <c r="CM243" s="270">
        <f t="shared" si="1595"/>
        <v>0</v>
      </c>
      <c r="CN243" s="270">
        <f t="shared" si="1595"/>
        <v>0</v>
      </c>
      <c r="CO243" s="270">
        <f t="shared" si="1595"/>
        <v>0</v>
      </c>
      <c r="CP243" s="270">
        <f t="shared" si="1595"/>
        <v>0</v>
      </c>
      <c r="CQ243" s="215"/>
      <c r="CR243" s="270">
        <f t="shared" si="27"/>
        <v>-0.1</v>
      </c>
      <c r="CS243" s="215"/>
      <c r="CT243" s="270">
        <f t="shared" ref="CT243:DX243" si="1596">IF(AI242&gt;0,IF((AI242+BN243)&lt;E$10,AI242+BN243,E$10),0)</f>
        <v>0</v>
      </c>
      <c r="CU243" s="270">
        <f t="shared" si="1596"/>
        <v>0</v>
      </c>
      <c r="CV243" s="270">
        <f t="shared" si="1596"/>
        <v>0</v>
      </c>
      <c r="CW243" s="270">
        <f t="shared" si="1596"/>
        <v>0</v>
      </c>
      <c r="CX243" s="270">
        <f t="shared" si="1596"/>
        <v>0</v>
      </c>
      <c r="CY243" s="270">
        <f t="shared" si="1596"/>
        <v>0</v>
      </c>
      <c r="CZ243" s="270">
        <f t="shared" si="1596"/>
        <v>0</v>
      </c>
      <c r="DA243" s="270">
        <f t="shared" si="1596"/>
        <v>0</v>
      </c>
      <c r="DB243" s="270">
        <f t="shared" si="1596"/>
        <v>0</v>
      </c>
      <c r="DC243" s="270">
        <f t="shared" si="1596"/>
        <v>0</v>
      </c>
      <c r="DD243" s="270">
        <f t="shared" si="1596"/>
        <v>0</v>
      </c>
      <c r="DE243" s="270">
        <f t="shared" si="1596"/>
        <v>0</v>
      </c>
      <c r="DF243" s="270">
        <f t="shared" si="1596"/>
        <v>0</v>
      </c>
      <c r="DG243" s="270">
        <f t="shared" si="1596"/>
        <v>0</v>
      </c>
      <c r="DH243" s="270">
        <f t="shared" si="1596"/>
        <v>0</v>
      </c>
      <c r="DI243" s="270">
        <f t="shared" si="1596"/>
        <v>0</v>
      </c>
      <c r="DJ243" s="270">
        <f t="shared" si="1596"/>
        <v>0</v>
      </c>
      <c r="DK243" s="270">
        <f t="shared" si="1596"/>
        <v>0</v>
      </c>
      <c r="DL243" s="270">
        <f t="shared" si="1596"/>
        <v>0</v>
      </c>
      <c r="DM243" s="270">
        <f t="shared" si="1596"/>
        <v>0</v>
      </c>
      <c r="DN243" s="270">
        <f t="shared" si="1596"/>
        <v>0</v>
      </c>
      <c r="DO243" s="270">
        <f t="shared" si="1596"/>
        <v>0</v>
      </c>
      <c r="DP243" s="270">
        <f t="shared" si="1596"/>
        <v>0</v>
      </c>
      <c r="DQ243" s="270">
        <f t="shared" si="1596"/>
        <v>0</v>
      </c>
      <c r="DR243" s="270">
        <f t="shared" si="1596"/>
        <v>0</v>
      </c>
      <c r="DS243" s="270">
        <f t="shared" si="1596"/>
        <v>0</v>
      </c>
      <c r="DT243" s="270">
        <f t="shared" si="1596"/>
        <v>0</v>
      </c>
      <c r="DU243" s="270">
        <f t="shared" si="1596"/>
        <v>0</v>
      </c>
      <c r="DV243" s="270">
        <f t="shared" si="1596"/>
        <v>0</v>
      </c>
      <c r="DW243" s="270">
        <f t="shared" si="1596"/>
        <v>0</v>
      </c>
      <c r="DX243" s="270">
        <f t="shared" si="1596"/>
        <v>0</v>
      </c>
      <c r="DY243" s="270">
        <f t="shared" si="29"/>
        <v>0</v>
      </c>
      <c r="DZ243" s="274"/>
      <c r="EA243" s="275">
        <f t="shared" si="38"/>
        <v>0</v>
      </c>
      <c r="EB243" s="270">
        <f t="shared" ref="EB243:FC243" si="1597">IF(AJ241&lt;=0,0,IF($C242&lt;=SUM($EA243:EA243),0,IF(CU242+$C242-SUM($EA243:EA243)&gt;AJ241+BO242,AJ241+BO242-CU242,$C242-SUM($EA243:EA243))))</f>
        <v>0</v>
      </c>
      <c r="EC243" s="270">
        <f t="shared" si="1597"/>
        <v>0</v>
      </c>
      <c r="ED243" s="270">
        <f t="shared" si="1597"/>
        <v>0</v>
      </c>
      <c r="EE243" s="270">
        <f t="shared" si="1597"/>
        <v>0</v>
      </c>
      <c r="EF243" s="270">
        <f t="shared" si="1597"/>
        <v>0</v>
      </c>
      <c r="EG243" s="270">
        <f t="shared" si="1597"/>
        <v>0</v>
      </c>
      <c r="EH243" s="270">
        <f t="shared" si="1597"/>
        <v>0</v>
      </c>
      <c r="EI243" s="270">
        <f t="shared" si="1597"/>
        <v>0</v>
      </c>
      <c r="EJ243" s="270">
        <f t="shared" si="1597"/>
        <v>0</v>
      </c>
      <c r="EK243" s="270">
        <f t="shared" si="1597"/>
        <v>0</v>
      </c>
      <c r="EL243" s="270">
        <f t="shared" si="1597"/>
        <v>0</v>
      </c>
      <c r="EM243" s="270">
        <f t="shared" si="1597"/>
        <v>0</v>
      </c>
      <c r="EN243" s="270">
        <f t="shared" si="1597"/>
        <v>0</v>
      </c>
      <c r="EO243" s="270">
        <f t="shared" si="1597"/>
        <v>0</v>
      </c>
      <c r="EP243" s="270">
        <f t="shared" si="1597"/>
        <v>0</v>
      </c>
      <c r="EQ243" s="270">
        <f t="shared" si="1597"/>
        <v>0</v>
      </c>
      <c r="ER243" s="270">
        <f t="shared" si="1597"/>
        <v>0</v>
      </c>
      <c r="ES243" s="270">
        <f t="shared" si="1597"/>
        <v>0</v>
      </c>
      <c r="ET243" s="270">
        <f t="shared" si="1597"/>
        <v>0</v>
      </c>
      <c r="EU243" s="270">
        <f t="shared" si="1597"/>
        <v>0</v>
      </c>
      <c r="EV243" s="270">
        <f t="shared" si="1597"/>
        <v>0</v>
      </c>
      <c r="EW243" s="270">
        <f t="shared" si="1597"/>
        <v>0</v>
      </c>
      <c r="EX243" s="270">
        <f t="shared" si="1597"/>
        <v>0</v>
      </c>
      <c r="EY243" s="270">
        <f t="shared" si="1597"/>
        <v>0</v>
      </c>
      <c r="EZ243" s="270">
        <f t="shared" si="1597"/>
        <v>0</v>
      </c>
      <c r="FA243" s="270">
        <f t="shared" si="1597"/>
        <v>0</v>
      </c>
      <c r="FB243" s="270">
        <f t="shared" si="1597"/>
        <v>0</v>
      </c>
      <c r="FC243" s="270">
        <f t="shared" si="1597"/>
        <v>0</v>
      </c>
      <c r="FD243" s="271"/>
      <c r="FE243" s="271"/>
      <c r="FF243" s="271"/>
      <c r="FG243" s="215"/>
      <c r="FH243" s="215"/>
    </row>
    <row r="244" ht="11.25" customHeight="1">
      <c r="A244" s="215" t="str">
        <f t="shared" si="19"/>
        <v/>
      </c>
      <c r="B244" s="241" t="str">
        <f t="shared" si="600"/>
        <v>#N/A</v>
      </c>
      <c r="C244" s="271" t="str">
        <f>IF(A244="","",IF(Calculator!snowball,IF(($E$5-DY244)&lt;0,0,$E$5-DY244),0)+D244)</f>
        <v/>
      </c>
      <c r="D244" s="271"/>
      <c r="E244" s="270">
        <f t="shared" si="40"/>
        <v>0</v>
      </c>
      <c r="F244" s="270">
        <f t="shared" ref="F244:AG244" si="1598">CU244+EB245</f>
        <v>0</v>
      </c>
      <c r="G244" s="270">
        <f t="shared" si="1598"/>
        <v>0</v>
      </c>
      <c r="H244" s="270">
        <f t="shared" si="1598"/>
        <v>0</v>
      </c>
      <c r="I244" s="270">
        <f t="shared" si="1598"/>
        <v>0</v>
      </c>
      <c r="J244" s="270">
        <f t="shared" si="1598"/>
        <v>0</v>
      </c>
      <c r="K244" s="270">
        <f t="shared" si="1598"/>
        <v>0</v>
      </c>
      <c r="L244" s="270">
        <f t="shared" si="1598"/>
        <v>0</v>
      </c>
      <c r="M244" s="270">
        <f t="shared" si="1598"/>
        <v>0</v>
      </c>
      <c r="N244" s="270">
        <f t="shared" si="1598"/>
        <v>0</v>
      </c>
      <c r="O244" s="270">
        <f t="shared" si="1598"/>
        <v>0</v>
      </c>
      <c r="P244" s="272">
        <f t="shared" si="1598"/>
        <v>0</v>
      </c>
      <c r="Q244" s="272">
        <f t="shared" si="1598"/>
        <v>0</v>
      </c>
      <c r="R244" s="272">
        <f t="shared" si="1598"/>
        <v>0</v>
      </c>
      <c r="S244" s="272">
        <f t="shared" si="1598"/>
        <v>0</v>
      </c>
      <c r="T244" s="272">
        <f t="shared" si="1598"/>
        <v>0</v>
      </c>
      <c r="U244" s="270">
        <f t="shared" si="1598"/>
        <v>0</v>
      </c>
      <c r="V244" s="270">
        <f t="shared" si="1598"/>
        <v>0</v>
      </c>
      <c r="W244" s="270">
        <f t="shared" si="1598"/>
        <v>0</v>
      </c>
      <c r="X244" s="270">
        <f t="shared" si="1598"/>
        <v>0</v>
      </c>
      <c r="Y244" s="270">
        <f t="shared" si="1598"/>
        <v>0</v>
      </c>
      <c r="Z244" s="270">
        <f t="shared" si="1598"/>
        <v>0</v>
      </c>
      <c r="AA244" s="270">
        <f t="shared" si="1598"/>
        <v>0</v>
      </c>
      <c r="AB244" s="270">
        <f t="shared" si="1598"/>
        <v>0</v>
      </c>
      <c r="AC244" s="270">
        <f t="shared" si="1598"/>
        <v>0</v>
      </c>
      <c r="AD244" s="270">
        <f t="shared" si="1598"/>
        <v>0</v>
      </c>
      <c r="AE244" s="270">
        <f t="shared" si="1598"/>
        <v>0</v>
      </c>
      <c r="AF244" s="270">
        <f t="shared" si="1598"/>
        <v>0</v>
      </c>
      <c r="AG244" s="270">
        <f t="shared" si="1598"/>
        <v>0</v>
      </c>
      <c r="AH244" s="279">
        <f t="shared" si="602"/>
        <v>0</v>
      </c>
      <c r="AI244" s="270">
        <f t="shared" si="43"/>
        <v>0</v>
      </c>
      <c r="AJ244" s="270">
        <f t="shared" ref="AJ244:AO244" si="1599">IF(F$8=0,0,ROUND(AJ243-(F244-BO244),2))</f>
        <v>0</v>
      </c>
      <c r="AK244" s="270">
        <f t="shared" si="1599"/>
        <v>0</v>
      </c>
      <c r="AL244" s="270">
        <f t="shared" si="1599"/>
        <v>0</v>
      </c>
      <c r="AM244" s="270">
        <f t="shared" si="1599"/>
        <v>0</v>
      </c>
      <c r="AN244" s="270">
        <f t="shared" si="1599"/>
        <v>0</v>
      </c>
      <c r="AO244" s="270">
        <f t="shared" si="1599"/>
        <v>0</v>
      </c>
      <c r="AP244" s="270">
        <v>0.0</v>
      </c>
      <c r="AQ244" s="270">
        <f t="shared" ref="AQ244:AS244" si="1600">IF(M$8=0,0,ROUND(AQ243-(M244-BV244),2))</f>
        <v>0</v>
      </c>
      <c r="AR244" s="270">
        <f t="shared" si="1600"/>
        <v>0</v>
      </c>
      <c r="AS244" s="270">
        <f t="shared" si="1600"/>
        <v>0</v>
      </c>
      <c r="AT244" s="270">
        <f t="shared" si="605"/>
        <v>-6.22</v>
      </c>
      <c r="AU244" s="270">
        <f t="shared" ref="AU244:BK244" si="1601">IF(Q$8=0,0,ROUND(AU243-(Q244-BY244),2))</f>
        <v>-15.23</v>
      </c>
      <c r="AV244" s="270">
        <f t="shared" si="1601"/>
        <v>0</v>
      </c>
      <c r="AW244" s="270">
        <f t="shared" si="1601"/>
        <v>0</v>
      </c>
      <c r="AX244" s="270">
        <f t="shared" si="1601"/>
        <v>0</v>
      </c>
      <c r="AY244" s="270">
        <f t="shared" si="1601"/>
        <v>0</v>
      </c>
      <c r="AZ244" s="270">
        <f t="shared" si="1601"/>
        <v>0</v>
      </c>
      <c r="BA244" s="270">
        <f t="shared" si="1601"/>
        <v>0</v>
      </c>
      <c r="BB244" s="270">
        <f t="shared" si="1601"/>
        <v>0</v>
      </c>
      <c r="BC244" s="270">
        <f t="shared" si="1601"/>
        <v>0</v>
      </c>
      <c r="BD244" s="270">
        <f t="shared" si="1601"/>
        <v>0</v>
      </c>
      <c r="BE244" s="270">
        <f t="shared" si="1601"/>
        <v>0</v>
      </c>
      <c r="BF244" s="270">
        <f t="shared" si="1601"/>
        <v>0</v>
      </c>
      <c r="BG244" s="270">
        <f t="shared" si="1601"/>
        <v>0</v>
      </c>
      <c r="BH244" s="270">
        <f t="shared" si="1601"/>
        <v>0</v>
      </c>
      <c r="BI244" s="270">
        <f t="shared" si="1601"/>
        <v>0</v>
      </c>
      <c r="BJ244" s="270">
        <f t="shared" si="1601"/>
        <v>0</v>
      </c>
      <c r="BK244" s="270">
        <f t="shared" si="1601"/>
        <v>0</v>
      </c>
      <c r="BL244" s="265">
        <f t="shared" si="16"/>
        <v>-21.45</v>
      </c>
      <c r="BM244" s="215"/>
      <c r="BN244" s="270">
        <f t="shared" ref="BN244:CP244" si="1602">ROUND(AI243*E$9/12,2)</f>
        <v>0</v>
      </c>
      <c r="BO244" s="270">
        <f t="shared" si="1602"/>
        <v>0</v>
      </c>
      <c r="BP244" s="270">
        <f t="shared" si="1602"/>
        <v>0</v>
      </c>
      <c r="BQ244" s="270">
        <f t="shared" si="1602"/>
        <v>0</v>
      </c>
      <c r="BR244" s="270">
        <f t="shared" si="1602"/>
        <v>0</v>
      </c>
      <c r="BS244" s="270">
        <f t="shared" si="1602"/>
        <v>0</v>
      </c>
      <c r="BT244" s="270">
        <f t="shared" si="1602"/>
        <v>0</v>
      </c>
      <c r="BU244" s="270">
        <f t="shared" si="1602"/>
        <v>0</v>
      </c>
      <c r="BV244" s="270">
        <f t="shared" si="1602"/>
        <v>0</v>
      </c>
      <c r="BW244" s="270">
        <f t="shared" si="1602"/>
        <v>0</v>
      </c>
      <c r="BX244" s="270">
        <f t="shared" si="1602"/>
        <v>0</v>
      </c>
      <c r="BY244" s="270">
        <f t="shared" si="1602"/>
        <v>-0.05</v>
      </c>
      <c r="BZ244" s="270">
        <f t="shared" si="1602"/>
        <v>-0.05</v>
      </c>
      <c r="CA244" s="270">
        <f t="shared" si="1602"/>
        <v>0</v>
      </c>
      <c r="CB244" s="270">
        <f t="shared" si="1602"/>
        <v>0</v>
      </c>
      <c r="CC244" s="270">
        <f t="shared" si="1602"/>
        <v>0</v>
      </c>
      <c r="CD244" s="270">
        <f t="shared" si="1602"/>
        <v>0</v>
      </c>
      <c r="CE244" s="270">
        <f t="shared" si="1602"/>
        <v>0</v>
      </c>
      <c r="CF244" s="270">
        <f t="shared" si="1602"/>
        <v>0</v>
      </c>
      <c r="CG244" s="270">
        <f t="shared" si="1602"/>
        <v>0</v>
      </c>
      <c r="CH244" s="270">
        <f t="shared" si="1602"/>
        <v>0</v>
      </c>
      <c r="CI244" s="270">
        <f t="shared" si="1602"/>
        <v>0</v>
      </c>
      <c r="CJ244" s="270">
        <f t="shared" si="1602"/>
        <v>0</v>
      </c>
      <c r="CK244" s="270">
        <f t="shared" si="1602"/>
        <v>0</v>
      </c>
      <c r="CL244" s="270">
        <f t="shared" si="1602"/>
        <v>0</v>
      </c>
      <c r="CM244" s="270">
        <f t="shared" si="1602"/>
        <v>0</v>
      </c>
      <c r="CN244" s="270">
        <f t="shared" si="1602"/>
        <v>0</v>
      </c>
      <c r="CO244" s="270">
        <f t="shared" si="1602"/>
        <v>0</v>
      </c>
      <c r="CP244" s="270">
        <f t="shared" si="1602"/>
        <v>0</v>
      </c>
      <c r="CQ244" s="215"/>
      <c r="CR244" s="270">
        <f t="shared" si="27"/>
        <v>-0.1</v>
      </c>
      <c r="CS244" s="215"/>
      <c r="CT244" s="270">
        <f t="shared" ref="CT244:DX244" si="1603">IF(AI243&gt;0,IF((AI243+BN244)&lt;E$10,AI243+BN244,E$10),0)</f>
        <v>0</v>
      </c>
      <c r="CU244" s="270">
        <f t="shared" si="1603"/>
        <v>0</v>
      </c>
      <c r="CV244" s="270">
        <f t="shared" si="1603"/>
        <v>0</v>
      </c>
      <c r="CW244" s="270">
        <f t="shared" si="1603"/>
        <v>0</v>
      </c>
      <c r="CX244" s="270">
        <f t="shared" si="1603"/>
        <v>0</v>
      </c>
      <c r="CY244" s="270">
        <f t="shared" si="1603"/>
        <v>0</v>
      </c>
      <c r="CZ244" s="270">
        <f t="shared" si="1603"/>
        <v>0</v>
      </c>
      <c r="DA244" s="270">
        <f t="shared" si="1603"/>
        <v>0</v>
      </c>
      <c r="DB244" s="270">
        <f t="shared" si="1603"/>
        <v>0</v>
      </c>
      <c r="DC244" s="270">
        <f t="shared" si="1603"/>
        <v>0</v>
      </c>
      <c r="DD244" s="270">
        <f t="shared" si="1603"/>
        <v>0</v>
      </c>
      <c r="DE244" s="270">
        <f t="shared" si="1603"/>
        <v>0</v>
      </c>
      <c r="DF244" s="270">
        <f t="shared" si="1603"/>
        <v>0</v>
      </c>
      <c r="DG244" s="270">
        <f t="shared" si="1603"/>
        <v>0</v>
      </c>
      <c r="DH244" s="270">
        <f t="shared" si="1603"/>
        <v>0</v>
      </c>
      <c r="DI244" s="270">
        <f t="shared" si="1603"/>
        <v>0</v>
      </c>
      <c r="DJ244" s="270">
        <f t="shared" si="1603"/>
        <v>0</v>
      </c>
      <c r="DK244" s="270">
        <f t="shared" si="1603"/>
        <v>0</v>
      </c>
      <c r="DL244" s="270">
        <f t="shared" si="1603"/>
        <v>0</v>
      </c>
      <c r="DM244" s="270">
        <f t="shared" si="1603"/>
        <v>0</v>
      </c>
      <c r="DN244" s="270">
        <f t="shared" si="1603"/>
        <v>0</v>
      </c>
      <c r="DO244" s="270">
        <f t="shared" si="1603"/>
        <v>0</v>
      </c>
      <c r="DP244" s="270">
        <f t="shared" si="1603"/>
        <v>0</v>
      </c>
      <c r="DQ244" s="270">
        <f t="shared" si="1603"/>
        <v>0</v>
      </c>
      <c r="DR244" s="270">
        <f t="shared" si="1603"/>
        <v>0</v>
      </c>
      <c r="DS244" s="270">
        <f t="shared" si="1603"/>
        <v>0</v>
      </c>
      <c r="DT244" s="270">
        <f t="shared" si="1603"/>
        <v>0</v>
      </c>
      <c r="DU244" s="270">
        <f t="shared" si="1603"/>
        <v>0</v>
      </c>
      <c r="DV244" s="270">
        <f t="shared" si="1603"/>
        <v>0</v>
      </c>
      <c r="DW244" s="270">
        <f t="shared" si="1603"/>
        <v>0</v>
      </c>
      <c r="DX244" s="270">
        <f t="shared" si="1603"/>
        <v>0</v>
      </c>
      <c r="DY244" s="270">
        <f t="shared" si="29"/>
        <v>0</v>
      </c>
      <c r="DZ244" s="274"/>
      <c r="EA244" s="275">
        <f t="shared" si="38"/>
        <v>0</v>
      </c>
      <c r="EB244" s="270">
        <f t="shared" ref="EB244:FC244" si="1604">IF(AJ242&lt;=0,0,IF($C243&lt;=SUM($EA244:EA244),0,IF(CU243+$C243-SUM($EA244:EA244)&gt;AJ242+BO243,AJ242+BO243-CU243,$C243-SUM($EA244:EA244))))</f>
        <v>0</v>
      </c>
      <c r="EC244" s="270">
        <f t="shared" si="1604"/>
        <v>0</v>
      </c>
      <c r="ED244" s="270">
        <f t="shared" si="1604"/>
        <v>0</v>
      </c>
      <c r="EE244" s="270">
        <f t="shared" si="1604"/>
        <v>0</v>
      </c>
      <c r="EF244" s="270">
        <f t="shared" si="1604"/>
        <v>0</v>
      </c>
      <c r="EG244" s="270">
        <f t="shared" si="1604"/>
        <v>0</v>
      </c>
      <c r="EH244" s="270">
        <f t="shared" si="1604"/>
        <v>0</v>
      </c>
      <c r="EI244" s="270">
        <f t="shared" si="1604"/>
        <v>0</v>
      </c>
      <c r="EJ244" s="270">
        <f t="shared" si="1604"/>
        <v>0</v>
      </c>
      <c r="EK244" s="270">
        <f t="shared" si="1604"/>
        <v>0</v>
      </c>
      <c r="EL244" s="270">
        <f t="shared" si="1604"/>
        <v>0</v>
      </c>
      <c r="EM244" s="270">
        <f t="shared" si="1604"/>
        <v>0</v>
      </c>
      <c r="EN244" s="270">
        <f t="shared" si="1604"/>
        <v>0</v>
      </c>
      <c r="EO244" s="270">
        <f t="shared" si="1604"/>
        <v>0</v>
      </c>
      <c r="EP244" s="270">
        <f t="shared" si="1604"/>
        <v>0</v>
      </c>
      <c r="EQ244" s="270">
        <f t="shared" si="1604"/>
        <v>0</v>
      </c>
      <c r="ER244" s="270">
        <f t="shared" si="1604"/>
        <v>0</v>
      </c>
      <c r="ES244" s="270">
        <f t="shared" si="1604"/>
        <v>0</v>
      </c>
      <c r="ET244" s="270">
        <f t="shared" si="1604"/>
        <v>0</v>
      </c>
      <c r="EU244" s="270">
        <f t="shared" si="1604"/>
        <v>0</v>
      </c>
      <c r="EV244" s="270">
        <f t="shared" si="1604"/>
        <v>0</v>
      </c>
      <c r="EW244" s="270">
        <f t="shared" si="1604"/>
        <v>0</v>
      </c>
      <c r="EX244" s="270">
        <f t="shared" si="1604"/>
        <v>0</v>
      </c>
      <c r="EY244" s="270">
        <f t="shared" si="1604"/>
        <v>0</v>
      </c>
      <c r="EZ244" s="270">
        <f t="shared" si="1604"/>
        <v>0</v>
      </c>
      <c r="FA244" s="270">
        <f t="shared" si="1604"/>
        <v>0</v>
      </c>
      <c r="FB244" s="270">
        <f t="shared" si="1604"/>
        <v>0</v>
      </c>
      <c r="FC244" s="270">
        <f t="shared" si="1604"/>
        <v>0</v>
      </c>
      <c r="FD244" s="271"/>
      <c r="FE244" s="271"/>
      <c r="FF244" s="271"/>
      <c r="FG244" s="215"/>
      <c r="FH244" s="215"/>
    </row>
    <row r="245" ht="11.25" customHeight="1">
      <c r="A245" s="215" t="str">
        <f t="shared" si="19"/>
        <v/>
      </c>
      <c r="B245" s="241" t="str">
        <f t="shared" si="600"/>
        <v>#N/A</v>
      </c>
      <c r="C245" s="271" t="str">
        <f>IF(A245="","",IF(Calculator!snowball,IF(($E$5-DY245)&lt;0,0,$E$5-DY245),0)+D245)</f>
        <v/>
      </c>
      <c r="D245" s="271"/>
      <c r="E245" s="270">
        <f t="shared" si="40"/>
        <v>0</v>
      </c>
      <c r="F245" s="270">
        <f t="shared" ref="F245:AG245" si="1605">CU245+EB246</f>
        <v>0</v>
      </c>
      <c r="G245" s="270">
        <f t="shared" si="1605"/>
        <v>0</v>
      </c>
      <c r="H245" s="270">
        <f t="shared" si="1605"/>
        <v>0</v>
      </c>
      <c r="I245" s="270">
        <f t="shared" si="1605"/>
        <v>0</v>
      </c>
      <c r="J245" s="270">
        <f t="shared" si="1605"/>
        <v>0</v>
      </c>
      <c r="K245" s="270">
        <f t="shared" si="1605"/>
        <v>0</v>
      </c>
      <c r="L245" s="270">
        <f t="shared" si="1605"/>
        <v>0</v>
      </c>
      <c r="M245" s="270">
        <f t="shared" si="1605"/>
        <v>0</v>
      </c>
      <c r="N245" s="270">
        <f t="shared" si="1605"/>
        <v>0</v>
      </c>
      <c r="O245" s="270">
        <f t="shared" si="1605"/>
        <v>0</v>
      </c>
      <c r="P245" s="272">
        <f t="shared" si="1605"/>
        <v>0</v>
      </c>
      <c r="Q245" s="272">
        <f t="shared" si="1605"/>
        <v>0</v>
      </c>
      <c r="R245" s="272">
        <f t="shared" si="1605"/>
        <v>0</v>
      </c>
      <c r="S245" s="272">
        <f t="shared" si="1605"/>
        <v>0</v>
      </c>
      <c r="T245" s="272">
        <f t="shared" si="1605"/>
        <v>0</v>
      </c>
      <c r="U245" s="270">
        <f t="shared" si="1605"/>
        <v>0</v>
      </c>
      <c r="V245" s="270">
        <f t="shared" si="1605"/>
        <v>0</v>
      </c>
      <c r="W245" s="270">
        <f t="shared" si="1605"/>
        <v>0</v>
      </c>
      <c r="X245" s="270">
        <f t="shared" si="1605"/>
        <v>0</v>
      </c>
      <c r="Y245" s="270">
        <f t="shared" si="1605"/>
        <v>0</v>
      </c>
      <c r="Z245" s="270">
        <f t="shared" si="1605"/>
        <v>0</v>
      </c>
      <c r="AA245" s="270">
        <f t="shared" si="1605"/>
        <v>0</v>
      </c>
      <c r="AB245" s="270">
        <f t="shared" si="1605"/>
        <v>0</v>
      </c>
      <c r="AC245" s="270">
        <f t="shared" si="1605"/>
        <v>0</v>
      </c>
      <c r="AD245" s="270">
        <f t="shared" si="1605"/>
        <v>0</v>
      </c>
      <c r="AE245" s="270">
        <f t="shared" si="1605"/>
        <v>0</v>
      </c>
      <c r="AF245" s="270">
        <f t="shared" si="1605"/>
        <v>0</v>
      </c>
      <c r="AG245" s="270">
        <f t="shared" si="1605"/>
        <v>0</v>
      </c>
      <c r="AH245" s="279">
        <f t="shared" si="602"/>
        <v>0</v>
      </c>
      <c r="AI245" s="270">
        <f t="shared" si="43"/>
        <v>0</v>
      </c>
      <c r="AJ245" s="270">
        <f t="shared" ref="AJ245:AO245" si="1606">IF(F$8=0,0,ROUND(AJ244-(F245-BO245),2))</f>
        <v>0</v>
      </c>
      <c r="AK245" s="270">
        <f t="shared" si="1606"/>
        <v>0</v>
      </c>
      <c r="AL245" s="270">
        <f t="shared" si="1606"/>
        <v>0</v>
      </c>
      <c r="AM245" s="270">
        <f t="shared" si="1606"/>
        <v>0</v>
      </c>
      <c r="AN245" s="270">
        <f t="shared" si="1606"/>
        <v>0</v>
      </c>
      <c r="AO245" s="270">
        <f t="shared" si="1606"/>
        <v>0</v>
      </c>
      <c r="AP245" s="270">
        <v>0.0</v>
      </c>
      <c r="AQ245" s="270">
        <f t="shared" ref="AQ245:AS245" si="1607">IF(M$8=0,0,ROUND(AQ244-(M245-BV245),2))</f>
        <v>0</v>
      </c>
      <c r="AR245" s="270">
        <f t="shared" si="1607"/>
        <v>0</v>
      </c>
      <c r="AS245" s="270">
        <f t="shared" si="1607"/>
        <v>0</v>
      </c>
      <c r="AT245" s="270">
        <f t="shared" si="605"/>
        <v>-6.22</v>
      </c>
      <c r="AU245" s="270">
        <f t="shared" ref="AU245:BK245" si="1608">IF(Q$8=0,0,ROUND(AU244-(Q245-BY245),2))</f>
        <v>-15.28</v>
      </c>
      <c r="AV245" s="270">
        <f t="shared" si="1608"/>
        <v>0</v>
      </c>
      <c r="AW245" s="270">
        <f t="shared" si="1608"/>
        <v>0</v>
      </c>
      <c r="AX245" s="270">
        <f t="shared" si="1608"/>
        <v>0</v>
      </c>
      <c r="AY245" s="270">
        <f t="shared" si="1608"/>
        <v>0</v>
      </c>
      <c r="AZ245" s="270">
        <f t="shared" si="1608"/>
        <v>0</v>
      </c>
      <c r="BA245" s="270">
        <f t="shared" si="1608"/>
        <v>0</v>
      </c>
      <c r="BB245" s="270">
        <f t="shared" si="1608"/>
        <v>0</v>
      </c>
      <c r="BC245" s="270">
        <f t="shared" si="1608"/>
        <v>0</v>
      </c>
      <c r="BD245" s="270">
        <f t="shared" si="1608"/>
        <v>0</v>
      </c>
      <c r="BE245" s="270">
        <f t="shared" si="1608"/>
        <v>0</v>
      </c>
      <c r="BF245" s="270">
        <f t="shared" si="1608"/>
        <v>0</v>
      </c>
      <c r="BG245" s="270">
        <f t="shared" si="1608"/>
        <v>0</v>
      </c>
      <c r="BH245" s="270">
        <f t="shared" si="1608"/>
        <v>0</v>
      </c>
      <c r="BI245" s="270">
        <f t="shared" si="1608"/>
        <v>0</v>
      </c>
      <c r="BJ245" s="270">
        <f t="shared" si="1608"/>
        <v>0</v>
      </c>
      <c r="BK245" s="270">
        <f t="shared" si="1608"/>
        <v>0</v>
      </c>
      <c r="BL245" s="265">
        <f t="shared" si="16"/>
        <v>-21.5</v>
      </c>
      <c r="BM245" s="215"/>
      <c r="BN245" s="270">
        <f t="shared" ref="BN245:CP245" si="1609">ROUND(AI244*E$9/12,2)</f>
        <v>0</v>
      </c>
      <c r="BO245" s="270">
        <f t="shared" si="1609"/>
        <v>0</v>
      </c>
      <c r="BP245" s="270">
        <f t="shared" si="1609"/>
        <v>0</v>
      </c>
      <c r="BQ245" s="270">
        <f t="shared" si="1609"/>
        <v>0</v>
      </c>
      <c r="BR245" s="270">
        <f t="shared" si="1609"/>
        <v>0</v>
      </c>
      <c r="BS245" s="270">
        <f t="shared" si="1609"/>
        <v>0</v>
      </c>
      <c r="BT245" s="270">
        <f t="shared" si="1609"/>
        <v>0</v>
      </c>
      <c r="BU245" s="270">
        <f t="shared" si="1609"/>
        <v>0</v>
      </c>
      <c r="BV245" s="270">
        <f t="shared" si="1609"/>
        <v>0</v>
      </c>
      <c r="BW245" s="270">
        <f t="shared" si="1609"/>
        <v>0</v>
      </c>
      <c r="BX245" s="270">
        <f t="shared" si="1609"/>
        <v>0</v>
      </c>
      <c r="BY245" s="270">
        <f t="shared" si="1609"/>
        <v>-0.05</v>
      </c>
      <c r="BZ245" s="270">
        <f t="shared" si="1609"/>
        <v>-0.05</v>
      </c>
      <c r="CA245" s="270">
        <f t="shared" si="1609"/>
        <v>0</v>
      </c>
      <c r="CB245" s="270">
        <f t="shared" si="1609"/>
        <v>0</v>
      </c>
      <c r="CC245" s="270">
        <f t="shared" si="1609"/>
        <v>0</v>
      </c>
      <c r="CD245" s="270">
        <f t="shared" si="1609"/>
        <v>0</v>
      </c>
      <c r="CE245" s="270">
        <f t="shared" si="1609"/>
        <v>0</v>
      </c>
      <c r="CF245" s="270">
        <f t="shared" si="1609"/>
        <v>0</v>
      </c>
      <c r="CG245" s="270">
        <f t="shared" si="1609"/>
        <v>0</v>
      </c>
      <c r="CH245" s="270">
        <f t="shared" si="1609"/>
        <v>0</v>
      </c>
      <c r="CI245" s="270">
        <f t="shared" si="1609"/>
        <v>0</v>
      </c>
      <c r="CJ245" s="270">
        <f t="shared" si="1609"/>
        <v>0</v>
      </c>
      <c r="CK245" s="270">
        <f t="shared" si="1609"/>
        <v>0</v>
      </c>
      <c r="CL245" s="270">
        <f t="shared" si="1609"/>
        <v>0</v>
      </c>
      <c r="CM245" s="270">
        <f t="shared" si="1609"/>
        <v>0</v>
      </c>
      <c r="CN245" s="270">
        <f t="shared" si="1609"/>
        <v>0</v>
      </c>
      <c r="CO245" s="270">
        <f t="shared" si="1609"/>
        <v>0</v>
      </c>
      <c r="CP245" s="270">
        <f t="shared" si="1609"/>
        <v>0</v>
      </c>
      <c r="CQ245" s="215"/>
      <c r="CR245" s="270">
        <f t="shared" si="27"/>
        <v>-0.1</v>
      </c>
      <c r="CS245" s="215"/>
      <c r="CT245" s="270">
        <f t="shared" ref="CT245:DX245" si="1610">IF(AI244&gt;0,IF((AI244+BN245)&lt;E$10,AI244+BN245,E$10),0)</f>
        <v>0</v>
      </c>
      <c r="CU245" s="270">
        <f t="shared" si="1610"/>
        <v>0</v>
      </c>
      <c r="CV245" s="270">
        <f t="shared" si="1610"/>
        <v>0</v>
      </c>
      <c r="CW245" s="270">
        <f t="shared" si="1610"/>
        <v>0</v>
      </c>
      <c r="CX245" s="270">
        <f t="shared" si="1610"/>
        <v>0</v>
      </c>
      <c r="CY245" s="270">
        <f t="shared" si="1610"/>
        <v>0</v>
      </c>
      <c r="CZ245" s="270">
        <f t="shared" si="1610"/>
        <v>0</v>
      </c>
      <c r="DA245" s="270">
        <f t="shared" si="1610"/>
        <v>0</v>
      </c>
      <c r="DB245" s="270">
        <f t="shared" si="1610"/>
        <v>0</v>
      </c>
      <c r="DC245" s="270">
        <f t="shared" si="1610"/>
        <v>0</v>
      </c>
      <c r="DD245" s="270">
        <f t="shared" si="1610"/>
        <v>0</v>
      </c>
      <c r="DE245" s="270">
        <f t="shared" si="1610"/>
        <v>0</v>
      </c>
      <c r="DF245" s="270">
        <f t="shared" si="1610"/>
        <v>0</v>
      </c>
      <c r="DG245" s="270">
        <f t="shared" si="1610"/>
        <v>0</v>
      </c>
      <c r="DH245" s="270">
        <f t="shared" si="1610"/>
        <v>0</v>
      </c>
      <c r="DI245" s="270">
        <f t="shared" si="1610"/>
        <v>0</v>
      </c>
      <c r="DJ245" s="270">
        <f t="shared" si="1610"/>
        <v>0</v>
      </c>
      <c r="DK245" s="270">
        <f t="shared" si="1610"/>
        <v>0</v>
      </c>
      <c r="DL245" s="270">
        <f t="shared" si="1610"/>
        <v>0</v>
      </c>
      <c r="DM245" s="270">
        <f t="shared" si="1610"/>
        <v>0</v>
      </c>
      <c r="DN245" s="270">
        <f t="shared" si="1610"/>
        <v>0</v>
      </c>
      <c r="DO245" s="270">
        <f t="shared" si="1610"/>
        <v>0</v>
      </c>
      <c r="DP245" s="270">
        <f t="shared" si="1610"/>
        <v>0</v>
      </c>
      <c r="DQ245" s="270">
        <f t="shared" si="1610"/>
        <v>0</v>
      </c>
      <c r="DR245" s="270">
        <f t="shared" si="1610"/>
        <v>0</v>
      </c>
      <c r="DS245" s="270">
        <f t="shared" si="1610"/>
        <v>0</v>
      </c>
      <c r="DT245" s="270">
        <f t="shared" si="1610"/>
        <v>0</v>
      </c>
      <c r="DU245" s="270">
        <f t="shared" si="1610"/>
        <v>0</v>
      </c>
      <c r="DV245" s="270">
        <f t="shared" si="1610"/>
        <v>0</v>
      </c>
      <c r="DW245" s="270">
        <f t="shared" si="1610"/>
        <v>0</v>
      </c>
      <c r="DX245" s="270">
        <f t="shared" si="1610"/>
        <v>0</v>
      </c>
      <c r="DY245" s="270">
        <f t="shared" si="29"/>
        <v>0</v>
      </c>
      <c r="DZ245" s="274"/>
      <c r="EA245" s="275">
        <f t="shared" si="38"/>
        <v>0</v>
      </c>
      <c r="EB245" s="270">
        <f t="shared" ref="EB245:FC245" si="1611">IF(AJ243&lt;=0,0,IF($C244&lt;=SUM($EA245:EA245),0,IF(CU244+$C244-SUM($EA245:EA245)&gt;AJ243+BO244,AJ243+BO244-CU244,$C244-SUM($EA245:EA245))))</f>
        <v>0</v>
      </c>
      <c r="EC245" s="270">
        <f t="shared" si="1611"/>
        <v>0</v>
      </c>
      <c r="ED245" s="270">
        <f t="shared" si="1611"/>
        <v>0</v>
      </c>
      <c r="EE245" s="270">
        <f t="shared" si="1611"/>
        <v>0</v>
      </c>
      <c r="EF245" s="270">
        <f t="shared" si="1611"/>
        <v>0</v>
      </c>
      <c r="EG245" s="270">
        <f t="shared" si="1611"/>
        <v>0</v>
      </c>
      <c r="EH245" s="270">
        <f t="shared" si="1611"/>
        <v>0</v>
      </c>
      <c r="EI245" s="270">
        <f t="shared" si="1611"/>
        <v>0</v>
      </c>
      <c r="EJ245" s="270">
        <f t="shared" si="1611"/>
        <v>0</v>
      </c>
      <c r="EK245" s="270">
        <f t="shared" si="1611"/>
        <v>0</v>
      </c>
      <c r="EL245" s="270">
        <f t="shared" si="1611"/>
        <v>0</v>
      </c>
      <c r="EM245" s="270">
        <f t="shared" si="1611"/>
        <v>0</v>
      </c>
      <c r="EN245" s="270">
        <f t="shared" si="1611"/>
        <v>0</v>
      </c>
      <c r="EO245" s="270">
        <f t="shared" si="1611"/>
        <v>0</v>
      </c>
      <c r="EP245" s="270">
        <f t="shared" si="1611"/>
        <v>0</v>
      </c>
      <c r="EQ245" s="270">
        <f t="shared" si="1611"/>
        <v>0</v>
      </c>
      <c r="ER245" s="270">
        <f t="shared" si="1611"/>
        <v>0</v>
      </c>
      <c r="ES245" s="270">
        <f t="shared" si="1611"/>
        <v>0</v>
      </c>
      <c r="ET245" s="270">
        <f t="shared" si="1611"/>
        <v>0</v>
      </c>
      <c r="EU245" s="270">
        <f t="shared" si="1611"/>
        <v>0</v>
      </c>
      <c r="EV245" s="270">
        <f t="shared" si="1611"/>
        <v>0</v>
      </c>
      <c r="EW245" s="270">
        <f t="shared" si="1611"/>
        <v>0</v>
      </c>
      <c r="EX245" s="270">
        <f t="shared" si="1611"/>
        <v>0</v>
      </c>
      <c r="EY245" s="270">
        <f t="shared" si="1611"/>
        <v>0</v>
      </c>
      <c r="EZ245" s="270">
        <f t="shared" si="1611"/>
        <v>0</v>
      </c>
      <c r="FA245" s="270">
        <f t="shared" si="1611"/>
        <v>0</v>
      </c>
      <c r="FB245" s="270">
        <f t="shared" si="1611"/>
        <v>0</v>
      </c>
      <c r="FC245" s="270">
        <f t="shared" si="1611"/>
        <v>0</v>
      </c>
      <c r="FD245" s="271"/>
      <c r="FE245" s="271"/>
      <c r="FF245" s="271"/>
      <c r="FG245" s="215"/>
      <c r="FH245" s="215"/>
    </row>
    <row r="246" ht="11.25" customHeight="1">
      <c r="A246" s="215" t="str">
        <f t="shared" si="19"/>
        <v/>
      </c>
      <c r="B246" s="241" t="str">
        <f t="shared" si="600"/>
        <v>#N/A</v>
      </c>
      <c r="C246" s="271" t="str">
        <f>IF(A246="","",IF(Calculator!snowball,IF(($E$5-DY246)&lt;0,0,$E$5-DY246),0)+D246)</f>
        <v/>
      </c>
      <c r="D246" s="271"/>
      <c r="E246" s="270">
        <f t="shared" si="40"/>
        <v>0</v>
      </c>
      <c r="F246" s="270">
        <f t="shared" ref="F246:AG246" si="1612">CU246+EB247</f>
        <v>0</v>
      </c>
      <c r="G246" s="270">
        <f t="shared" si="1612"/>
        <v>0</v>
      </c>
      <c r="H246" s="270">
        <f t="shared" si="1612"/>
        <v>0</v>
      </c>
      <c r="I246" s="270">
        <f t="shared" si="1612"/>
        <v>0</v>
      </c>
      <c r="J246" s="270">
        <f t="shared" si="1612"/>
        <v>0</v>
      </c>
      <c r="K246" s="270">
        <f t="shared" si="1612"/>
        <v>0</v>
      </c>
      <c r="L246" s="270">
        <f t="shared" si="1612"/>
        <v>0</v>
      </c>
      <c r="M246" s="270">
        <f t="shared" si="1612"/>
        <v>0</v>
      </c>
      <c r="N246" s="270">
        <f t="shared" si="1612"/>
        <v>0</v>
      </c>
      <c r="O246" s="270">
        <f t="shared" si="1612"/>
        <v>0</v>
      </c>
      <c r="P246" s="272">
        <f t="shared" si="1612"/>
        <v>0</v>
      </c>
      <c r="Q246" s="272">
        <f t="shared" si="1612"/>
        <v>0</v>
      </c>
      <c r="R246" s="272">
        <f t="shared" si="1612"/>
        <v>0</v>
      </c>
      <c r="S246" s="272">
        <f t="shared" si="1612"/>
        <v>0</v>
      </c>
      <c r="T246" s="272">
        <f t="shared" si="1612"/>
        <v>0</v>
      </c>
      <c r="U246" s="270">
        <f t="shared" si="1612"/>
        <v>0</v>
      </c>
      <c r="V246" s="270">
        <f t="shared" si="1612"/>
        <v>0</v>
      </c>
      <c r="W246" s="270">
        <f t="shared" si="1612"/>
        <v>0</v>
      </c>
      <c r="X246" s="270">
        <f t="shared" si="1612"/>
        <v>0</v>
      </c>
      <c r="Y246" s="270">
        <f t="shared" si="1612"/>
        <v>0</v>
      </c>
      <c r="Z246" s="270">
        <f t="shared" si="1612"/>
        <v>0</v>
      </c>
      <c r="AA246" s="270">
        <f t="shared" si="1612"/>
        <v>0</v>
      </c>
      <c r="AB246" s="270">
        <f t="shared" si="1612"/>
        <v>0</v>
      </c>
      <c r="AC246" s="270">
        <f t="shared" si="1612"/>
        <v>0</v>
      </c>
      <c r="AD246" s="270">
        <f t="shared" si="1612"/>
        <v>0</v>
      </c>
      <c r="AE246" s="270">
        <f t="shared" si="1612"/>
        <v>0</v>
      </c>
      <c r="AF246" s="270">
        <f t="shared" si="1612"/>
        <v>0</v>
      </c>
      <c r="AG246" s="270">
        <f t="shared" si="1612"/>
        <v>0</v>
      </c>
      <c r="AH246" s="279">
        <f t="shared" si="602"/>
        <v>0</v>
      </c>
      <c r="AI246" s="270">
        <f t="shared" si="43"/>
        <v>0</v>
      </c>
      <c r="AJ246" s="270">
        <f t="shared" ref="AJ246:AO246" si="1613">IF(F$8=0,0,ROUND(AJ245-(F246-BO246),2))</f>
        <v>0</v>
      </c>
      <c r="AK246" s="270">
        <f t="shared" si="1613"/>
        <v>0</v>
      </c>
      <c r="AL246" s="270">
        <f t="shared" si="1613"/>
        <v>0</v>
      </c>
      <c r="AM246" s="270">
        <f t="shared" si="1613"/>
        <v>0</v>
      </c>
      <c r="AN246" s="270">
        <f t="shared" si="1613"/>
        <v>0</v>
      </c>
      <c r="AO246" s="270">
        <f t="shared" si="1613"/>
        <v>0</v>
      </c>
      <c r="AP246" s="270">
        <v>0.0</v>
      </c>
      <c r="AQ246" s="270">
        <f t="shared" ref="AQ246:AS246" si="1614">IF(M$8=0,0,ROUND(AQ245-(M246-BV246),2))</f>
        <v>0</v>
      </c>
      <c r="AR246" s="270">
        <f t="shared" si="1614"/>
        <v>0</v>
      </c>
      <c r="AS246" s="270">
        <f t="shared" si="1614"/>
        <v>0</v>
      </c>
      <c r="AT246" s="270">
        <f t="shared" si="605"/>
        <v>-6.22</v>
      </c>
      <c r="AU246" s="270">
        <f t="shared" ref="AU246:BK246" si="1615">IF(Q$8=0,0,ROUND(AU245-(Q246-BY246),2))</f>
        <v>-15.33</v>
      </c>
      <c r="AV246" s="270">
        <f t="shared" si="1615"/>
        <v>0</v>
      </c>
      <c r="AW246" s="270">
        <f t="shared" si="1615"/>
        <v>0</v>
      </c>
      <c r="AX246" s="270">
        <f t="shared" si="1615"/>
        <v>0</v>
      </c>
      <c r="AY246" s="270">
        <f t="shared" si="1615"/>
        <v>0</v>
      </c>
      <c r="AZ246" s="270">
        <f t="shared" si="1615"/>
        <v>0</v>
      </c>
      <c r="BA246" s="270">
        <f t="shared" si="1615"/>
        <v>0</v>
      </c>
      <c r="BB246" s="270">
        <f t="shared" si="1615"/>
        <v>0</v>
      </c>
      <c r="BC246" s="270">
        <f t="shared" si="1615"/>
        <v>0</v>
      </c>
      <c r="BD246" s="270">
        <f t="shared" si="1615"/>
        <v>0</v>
      </c>
      <c r="BE246" s="270">
        <f t="shared" si="1615"/>
        <v>0</v>
      </c>
      <c r="BF246" s="270">
        <f t="shared" si="1615"/>
        <v>0</v>
      </c>
      <c r="BG246" s="270">
        <f t="shared" si="1615"/>
        <v>0</v>
      </c>
      <c r="BH246" s="270">
        <f t="shared" si="1615"/>
        <v>0</v>
      </c>
      <c r="BI246" s="270">
        <f t="shared" si="1615"/>
        <v>0</v>
      </c>
      <c r="BJ246" s="270">
        <f t="shared" si="1615"/>
        <v>0</v>
      </c>
      <c r="BK246" s="270">
        <f t="shared" si="1615"/>
        <v>0</v>
      </c>
      <c r="BL246" s="265">
        <f t="shared" si="16"/>
        <v>-21.55</v>
      </c>
      <c r="BM246" s="215"/>
      <c r="BN246" s="270">
        <f t="shared" ref="BN246:CP246" si="1616">ROUND(AI245*E$9/12,2)</f>
        <v>0</v>
      </c>
      <c r="BO246" s="270">
        <f t="shared" si="1616"/>
        <v>0</v>
      </c>
      <c r="BP246" s="270">
        <f t="shared" si="1616"/>
        <v>0</v>
      </c>
      <c r="BQ246" s="270">
        <f t="shared" si="1616"/>
        <v>0</v>
      </c>
      <c r="BR246" s="270">
        <f t="shared" si="1616"/>
        <v>0</v>
      </c>
      <c r="BS246" s="270">
        <f t="shared" si="1616"/>
        <v>0</v>
      </c>
      <c r="BT246" s="270">
        <f t="shared" si="1616"/>
        <v>0</v>
      </c>
      <c r="BU246" s="270">
        <f t="shared" si="1616"/>
        <v>0</v>
      </c>
      <c r="BV246" s="270">
        <f t="shared" si="1616"/>
        <v>0</v>
      </c>
      <c r="BW246" s="270">
        <f t="shared" si="1616"/>
        <v>0</v>
      </c>
      <c r="BX246" s="270">
        <f t="shared" si="1616"/>
        <v>0</v>
      </c>
      <c r="BY246" s="270">
        <f t="shared" si="1616"/>
        <v>-0.05</v>
      </c>
      <c r="BZ246" s="270">
        <f t="shared" si="1616"/>
        <v>-0.05</v>
      </c>
      <c r="CA246" s="270">
        <f t="shared" si="1616"/>
        <v>0</v>
      </c>
      <c r="CB246" s="270">
        <f t="shared" si="1616"/>
        <v>0</v>
      </c>
      <c r="CC246" s="270">
        <f t="shared" si="1616"/>
        <v>0</v>
      </c>
      <c r="CD246" s="270">
        <f t="shared" si="1616"/>
        <v>0</v>
      </c>
      <c r="CE246" s="270">
        <f t="shared" si="1616"/>
        <v>0</v>
      </c>
      <c r="CF246" s="270">
        <f t="shared" si="1616"/>
        <v>0</v>
      </c>
      <c r="CG246" s="270">
        <f t="shared" si="1616"/>
        <v>0</v>
      </c>
      <c r="CH246" s="270">
        <f t="shared" si="1616"/>
        <v>0</v>
      </c>
      <c r="CI246" s="270">
        <f t="shared" si="1616"/>
        <v>0</v>
      </c>
      <c r="CJ246" s="270">
        <f t="shared" si="1616"/>
        <v>0</v>
      </c>
      <c r="CK246" s="270">
        <f t="shared" si="1616"/>
        <v>0</v>
      </c>
      <c r="CL246" s="270">
        <f t="shared" si="1616"/>
        <v>0</v>
      </c>
      <c r="CM246" s="270">
        <f t="shared" si="1616"/>
        <v>0</v>
      </c>
      <c r="CN246" s="270">
        <f t="shared" si="1616"/>
        <v>0</v>
      </c>
      <c r="CO246" s="270">
        <f t="shared" si="1616"/>
        <v>0</v>
      </c>
      <c r="CP246" s="270">
        <f t="shared" si="1616"/>
        <v>0</v>
      </c>
      <c r="CQ246" s="215"/>
      <c r="CR246" s="270">
        <f t="shared" si="27"/>
        <v>-0.1</v>
      </c>
      <c r="CS246" s="215"/>
      <c r="CT246" s="270">
        <f t="shared" ref="CT246:DX246" si="1617">IF(AI245&gt;0,IF((AI245+BN246)&lt;E$10,AI245+BN246,E$10),0)</f>
        <v>0</v>
      </c>
      <c r="CU246" s="270">
        <f t="shared" si="1617"/>
        <v>0</v>
      </c>
      <c r="CV246" s="270">
        <f t="shared" si="1617"/>
        <v>0</v>
      </c>
      <c r="CW246" s="270">
        <f t="shared" si="1617"/>
        <v>0</v>
      </c>
      <c r="CX246" s="270">
        <f t="shared" si="1617"/>
        <v>0</v>
      </c>
      <c r="CY246" s="270">
        <f t="shared" si="1617"/>
        <v>0</v>
      </c>
      <c r="CZ246" s="270">
        <f t="shared" si="1617"/>
        <v>0</v>
      </c>
      <c r="DA246" s="270">
        <f t="shared" si="1617"/>
        <v>0</v>
      </c>
      <c r="DB246" s="270">
        <f t="shared" si="1617"/>
        <v>0</v>
      </c>
      <c r="DC246" s="270">
        <f t="shared" si="1617"/>
        <v>0</v>
      </c>
      <c r="DD246" s="270">
        <f t="shared" si="1617"/>
        <v>0</v>
      </c>
      <c r="DE246" s="270">
        <f t="shared" si="1617"/>
        <v>0</v>
      </c>
      <c r="DF246" s="270">
        <f t="shared" si="1617"/>
        <v>0</v>
      </c>
      <c r="DG246" s="270">
        <f t="shared" si="1617"/>
        <v>0</v>
      </c>
      <c r="DH246" s="270">
        <f t="shared" si="1617"/>
        <v>0</v>
      </c>
      <c r="DI246" s="270">
        <f t="shared" si="1617"/>
        <v>0</v>
      </c>
      <c r="DJ246" s="270">
        <f t="shared" si="1617"/>
        <v>0</v>
      </c>
      <c r="DK246" s="270">
        <f t="shared" si="1617"/>
        <v>0</v>
      </c>
      <c r="DL246" s="270">
        <f t="shared" si="1617"/>
        <v>0</v>
      </c>
      <c r="DM246" s="270">
        <f t="shared" si="1617"/>
        <v>0</v>
      </c>
      <c r="DN246" s="270">
        <f t="shared" si="1617"/>
        <v>0</v>
      </c>
      <c r="DO246" s="270">
        <f t="shared" si="1617"/>
        <v>0</v>
      </c>
      <c r="DP246" s="270">
        <f t="shared" si="1617"/>
        <v>0</v>
      </c>
      <c r="DQ246" s="270">
        <f t="shared" si="1617"/>
        <v>0</v>
      </c>
      <c r="DR246" s="270">
        <f t="shared" si="1617"/>
        <v>0</v>
      </c>
      <c r="DS246" s="270">
        <f t="shared" si="1617"/>
        <v>0</v>
      </c>
      <c r="DT246" s="270">
        <f t="shared" si="1617"/>
        <v>0</v>
      </c>
      <c r="DU246" s="270">
        <f t="shared" si="1617"/>
        <v>0</v>
      </c>
      <c r="DV246" s="270">
        <f t="shared" si="1617"/>
        <v>0</v>
      </c>
      <c r="DW246" s="270">
        <f t="shared" si="1617"/>
        <v>0</v>
      </c>
      <c r="DX246" s="270">
        <f t="shared" si="1617"/>
        <v>0</v>
      </c>
      <c r="DY246" s="270">
        <f t="shared" si="29"/>
        <v>0</v>
      </c>
      <c r="DZ246" s="274"/>
      <c r="EA246" s="275">
        <f t="shared" si="38"/>
        <v>0</v>
      </c>
      <c r="EB246" s="270">
        <f t="shared" ref="EB246:FC246" si="1618">IF(AJ244&lt;=0,0,IF($C245&lt;=SUM($EA246:EA246),0,IF(CU245+$C245-SUM($EA246:EA246)&gt;AJ244+BO245,AJ244+BO245-CU245,$C245-SUM($EA246:EA246))))</f>
        <v>0</v>
      </c>
      <c r="EC246" s="270">
        <f t="shared" si="1618"/>
        <v>0</v>
      </c>
      <c r="ED246" s="270">
        <f t="shared" si="1618"/>
        <v>0</v>
      </c>
      <c r="EE246" s="270">
        <f t="shared" si="1618"/>
        <v>0</v>
      </c>
      <c r="EF246" s="270">
        <f t="shared" si="1618"/>
        <v>0</v>
      </c>
      <c r="EG246" s="270">
        <f t="shared" si="1618"/>
        <v>0</v>
      </c>
      <c r="EH246" s="270">
        <f t="shared" si="1618"/>
        <v>0</v>
      </c>
      <c r="EI246" s="270">
        <f t="shared" si="1618"/>
        <v>0</v>
      </c>
      <c r="EJ246" s="270">
        <f t="shared" si="1618"/>
        <v>0</v>
      </c>
      <c r="EK246" s="270">
        <f t="shared" si="1618"/>
        <v>0</v>
      </c>
      <c r="EL246" s="270">
        <f t="shared" si="1618"/>
        <v>0</v>
      </c>
      <c r="EM246" s="270">
        <f t="shared" si="1618"/>
        <v>0</v>
      </c>
      <c r="EN246" s="270">
        <f t="shared" si="1618"/>
        <v>0</v>
      </c>
      <c r="EO246" s="270">
        <f t="shared" si="1618"/>
        <v>0</v>
      </c>
      <c r="EP246" s="270">
        <f t="shared" si="1618"/>
        <v>0</v>
      </c>
      <c r="EQ246" s="270">
        <f t="shared" si="1618"/>
        <v>0</v>
      </c>
      <c r="ER246" s="270">
        <f t="shared" si="1618"/>
        <v>0</v>
      </c>
      <c r="ES246" s="270">
        <f t="shared" si="1618"/>
        <v>0</v>
      </c>
      <c r="ET246" s="270">
        <f t="shared" si="1618"/>
        <v>0</v>
      </c>
      <c r="EU246" s="270">
        <f t="shared" si="1618"/>
        <v>0</v>
      </c>
      <c r="EV246" s="270">
        <f t="shared" si="1618"/>
        <v>0</v>
      </c>
      <c r="EW246" s="270">
        <f t="shared" si="1618"/>
        <v>0</v>
      </c>
      <c r="EX246" s="270">
        <f t="shared" si="1618"/>
        <v>0</v>
      </c>
      <c r="EY246" s="270">
        <f t="shared" si="1618"/>
        <v>0</v>
      </c>
      <c r="EZ246" s="270">
        <f t="shared" si="1618"/>
        <v>0</v>
      </c>
      <c r="FA246" s="270">
        <f t="shared" si="1618"/>
        <v>0</v>
      </c>
      <c r="FB246" s="270">
        <f t="shared" si="1618"/>
        <v>0</v>
      </c>
      <c r="FC246" s="270">
        <f t="shared" si="1618"/>
        <v>0</v>
      </c>
      <c r="FD246" s="271"/>
      <c r="FE246" s="271"/>
      <c r="FF246" s="271"/>
      <c r="FG246" s="215"/>
      <c r="FH246" s="215"/>
    </row>
    <row r="247" ht="11.25" customHeight="1">
      <c r="A247" s="215" t="str">
        <f t="shared" si="19"/>
        <v/>
      </c>
      <c r="B247" s="241" t="str">
        <f t="shared" si="600"/>
        <v>#N/A</v>
      </c>
      <c r="C247" s="271" t="str">
        <f>IF(A247="","",IF(Calculator!snowball,IF(($E$5-DY247)&lt;0,0,$E$5-DY247),0)+D247)</f>
        <v/>
      </c>
      <c r="D247" s="271"/>
      <c r="E247" s="270">
        <f t="shared" si="40"/>
        <v>0</v>
      </c>
      <c r="F247" s="270">
        <f t="shared" ref="F247:AG247" si="1619">CU247+EB248</f>
        <v>0</v>
      </c>
      <c r="G247" s="270">
        <f t="shared" si="1619"/>
        <v>0</v>
      </c>
      <c r="H247" s="270">
        <f t="shared" si="1619"/>
        <v>0</v>
      </c>
      <c r="I247" s="270">
        <f t="shared" si="1619"/>
        <v>0</v>
      </c>
      <c r="J247" s="270">
        <f t="shared" si="1619"/>
        <v>0</v>
      </c>
      <c r="K247" s="270">
        <f t="shared" si="1619"/>
        <v>0</v>
      </c>
      <c r="L247" s="270">
        <f t="shared" si="1619"/>
        <v>0</v>
      </c>
      <c r="M247" s="270">
        <f t="shared" si="1619"/>
        <v>0</v>
      </c>
      <c r="N247" s="270">
        <f t="shared" si="1619"/>
        <v>0</v>
      </c>
      <c r="O247" s="270">
        <f t="shared" si="1619"/>
        <v>0</v>
      </c>
      <c r="P247" s="272">
        <f t="shared" si="1619"/>
        <v>0</v>
      </c>
      <c r="Q247" s="272">
        <f t="shared" si="1619"/>
        <v>0</v>
      </c>
      <c r="R247" s="272">
        <f t="shared" si="1619"/>
        <v>0</v>
      </c>
      <c r="S247" s="272">
        <f t="shared" si="1619"/>
        <v>0</v>
      </c>
      <c r="T247" s="272">
        <f t="shared" si="1619"/>
        <v>0</v>
      </c>
      <c r="U247" s="270">
        <f t="shared" si="1619"/>
        <v>0</v>
      </c>
      <c r="V247" s="270">
        <f t="shared" si="1619"/>
        <v>0</v>
      </c>
      <c r="W247" s="270">
        <f t="shared" si="1619"/>
        <v>0</v>
      </c>
      <c r="X247" s="270">
        <f t="shared" si="1619"/>
        <v>0</v>
      </c>
      <c r="Y247" s="270">
        <f t="shared" si="1619"/>
        <v>0</v>
      </c>
      <c r="Z247" s="270">
        <f t="shared" si="1619"/>
        <v>0</v>
      </c>
      <c r="AA247" s="270">
        <f t="shared" si="1619"/>
        <v>0</v>
      </c>
      <c r="AB247" s="270">
        <f t="shared" si="1619"/>
        <v>0</v>
      </c>
      <c r="AC247" s="270">
        <f t="shared" si="1619"/>
        <v>0</v>
      </c>
      <c r="AD247" s="270">
        <f t="shared" si="1619"/>
        <v>0</v>
      </c>
      <c r="AE247" s="270">
        <f t="shared" si="1619"/>
        <v>0</v>
      </c>
      <c r="AF247" s="270">
        <f t="shared" si="1619"/>
        <v>0</v>
      </c>
      <c r="AG247" s="270">
        <f t="shared" si="1619"/>
        <v>0</v>
      </c>
      <c r="AH247" s="279">
        <f t="shared" si="602"/>
        <v>0</v>
      </c>
      <c r="AI247" s="270">
        <f t="shared" si="43"/>
        <v>0</v>
      </c>
      <c r="AJ247" s="270">
        <f t="shared" ref="AJ247:AO247" si="1620">IF(F$8=0,0,ROUND(AJ246-(F247-BO247),2))</f>
        <v>0</v>
      </c>
      <c r="AK247" s="270">
        <f t="shared" si="1620"/>
        <v>0</v>
      </c>
      <c r="AL247" s="270">
        <f t="shared" si="1620"/>
        <v>0</v>
      </c>
      <c r="AM247" s="270">
        <f t="shared" si="1620"/>
        <v>0</v>
      </c>
      <c r="AN247" s="270">
        <f t="shared" si="1620"/>
        <v>0</v>
      </c>
      <c r="AO247" s="270">
        <f t="shared" si="1620"/>
        <v>0</v>
      </c>
      <c r="AP247" s="270">
        <v>0.0</v>
      </c>
      <c r="AQ247" s="270">
        <f t="shared" ref="AQ247:AS247" si="1621">IF(M$8=0,0,ROUND(AQ246-(M247-BV247),2))</f>
        <v>0</v>
      </c>
      <c r="AR247" s="270">
        <f t="shared" si="1621"/>
        <v>0</v>
      </c>
      <c r="AS247" s="270">
        <f t="shared" si="1621"/>
        <v>0</v>
      </c>
      <c r="AT247" s="270">
        <f t="shared" si="605"/>
        <v>-6.22</v>
      </c>
      <c r="AU247" s="270">
        <f t="shared" ref="AU247:BK247" si="1622">IF(Q$8=0,0,ROUND(AU246-(Q247-BY247),2))</f>
        <v>-15.38</v>
      </c>
      <c r="AV247" s="270">
        <f t="shared" si="1622"/>
        <v>0</v>
      </c>
      <c r="AW247" s="270">
        <f t="shared" si="1622"/>
        <v>0</v>
      </c>
      <c r="AX247" s="270">
        <f t="shared" si="1622"/>
        <v>0</v>
      </c>
      <c r="AY247" s="270">
        <f t="shared" si="1622"/>
        <v>0</v>
      </c>
      <c r="AZ247" s="270">
        <f t="shared" si="1622"/>
        <v>0</v>
      </c>
      <c r="BA247" s="270">
        <f t="shared" si="1622"/>
        <v>0</v>
      </c>
      <c r="BB247" s="270">
        <f t="shared" si="1622"/>
        <v>0</v>
      </c>
      <c r="BC247" s="270">
        <f t="shared" si="1622"/>
        <v>0</v>
      </c>
      <c r="BD247" s="270">
        <f t="shared" si="1622"/>
        <v>0</v>
      </c>
      <c r="BE247" s="270">
        <f t="shared" si="1622"/>
        <v>0</v>
      </c>
      <c r="BF247" s="270">
        <f t="shared" si="1622"/>
        <v>0</v>
      </c>
      <c r="BG247" s="270">
        <f t="shared" si="1622"/>
        <v>0</v>
      </c>
      <c r="BH247" s="270">
        <f t="shared" si="1622"/>
        <v>0</v>
      </c>
      <c r="BI247" s="270">
        <f t="shared" si="1622"/>
        <v>0</v>
      </c>
      <c r="BJ247" s="270">
        <f t="shared" si="1622"/>
        <v>0</v>
      </c>
      <c r="BK247" s="270">
        <f t="shared" si="1622"/>
        <v>0</v>
      </c>
      <c r="BL247" s="265">
        <f t="shared" si="16"/>
        <v>-21.6</v>
      </c>
      <c r="BM247" s="215"/>
      <c r="BN247" s="270">
        <f t="shared" ref="BN247:CP247" si="1623">ROUND(AI246*E$9/12,2)</f>
        <v>0</v>
      </c>
      <c r="BO247" s="270">
        <f t="shared" si="1623"/>
        <v>0</v>
      </c>
      <c r="BP247" s="270">
        <f t="shared" si="1623"/>
        <v>0</v>
      </c>
      <c r="BQ247" s="270">
        <f t="shared" si="1623"/>
        <v>0</v>
      </c>
      <c r="BR247" s="270">
        <f t="shared" si="1623"/>
        <v>0</v>
      </c>
      <c r="BS247" s="270">
        <f t="shared" si="1623"/>
        <v>0</v>
      </c>
      <c r="BT247" s="270">
        <f t="shared" si="1623"/>
        <v>0</v>
      </c>
      <c r="BU247" s="270">
        <f t="shared" si="1623"/>
        <v>0</v>
      </c>
      <c r="BV247" s="270">
        <f t="shared" si="1623"/>
        <v>0</v>
      </c>
      <c r="BW247" s="270">
        <f t="shared" si="1623"/>
        <v>0</v>
      </c>
      <c r="BX247" s="270">
        <f t="shared" si="1623"/>
        <v>0</v>
      </c>
      <c r="BY247" s="270">
        <f t="shared" si="1623"/>
        <v>-0.05</v>
      </c>
      <c r="BZ247" s="270">
        <f t="shared" si="1623"/>
        <v>-0.05</v>
      </c>
      <c r="CA247" s="270">
        <f t="shared" si="1623"/>
        <v>0</v>
      </c>
      <c r="CB247" s="270">
        <f t="shared" si="1623"/>
        <v>0</v>
      </c>
      <c r="CC247" s="270">
        <f t="shared" si="1623"/>
        <v>0</v>
      </c>
      <c r="CD247" s="270">
        <f t="shared" si="1623"/>
        <v>0</v>
      </c>
      <c r="CE247" s="270">
        <f t="shared" si="1623"/>
        <v>0</v>
      </c>
      <c r="CF247" s="270">
        <f t="shared" si="1623"/>
        <v>0</v>
      </c>
      <c r="CG247" s="270">
        <f t="shared" si="1623"/>
        <v>0</v>
      </c>
      <c r="CH247" s="270">
        <f t="shared" si="1623"/>
        <v>0</v>
      </c>
      <c r="CI247" s="270">
        <f t="shared" si="1623"/>
        <v>0</v>
      </c>
      <c r="CJ247" s="270">
        <f t="shared" si="1623"/>
        <v>0</v>
      </c>
      <c r="CK247" s="270">
        <f t="shared" si="1623"/>
        <v>0</v>
      </c>
      <c r="CL247" s="270">
        <f t="shared" si="1623"/>
        <v>0</v>
      </c>
      <c r="CM247" s="270">
        <f t="shared" si="1623"/>
        <v>0</v>
      </c>
      <c r="CN247" s="270">
        <f t="shared" si="1623"/>
        <v>0</v>
      </c>
      <c r="CO247" s="270">
        <f t="shared" si="1623"/>
        <v>0</v>
      </c>
      <c r="CP247" s="270">
        <f t="shared" si="1623"/>
        <v>0</v>
      </c>
      <c r="CQ247" s="215"/>
      <c r="CR247" s="270">
        <f t="shared" si="27"/>
        <v>-0.1</v>
      </c>
      <c r="CS247" s="215"/>
      <c r="CT247" s="270">
        <f t="shared" ref="CT247:DX247" si="1624">IF(AI246&gt;0,IF((AI246+BN247)&lt;E$10,AI246+BN247,E$10),0)</f>
        <v>0</v>
      </c>
      <c r="CU247" s="270">
        <f t="shared" si="1624"/>
        <v>0</v>
      </c>
      <c r="CV247" s="270">
        <f t="shared" si="1624"/>
        <v>0</v>
      </c>
      <c r="CW247" s="270">
        <f t="shared" si="1624"/>
        <v>0</v>
      </c>
      <c r="CX247" s="270">
        <f t="shared" si="1624"/>
        <v>0</v>
      </c>
      <c r="CY247" s="270">
        <f t="shared" si="1624"/>
        <v>0</v>
      </c>
      <c r="CZ247" s="270">
        <f t="shared" si="1624"/>
        <v>0</v>
      </c>
      <c r="DA247" s="270">
        <f t="shared" si="1624"/>
        <v>0</v>
      </c>
      <c r="DB247" s="270">
        <f t="shared" si="1624"/>
        <v>0</v>
      </c>
      <c r="DC247" s="270">
        <f t="shared" si="1624"/>
        <v>0</v>
      </c>
      <c r="DD247" s="270">
        <f t="shared" si="1624"/>
        <v>0</v>
      </c>
      <c r="DE247" s="270">
        <f t="shared" si="1624"/>
        <v>0</v>
      </c>
      <c r="DF247" s="270">
        <f t="shared" si="1624"/>
        <v>0</v>
      </c>
      <c r="DG247" s="270">
        <f t="shared" si="1624"/>
        <v>0</v>
      </c>
      <c r="DH247" s="270">
        <f t="shared" si="1624"/>
        <v>0</v>
      </c>
      <c r="DI247" s="270">
        <f t="shared" si="1624"/>
        <v>0</v>
      </c>
      <c r="DJ247" s="270">
        <f t="shared" si="1624"/>
        <v>0</v>
      </c>
      <c r="DK247" s="270">
        <f t="shared" si="1624"/>
        <v>0</v>
      </c>
      <c r="DL247" s="270">
        <f t="shared" si="1624"/>
        <v>0</v>
      </c>
      <c r="DM247" s="270">
        <f t="shared" si="1624"/>
        <v>0</v>
      </c>
      <c r="DN247" s="270">
        <f t="shared" si="1624"/>
        <v>0</v>
      </c>
      <c r="DO247" s="270">
        <f t="shared" si="1624"/>
        <v>0</v>
      </c>
      <c r="DP247" s="270">
        <f t="shared" si="1624"/>
        <v>0</v>
      </c>
      <c r="DQ247" s="270">
        <f t="shared" si="1624"/>
        <v>0</v>
      </c>
      <c r="DR247" s="270">
        <f t="shared" si="1624"/>
        <v>0</v>
      </c>
      <c r="DS247" s="270">
        <f t="shared" si="1624"/>
        <v>0</v>
      </c>
      <c r="DT247" s="270">
        <f t="shared" si="1624"/>
        <v>0</v>
      </c>
      <c r="DU247" s="270">
        <f t="shared" si="1624"/>
        <v>0</v>
      </c>
      <c r="DV247" s="270">
        <f t="shared" si="1624"/>
        <v>0</v>
      </c>
      <c r="DW247" s="270">
        <f t="shared" si="1624"/>
        <v>0</v>
      </c>
      <c r="DX247" s="270">
        <f t="shared" si="1624"/>
        <v>0</v>
      </c>
      <c r="DY247" s="270">
        <f t="shared" si="29"/>
        <v>0</v>
      </c>
      <c r="DZ247" s="274"/>
      <c r="EA247" s="275">
        <f t="shared" si="38"/>
        <v>0</v>
      </c>
      <c r="EB247" s="270">
        <f t="shared" ref="EB247:FC247" si="1625">IF(AJ245&lt;=0,0,IF($C246&lt;=SUM($EA247:EA247),0,IF(CU246+$C246-SUM($EA247:EA247)&gt;AJ245+BO246,AJ245+BO246-CU246,$C246-SUM($EA247:EA247))))</f>
        <v>0</v>
      </c>
      <c r="EC247" s="270">
        <f t="shared" si="1625"/>
        <v>0</v>
      </c>
      <c r="ED247" s="270">
        <f t="shared" si="1625"/>
        <v>0</v>
      </c>
      <c r="EE247" s="270">
        <f t="shared" si="1625"/>
        <v>0</v>
      </c>
      <c r="EF247" s="270">
        <f t="shared" si="1625"/>
        <v>0</v>
      </c>
      <c r="EG247" s="270">
        <f t="shared" si="1625"/>
        <v>0</v>
      </c>
      <c r="EH247" s="270">
        <f t="shared" si="1625"/>
        <v>0</v>
      </c>
      <c r="EI247" s="270">
        <f t="shared" si="1625"/>
        <v>0</v>
      </c>
      <c r="EJ247" s="270">
        <f t="shared" si="1625"/>
        <v>0</v>
      </c>
      <c r="EK247" s="270">
        <f t="shared" si="1625"/>
        <v>0</v>
      </c>
      <c r="EL247" s="270">
        <f t="shared" si="1625"/>
        <v>0</v>
      </c>
      <c r="EM247" s="270">
        <f t="shared" si="1625"/>
        <v>0</v>
      </c>
      <c r="EN247" s="270">
        <f t="shared" si="1625"/>
        <v>0</v>
      </c>
      <c r="EO247" s="270">
        <f t="shared" si="1625"/>
        <v>0</v>
      </c>
      <c r="EP247" s="270">
        <f t="shared" si="1625"/>
        <v>0</v>
      </c>
      <c r="EQ247" s="270">
        <f t="shared" si="1625"/>
        <v>0</v>
      </c>
      <c r="ER247" s="270">
        <f t="shared" si="1625"/>
        <v>0</v>
      </c>
      <c r="ES247" s="270">
        <f t="shared" si="1625"/>
        <v>0</v>
      </c>
      <c r="ET247" s="270">
        <f t="shared" si="1625"/>
        <v>0</v>
      </c>
      <c r="EU247" s="270">
        <f t="shared" si="1625"/>
        <v>0</v>
      </c>
      <c r="EV247" s="270">
        <f t="shared" si="1625"/>
        <v>0</v>
      </c>
      <c r="EW247" s="270">
        <f t="shared" si="1625"/>
        <v>0</v>
      </c>
      <c r="EX247" s="270">
        <f t="shared" si="1625"/>
        <v>0</v>
      </c>
      <c r="EY247" s="270">
        <f t="shared" si="1625"/>
        <v>0</v>
      </c>
      <c r="EZ247" s="270">
        <f t="shared" si="1625"/>
        <v>0</v>
      </c>
      <c r="FA247" s="270">
        <f t="shared" si="1625"/>
        <v>0</v>
      </c>
      <c r="FB247" s="270">
        <f t="shared" si="1625"/>
        <v>0</v>
      </c>
      <c r="FC247" s="270">
        <f t="shared" si="1625"/>
        <v>0</v>
      </c>
      <c r="FD247" s="271"/>
      <c r="FE247" s="271"/>
      <c r="FF247" s="271"/>
      <c r="FG247" s="215"/>
      <c r="FH247" s="215"/>
    </row>
    <row r="248" ht="11.25" customHeight="1">
      <c r="A248" s="215" t="str">
        <f t="shared" si="19"/>
        <v/>
      </c>
      <c r="B248" s="241" t="str">
        <f t="shared" si="600"/>
        <v>#N/A</v>
      </c>
      <c r="C248" s="271" t="str">
        <f>IF(A248="","",IF(Calculator!snowball,IF(($E$5-DY248)&lt;0,0,$E$5-DY248),0)+D248)</f>
        <v/>
      </c>
      <c r="D248" s="271"/>
      <c r="E248" s="270">
        <f t="shared" si="40"/>
        <v>0</v>
      </c>
      <c r="F248" s="270">
        <f t="shared" ref="F248:AG248" si="1626">CU248+EB249</f>
        <v>0</v>
      </c>
      <c r="G248" s="270">
        <f t="shared" si="1626"/>
        <v>0</v>
      </c>
      <c r="H248" s="270">
        <f t="shared" si="1626"/>
        <v>0</v>
      </c>
      <c r="I248" s="270">
        <f t="shared" si="1626"/>
        <v>0</v>
      </c>
      <c r="J248" s="270">
        <f t="shared" si="1626"/>
        <v>0</v>
      </c>
      <c r="K248" s="270">
        <f t="shared" si="1626"/>
        <v>0</v>
      </c>
      <c r="L248" s="270">
        <f t="shared" si="1626"/>
        <v>0</v>
      </c>
      <c r="M248" s="270">
        <f t="shared" si="1626"/>
        <v>0</v>
      </c>
      <c r="N248" s="270">
        <f t="shared" si="1626"/>
        <v>0</v>
      </c>
      <c r="O248" s="270">
        <f t="shared" si="1626"/>
        <v>0</v>
      </c>
      <c r="P248" s="272">
        <f t="shared" si="1626"/>
        <v>0</v>
      </c>
      <c r="Q248" s="272">
        <f t="shared" si="1626"/>
        <v>0</v>
      </c>
      <c r="R248" s="272">
        <f t="shared" si="1626"/>
        <v>0</v>
      </c>
      <c r="S248" s="272">
        <f t="shared" si="1626"/>
        <v>0</v>
      </c>
      <c r="T248" s="272">
        <f t="shared" si="1626"/>
        <v>0</v>
      </c>
      <c r="U248" s="270">
        <f t="shared" si="1626"/>
        <v>0</v>
      </c>
      <c r="V248" s="270">
        <f t="shared" si="1626"/>
        <v>0</v>
      </c>
      <c r="W248" s="270">
        <f t="shared" si="1626"/>
        <v>0</v>
      </c>
      <c r="X248" s="270">
        <f t="shared" si="1626"/>
        <v>0</v>
      </c>
      <c r="Y248" s="270">
        <f t="shared" si="1626"/>
        <v>0</v>
      </c>
      <c r="Z248" s="270">
        <f t="shared" si="1626"/>
        <v>0</v>
      </c>
      <c r="AA248" s="270">
        <f t="shared" si="1626"/>
        <v>0</v>
      </c>
      <c r="AB248" s="270">
        <f t="shared" si="1626"/>
        <v>0</v>
      </c>
      <c r="AC248" s="270">
        <f t="shared" si="1626"/>
        <v>0</v>
      </c>
      <c r="AD248" s="270">
        <f t="shared" si="1626"/>
        <v>0</v>
      </c>
      <c r="AE248" s="270">
        <f t="shared" si="1626"/>
        <v>0</v>
      </c>
      <c r="AF248" s="270">
        <f t="shared" si="1626"/>
        <v>0</v>
      </c>
      <c r="AG248" s="270">
        <f t="shared" si="1626"/>
        <v>0</v>
      </c>
      <c r="AH248" s="279">
        <f t="shared" si="602"/>
        <v>0</v>
      </c>
      <c r="AI248" s="270">
        <f t="shared" si="43"/>
        <v>0</v>
      </c>
      <c r="AJ248" s="270">
        <f t="shared" ref="AJ248:AO248" si="1627">IF(F$8=0,0,ROUND(AJ247-(F248-BO248),2))</f>
        <v>0</v>
      </c>
      <c r="AK248" s="270">
        <f t="shared" si="1627"/>
        <v>0</v>
      </c>
      <c r="AL248" s="270">
        <f t="shared" si="1627"/>
        <v>0</v>
      </c>
      <c r="AM248" s="270">
        <f t="shared" si="1627"/>
        <v>0</v>
      </c>
      <c r="AN248" s="270">
        <f t="shared" si="1627"/>
        <v>0</v>
      </c>
      <c r="AO248" s="270">
        <f t="shared" si="1627"/>
        <v>0</v>
      </c>
      <c r="AP248" s="270">
        <v>0.0</v>
      </c>
      <c r="AQ248" s="270">
        <f t="shared" ref="AQ248:AS248" si="1628">IF(M$8=0,0,ROUND(AQ247-(M248-BV248),2))</f>
        <v>0</v>
      </c>
      <c r="AR248" s="270">
        <f t="shared" si="1628"/>
        <v>0</v>
      </c>
      <c r="AS248" s="270">
        <f t="shared" si="1628"/>
        <v>0</v>
      </c>
      <c r="AT248" s="270">
        <f t="shared" si="605"/>
        <v>-6.22</v>
      </c>
      <c r="AU248" s="270">
        <f t="shared" ref="AU248:BK248" si="1629">IF(Q$8=0,0,ROUND(AU247-(Q248-BY248),2))</f>
        <v>-15.43</v>
      </c>
      <c r="AV248" s="270">
        <f t="shared" si="1629"/>
        <v>0</v>
      </c>
      <c r="AW248" s="270">
        <f t="shared" si="1629"/>
        <v>0</v>
      </c>
      <c r="AX248" s="270">
        <f t="shared" si="1629"/>
        <v>0</v>
      </c>
      <c r="AY248" s="270">
        <f t="shared" si="1629"/>
        <v>0</v>
      </c>
      <c r="AZ248" s="270">
        <f t="shared" si="1629"/>
        <v>0</v>
      </c>
      <c r="BA248" s="270">
        <f t="shared" si="1629"/>
        <v>0</v>
      </c>
      <c r="BB248" s="270">
        <f t="shared" si="1629"/>
        <v>0</v>
      </c>
      <c r="BC248" s="270">
        <f t="shared" si="1629"/>
        <v>0</v>
      </c>
      <c r="BD248" s="270">
        <f t="shared" si="1629"/>
        <v>0</v>
      </c>
      <c r="BE248" s="270">
        <f t="shared" si="1629"/>
        <v>0</v>
      </c>
      <c r="BF248" s="270">
        <f t="shared" si="1629"/>
        <v>0</v>
      </c>
      <c r="BG248" s="270">
        <f t="shared" si="1629"/>
        <v>0</v>
      </c>
      <c r="BH248" s="270">
        <f t="shared" si="1629"/>
        <v>0</v>
      </c>
      <c r="BI248" s="270">
        <f t="shared" si="1629"/>
        <v>0</v>
      </c>
      <c r="BJ248" s="270">
        <f t="shared" si="1629"/>
        <v>0</v>
      </c>
      <c r="BK248" s="270">
        <f t="shared" si="1629"/>
        <v>0</v>
      </c>
      <c r="BL248" s="265">
        <f t="shared" si="16"/>
        <v>-21.65</v>
      </c>
      <c r="BM248" s="215"/>
      <c r="BN248" s="270">
        <f t="shared" ref="BN248:CP248" si="1630">ROUND(AI247*E$9/12,2)</f>
        <v>0</v>
      </c>
      <c r="BO248" s="270">
        <f t="shared" si="1630"/>
        <v>0</v>
      </c>
      <c r="BP248" s="270">
        <f t="shared" si="1630"/>
        <v>0</v>
      </c>
      <c r="BQ248" s="270">
        <f t="shared" si="1630"/>
        <v>0</v>
      </c>
      <c r="BR248" s="270">
        <f t="shared" si="1630"/>
        <v>0</v>
      </c>
      <c r="BS248" s="270">
        <f t="shared" si="1630"/>
        <v>0</v>
      </c>
      <c r="BT248" s="270">
        <f t="shared" si="1630"/>
        <v>0</v>
      </c>
      <c r="BU248" s="270">
        <f t="shared" si="1630"/>
        <v>0</v>
      </c>
      <c r="BV248" s="270">
        <f t="shared" si="1630"/>
        <v>0</v>
      </c>
      <c r="BW248" s="270">
        <f t="shared" si="1630"/>
        <v>0</v>
      </c>
      <c r="BX248" s="270">
        <f t="shared" si="1630"/>
        <v>0</v>
      </c>
      <c r="BY248" s="270">
        <f t="shared" si="1630"/>
        <v>-0.05</v>
      </c>
      <c r="BZ248" s="270">
        <f t="shared" si="1630"/>
        <v>-0.05</v>
      </c>
      <c r="CA248" s="270">
        <f t="shared" si="1630"/>
        <v>0</v>
      </c>
      <c r="CB248" s="270">
        <f t="shared" si="1630"/>
        <v>0</v>
      </c>
      <c r="CC248" s="270">
        <f t="shared" si="1630"/>
        <v>0</v>
      </c>
      <c r="CD248" s="270">
        <f t="shared" si="1630"/>
        <v>0</v>
      </c>
      <c r="CE248" s="270">
        <f t="shared" si="1630"/>
        <v>0</v>
      </c>
      <c r="CF248" s="270">
        <f t="shared" si="1630"/>
        <v>0</v>
      </c>
      <c r="CG248" s="270">
        <f t="shared" si="1630"/>
        <v>0</v>
      </c>
      <c r="CH248" s="270">
        <f t="shared" si="1630"/>
        <v>0</v>
      </c>
      <c r="CI248" s="270">
        <f t="shared" si="1630"/>
        <v>0</v>
      </c>
      <c r="CJ248" s="270">
        <f t="shared" si="1630"/>
        <v>0</v>
      </c>
      <c r="CK248" s="270">
        <f t="shared" si="1630"/>
        <v>0</v>
      </c>
      <c r="CL248" s="270">
        <f t="shared" si="1630"/>
        <v>0</v>
      </c>
      <c r="CM248" s="270">
        <f t="shared" si="1630"/>
        <v>0</v>
      </c>
      <c r="CN248" s="270">
        <f t="shared" si="1630"/>
        <v>0</v>
      </c>
      <c r="CO248" s="270">
        <f t="shared" si="1630"/>
        <v>0</v>
      </c>
      <c r="CP248" s="270">
        <f t="shared" si="1630"/>
        <v>0</v>
      </c>
      <c r="CQ248" s="215"/>
      <c r="CR248" s="270">
        <f t="shared" si="27"/>
        <v>-0.1</v>
      </c>
      <c r="CS248" s="215"/>
      <c r="CT248" s="270">
        <f t="shared" ref="CT248:DX248" si="1631">IF(AI247&gt;0,IF((AI247+BN248)&lt;E$10,AI247+BN248,E$10),0)</f>
        <v>0</v>
      </c>
      <c r="CU248" s="270">
        <f t="shared" si="1631"/>
        <v>0</v>
      </c>
      <c r="CV248" s="270">
        <f t="shared" si="1631"/>
        <v>0</v>
      </c>
      <c r="CW248" s="270">
        <f t="shared" si="1631"/>
        <v>0</v>
      </c>
      <c r="CX248" s="270">
        <f t="shared" si="1631"/>
        <v>0</v>
      </c>
      <c r="CY248" s="270">
        <f t="shared" si="1631"/>
        <v>0</v>
      </c>
      <c r="CZ248" s="270">
        <f t="shared" si="1631"/>
        <v>0</v>
      </c>
      <c r="DA248" s="270">
        <f t="shared" si="1631"/>
        <v>0</v>
      </c>
      <c r="DB248" s="270">
        <f t="shared" si="1631"/>
        <v>0</v>
      </c>
      <c r="DC248" s="270">
        <f t="shared" si="1631"/>
        <v>0</v>
      </c>
      <c r="DD248" s="270">
        <f t="shared" si="1631"/>
        <v>0</v>
      </c>
      <c r="DE248" s="270">
        <f t="shared" si="1631"/>
        <v>0</v>
      </c>
      <c r="DF248" s="270">
        <f t="shared" si="1631"/>
        <v>0</v>
      </c>
      <c r="DG248" s="270">
        <f t="shared" si="1631"/>
        <v>0</v>
      </c>
      <c r="DH248" s="270">
        <f t="shared" si="1631"/>
        <v>0</v>
      </c>
      <c r="DI248" s="270">
        <f t="shared" si="1631"/>
        <v>0</v>
      </c>
      <c r="DJ248" s="270">
        <f t="shared" si="1631"/>
        <v>0</v>
      </c>
      <c r="DK248" s="270">
        <f t="shared" si="1631"/>
        <v>0</v>
      </c>
      <c r="DL248" s="270">
        <f t="shared" si="1631"/>
        <v>0</v>
      </c>
      <c r="DM248" s="270">
        <f t="shared" si="1631"/>
        <v>0</v>
      </c>
      <c r="DN248" s="270">
        <f t="shared" si="1631"/>
        <v>0</v>
      </c>
      <c r="DO248" s="270">
        <f t="shared" si="1631"/>
        <v>0</v>
      </c>
      <c r="DP248" s="270">
        <f t="shared" si="1631"/>
        <v>0</v>
      </c>
      <c r="DQ248" s="270">
        <f t="shared" si="1631"/>
        <v>0</v>
      </c>
      <c r="DR248" s="270">
        <f t="shared" si="1631"/>
        <v>0</v>
      </c>
      <c r="DS248" s="270">
        <f t="shared" si="1631"/>
        <v>0</v>
      </c>
      <c r="DT248" s="270">
        <f t="shared" si="1631"/>
        <v>0</v>
      </c>
      <c r="DU248" s="270">
        <f t="shared" si="1631"/>
        <v>0</v>
      </c>
      <c r="DV248" s="270">
        <f t="shared" si="1631"/>
        <v>0</v>
      </c>
      <c r="DW248" s="270">
        <f t="shared" si="1631"/>
        <v>0</v>
      </c>
      <c r="DX248" s="270">
        <f t="shared" si="1631"/>
        <v>0</v>
      </c>
      <c r="DY248" s="270">
        <f t="shared" si="29"/>
        <v>0</v>
      </c>
      <c r="DZ248" s="274"/>
      <c r="EA248" s="275">
        <f t="shared" si="38"/>
        <v>0</v>
      </c>
      <c r="EB248" s="270">
        <f t="shared" ref="EB248:FC248" si="1632">IF(AJ246&lt;=0,0,IF($C247&lt;=SUM($EA248:EA248),0,IF(CU247+$C247-SUM($EA248:EA248)&gt;AJ246+BO247,AJ246+BO247-CU247,$C247-SUM($EA248:EA248))))</f>
        <v>0</v>
      </c>
      <c r="EC248" s="270">
        <f t="shared" si="1632"/>
        <v>0</v>
      </c>
      <c r="ED248" s="270">
        <f t="shared" si="1632"/>
        <v>0</v>
      </c>
      <c r="EE248" s="270">
        <f t="shared" si="1632"/>
        <v>0</v>
      </c>
      <c r="EF248" s="270">
        <f t="shared" si="1632"/>
        <v>0</v>
      </c>
      <c r="EG248" s="270">
        <f t="shared" si="1632"/>
        <v>0</v>
      </c>
      <c r="EH248" s="270">
        <f t="shared" si="1632"/>
        <v>0</v>
      </c>
      <c r="EI248" s="270">
        <f t="shared" si="1632"/>
        <v>0</v>
      </c>
      <c r="EJ248" s="270">
        <f t="shared" si="1632"/>
        <v>0</v>
      </c>
      <c r="EK248" s="270">
        <f t="shared" si="1632"/>
        <v>0</v>
      </c>
      <c r="EL248" s="270">
        <f t="shared" si="1632"/>
        <v>0</v>
      </c>
      <c r="EM248" s="270">
        <f t="shared" si="1632"/>
        <v>0</v>
      </c>
      <c r="EN248" s="270">
        <f t="shared" si="1632"/>
        <v>0</v>
      </c>
      <c r="EO248" s="270">
        <f t="shared" si="1632"/>
        <v>0</v>
      </c>
      <c r="EP248" s="270">
        <f t="shared" si="1632"/>
        <v>0</v>
      </c>
      <c r="EQ248" s="270">
        <f t="shared" si="1632"/>
        <v>0</v>
      </c>
      <c r="ER248" s="270">
        <f t="shared" si="1632"/>
        <v>0</v>
      </c>
      <c r="ES248" s="270">
        <f t="shared" si="1632"/>
        <v>0</v>
      </c>
      <c r="ET248" s="270">
        <f t="shared" si="1632"/>
        <v>0</v>
      </c>
      <c r="EU248" s="270">
        <f t="shared" si="1632"/>
        <v>0</v>
      </c>
      <c r="EV248" s="270">
        <f t="shared" si="1632"/>
        <v>0</v>
      </c>
      <c r="EW248" s="270">
        <f t="shared" si="1632"/>
        <v>0</v>
      </c>
      <c r="EX248" s="270">
        <f t="shared" si="1632"/>
        <v>0</v>
      </c>
      <c r="EY248" s="270">
        <f t="shared" si="1632"/>
        <v>0</v>
      </c>
      <c r="EZ248" s="270">
        <f t="shared" si="1632"/>
        <v>0</v>
      </c>
      <c r="FA248" s="270">
        <f t="shared" si="1632"/>
        <v>0</v>
      </c>
      <c r="FB248" s="270">
        <f t="shared" si="1632"/>
        <v>0</v>
      </c>
      <c r="FC248" s="270">
        <f t="shared" si="1632"/>
        <v>0</v>
      </c>
      <c r="FD248" s="271"/>
      <c r="FE248" s="271"/>
      <c r="FF248" s="271"/>
      <c r="FG248" s="215"/>
      <c r="FH248" s="215"/>
    </row>
    <row r="249" ht="11.25" customHeight="1">
      <c r="A249" s="215" t="str">
        <f t="shared" si="19"/>
        <v/>
      </c>
      <c r="B249" s="241" t="str">
        <f t="shared" si="600"/>
        <v>#N/A</v>
      </c>
      <c r="C249" s="271" t="str">
        <f>IF(A249="","",IF(Calculator!snowball,IF(($E$5-DY249)&lt;0,0,$E$5-DY249),0)+D249)</f>
        <v/>
      </c>
      <c r="D249" s="271"/>
      <c r="E249" s="270">
        <f t="shared" si="40"/>
        <v>0</v>
      </c>
      <c r="F249" s="270">
        <f t="shared" ref="F249:AG249" si="1633">CU249+EB250</f>
        <v>0</v>
      </c>
      <c r="G249" s="270">
        <f t="shared" si="1633"/>
        <v>0</v>
      </c>
      <c r="H249" s="270">
        <f t="shared" si="1633"/>
        <v>0</v>
      </c>
      <c r="I249" s="270">
        <f t="shared" si="1633"/>
        <v>0</v>
      </c>
      <c r="J249" s="270">
        <f t="shared" si="1633"/>
        <v>0</v>
      </c>
      <c r="K249" s="270">
        <f t="shared" si="1633"/>
        <v>0</v>
      </c>
      <c r="L249" s="270">
        <f t="shared" si="1633"/>
        <v>0</v>
      </c>
      <c r="M249" s="270">
        <f t="shared" si="1633"/>
        <v>0</v>
      </c>
      <c r="N249" s="270">
        <f t="shared" si="1633"/>
        <v>0</v>
      </c>
      <c r="O249" s="270">
        <f t="shared" si="1633"/>
        <v>0</v>
      </c>
      <c r="P249" s="272">
        <f t="shared" si="1633"/>
        <v>0</v>
      </c>
      <c r="Q249" s="272">
        <f t="shared" si="1633"/>
        <v>0</v>
      </c>
      <c r="R249" s="272">
        <f t="shared" si="1633"/>
        <v>0</v>
      </c>
      <c r="S249" s="272">
        <f t="shared" si="1633"/>
        <v>0</v>
      </c>
      <c r="T249" s="272">
        <f t="shared" si="1633"/>
        <v>0</v>
      </c>
      <c r="U249" s="270">
        <f t="shared" si="1633"/>
        <v>0</v>
      </c>
      <c r="V249" s="270">
        <f t="shared" si="1633"/>
        <v>0</v>
      </c>
      <c r="W249" s="270">
        <f t="shared" si="1633"/>
        <v>0</v>
      </c>
      <c r="X249" s="270">
        <f t="shared" si="1633"/>
        <v>0</v>
      </c>
      <c r="Y249" s="270">
        <f t="shared" si="1633"/>
        <v>0</v>
      </c>
      <c r="Z249" s="270">
        <f t="shared" si="1633"/>
        <v>0</v>
      </c>
      <c r="AA249" s="270">
        <f t="shared" si="1633"/>
        <v>0</v>
      </c>
      <c r="AB249" s="270">
        <f t="shared" si="1633"/>
        <v>0</v>
      </c>
      <c r="AC249" s="270">
        <f t="shared" si="1633"/>
        <v>0</v>
      </c>
      <c r="AD249" s="270">
        <f t="shared" si="1633"/>
        <v>0</v>
      </c>
      <c r="AE249" s="270">
        <f t="shared" si="1633"/>
        <v>0</v>
      </c>
      <c r="AF249" s="270">
        <f t="shared" si="1633"/>
        <v>0</v>
      </c>
      <c r="AG249" s="270">
        <f t="shared" si="1633"/>
        <v>0</v>
      </c>
      <c r="AH249" s="279">
        <f t="shared" si="602"/>
        <v>0</v>
      </c>
      <c r="AI249" s="270">
        <f t="shared" si="43"/>
        <v>0</v>
      </c>
      <c r="AJ249" s="270">
        <f t="shared" ref="AJ249:AO249" si="1634">IF(F$8=0,0,ROUND(AJ248-(F249-BO249),2))</f>
        <v>0</v>
      </c>
      <c r="AK249" s="270">
        <f t="shared" si="1634"/>
        <v>0</v>
      </c>
      <c r="AL249" s="270">
        <f t="shared" si="1634"/>
        <v>0</v>
      </c>
      <c r="AM249" s="270">
        <f t="shared" si="1634"/>
        <v>0</v>
      </c>
      <c r="AN249" s="270">
        <f t="shared" si="1634"/>
        <v>0</v>
      </c>
      <c r="AO249" s="270">
        <f t="shared" si="1634"/>
        <v>0</v>
      </c>
      <c r="AP249" s="270">
        <v>0.0</v>
      </c>
      <c r="AQ249" s="270">
        <f t="shared" ref="AQ249:AS249" si="1635">IF(M$8=0,0,ROUND(AQ248-(M249-BV249),2))</f>
        <v>0</v>
      </c>
      <c r="AR249" s="270">
        <f t="shared" si="1635"/>
        <v>0</v>
      </c>
      <c r="AS249" s="270">
        <f t="shared" si="1635"/>
        <v>0</v>
      </c>
      <c r="AT249" s="270">
        <f t="shared" si="605"/>
        <v>-6.22</v>
      </c>
      <c r="AU249" s="270">
        <f t="shared" ref="AU249:BK249" si="1636">IF(Q$8=0,0,ROUND(AU248-(Q249-BY249),2))</f>
        <v>-15.48</v>
      </c>
      <c r="AV249" s="270">
        <f t="shared" si="1636"/>
        <v>0</v>
      </c>
      <c r="AW249" s="270">
        <f t="shared" si="1636"/>
        <v>0</v>
      </c>
      <c r="AX249" s="270">
        <f t="shared" si="1636"/>
        <v>0</v>
      </c>
      <c r="AY249" s="270">
        <f t="shared" si="1636"/>
        <v>0</v>
      </c>
      <c r="AZ249" s="270">
        <f t="shared" si="1636"/>
        <v>0</v>
      </c>
      <c r="BA249" s="270">
        <f t="shared" si="1636"/>
        <v>0</v>
      </c>
      <c r="BB249" s="270">
        <f t="shared" si="1636"/>
        <v>0</v>
      </c>
      <c r="BC249" s="270">
        <f t="shared" si="1636"/>
        <v>0</v>
      </c>
      <c r="BD249" s="270">
        <f t="shared" si="1636"/>
        <v>0</v>
      </c>
      <c r="BE249" s="270">
        <f t="shared" si="1636"/>
        <v>0</v>
      </c>
      <c r="BF249" s="270">
        <f t="shared" si="1636"/>
        <v>0</v>
      </c>
      <c r="BG249" s="270">
        <f t="shared" si="1636"/>
        <v>0</v>
      </c>
      <c r="BH249" s="270">
        <f t="shared" si="1636"/>
        <v>0</v>
      </c>
      <c r="BI249" s="270">
        <f t="shared" si="1636"/>
        <v>0</v>
      </c>
      <c r="BJ249" s="270">
        <f t="shared" si="1636"/>
        <v>0</v>
      </c>
      <c r="BK249" s="270">
        <f t="shared" si="1636"/>
        <v>0</v>
      </c>
      <c r="BL249" s="265">
        <f t="shared" si="16"/>
        <v>-21.7</v>
      </c>
      <c r="BM249" s="215"/>
      <c r="BN249" s="270">
        <f t="shared" ref="BN249:CP249" si="1637">ROUND(AI248*E$9/12,2)</f>
        <v>0</v>
      </c>
      <c r="BO249" s="270">
        <f t="shared" si="1637"/>
        <v>0</v>
      </c>
      <c r="BP249" s="270">
        <f t="shared" si="1637"/>
        <v>0</v>
      </c>
      <c r="BQ249" s="270">
        <f t="shared" si="1637"/>
        <v>0</v>
      </c>
      <c r="BR249" s="270">
        <f t="shared" si="1637"/>
        <v>0</v>
      </c>
      <c r="BS249" s="270">
        <f t="shared" si="1637"/>
        <v>0</v>
      </c>
      <c r="BT249" s="270">
        <f t="shared" si="1637"/>
        <v>0</v>
      </c>
      <c r="BU249" s="270">
        <f t="shared" si="1637"/>
        <v>0</v>
      </c>
      <c r="BV249" s="270">
        <f t="shared" si="1637"/>
        <v>0</v>
      </c>
      <c r="BW249" s="270">
        <f t="shared" si="1637"/>
        <v>0</v>
      </c>
      <c r="BX249" s="270">
        <f t="shared" si="1637"/>
        <v>0</v>
      </c>
      <c r="BY249" s="270">
        <f t="shared" si="1637"/>
        <v>-0.05</v>
      </c>
      <c r="BZ249" s="270">
        <f t="shared" si="1637"/>
        <v>-0.05</v>
      </c>
      <c r="CA249" s="270">
        <f t="shared" si="1637"/>
        <v>0</v>
      </c>
      <c r="CB249" s="270">
        <f t="shared" si="1637"/>
        <v>0</v>
      </c>
      <c r="CC249" s="270">
        <f t="shared" si="1637"/>
        <v>0</v>
      </c>
      <c r="CD249" s="270">
        <f t="shared" si="1637"/>
        <v>0</v>
      </c>
      <c r="CE249" s="270">
        <f t="shared" si="1637"/>
        <v>0</v>
      </c>
      <c r="CF249" s="270">
        <f t="shared" si="1637"/>
        <v>0</v>
      </c>
      <c r="CG249" s="270">
        <f t="shared" si="1637"/>
        <v>0</v>
      </c>
      <c r="CH249" s="270">
        <f t="shared" si="1637"/>
        <v>0</v>
      </c>
      <c r="CI249" s="270">
        <f t="shared" si="1637"/>
        <v>0</v>
      </c>
      <c r="CJ249" s="270">
        <f t="shared" si="1637"/>
        <v>0</v>
      </c>
      <c r="CK249" s="270">
        <f t="shared" si="1637"/>
        <v>0</v>
      </c>
      <c r="CL249" s="270">
        <f t="shared" si="1637"/>
        <v>0</v>
      </c>
      <c r="CM249" s="270">
        <f t="shared" si="1637"/>
        <v>0</v>
      </c>
      <c r="CN249" s="270">
        <f t="shared" si="1637"/>
        <v>0</v>
      </c>
      <c r="CO249" s="270">
        <f t="shared" si="1637"/>
        <v>0</v>
      </c>
      <c r="CP249" s="270">
        <f t="shared" si="1637"/>
        <v>0</v>
      </c>
      <c r="CQ249" s="215"/>
      <c r="CR249" s="270">
        <f t="shared" si="27"/>
        <v>-0.1</v>
      </c>
      <c r="CS249" s="215"/>
      <c r="CT249" s="270">
        <f t="shared" ref="CT249:DX249" si="1638">IF(AI248&gt;0,IF((AI248+BN249)&lt;E$10,AI248+BN249,E$10),0)</f>
        <v>0</v>
      </c>
      <c r="CU249" s="270">
        <f t="shared" si="1638"/>
        <v>0</v>
      </c>
      <c r="CV249" s="270">
        <f t="shared" si="1638"/>
        <v>0</v>
      </c>
      <c r="CW249" s="270">
        <f t="shared" si="1638"/>
        <v>0</v>
      </c>
      <c r="CX249" s="270">
        <f t="shared" si="1638"/>
        <v>0</v>
      </c>
      <c r="CY249" s="270">
        <f t="shared" si="1638"/>
        <v>0</v>
      </c>
      <c r="CZ249" s="270">
        <f t="shared" si="1638"/>
        <v>0</v>
      </c>
      <c r="DA249" s="270">
        <f t="shared" si="1638"/>
        <v>0</v>
      </c>
      <c r="DB249" s="270">
        <f t="shared" si="1638"/>
        <v>0</v>
      </c>
      <c r="DC249" s="270">
        <f t="shared" si="1638"/>
        <v>0</v>
      </c>
      <c r="DD249" s="270">
        <f t="shared" si="1638"/>
        <v>0</v>
      </c>
      <c r="DE249" s="270">
        <f t="shared" si="1638"/>
        <v>0</v>
      </c>
      <c r="DF249" s="270">
        <f t="shared" si="1638"/>
        <v>0</v>
      </c>
      <c r="DG249" s="270">
        <f t="shared" si="1638"/>
        <v>0</v>
      </c>
      <c r="DH249" s="270">
        <f t="shared" si="1638"/>
        <v>0</v>
      </c>
      <c r="DI249" s="270">
        <f t="shared" si="1638"/>
        <v>0</v>
      </c>
      <c r="DJ249" s="270">
        <f t="shared" si="1638"/>
        <v>0</v>
      </c>
      <c r="DK249" s="270">
        <f t="shared" si="1638"/>
        <v>0</v>
      </c>
      <c r="DL249" s="270">
        <f t="shared" si="1638"/>
        <v>0</v>
      </c>
      <c r="DM249" s="270">
        <f t="shared" si="1638"/>
        <v>0</v>
      </c>
      <c r="DN249" s="270">
        <f t="shared" si="1638"/>
        <v>0</v>
      </c>
      <c r="DO249" s="270">
        <f t="shared" si="1638"/>
        <v>0</v>
      </c>
      <c r="DP249" s="270">
        <f t="shared" si="1638"/>
        <v>0</v>
      </c>
      <c r="DQ249" s="270">
        <f t="shared" si="1638"/>
        <v>0</v>
      </c>
      <c r="DR249" s="270">
        <f t="shared" si="1638"/>
        <v>0</v>
      </c>
      <c r="DS249" s="270">
        <f t="shared" si="1638"/>
        <v>0</v>
      </c>
      <c r="DT249" s="270">
        <f t="shared" si="1638"/>
        <v>0</v>
      </c>
      <c r="DU249" s="270">
        <f t="shared" si="1638"/>
        <v>0</v>
      </c>
      <c r="DV249" s="270">
        <f t="shared" si="1638"/>
        <v>0</v>
      </c>
      <c r="DW249" s="270">
        <f t="shared" si="1638"/>
        <v>0</v>
      </c>
      <c r="DX249" s="270">
        <f t="shared" si="1638"/>
        <v>0</v>
      </c>
      <c r="DY249" s="270">
        <f t="shared" si="29"/>
        <v>0</v>
      </c>
      <c r="DZ249" s="274"/>
      <c r="EA249" s="275">
        <f t="shared" si="38"/>
        <v>0</v>
      </c>
      <c r="EB249" s="270">
        <f t="shared" ref="EB249:FC249" si="1639">IF(AJ247&lt;=0,0,IF($C248&lt;=SUM($EA249:EA249),0,IF(CU248+$C248-SUM($EA249:EA249)&gt;AJ247+BO248,AJ247+BO248-CU248,$C248-SUM($EA249:EA249))))</f>
        <v>0</v>
      </c>
      <c r="EC249" s="270">
        <f t="shared" si="1639"/>
        <v>0</v>
      </c>
      <c r="ED249" s="270">
        <f t="shared" si="1639"/>
        <v>0</v>
      </c>
      <c r="EE249" s="270">
        <f t="shared" si="1639"/>
        <v>0</v>
      </c>
      <c r="EF249" s="270">
        <f t="shared" si="1639"/>
        <v>0</v>
      </c>
      <c r="EG249" s="270">
        <f t="shared" si="1639"/>
        <v>0</v>
      </c>
      <c r="EH249" s="270">
        <f t="shared" si="1639"/>
        <v>0</v>
      </c>
      <c r="EI249" s="270">
        <f t="shared" si="1639"/>
        <v>0</v>
      </c>
      <c r="EJ249" s="270">
        <f t="shared" si="1639"/>
        <v>0</v>
      </c>
      <c r="EK249" s="270">
        <f t="shared" si="1639"/>
        <v>0</v>
      </c>
      <c r="EL249" s="270">
        <f t="shared" si="1639"/>
        <v>0</v>
      </c>
      <c r="EM249" s="270">
        <f t="shared" si="1639"/>
        <v>0</v>
      </c>
      <c r="EN249" s="270">
        <f t="shared" si="1639"/>
        <v>0</v>
      </c>
      <c r="EO249" s="270">
        <f t="shared" si="1639"/>
        <v>0</v>
      </c>
      <c r="EP249" s="270">
        <f t="shared" si="1639"/>
        <v>0</v>
      </c>
      <c r="EQ249" s="270">
        <f t="shared" si="1639"/>
        <v>0</v>
      </c>
      <c r="ER249" s="270">
        <f t="shared" si="1639"/>
        <v>0</v>
      </c>
      <c r="ES249" s="270">
        <f t="shared" si="1639"/>
        <v>0</v>
      </c>
      <c r="ET249" s="270">
        <f t="shared" si="1639"/>
        <v>0</v>
      </c>
      <c r="EU249" s="270">
        <f t="shared" si="1639"/>
        <v>0</v>
      </c>
      <c r="EV249" s="270">
        <f t="shared" si="1639"/>
        <v>0</v>
      </c>
      <c r="EW249" s="270">
        <f t="shared" si="1639"/>
        <v>0</v>
      </c>
      <c r="EX249" s="270">
        <f t="shared" si="1639"/>
        <v>0</v>
      </c>
      <c r="EY249" s="270">
        <f t="shared" si="1639"/>
        <v>0</v>
      </c>
      <c r="EZ249" s="270">
        <f t="shared" si="1639"/>
        <v>0</v>
      </c>
      <c r="FA249" s="270">
        <f t="shared" si="1639"/>
        <v>0</v>
      </c>
      <c r="FB249" s="270">
        <f t="shared" si="1639"/>
        <v>0</v>
      </c>
      <c r="FC249" s="270">
        <f t="shared" si="1639"/>
        <v>0</v>
      </c>
      <c r="FD249" s="271"/>
      <c r="FE249" s="271"/>
      <c r="FF249" s="271"/>
      <c r="FG249" s="215"/>
      <c r="FH249" s="215"/>
    </row>
    <row r="250" ht="11.25" customHeight="1">
      <c r="A250" s="215" t="str">
        <f t="shared" si="19"/>
        <v/>
      </c>
      <c r="B250" s="241" t="str">
        <f t="shared" si="600"/>
        <v>#N/A</v>
      </c>
      <c r="C250" s="271" t="str">
        <f>IF(A250="","",IF(Calculator!snowball,IF(($E$5-DY250)&lt;0,0,$E$5-DY250),0)+D250)</f>
        <v/>
      </c>
      <c r="D250" s="271"/>
      <c r="E250" s="270">
        <f t="shared" si="40"/>
        <v>0</v>
      </c>
      <c r="F250" s="270">
        <f t="shared" ref="F250:AG250" si="1640">CU250+EB251</f>
        <v>0</v>
      </c>
      <c r="G250" s="270">
        <f t="shared" si="1640"/>
        <v>0</v>
      </c>
      <c r="H250" s="270">
        <f t="shared" si="1640"/>
        <v>0</v>
      </c>
      <c r="I250" s="270">
        <f t="shared" si="1640"/>
        <v>0</v>
      </c>
      <c r="J250" s="270">
        <f t="shared" si="1640"/>
        <v>0</v>
      </c>
      <c r="K250" s="270">
        <f t="shared" si="1640"/>
        <v>0</v>
      </c>
      <c r="L250" s="270">
        <f t="shared" si="1640"/>
        <v>0</v>
      </c>
      <c r="M250" s="270">
        <f t="shared" si="1640"/>
        <v>0</v>
      </c>
      <c r="N250" s="270">
        <f t="shared" si="1640"/>
        <v>0</v>
      </c>
      <c r="O250" s="270">
        <f t="shared" si="1640"/>
        <v>0</v>
      </c>
      <c r="P250" s="272">
        <f t="shared" si="1640"/>
        <v>0</v>
      </c>
      <c r="Q250" s="272">
        <f t="shared" si="1640"/>
        <v>0</v>
      </c>
      <c r="R250" s="272">
        <f t="shared" si="1640"/>
        <v>0</v>
      </c>
      <c r="S250" s="272">
        <f t="shared" si="1640"/>
        <v>0</v>
      </c>
      <c r="T250" s="272">
        <f t="shared" si="1640"/>
        <v>0</v>
      </c>
      <c r="U250" s="270">
        <f t="shared" si="1640"/>
        <v>0</v>
      </c>
      <c r="V250" s="270">
        <f t="shared" si="1640"/>
        <v>0</v>
      </c>
      <c r="W250" s="270">
        <f t="shared" si="1640"/>
        <v>0</v>
      </c>
      <c r="X250" s="270">
        <f t="shared" si="1640"/>
        <v>0</v>
      </c>
      <c r="Y250" s="270">
        <f t="shared" si="1640"/>
        <v>0</v>
      </c>
      <c r="Z250" s="270">
        <f t="shared" si="1640"/>
        <v>0</v>
      </c>
      <c r="AA250" s="270">
        <f t="shared" si="1640"/>
        <v>0</v>
      </c>
      <c r="AB250" s="270">
        <f t="shared" si="1640"/>
        <v>0</v>
      </c>
      <c r="AC250" s="270">
        <f t="shared" si="1640"/>
        <v>0</v>
      </c>
      <c r="AD250" s="270">
        <f t="shared" si="1640"/>
        <v>0</v>
      </c>
      <c r="AE250" s="270">
        <f t="shared" si="1640"/>
        <v>0</v>
      </c>
      <c r="AF250" s="270">
        <f t="shared" si="1640"/>
        <v>0</v>
      </c>
      <c r="AG250" s="270">
        <f t="shared" si="1640"/>
        <v>0</v>
      </c>
      <c r="AH250" s="279">
        <f t="shared" si="602"/>
        <v>0</v>
      </c>
      <c r="AI250" s="270">
        <f t="shared" si="43"/>
        <v>0</v>
      </c>
      <c r="AJ250" s="270">
        <f t="shared" ref="AJ250:AO250" si="1641">IF(F$8=0,0,ROUND(AJ249-(F250-BO250),2))</f>
        <v>0</v>
      </c>
      <c r="AK250" s="270">
        <f t="shared" si="1641"/>
        <v>0</v>
      </c>
      <c r="AL250" s="270">
        <f t="shared" si="1641"/>
        <v>0</v>
      </c>
      <c r="AM250" s="270">
        <f t="shared" si="1641"/>
        <v>0</v>
      </c>
      <c r="AN250" s="270">
        <f t="shared" si="1641"/>
        <v>0</v>
      </c>
      <c r="AO250" s="270">
        <f t="shared" si="1641"/>
        <v>0</v>
      </c>
      <c r="AP250" s="270">
        <v>0.0</v>
      </c>
      <c r="AQ250" s="270">
        <f t="shared" ref="AQ250:AS250" si="1642">IF(M$8=0,0,ROUND(AQ249-(M250-BV250),2))</f>
        <v>0</v>
      </c>
      <c r="AR250" s="270">
        <f t="shared" si="1642"/>
        <v>0</v>
      </c>
      <c r="AS250" s="270">
        <f t="shared" si="1642"/>
        <v>0</v>
      </c>
      <c r="AT250" s="270">
        <f t="shared" si="605"/>
        <v>-6.22</v>
      </c>
      <c r="AU250" s="270">
        <f t="shared" ref="AU250:BK250" si="1643">IF(Q$8=0,0,ROUND(AU249-(Q250-BY250),2))</f>
        <v>-15.53</v>
      </c>
      <c r="AV250" s="270">
        <f t="shared" si="1643"/>
        <v>0</v>
      </c>
      <c r="AW250" s="270">
        <f t="shared" si="1643"/>
        <v>0</v>
      </c>
      <c r="AX250" s="270">
        <f t="shared" si="1643"/>
        <v>0</v>
      </c>
      <c r="AY250" s="270">
        <f t="shared" si="1643"/>
        <v>0</v>
      </c>
      <c r="AZ250" s="270">
        <f t="shared" si="1643"/>
        <v>0</v>
      </c>
      <c r="BA250" s="270">
        <f t="shared" si="1643"/>
        <v>0</v>
      </c>
      <c r="BB250" s="270">
        <f t="shared" si="1643"/>
        <v>0</v>
      </c>
      <c r="BC250" s="270">
        <f t="shared" si="1643"/>
        <v>0</v>
      </c>
      <c r="BD250" s="270">
        <f t="shared" si="1643"/>
        <v>0</v>
      </c>
      <c r="BE250" s="270">
        <f t="shared" si="1643"/>
        <v>0</v>
      </c>
      <c r="BF250" s="270">
        <f t="shared" si="1643"/>
        <v>0</v>
      </c>
      <c r="BG250" s="270">
        <f t="shared" si="1643"/>
        <v>0</v>
      </c>
      <c r="BH250" s="270">
        <f t="shared" si="1643"/>
        <v>0</v>
      </c>
      <c r="BI250" s="270">
        <f t="shared" si="1643"/>
        <v>0</v>
      </c>
      <c r="BJ250" s="270">
        <f t="shared" si="1643"/>
        <v>0</v>
      </c>
      <c r="BK250" s="270">
        <f t="shared" si="1643"/>
        <v>0</v>
      </c>
      <c r="BL250" s="265">
        <f t="shared" si="16"/>
        <v>-21.75</v>
      </c>
      <c r="BM250" s="215"/>
      <c r="BN250" s="270">
        <f t="shared" ref="BN250:CP250" si="1644">ROUND(AI249*E$9/12,2)</f>
        <v>0</v>
      </c>
      <c r="BO250" s="270">
        <f t="shared" si="1644"/>
        <v>0</v>
      </c>
      <c r="BP250" s="270">
        <f t="shared" si="1644"/>
        <v>0</v>
      </c>
      <c r="BQ250" s="270">
        <f t="shared" si="1644"/>
        <v>0</v>
      </c>
      <c r="BR250" s="270">
        <f t="shared" si="1644"/>
        <v>0</v>
      </c>
      <c r="BS250" s="270">
        <f t="shared" si="1644"/>
        <v>0</v>
      </c>
      <c r="BT250" s="270">
        <f t="shared" si="1644"/>
        <v>0</v>
      </c>
      <c r="BU250" s="270">
        <f t="shared" si="1644"/>
        <v>0</v>
      </c>
      <c r="BV250" s="270">
        <f t="shared" si="1644"/>
        <v>0</v>
      </c>
      <c r="BW250" s="270">
        <f t="shared" si="1644"/>
        <v>0</v>
      </c>
      <c r="BX250" s="270">
        <f t="shared" si="1644"/>
        <v>0</v>
      </c>
      <c r="BY250" s="270">
        <f t="shared" si="1644"/>
        <v>-0.05</v>
      </c>
      <c r="BZ250" s="270">
        <f t="shared" si="1644"/>
        <v>-0.05</v>
      </c>
      <c r="CA250" s="270">
        <f t="shared" si="1644"/>
        <v>0</v>
      </c>
      <c r="CB250" s="270">
        <f t="shared" si="1644"/>
        <v>0</v>
      </c>
      <c r="CC250" s="270">
        <f t="shared" si="1644"/>
        <v>0</v>
      </c>
      <c r="CD250" s="270">
        <f t="shared" si="1644"/>
        <v>0</v>
      </c>
      <c r="CE250" s="270">
        <f t="shared" si="1644"/>
        <v>0</v>
      </c>
      <c r="CF250" s="270">
        <f t="shared" si="1644"/>
        <v>0</v>
      </c>
      <c r="CG250" s="270">
        <f t="shared" si="1644"/>
        <v>0</v>
      </c>
      <c r="CH250" s="270">
        <f t="shared" si="1644"/>
        <v>0</v>
      </c>
      <c r="CI250" s="270">
        <f t="shared" si="1644"/>
        <v>0</v>
      </c>
      <c r="CJ250" s="270">
        <f t="shared" si="1644"/>
        <v>0</v>
      </c>
      <c r="CK250" s="270">
        <f t="shared" si="1644"/>
        <v>0</v>
      </c>
      <c r="CL250" s="270">
        <f t="shared" si="1644"/>
        <v>0</v>
      </c>
      <c r="CM250" s="270">
        <f t="shared" si="1644"/>
        <v>0</v>
      </c>
      <c r="CN250" s="270">
        <f t="shared" si="1644"/>
        <v>0</v>
      </c>
      <c r="CO250" s="270">
        <f t="shared" si="1644"/>
        <v>0</v>
      </c>
      <c r="CP250" s="270">
        <f t="shared" si="1644"/>
        <v>0</v>
      </c>
      <c r="CQ250" s="215"/>
      <c r="CR250" s="270">
        <f t="shared" si="27"/>
        <v>-0.1</v>
      </c>
      <c r="CS250" s="215"/>
      <c r="CT250" s="270">
        <f t="shared" ref="CT250:DX250" si="1645">IF(AI249&gt;0,IF((AI249+BN250)&lt;E$10,AI249+BN250,E$10),0)</f>
        <v>0</v>
      </c>
      <c r="CU250" s="270">
        <f t="shared" si="1645"/>
        <v>0</v>
      </c>
      <c r="CV250" s="270">
        <f t="shared" si="1645"/>
        <v>0</v>
      </c>
      <c r="CW250" s="270">
        <f t="shared" si="1645"/>
        <v>0</v>
      </c>
      <c r="CX250" s="270">
        <f t="shared" si="1645"/>
        <v>0</v>
      </c>
      <c r="CY250" s="270">
        <f t="shared" si="1645"/>
        <v>0</v>
      </c>
      <c r="CZ250" s="270">
        <f t="shared" si="1645"/>
        <v>0</v>
      </c>
      <c r="DA250" s="270">
        <f t="shared" si="1645"/>
        <v>0</v>
      </c>
      <c r="DB250" s="270">
        <f t="shared" si="1645"/>
        <v>0</v>
      </c>
      <c r="DC250" s="270">
        <f t="shared" si="1645"/>
        <v>0</v>
      </c>
      <c r="DD250" s="270">
        <f t="shared" si="1645"/>
        <v>0</v>
      </c>
      <c r="DE250" s="270">
        <f t="shared" si="1645"/>
        <v>0</v>
      </c>
      <c r="DF250" s="270">
        <f t="shared" si="1645"/>
        <v>0</v>
      </c>
      <c r="DG250" s="270">
        <f t="shared" si="1645"/>
        <v>0</v>
      </c>
      <c r="DH250" s="270">
        <f t="shared" si="1645"/>
        <v>0</v>
      </c>
      <c r="DI250" s="270">
        <f t="shared" si="1645"/>
        <v>0</v>
      </c>
      <c r="DJ250" s="270">
        <f t="shared" si="1645"/>
        <v>0</v>
      </c>
      <c r="DK250" s="270">
        <f t="shared" si="1645"/>
        <v>0</v>
      </c>
      <c r="DL250" s="270">
        <f t="shared" si="1645"/>
        <v>0</v>
      </c>
      <c r="DM250" s="270">
        <f t="shared" si="1645"/>
        <v>0</v>
      </c>
      <c r="DN250" s="270">
        <f t="shared" si="1645"/>
        <v>0</v>
      </c>
      <c r="DO250" s="270">
        <f t="shared" si="1645"/>
        <v>0</v>
      </c>
      <c r="DP250" s="270">
        <f t="shared" si="1645"/>
        <v>0</v>
      </c>
      <c r="DQ250" s="270">
        <f t="shared" si="1645"/>
        <v>0</v>
      </c>
      <c r="DR250" s="270">
        <f t="shared" si="1645"/>
        <v>0</v>
      </c>
      <c r="DS250" s="270">
        <f t="shared" si="1645"/>
        <v>0</v>
      </c>
      <c r="DT250" s="270">
        <f t="shared" si="1645"/>
        <v>0</v>
      </c>
      <c r="DU250" s="270">
        <f t="shared" si="1645"/>
        <v>0</v>
      </c>
      <c r="DV250" s="270">
        <f t="shared" si="1645"/>
        <v>0</v>
      </c>
      <c r="DW250" s="270">
        <f t="shared" si="1645"/>
        <v>0</v>
      </c>
      <c r="DX250" s="270">
        <f t="shared" si="1645"/>
        <v>0</v>
      </c>
      <c r="DY250" s="270">
        <f t="shared" si="29"/>
        <v>0</v>
      </c>
      <c r="DZ250" s="274"/>
      <c r="EA250" s="275">
        <f t="shared" si="38"/>
        <v>0</v>
      </c>
      <c r="EB250" s="270">
        <f t="shared" ref="EB250:FC250" si="1646">IF(AJ248&lt;=0,0,IF($C249&lt;=SUM($EA250:EA250),0,IF(CU249+$C249-SUM($EA250:EA250)&gt;AJ248+BO249,AJ248+BO249-CU249,$C249-SUM($EA250:EA250))))</f>
        <v>0</v>
      </c>
      <c r="EC250" s="270">
        <f t="shared" si="1646"/>
        <v>0</v>
      </c>
      <c r="ED250" s="270">
        <f t="shared" si="1646"/>
        <v>0</v>
      </c>
      <c r="EE250" s="270">
        <f t="shared" si="1646"/>
        <v>0</v>
      </c>
      <c r="EF250" s="270">
        <f t="shared" si="1646"/>
        <v>0</v>
      </c>
      <c r="EG250" s="270">
        <f t="shared" si="1646"/>
        <v>0</v>
      </c>
      <c r="EH250" s="270">
        <f t="shared" si="1646"/>
        <v>0</v>
      </c>
      <c r="EI250" s="270">
        <f t="shared" si="1646"/>
        <v>0</v>
      </c>
      <c r="EJ250" s="270">
        <f t="shared" si="1646"/>
        <v>0</v>
      </c>
      <c r="EK250" s="270">
        <f t="shared" si="1646"/>
        <v>0</v>
      </c>
      <c r="EL250" s="270">
        <f t="shared" si="1646"/>
        <v>0</v>
      </c>
      <c r="EM250" s="270">
        <f t="shared" si="1646"/>
        <v>0</v>
      </c>
      <c r="EN250" s="270">
        <f t="shared" si="1646"/>
        <v>0</v>
      </c>
      <c r="EO250" s="270">
        <f t="shared" si="1646"/>
        <v>0</v>
      </c>
      <c r="EP250" s="270">
        <f t="shared" si="1646"/>
        <v>0</v>
      </c>
      <c r="EQ250" s="270">
        <f t="shared" si="1646"/>
        <v>0</v>
      </c>
      <c r="ER250" s="270">
        <f t="shared" si="1646"/>
        <v>0</v>
      </c>
      <c r="ES250" s="270">
        <f t="shared" si="1646"/>
        <v>0</v>
      </c>
      <c r="ET250" s="270">
        <f t="shared" si="1646"/>
        <v>0</v>
      </c>
      <c r="EU250" s="270">
        <f t="shared" si="1646"/>
        <v>0</v>
      </c>
      <c r="EV250" s="270">
        <f t="shared" si="1646"/>
        <v>0</v>
      </c>
      <c r="EW250" s="270">
        <f t="shared" si="1646"/>
        <v>0</v>
      </c>
      <c r="EX250" s="270">
        <f t="shared" si="1646"/>
        <v>0</v>
      </c>
      <c r="EY250" s="270">
        <f t="shared" si="1646"/>
        <v>0</v>
      </c>
      <c r="EZ250" s="270">
        <f t="shared" si="1646"/>
        <v>0</v>
      </c>
      <c r="FA250" s="270">
        <f t="shared" si="1646"/>
        <v>0</v>
      </c>
      <c r="FB250" s="270">
        <f t="shared" si="1646"/>
        <v>0</v>
      </c>
      <c r="FC250" s="270">
        <f t="shared" si="1646"/>
        <v>0</v>
      </c>
      <c r="FD250" s="271"/>
      <c r="FE250" s="271"/>
      <c r="FF250" s="271"/>
      <c r="FG250" s="215"/>
      <c r="FH250" s="215"/>
    </row>
    <row r="251" ht="11.25" customHeight="1">
      <c r="A251" s="215" t="str">
        <f t="shared" si="19"/>
        <v/>
      </c>
      <c r="B251" s="241" t="str">
        <f t="shared" si="600"/>
        <v>#N/A</v>
      </c>
      <c r="C251" s="271" t="str">
        <f>IF(A251="","",IF(Calculator!snowball,IF(($E$5-DY251)&lt;0,0,$E$5-DY251),0)+D251)</f>
        <v/>
      </c>
      <c r="D251" s="271"/>
      <c r="E251" s="270">
        <f t="shared" si="40"/>
        <v>0</v>
      </c>
      <c r="F251" s="270">
        <f t="shared" ref="F251:AG251" si="1647">CU251+EB252</f>
        <v>0</v>
      </c>
      <c r="G251" s="270">
        <f t="shared" si="1647"/>
        <v>0</v>
      </c>
      <c r="H251" s="270">
        <f t="shared" si="1647"/>
        <v>0</v>
      </c>
      <c r="I251" s="270">
        <f t="shared" si="1647"/>
        <v>0</v>
      </c>
      <c r="J251" s="270">
        <f t="shared" si="1647"/>
        <v>0</v>
      </c>
      <c r="K251" s="270">
        <f t="shared" si="1647"/>
        <v>0</v>
      </c>
      <c r="L251" s="270">
        <f t="shared" si="1647"/>
        <v>0</v>
      </c>
      <c r="M251" s="270">
        <f t="shared" si="1647"/>
        <v>0</v>
      </c>
      <c r="N251" s="270">
        <f t="shared" si="1647"/>
        <v>0</v>
      </c>
      <c r="O251" s="270">
        <f t="shared" si="1647"/>
        <v>0</v>
      </c>
      <c r="P251" s="272">
        <f t="shared" si="1647"/>
        <v>0</v>
      </c>
      <c r="Q251" s="272">
        <f t="shared" si="1647"/>
        <v>0</v>
      </c>
      <c r="R251" s="272">
        <f t="shared" si="1647"/>
        <v>0</v>
      </c>
      <c r="S251" s="272">
        <f t="shared" si="1647"/>
        <v>0</v>
      </c>
      <c r="T251" s="272">
        <f t="shared" si="1647"/>
        <v>0</v>
      </c>
      <c r="U251" s="270">
        <f t="shared" si="1647"/>
        <v>0</v>
      </c>
      <c r="V251" s="270">
        <f t="shared" si="1647"/>
        <v>0</v>
      </c>
      <c r="W251" s="270">
        <f t="shared" si="1647"/>
        <v>0</v>
      </c>
      <c r="X251" s="270">
        <f t="shared" si="1647"/>
        <v>0</v>
      </c>
      <c r="Y251" s="270">
        <f t="shared" si="1647"/>
        <v>0</v>
      </c>
      <c r="Z251" s="270">
        <f t="shared" si="1647"/>
        <v>0</v>
      </c>
      <c r="AA251" s="270">
        <f t="shared" si="1647"/>
        <v>0</v>
      </c>
      <c r="AB251" s="270">
        <f t="shared" si="1647"/>
        <v>0</v>
      </c>
      <c r="AC251" s="270">
        <f t="shared" si="1647"/>
        <v>0</v>
      </c>
      <c r="AD251" s="270">
        <f t="shared" si="1647"/>
        <v>0</v>
      </c>
      <c r="AE251" s="270">
        <f t="shared" si="1647"/>
        <v>0</v>
      </c>
      <c r="AF251" s="270">
        <f t="shared" si="1647"/>
        <v>0</v>
      </c>
      <c r="AG251" s="270">
        <f t="shared" si="1647"/>
        <v>0</v>
      </c>
      <c r="AH251" s="279">
        <f t="shared" si="602"/>
        <v>0</v>
      </c>
      <c r="AI251" s="270">
        <f t="shared" si="43"/>
        <v>0</v>
      </c>
      <c r="AJ251" s="270">
        <f t="shared" ref="AJ251:AO251" si="1648">IF(F$8=0,0,ROUND(AJ250-(F251-BO251),2))</f>
        <v>0</v>
      </c>
      <c r="AK251" s="270">
        <f t="shared" si="1648"/>
        <v>0</v>
      </c>
      <c r="AL251" s="270">
        <f t="shared" si="1648"/>
        <v>0</v>
      </c>
      <c r="AM251" s="270">
        <f t="shared" si="1648"/>
        <v>0</v>
      </c>
      <c r="AN251" s="270">
        <f t="shared" si="1648"/>
        <v>0</v>
      </c>
      <c r="AO251" s="270">
        <f t="shared" si="1648"/>
        <v>0</v>
      </c>
      <c r="AP251" s="270">
        <v>0.0</v>
      </c>
      <c r="AQ251" s="270">
        <f t="shared" ref="AQ251:AS251" si="1649">IF(M$8=0,0,ROUND(AQ250-(M251-BV251),2))</f>
        <v>0</v>
      </c>
      <c r="AR251" s="270">
        <f t="shared" si="1649"/>
        <v>0</v>
      </c>
      <c r="AS251" s="270">
        <f t="shared" si="1649"/>
        <v>0</v>
      </c>
      <c r="AT251" s="270">
        <f t="shared" si="605"/>
        <v>-6.22</v>
      </c>
      <c r="AU251" s="270">
        <f t="shared" ref="AU251:BK251" si="1650">IF(Q$8=0,0,ROUND(AU250-(Q251-BY251),2))</f>
        <v>-15.58</v>
      </c>
      <c r="AV251" s="270">
        <f t="shared" si="1650"/>
        <v>0</v>
      </c>
      <c r="AW251" s="270">
        <f t="shared" si="1650"/>
        <v>0</v>
      </c>
      <c r="AX251" s="270">
        <f t="shared" si="1650"/>
        <v>0</v>
      </c>
      <c r="AY251" s="270">
        <f t="shared" si="1650"/>
        <v>0</v>
      </c>
      <c r="AZ251" s="270">
        <f t="shared" si="1650"/>
        <v>0</v>
      </c>
      <c r="BA251" s="270">
        <f t="shared" si="1650"/>
        <v>0</v>
      </c>
      <c r="BB251" s="270">
        <f t="shared" si="1650"/>
        <v>0</v>
      </c>
      <c r="BC251" s="270">
        <f t="shared" si="1650"/>
        <v>0</v>
      </c>
      <c r="BD251" s="270">
        <f t="shared" si="1650"/>
        <v>0</v>
      </c>
      <c r="BE251" s="270">
        <f t="shared" si="1650"/>
        <v>0</v>
      </c>
      <c r="BF251" s="270">
        <f t="shared" si="1650"/>
        <v>0</v>
      </c>
      <c r="BG251" s="270">
        <f t="shared" si="1650"/>
        <v>0</v>
      </c>
      <c r="BH251" s="270">
        <f t="shared" si="1650"/>
        <v>0</v>
      </c>
      <c r="BI251" s="270">
        <f t="shared" si="1650"/>
        <v>0</v>
      </c>
      <c r="BJ251" s="270">
        <f t="shared" si="1650"/>
        <v>0</v>
      </c>
      <c r="BK251" s="270">
        <f t="shared" si="1650"/>
        <v>0</v>
      </c>
      <c r="BL251" s="265">
        <f t="shared" si="16"/>
        <v>-21.8</v>
      </c>
      <c r="BM251" s="215"/>
      <c r="BN251" s="270">
        <f t="shared" ref="BN251:CP251" si="1651">ROUND(AI250*E$9/12,2)</f>
        <v>0</v>
      </c>
      <c r="BO251" s="270">
        <f t="shared" si="1651"/>
        <v>0</v>
      </c>
      <c r="BP251" s="270">
        <f t="shared" si="1651"/>
        <v>0</v>
      </c>
      <c r="BQ251" s="270">
        <f t="shared" si="1651"/>
        <v>0</v>
      </c>
      <c r="BR251" s="270">
        <f t="shared" si="1651"/>
        <v>0</v>
      </c>
      <c r="BS251" s="270">
        <f t="shared" si="1651"/>
        <v>0</v>
      </c>
      <c r="BT251" s="270">
        <f t="shared" si="1651"/>
        <v>0</v>
      </c>
      <c r="BU251" s="270">
        <f t="shared" si="1651"/>
        <v>0</v>
      </c>
      <c r="BV251" s="270">
        <f t="shared" si="1651"/>
        <v>0</v>
      </c>
      <c r="BW251" s="270">
        <f t="shared" si="1651"/>
        <v>0</v>
      </c>
      <c r="BX251" s="270">
        <f t="shared" si="1651"/>
        <v>0</v>
      </c>
      <c r="BY251" s="270">
        <f t="shared" si="1651"/>
        <v>-0.05</v>
      </c>
      <c r="BZ251" s="270">
        <f t="shared" si="1651"/>
        <v>-0.05</v>
      </c>
      <c r="CA251" s="270">
        <f t="shared" si="1651"/>
        <v>0</v>
      </c>
      <c r="CB251" s="270">
        <f t="shared" si="1651"/>
        <v>0</v>
      </c>
      <c r="CC251" s="270">
        <f t="shared" si="1651"/>
        <v>0</v>
      </c>
      <c r="CD251" s="270">
        <f t="shared" si="1651"/>
        <v>0</v>
      </c>
      <c r="CE251" s="270">
        <f t="shared" si="1651"/>
        <v>0</v>
      </c>
      <c r="CF251" s="270">
        <f t="shared" si="1651"/>
        <v>0</v>
      </c>
      <c r="CG251" s="270">
        <f t="shared" si="1651"/>
        <v>0</v>
      </c>
      <c r="CH251" s="270">
        <f t="shared" si="1651"/>
        <v>0</v>
      </c>
      <c r="CI251" s="270">
        <f t="shared" si="1651"/>
        <v>0</v>
      </c>
      <c r="CJ251" s="270">
        <f t="shared" si="1651"/>
        <v>0</v>
      </c>
      <c r="CK251" s="270">
        <f t="shared" si="1651"/>
        <v>0</v>
      </c>
      <c r="CL251" s="270">
        <f t="shared" si="1651"/>
        <v>0</v>
      </c>
      <c r="CM251" s="270">
        <f t="shared" si="1651"/>
        <v>0</v>
      </c>
      <c r="CN251" s="270">
        <f t="shared" si="1651"/>
        <v>0</v>
      </c>
      <c r="CO251" s="270">
        <f t="shared" si="1651"/>
        <v>0</v>
      </c>
      <c r="CP251" s="270">
        <f t="shared" si="1651"/>
        <v>0</v>
      </c>
      <c r="CQ251" s="215"/>
      <c r="CR251" s="270">
        <f t="shared" si="27"/>
        <v>-0.1</v>
      </c>
      <c r="CS251" s="215"/>
      <c r="CT251" s="270">
        <f t="shared" ref="CT251:DX251" si="1652">IF(AI250&gt;0,IF((AI250+BN251)&lt;E$10,AI250+BN251,E$10),0)</f>
        <v>0</v>
      </c>
      <c r="CU251" s="270">
        <f t="shared" si="1652"/>
        <v>0</v>
      </c>
      <c r="CV251" s="270">
        <f t="shared" si="1652"/>
        <v>0</v>
      </c>
      <c r="CW251" s="270">
        <f t="shared" si="1652"/>
        <v>0</v>
      </c>
      <c r="CX251" s="270">
        <f t="shared" si="1652"/>
        <v>0</v>
      </c>
      <c r="CY251" s="270">
        <f t="shared" si="1652"/>
        <v>0</v>
      </c>
      <c r="CZ251" s="270">
        <f t="shared" si="1652"/>
        <v>0</v>
      </c>
      <c r="DA251" s="270">
        <f t="shared" si="1652"/>
        <v>0</v>
      </c>
      <c r="DB251" s="270">
        <f t="shared" si="1652"/>
        <v>0</v>
      </c>
      <c r="DC251" s="270">
        <f t="shared" si="1652"/>
        <v>0</v>
      </c>
      <c r="DD251" s="270">
        <f t="shared" si="1652"/>
        <v>0</v>
      </c>
      <c r="DE251" s="270">
        <f t="shared" si="1652"/>
        <v>0</v>
      </c>
      <c r="DF251" s="270">
        <f t="shared" si="1652"/>
        <v>0</v>
      </c>
      <c r="DG251" s="270">
        <f t="shared" si="1652"/>
        <v>0</v>
      </c>
      <c r="DH251" s="270">
        <f t="shared" si="1652"/>
        <v>0</v>
      </c>
      <c r="DI251" s="270">
        <f t="shared" si="1652"/>
        <v>0</v>
      </c>
      <c r="DJ251" s="270">
        <f t="shared" si="1652"/>
        <v>0</v>
      </c>
      <c r="DK251" s="270">
        <f t="shared" si="1652"/>
        <v>0</v>
      </c>
      <c r="DL251" s="270">
        <f t="shared" si="1652"/>
        <v>0</v>
      </c>
      <c r="DM251" s="270">
        <f t="shared" si="1652"/>
        <v>0</v>
      </c>
      <c r="DN251" s="270">
        <f t="shared" si="1652"/>
        <v>0</v>
      </c>
      <c r="DO251" s="270">
        <f t="shared" si="1652"/>
        <v>0</v>
      </c>
      <c r="DP251" s="270">
        <f t="shared" si="1652"/>
        <v>0</v>
      </c>
      <c r="DQ251" s="270">
        <f t="shared" si="1652"/>
        <v>0</v>
      </c>
      <c r="DR251" s="270">
        <f t="shared" si="1652"/>
        <v>0</v>
      </c>
      <c r="DS251" s="270">
        <f t="shared" si="1652"/>
        <v>0</v>
      </c>
      <c r="DT251" s="270">
        <f t="shared" si="1652"/>
        <v>0</v>
      </c>
      <c r="DU251" s="270">
        <f t="shared" si="1652"/>
        <v>0</v>
      </c>
      <c r="DV251" s="270">
        <f t="shared" si="1652"/>
        <v>0</v>
      </c>
      <c r="DW251" s="270">
        <f t="shared" si="1652"/>
        <v>0</v>
      </c>
      <c r="DX251" s="270">
        <f t="shared" si="1652"/>
        <v>0</v>
      </c>
      <c r="DY251" s="270">
        <f t="shared" si="29"/>
        <v>0</v>
      </c>
      <c r="DZ251" s="274"/>
      <c r="EA251" s="275">
        <f t="shared" si="38"/>
        <v>0</v>
      </c>
      <c r="EB251" s="270">
        <f t="shared" ref="EB251:FC251" si="1653">IF(AJ249&lt;=0,0,IF($C250&lt;=SUM($EA251:EA251),0,IF(CU250+$C250-SUM($EA251:EA251)&gt;AJ249+BO250,AJ249+BO250-CU250,$C250-SUM($EA251:EA251))))</f>
        <v>0</v>
      </c>
      <c r="EC251" s="270">
        <f t="shared" si="1653"/>
        <v>0</v>
      </c>
      <c r="ED251" s="270">
        <f t="shared" si="1653"/>
        <v>0</v>
      </c>
      <c r="EE251" s="270">
        <f t="shared" si="1653"/>
        <v>0</v>
      </c>
      <c r="EF251" s="270">
        <f t="shared" si="1653"/>
        <v>0</v>
      </c>
      <c r="EG251" s="270">
        <f t="shared" si="1653"/>
        <v>0</v>
      </c>
      <c r="EH251" s="270">
        <f t="shared" si="1653"/>
        <v>0</v>
      </c>
      <c r="EI251" s="270">
        <f t="shared" si="1653"/>
        <v>0</v>
      </c>
      <c r="EJ251" s="270">
        <f t="shared" si="1653"/>
        <v>0</v>
      </c>
      <c r="EK251" s="270">
        <f t="shared" si="1653"/>
        <v>0</v>
      </c>
      <c r="EL251" s="270">
        <f t="shared" si="1653"/>
        <v>0</v>
      </c>
      <c r="EM251" s="270">
        <f t="shared" si="1653"/>
        <v>0</v>
      </c>
      <c r="EN251" s="270">
        <f t="shared" si="1653"/>
        <v>0</v>
      </c>
      <c r="EO251" s="270">
        <f t="shared" si="1653"/>
        <v>0</v>
      </c>
      <c r="EP251" s="270">
        <f t="shared" si="1653"/>
        <v>0</v>
      </c>
      <c r="EQ251" s="270">
        <f t="shared" si="1653"/>
        <v>0</v>
      </c>
      <c r="ER251" s="270">
        <f t="shared" si="1653"/>
        <v>0</v>
      </c>
      <c r="ES251" s="270">
        <f t="shared" si="1653"/>
        <v>0</v>
      </c>
      <c r="ET251" s="270">
        <f t="shared" si="1653"/>
        <v>0</v>
      </c>
      <c r="EU251" s="270">
        <f t="shared" si="1653"/>
        <v>0</v>
      </c>
      <c r="EV251" s="270">
        <f t="shared" si="1653"/>
        <v>0</v>
      </c>
      <c r="EW251" s="270">
        <f t="shared" si="1653"/>
        <v>0</v>
      </c>
      <c r="EX251" s="270">
        <f t="shared" si="1653"/>
        <v>0</v>
      </c>
      <c r="EY251" s="270">
        <f t="shared" si="1653"/>
        <v>0</v>
      </c>
      <c r="EZ251" s="270">
        <f t="shared" si="1653"/>
        <v>0</v>
      </c>
      <c r="FA251" s="270">
        <f t="shared" si="1653"/>
        <v>0</v>
      </c>
      <c r="FB251" s="270">
        <f t="shared" si="1653"/>
        <v>0</v>
      </c>
      <c r="FC251" s="270">
        <f t="shared" si="1653"/>
        <v>0</v>
      </c>
      <c r="FD251" s="271"/>
      <c r="FE251" s="271"/>
      <c r="FF251" s="271"/>
      <c r="FG251" s="215"/>
      <c r="FH251" s="215"/>
    </row>
    <row r="252" ht="11.25" customHeight="1">
      <c r="A252" s="215" t="str">
        <f t="shared" si="19"/>
        <v/>
      </c>
      <c r="B252" s="241" t="str">
        <f t="shared" si="600"/>
        <v>#N/A</v>
      </c>
      <c r="C252" s="271" t="str">
        <f>IF(A252="","",IF(Calculator!snowball,IF(($E$5-DY252)&lt;0,0,$E$5-DY252),0)+D252)</f>
        <v/>
      </c>
      <c r="D252" s="271"/>
      <c r="E252" s="270">
        <f t="shared" si="40"/>
        <v>0</v>
      </c>
      <c r="F252" s="270">
        <f t="shared" ref="F252:AG252" si="1654">CU252+EB253</f>
        <v>0</v>
      </c>
      <c r="G252" s="270">
        <f t="shared" si="1654"/>
        <v>0</v>
      </c>
      <c r="H252" s="270">
        <f t="shared" si="1654"/>
        <v>0</v>
      </c>
      <c r="I252" s="270">
        <f t="shared" si="1654"/>
        <v>0</v>
      </c>
      <c r="J252" s="270">
        <f t="shared" si="1654"/>
        <v>0</v>
      </c>
      <c r="K252" s="270">
        <f t="shared" si="1654"/>
        <v>0</v>
      </c>
      <c r="L252" s="270">
        <f t="shared" si="1654"/>
        <v>0</v>
      </c>
      <c r="M252" s="270">
        <f t="shared" si="1654"/>
        <v>0</v>
      </c>
      <c r="N252" s="270">
        <f t="shared" si="1654"/>
        <v>0</v>
      </c>
      <c r="O252" s="270">
        <f t="shared" si="1654"/>
        <v>0</v>
      </c>
      <c r="P252" s="272">
        <f t="shared" si="1654"/>
        <v>0</v>
      </c>
      <c r="Q252" s="272">
        <f t="shared" si="1654"/>
        <v>0</v>
      </c>
      <c r="R252" s="272">
        <f t="shared" si="1654"/>
        <v>0</v>
      </c>
      <c r="S252" s="272">
        <f t="shared" si="1654"/>
        <v>0</v>
      </c>
      <c r="T252" s="272">
        <f t="shared" si="1654"/>
        <v>0</v>
      </c>
      <c r="U252" s="270">
        <f t="shared" si="1654"/>
        <v>0</v>
      </c>
      <c r="V252" s="270">
        <f t="shared" si="1654"/>
        <v>0</v>
      </c>
      <c r="W252" s="270">
        <f t="shared" si="1654"/>
        <v>0</v>
      </c>
      <c r="X252" s="270">
        <f t="shared" si="1654"/>
        <v>0</v>
      </c>
      <c r="Y252" s="270">
        <f t="shared" si="1654"/>
        <v>0</v>
      </c>
      <c r="Z252" s="270">
        <f t="shared" si="1654"/>
        <v>0</v>
      </c>
      <c r="AA252" s="270">
        <f t="shared" si="1654"/>
        <v>0</v>
      </c>
      <c r="AB252" s="270">
        <f t="shared" si="1654"/>
        <v>0</v>
      </c>
      <c r="AC252" s="270">
        <f t="shared" si="1654"/>
        <v>0</v>
      </c>
      <c r="AD252" s="270">
        <f t="shared" si="1654"/>
        <v>0</v>
      </c>
      <c r="AE252" s="270">
        <f t="shared" si="1654"/>
        <v>0</v>
      </c>
      <c r="AF252" s="270">
        <f t="shared" si="1654"/>
        <v>0</v>
      </c>
      <c r="AG252" s="270">
        <f t="shared" si="1654"/>
        <v>0</v>
      </c>
      <c r="AH252" s="279">
        <f t="shared" si="602"/>
        <v>0</v>
      </c>
      <c r="AI252" s="270">
        <f t="shared" si="43"/>
        <v>0</v>
      </c>
      <c r="AJ252" s="270">
        <f t="shared" ref="AJ252:AO252" si="1655">IF(F$8=0,0,ROUND(AJ251-(F252-BO252),2))</f>
        <v>0</v>
      </c>
      <c r="AK252" s="270">
        <f t="shared" si="1655"/>
        <v>0</v>
      </c>
      <c r="AL252" s="270">
        <f t="shared" si="1655"/>
        <v>0</v>
      </c>
      <c r="AM252" s="270">
        <f t="shared" si="1655"/>
        <v>0</v>
      </c>
      <c r="AN252" s="270">
        <f t="shared" si="1655"/>
        <v>0</v>
      </c>
      <c r="AO252" s="270">
        <f t="shared" si="1655"/>
        <v>0</v>
      </c>
      <c r="AP252" s="270">
        <v>0.0</v>
      </c>
      <c r="AQ252" s="270">
        <f t="shared" ref="AQ252:AS252" si="1656">IF(M$8=0,0,ROUND(AQ251-(M252-BV252),2))</f>
        <v>0</v>
      </c>
      <c r="AR252" s="270">
        <f t="shared" si="1656"/>
        <v>0</v>
      </c>
      <c r="AS252" s="270">
        <f t="shared" si="1656"/>
        <v>0</v>
      </c>
      <c r="AT252" s="270">
        <f t="shared" si="605"/>
        <v>-6.22</v>
      </c>
      <c r="AU252" s="270">
        <f t="shared" ref="AU252:BK252" si="1657">IF(Q$8=0,0,ROUND(AU251-(Q252-BY252),2))</f>
        <v>-15.63</v>
      </c>
      <c r="AV252" s="270">
        <f t="shared" si="1657"/>
        <v>0</v>
      </c>
      <c r="AW252" s="270">
        <f t="shared" si="1657"/>
        <v>0</v>
      </c>
      <c r="AX252" s="270">
        <f t="shared" si="1657"/>
        <v>0</v>
      </c>
      <c r="AY252" s="270">
        <f t="shared" si="1657"/>
        <v>0</v>
      </c>
      <c r="AZ252" s="270">
        <f t="shared" si="1657"/>
        <v>0</v>
      </c>
      <c r="BA252" s="270">
        <f t="shared" si="1657"/>
        <v>0</v>
      </c>
      <c r="BB252" s="270">
        <f t="shared" si="1657"/>
        <v>0</v>
      </c>
      <c r="BC252" s="270">
        <f t="shared" si="1657"/>
        <v>0</v>
      </c>
      <c r="BD252" s="270">
        <f t="shared" si="1657"/>
        <v>0</v>
      </c>
      <c r="BE252" s="270">
        <f t="shared" si="1657"/>
        <v>0</v>
      </c>
      <c r="BF252" s="270">
        <f t="shared" si="1657"/>
        <v>0</v>
      </c>
      <c r="BG252" s="270">
        <f t="shared" si="1657"/>
        <v>0</v>
      </c>
      <c r="BH252" s="270">
        <f t="shared" si="1657"/>
        <v>0</v>
      </c>
      <c r="BI252" s="270">
        <f t="shared" si="1657"/>
        <v>0</v>
      </c>
      <c r="BJ252" s="270">
        <f t="shared" si="1657"/>
        <v>0</v>
      </c>
      <c r="BK252" s="270">
        <f t="shared" si="1657"/>
        <v>0</v>
      </c>
      <c r="BL252" s="265">
        <f t="shared" si="16"/>
        <v>-21.85</v>
      </c>
      <c r="BM252" s="215"/>
      <c r="BN252" s="270">
        <f t="shared" ref="BN252:CP252" si="1658">ROUND(AI251*E$9/12,2)</f>
        <v>0</v>
      </c>
      <c r="BO252" s="270">
        <f t="shared" si="1658"/>
        <v>0</v>
      </c>
      <c r="BP252" s="270">
        <f t="shared" si="1658"/>
        <v>0</v>
      </c>
      <c r="BQ252" s="270">
        <f t="shared" si="1658"/>
        <v>0</v>
      </c>
      <c r="BR252" s="270">
        <f t="shared" si="1658"/>
        <v>0</v>
      </c>
      <c r="BS252" s="270">
        <f t="shared" si="1658"/>
        <v>0</v>
      </c>
      <c r="BT252" s="270">
        <f t="shared" si="1658"/>
        <v>0</v>
      </c>
      <c r="BU252" s="270">
        <f t="shared" si="1658"/>
        <v>0</v>
      </c>
      <c r="BV252" s="270">
        <f t="shared" si="1658"/>
        <v>0</v>
      </c>
      <c r="BW252" s="270">
        <f t="shared" si="1658"/>
        <v>0</v>
      </c>
      <c r="BX252" s="270">
        <f t="shared" si="1658"/>
        <v>0</v>
      </c>
      <c r="BY252" s="270">
        <f t="shared" si="1658"/>
        <v>-0.05</v>
      </c>
      <c r="BZ252" s="270">
        <f t="shared" si="1658"/>
        <v>-0.05</v>
      </c>
      <c r="CA252" s="270">
        <f t="shared" si="1658"/>
        <v>0</v>
      </c>
      <c r="CB252" s="270">
        <f t="shared" si="1658"/>
        <v>0</v>
      </c>
      <c r="CC252" s="270">
        <f t="shared" si="1658"/>
        <v>0</v>
      </c>
      <c r="CD252" s="270">
        <f t="shared" si="1658"/>
        <v>0</v>
      </c>
      <c r="CE252" s="270">
        <f t="shared" si="1658"/>
        <v>0</v>
      </c>
      <c r="CF252" s="270">
        <f t="shared" si="1658"/>
        <v>0</v>
      </c>
      <c r="CG252" s="270">
        <f t="shared" si="1658"/>
        <v>0</v>
      </c>
      <c r="CH252" s="270">
        <f t="shared" si="1658"/>
        <v>0</v>
      </c>
      <c r="CI252" s="270">
        <f t="shared" si="1658"/>
        <v>0</v>
      </c>
      <c r="CJ252" s="270">
        <f t="shared" si="1658"/>
        <v>0</v>
      </c>
      <c r="CK252" s="270">
        <f t="shared" si="1658"/>
        <v>0</v>
      </c>
      <c r="CL252" s="270">
        <f t="shared" si="1658"/>
        <v>0</v>
      </c>
      <c r="CM252" s="270">
        <f t="shared" si="1658"/>
        <v>0</v>
      </c>
      <c r="CN252" s="270">
        <f t="shared" si="1658"/>
        <v>0</v>
      </c>
      <c r="CO252" s="270">
        <f t="shared" si="1658"/>
        <v>0</v>
      </c>
      <c r="CP252" s="270">
        <f t="shared" si="1658"/>
        <v>0</v>
      </c>
      <c r="CQ252" s="215"/>
      <c r="CR252" s="270">
        <f t="shared" si="27"/>
        <v>-0.1</v>
      </c>
      <c r="CS252" s="215"/>
      <c r="CT252" s="270">
        <f t="shared" ref="CT252:DX252" si="1659">IF(AI251&gt;0,IF((AI251+BN252)&lt;E$10,AI251+BN252,E$10),0)</f>
        <v>0</v>
      </c>
      <c r="CU252" s="270">
        <f t="shared" si="1659"/>
        <v>0</v>
      </c>
      <c r="CV252" s="270">
        <f t="shared" si="1659"/>
        <v>0</v>
      </c>
      <c r="CW252" s="270">
        <f t="shared" si="1659"/>
        <v>0</v>
      </c>
      <c r="CX252" s="270">
        <f t="shared" si="1659"/>
        <v>0</v>
      </c>
      <c r="CY252" s="270">
        <f t="shared" si="1659"/>
        <v>0</v>
      </c>
      <c r="CZ252" s="270">
        <f t="shared" si="1659"/>
        <v>0</v>
      </c>
      <c r="DA252" s="270">
        <f t="shared" si="1659"/>
        <v>0</v>
      </c>
      <c r="DB252" s="270">
        <f t="shared" si="1659"/>
        <v>0</v>
      </c>
      <c r="DC252" s="270">
        <f t="shared" si="1659"/>
        <v>0</v>
      </c>
      <c r="DD252" s="270">
        <f t="shared" si="1659"/>
        <v>0</v>
      </c>
      <c r="DE252" s="270">
        <f t="shared" si="1659"/>
        <v>0</v>
      </c>
      <c r="DF252" s="270">
        <f t="shared" si="1659"/>
        <v>0</v>
      </c>
      <c r="DG252" s="270">
        <f t="shared" si="1659"/>
        <v>0</v>
      </c>
      <c r="DH252" s="270">
        <f t="shared" si="1659"/>
        <v>0</v>
      </c>
      <c r="DI252" s="270">
        <f t="shared" si="1659"/>
        <v>0</v>
      </c>
      <c r="DJ252" s="270">
        <f t="shared" si="1659"/>
        <v>0</v>
      </c>
      <c r="DK252" s="270">
        <f t="shared" si="1659"/>
        <v>0</v>
      </c>
      <c r="DL252" s="270">
        <f t="shared" si="1659"/>
        <v>0</v>
      </c>
      <c r="DM252" s="270">
        <f t="shared" si="1659"/>
        <v>0</v>
      </c>
      <c r="DN252" s="270">
        <f t="shared" si="1659"/>
        <v>0</v>
      </c>
      <c r="DO252" s="270">
        <f t="shared" si="1659"/>
        <v>0</v>
      </c>
      <c r="DP252" s="270">
        <f t="shared" si="1659"/>
        <v>0</v>
      </c>
      <c r="DQ252" s="270">
        <f t="shared" si="1659"/>
        <v>0</v>
      </c>
      <c r="DR252" s="270">
        <f t="shared" si="1659"/>
        <v>0</v>
      </c>
      <c r="DS252" s="270">
        <f t="shared" si="1659"/>
        <v>0</v>
      </c>
      <c r="DT252" s="270">
        <f t="shared" si="1659"/>
        <v>0</v>
      </c>
      <c r="DU252" s="270">
        <f t="shared" si="1659"/>
        <v>0</v>
      </c>
      <c r="DV252" s="270">
        <f t="shared" si="1659"/>
        <v>0</v>
      </c>
      <c r="DW252" s="270">
        <f t="shared" si="1659"/>
        <v>0</v>
      </c>
      <c r="DX252" s="270">
        <f t="shared" si="1659"/>
        <v>0</v>
      </c>
      <c r="DY252" s="270">
        <f t="shared" si="29"/>
        <v>0</v>
      </c>
      <c r="DZ252" s="274"/>
      <c r="EA252" s="275">
        <f t="shared" si="38"/>
        <v>0</v>
      </c>
      <c r="EB252" s="270">
        <f t="shared" ref="EB252:FC252" si="1660">IF(AJ250&lt;=0,0,IF($C251&lt;=SUM($EA252:EA252),0,IF(CU251+$C251-SUM($EA252:EA252)&gt;AJ250+BO251,AJ250+BO251-CU251,$C251-SUM($EA252:EA252))))</f>
        <v>0</v>
      </c>
      <c r="EC252" s="270">
        <f t="shared" si="1660"/>
        <v>0</v>
      </c>
      <c r="ED252" s="270">
        <f t="shared" si="1660"/>
        <v>0</v>
      </c>
      <c r="EE252" s="270">
        <f t="shared" si="1660"/>
        <v>0</v>
      </c>
      <c r="EF252" s="270">
        <f t="shared" si="1660"/>
        <v>0</v>
      </c>
      <c r="EG252" s="270">
        <f t="shared" si="1660"/>
        <v>0</v>
      </c>
      <c r="EH252" s="270">
        <f t="shared" si="1660"/>
        <v>0</v>
      </c>
      <c r="EI252" s="270">
        <f t="shared" si="1660"/>
        <v>0</v>
      </c>
      <c r="EJ252" s="270">
        <f t="shared" si="1660"/>
        <v>0</v>
      </c>
      <c r="EK252" s="270">
        <f t="shared" si="1660"/>
        <v>0</v>
      </c>
      <c r="EL252" s="270">
        <f t="shared" si="1660"/>
        <v>0</v>
      </c>
      <c r="EM252" s="270">
        <f t="shared" si="1660"/>
        <v>0</v>
      </c>
      <c r="EN252" s="270">
        <f t="shared" si="1660"/>
        <v>0</v>
      </c>
      <c r="EO252" s="270">
        <f t="shared" si="1660"/>
        <v>0</v>
      </c>
      <c r="EP252" s="270">
        <f t="shared" si="1660"/>
        <v>0</v>
      </c>
      <c r="EQ252" s="270">
        <f t="shared" si="1660"/>
        <v>0</v>
      </c>
      <c r="ER252" s="270">
        <f t="shared" si="1660"/>
        <v>0</v>
      </c>
      <c r="ES252" s="270">
        <f t="shared" si="1660"/>
        <v>0</v>
      </c>
      <c r="ET252" s="270">
        <f t="shared" si="1660"/>
        <v>0</v>
      </c>
      <c r="EU252" s="270">
        <f t="shared" si="1660"/>
        <v>0</v>
      </c>
      <c r="EV252" s="270">
        <f t="shared" si="1660"/>
        <v>0</v>
      </c>
      <c r="EW252" s="270">
        <f t="shared" si="1660"/>
        <v>0</v>
      </c>
      <c r="EX252" s="270">
        <f t="shared" si="1660"/>
        <v>0</v>
      </c>
      <c r="EY252" s="270">
        <f t="shared" si="1660"/>
        <v>0</v>
      </c>
      <c r="EZ252" s="270">
        <f t="shared" si="1660"/>
        <v>0</v>
      </c>
      <c r="FA252" s="270">
        <f t="shared" si="1660"/>
        <v>0</v>
      </c>
      <c r="FB252" s="270">
        <f t="shared" si="1660"/>
        <v>0</v>
      </c>
      <c r="FC252" s="270">
        <f t="shared" si="1660"/>
        <v>0</v>
      </c>
      <c r="FD252" s="271"/>
      <c r="FE252" s="271"/>
      <c r="FF252" s="271"/>
      <c r="FG252" s="215"/>
      <c r="FH252" s="215"/>
    </row>
    <row r="253" ht="11.25" customHeight="1">
      <c r="A253" s="215" t="str">
        <f t="shared" si="19"/>
        <v/>
      </c>
      <c r="B253" s="241" t="str">
        <f t="shared" si="600"/>
        <v>#N/A</v>
      </c>
      <c r="C253" s="271" t="str">
        <f>IF(A253="","",IF(Calculator!snowball,IF(($E$5-DY253)&lt;0,0,$E$5-DY253),0)+D253)</f>
        <v/>
      </c>
      <c r="D253" s="271"/>
      <c r="E253" s="270">
        <f t="shared" si="40"/>
        <v>0</v>
      </c>
      <c r="F253" s="270">
        <f t="shared" ref="F253:AG253" si="1661">CU253+EB254</f>
        <v>0</v>
      </c>
      <c r="G253" s="270">
        <f t="shared" si="1661"/>
        <v>0</v>
      </c>
      <c r="H253" s="270">
        <f t="shared" si="1661"/>
        <v>0</v>
      </c>
      <c r="I253" s="270">
        <f t="shared" si="1661"/>
        <v>0</v>
      </c>
      <c r="J253" s="270">
        <f t="shared" si="1661"/>
        <v>0</v>
      </c>
      <c r="K253" s="270">
        <f t="shared" si="1661"/>
        <v>0</v>
      </c>
      <c r="L253" s="270">
        <f t="shared" si="1661"/>
        <v>0</v>
      </c>
      <c r="M253" s="270">
        <f t="shared" si="1661"/>
        <v>0</v>
      </c>
      <c r="N253" s="270">
        <f t="shared" si="1661"/>
        <v>0</v>
      </c>
      <c r="O253" s="270">
        <f t="shared" si="1661"/>
        <v>0</v>
      </c>
      <c r="P253" s="272">
        <f t="shared" si="1661"/>
        <v>0</v>
      </c>
      <c r="Q253" s="272">
        <f t="shared" si="1661"/>
        <v>0</v>
      </c>
      <c r="R253" s="272">
        <f t="shared" si="1661"/>
        <v>0</v>
      </c>
      <c r="S253" s="272">
        <f t="shared" si="1661"/>
        <v>0</v>
      </c>
      <c r="T253" s="272">
        <f t="shared" si="1661"/>
        <v>0</v>
      </c>
      <c r="U253" s="270">
        <f t="shared" si="1661"/>
        <v>0</v>
      </c>
      <c r="V253" s="270">
        <f t="shared" si="1661"/>
        <v>0</v>
      </c>
      <c r="W253" s="270">
        <f t="shared" si="1661"/>
        <v>0</v>
      </c>
      <c r="X253" s="270">
        <f t="shared" si="1661"/>
        <v>0</v>
      </c>
      <c r="Y253" s="270">
        <f t="shared" si="1661"/>
        <v>0</v>
      </c>
      <c r="Z253" s="270">
        <f t="shared" si="1661"/>
        <v>0</v>
      </c>
      <c r="AA253" s="270">
        <f t="shared" si="1661"/>
        <v>0</v>
      </c>
      <c r="AB253" s="270">
        <f t="shared" si="1661"/>
        <v>0</v>
      </c>
      <c r="AC253" s="270">
        <f t="shared" si="1661"/>
        <v>0</v>
      </c>
      <c r="AD253" s="270">
        <f t="shared" si="1661"/>
        <v>0</v>
      </c>
      <c r="AE253" s="270">
        <f t="shared" si="1661"/>
        <v>0</v>
      </c>
      <c r="AF253" s="270">
        <f t="shared" si="1661"/>
        <v>0</v>
      </c>
      <c r="AG253" s="270">
        <f t="shared" si="1661"/>
        <v>0</v>
      </c>
      <c r="AH253" s="279">
        <f t="shared" si="602"/>
        <v>0</v>
      </c>
      <c r="AI253" s="270">
        <f t="shared" si="43"/>
        <v>0</v>
      </c>
      <c r="AJ253" s="270">
        <f t="shared" ref="AJ253:AO253" si="1662">IF(F$8=0,0,ROUND(AJ252-(F253-BO253),2))</f>
        <v>0</v>
      </c>
      <c r="AK253" s="270">
        <f t="shared" si="1662"/>
        <v>0</v>
      </c>
      <c r="AL253" s="270">
        <f t="shared" si="1662"/>
        <v>0</v>
      </c>
      <c r="AM253" s="270">
        <f t="shared" si="1662"/>
        <v>0</v>
      </c>
      <c r="AN253" s="270">
        <f t="shared" si="1662"/>
        <v>0</v>
      </c>
      <c r="AO253" s="270">
        <f t="shared" si="1662"/>
        <v>0</v>
      </c>
      <c r="AP253" s="270">
        <v>0.0</v>
      </c>
      <c r="AQ253" s="270">
        <f t="shared" ref="AQ253:AS253" si="1663">IF(M$8=0,0,ROUND(AQ252-(M253-BV253),2))</f>
        <v>0</v>
      </c>
      <c r="AR253" s="270">
        <f t="shared" si="1663"/>
        <v>0</v>
      </c>
      <c r="AS253" s="270">
        <f t="shared" si="1663"/>
        <v>0</v>
      </c>
      <c r="AT253" s="270">
        <f t="shared" si="605"/>
        <v>-6.22</v>
      </c>
      <c r="AU253" s="270">
        <f t="shared" ref="AU253:BK253" si="1664">IF(Q$8=0,0,ROUND(AU252-(Q253-BY253),2))</f>
        <v>-15.68</v>
      </c>
      <c r="AV253" s="270">
        <f t="shared" si="1664"/>
        <v>0</v>
      </c>
      <c r="AW253" s="270">
        <f t="shared" si="1664"/>
        <v>0</v>
      </c>
      <c r="AX253" s="270">
        <f t="shared" si="1664"/>
        <v>0</v>
      </c>
      <c r="AY253" s="270">
        <f t="shared" si="1664"/>
        <v>0</v>
      </c>
      <c r="AZ253" s="270">
        <f t="shared" si="1664"/>
        <v>0</v>
      </c>
      <c r="BA253" s="270">
        <f t="shared" si="1664"/>
        <v>0</v>
      </c>
      <c r="BB253" s="270">
        <f t="shared" si="1664"/>
        <v>0</v>
      </c>
      <c r="BC253" s="270">
        <f t="shared" si="1664"/>
        <v>0</v>
      </c>
      <c r="BD253" s="270">
        <f t="shared" si="1664"/>
        <v>0</v>
      </c>
      <c r="BE253" s="270">
        <f t="shared" si="1664"/>
        <v>0</v>
      </c>
      <c r="BF253" s="270">
        <f t="shared" si="1664"/>
        <v>0</v>
      </c>
      <c r="BG253" s="270">
        <f t="shared" si="1664"/>
        <v>0</v>
      </c>
      <c r="BH253" s="270">
        <f t="shared" si="1664"/>
        <v>0</v>
      </c>
      <c r="BI253" s="270">
        <f t="shared" si="1664"/>
        <v>0</v>
      </c>
      <c r="BJ253" s="270">
        <f t="shared" si="1664"/>
        <v>0</v>
      </c>
      <c r="BK253" s="270">
        <f t="shared" si="1664"/>
        <v>0</v>
      </c>
      <c r="BL253" s="265">
        <f t="shared" si="16"/>
        <v>-21.9</v>
      </c>
      <c r="BM253" s="215"/>
      <c r="BN253" s="270">
        <f t="shared" ref="BN253:CP253" si="1665">ROUND(AI252*E$9/12,2)</f>
        <v>0</v>
      </c>
      <c r="BO253" s="270">
        <f t="shared" si="1665"/>
        <v>0</v>
      </c>
      <c r="BP253" s="270">
        <f t="shared" si="1665"/>
        <v>0</v>
      </c>
      <c r="BQ253" s="270">
        <f t="shared" si="1665"/>
        <v>0</v>
      </c>
      <c r="BR253" s="270">
        <f t="shared" si="1665"/>
        <v>0</v>
      </c>
      <c r="BS253" s="270">
        <f t="shared" si="1665"/>
        <v>0</v>
      </c>
      <c r="BT253" s="270">
        <f t="shared" si="1665"/>
        <v>0</v>
      </c>
      <c r="BU253" s="270">
        <f t="shared" si="1665"/>
        <v>0</v>
      </c>
      <c r="BV253" s="270">
        <f t="shared" si="1665"/>
        <v>0</v>
      </c>
      <c r="BW253" s="270">
        <f t="shared" si="1665"/>
        <v>0</v>
      </c>
      <c r="BX253" s="270">
        <f t="shared" si="1665"/>
        <v>0</v>
      </c>
      <c r="BY253" s="270">
        <f t="shared" si="1665"/>
        <v>-0.05</v>
      </c>
      <c r="BZ253" s="270">
        <f t="shared" si="1665"/>
        <v>-0.05</v>
      </c>
      <c r="CA253" s="270">
        <f t="shared" si="1665"/>
        <v>0</v>
      </c>
      <c r="CB253" s="270">
        <f t="shared" si="1665"/>
        <v>0</v>
      </c>
      <c r="CC253" s="270">
        <f t="shared" si="1665"/>
        <v>0</v>
      </c>
      <c r="CD253" s="270">
        <f t="shared" si="1665"/>
        <v>0</v>
      </c>
      <c r="CE253" s="270">
        <f t="shared" si="1665"/>
        <v>0</v>
      </c>
      <c r="CF253" s="270">
        <f t="shared" si="1665"/>
        <v>0</v>
      </c>
      <c r="CG253" s="270">
        <f t="shared" si="1665"/>
        <v>0</v>
      </c>
      <c r="CH253" s="270">
        <f t="shared" si="1665"/>
        <v>0</v>
      </c>
      <c r="CI253" s="270">
        <f t="shared" si="1665"/>
        <v>0</v>
      </c>
      <c r="CJ253" s="270">
        <f t="shared" si="1665"/>
        <v>0</v>
      </c>
      <c r="CK253" s="270">
        <f t="shared" si="1665"/>
        <v>0</v>
      </c>
      <c r="CL253" s="270">
        <f t="shared" si="1665"/>
        <v>0</v>
      </c>
      <c r="CM253" s="270">
        <f t="shared" si="1665"/>
        <v>0</v>
      </c>
      <c r="CN253" s="270">
        <f t="shared" si="1665"/>
        <v>0</v>
      </c>
      <c r="CO253" s="270">
        <f t="shared" si="1665"/>
        <v>0</v>
      </c>
      <c r="CP253" s="270">
        <f t="shared" si="1665"/>
        <v>0</v>
      </c>
      <c r="CQ253" s="215"/>
      <c r="CR253" s="270">
        <f t="shared" si="27"/>
        <v>-0.1</v>
      </c>
      <c r="CS253" s="215"/>
      <c r="CT253" s="270">
        <f t="shared" ref="CT253:DX253" si="1666">IF(AI252&gt;0,IF((AI252+BN253)&lt;E$10,AI252+BN253,E$10),0)</f>
        <v>0</v>
      </c>
      <c r="CU253" s="270">
        <f t="shared" si="1666"/>
        <v>0</v>
      </c>
      <c r="CV253" s="270">
        <f t="shared" si="1666"/>
        <v>0</v>
      </c>
      <c r="CW253" s="270">
        <f t="shared" si="1666"/>
        <v>0</v>
      </c>
      <c r="CX253" s="270">
        <f t="shared" si="1666"/>
        <v>0</v>
      </c>
      <c r="CY253" s="270">
        <f t="shared" si="1666"/>
        <v>0</v>
      </c>
      <c r="CZ253" s="270">
        <f t="shared" si="1666"/>
        <v>0</v>
      </c>
      <c r="DA253" s="270">
        <f t="shared" si="1666"/>
        <v>0</v>
      </c>
      <c r="DB253" s="270">
        <f t="shared" si="1666"/>
        <v>0</v>
      </c>
      <c r="DC253" s="270">
        <f t="shared" si="1666"/>
        <v>0</v>
      </c>
      <c r="DD253" s="270">
        <f t="shared" si="1666"/>
        <v>0</v>
      </c>
      <c r="DE253" s="270">
        <f t="shared" si="1666"/>
        <v>0</v>
      </c>
      <c r="DF253" s="270">
        <f t="shared" si="1666"/>
        <v>0</v>
      </c>
      <c r="DG253" s="270">
        <f t="shared" si="1666"/>
        <v>0</v>
      </c>
      <c r="DH253" s="270">
        <f t="shared" si="1666"/>
        <v>0</v>
      </c>
      <c r="DI253" s="270">
        <f t="shared" si="1666"/>
        <v>0</v>
      </c>
      <c r="DJ253" s="270">
        <f t="shared" si="1666"/>
        <v>0</v>
      </c>
      <c r="DK253" s="270">
        <f t="shared" si="1666"/>
        <v>0</v>
      </c>
      <c r="DL253" s="270">
        <f t="shared" si="1666"/>
        <v>0</v>
      </c>
      <c r="DM253" s="270">
        <f t="shared" si="1666"/>
        <v>0</v>
      </c>
      <c r="DN253" s="270">
        <f t="shared" si="1666"/>
        <v>0</v>
      </c>
      <c r="DO253" s="270">
        <f t="shared" si="1666"/>
        <v>0</v>
      </c>
      <c r="DP253" s="270">
        <f t="shared" si="1666"/>
        <v>0</v>
      </c>
      <c r="DQ253" s="270">
        <f t="shared" si="1666"/>
        <v>0</v>
      </c>
      <c r="DR253" s="270">
        <f t="shared" si="1666"/>
        <v>0</v>
      </c>
      <c r="DS253" s="270">
        <f t="shared" si="1666"/>
        <v>0</v>
      </c>
      <c r="DT253" s="270">
        <f t="shared" si="1666"/>
        <v>0</v>
      </c>
      <c r="DU253" s="270">
        <f t="shared" si="1666"/>
        <v>0</v>
      </c>
      <c r="DV253" s="270">
        <f t="shared" si="1666"/>
        <v>0</v>
      </c>
      <c r="DW253" s="270">
        <f t="shared" si="1666"/>
        <v>0</v>
      </c>
      <c r="DX253" s="270">
        <f t="shared" si="1666"/>
        <v>0</v>
      </c>
      <c r="DY253" s="270">
        <f t="shared" si="29"/>
        <v>0</v>
      </c>
      <c r="DZ253" s="274"/>
      <c r="EA253" s="275">
        <f t="shared" si="38"/>
        <v>0</v>
      </c>
      <c r="EB253" s="270">
        <f t="shared" ref="EB253:FC253" si="1667">IF(AJ251&lt;=0,0,IF($C252&lt;=SUM($EA253:EA253),0,IF(CU252+$C252-SUM($EA253:EA253)&gt;AJ251+BO252,AJ251+BO252-CU252,$C252-SUM($EA253:EA253))))</f>
        <v>0</v>
      </c>
      <c r="EC253" s="270">
        <f t="shared" si="1667"/>
        <v>0</v>
      </c>
      <c r="ED253" s="270">
        <f t="shared" si="1667"/>
        <v>0</v>
      </c>
      <c r="EE253" s="270">
        <f t="shared" si="1667"/>
        <v>0</v>
      </c>
      <c r="EF253" s="270">
        <f t="shared" si="1667"/>
        <v>0</v>
      </c>
      <c r="EG253" s="270">
        <f t="shared" si="1667"/>
        <v>0</v>
      </c>
      <c r="EH253" s="270">
        <f t="shared" si="1667"/>
        <v>0</v>
      </c>
      <c r="EI253" s="270">
        <f t="shared" si="1667"/>
        <v>0</v>
      </c>
      <c r="EJ253" s="270">
        <f t="shared" si="1667"/>
        <v>0</v>
      </c>
      <c r="EK253" s="270">
        <f t="shared" si="1667"/>
        <v>0</v>
      </c>
      <c r="EL253" s="270">
        <f t="shared" si="1667"/>
        <v>0</v>
      </c>
      <c r="EM253" s="270">
        <f t="shared" si="1667"/>
        <v>0</v>
      </c>
      <c r="EN253" s="270">
        <f t="shared" si="1667"/>
        <v>0</v>
      </c>
      <c r="EO253" s="270">
        <f t="shared" si="1667"/>
        <v>0</v>
      </c>
      <c r="EP253" s="270">
        <f t="shared" si="1667"/>
        <v>0</v>
      </c>
      <c r="EQ253" s="270">
        <f t="shared" si="1667"/>
        <v>0</v>
      </c>
      <c r="ER253" s="270">
        <f t="shared" si="1667"/>
        <v>0</v>
      </c>
      <c r="ES253" s="270">
        <f t="shared" si="1667"/>
        <v>0</v>
      </c>
      <c r="ET253" s="270">
        <f t="shared" si="1667"/>
        <v>0</v>
      </c>
      <c r="EU253" s="270">
        <f t="shared" si="1667"/>
        <v>0</v>
      </c>
      <c r="EV253" s="270">
        <f t="shared" si="1667"/>
        <v>0</v>
      </c>
      <c r="EW253" s="270">
        <f t="shared" si="1667"/>
        <v>0</v>
      </c>
      <c r="EX253" s="270">
        <f t="shared" si="1667"/>
        <v>0</v>
      </c>
      <c r="EY253" s="270">
        <f t="shared" si="1667"/>
        <v>0</v>
      </c>
      <c r="EZ253" s="270">
        <f t="shared" si="1667"/>
        <v>0</v>
      </c>
      <c r="FA253" s="270">
        <f t="shared" si="1667"/>
        <v>0</v>
      </c>
      <c r="FB253" s="270">
        <f t="shared" si="1667"/>
        <v>0</v>
      </c>
      <c r="FC253" s="270">
        <f t="shared" si="1667"/>
        <v>0</v>
      </c>
      <c r="FD253" s="271"/>
      <c r="FE253" s="271"/>
      <c r="FF253" s="271"/>
      <c r="FG253" s="215"/>
      <c r="FH253" s="215"/>
    </row>
    <row r="254" ht="11.25" customHeight="1">
      <c r="A254" s="215" t="str">
        <f t="shared" si="19"/>
        <v/>
      </c>
      <c r="B254" s="241" t="str">
        <f t="shared" si="600"/>
        <v>#N/A</v>
      </c>
      <c r="C254" s="271" t="str">
        <f>IF(A254="","",IF(Calculator!snowball,IF(($E$5-DY254)&lt;0,0,$E$5-DY254),0)+D254)</f>
        <v/>
      </c>
      <c r="D254" s="271"/>
      <c r="E254" s="270">
        <f t="shared" si="40"/>
        <v>0</v>
      </c>
      <c r="F254" s="270">
        <f t="shared" ref="F254:AG254" si="1668">CU254+EB255</f>
        <v>0</v>
      </c>
      <c r="G254" s="270">
        <f t="shared" si="1668"/>
        <v>0</v>
      </c>
      <c r="H254" s="270">
        <f t="shared" si="1668"/>
        <v>0</v>
      </c>
      <c r="I254" s="270">
        <f t="shared" si="1668"/>
        <v>0</v>
      </c>
      <c r="J254" s="270">
        <f t="shared" si="1668"/>
        <v>0</v>
      </c>
      <c r="K254" s="270">
        <f t="shared" si="1668"/>
        <v>0</v>
      </c>
      <c r="L254" s="270">
        <f t="shared" si="1668"/>
        <v>0</v>
      </c>
      <c r="M254" s="270">
        <f t="shared" si="1668"/>
        <v>0</v>
      </c>
      <c r="N254" s="270">
        <f t="shared" si="1668"/>
        <v>0</v>
      </c>
      <c r="O254" s="270">
        <f t="shared" si="1668"/>
        <v>0</v>
      </c>
      <c r="P254" s="272">
        <f t="shared" si="1668"/>
        <v>0</v>
      </c>
      <c r="Q254" s="272">
        <f t="shared" si="1668"/>
        <v>0</v>
      </c>
      <c r="R254" s="272">
        <f t="shared" si="1668"/>
        <v>0</v>
      </c>
      <c r="S254" s="272">
        <f t="shared" si="1668"/>
        <v>0</v>
      </c>
      <c r="T254" s="272">
        <f t="shared" si="1668"/>
        <v>0</v>
      </c>
      <c r="U254" s="270">
        <f t="shared" si="1668"/>
        <v>0</v>
      </c>
      <c r="V254" s="270">
        <f t="shared" si="1668"/>
        <v>0</v>
      </c>
      <c r="W254" s="270">
        <f t="shared" si="1668"/>
        <v>0</v>
      </c>
      <c r="X254" s="270">
        <f t="shared" si="1668"/>
        <v>0</v>
      </c>
      <c r="Y254" s="270">
        <f t="shared" si="1668"/>
        <v>0</v>
      </c>
      <c r="Z254" s="270">
        <f t="shared" si="1668"/>
        <v>0</v>
      </c>
      <c r="AA254" s="270">
        <f t="shared" si="1668"/>
        <v>0</v>
      </c>
      <c r="AB254" s="270">
        <f t="shared" si="1668"/>
        <v>0</v>
      </c>
      <c r="AC254" s="270">
        <f t="shared" si="1668"/>
        <v>0</v>
      </c>
      <c r="AD254" s="270">
        <f t="shared" si="1668"/>
        <v>0</v>
      </c>
      <c r="AE254" s="270">
        <f t="shared" si="1668"/>
        <v>0</v>
      </c>
      <c r="AF254" s="270">
        <f t="shared" si="1668"/>
        <v>0</v>
      </c>
      <c r="AG254" s="270">
        <f t="shared" si="1668"/>
        <v>0</v>
      </c>
      <c r="AH254" s="279">
        <f t="shared" si="602"/>
        <v>0</v>
      </c>
      <c r="AI254" s="270">
        <f t="shared" si="43"/>
        <v>0</v>
      </c>
      <c r="AJ254" s="270">
        <f t="shared" ref="AJ254:AO254" si="1669">IF(F$8=0,0,ROUND(AJ253-(F254-BO254),2))</f>
        <v>0</v>
      </c>
      <c r="AK254" s="270">
        <f t="shared" si="1669"/>
        <v>0</v>
      </c>
      <c r="AL254" s="270">
        <f t="shared" si="1669"/>
        <v>0</v>
      </c>
      <c r="AM254" s="270">
        <f t="shared" si="1669"/>
        <v>0</v>
      </c>
      <c r="AN254" s="270">
        <f t="shared" si="1669"/>
        <v>0</v>
      </c>
      <c r="AO254" s="270">
        <f t="shared" si="1669"/>
        <v>0</v>
      </c>
      <c r="AP254" s="270">
        <v>0.0</v>
      </c>
      <c r="AQ254" s="270">
        <f t="shared" ref="AQ254:AS254" si="1670">IF(M$8=0,0,ROUND(AQ253-(M254-BV254),2))</f>
        <v>0</v>
      </c>
      <c r="AR254" s="270">
        <f t="shared" si="1670"/>
        <v>0</v>
      </c>
      <c r="AS254" s="270">
        <f t="shared" si="1670"/>
        <v>0</v>
      </c>
      <c r="AT254" s="270">
        <f t="shared" si="605"/>
        <v>-6.22</v>
      </c>
      <c r="AU254" s="270">
        <f t="shared" ref="AU254:BK254" si="1671">IF(Q$8=0,0,ROUND(AU253-(Q254-BY254),2))</f>
        <v>-15.73</v>
      </c>
      <c r="AV254" s="270">
        <f t="shared" si="1671"/>
        <v>0</v>
      </c>
      <c r="AW254" s="270">
        <f t="shared" si="1671"/>
        <v>0</v>
      </c>
      <c r="AX254" s="270">
        <f t="shared" si="1671"/>
        <v>0</v>
      </c>
      <c r="AY254" s="270">
        <f t="shared" si="1671"/>
        <v>0</v>
      </c>
      <c r="AZ254" s="270">
        <f t="shared" si="1671"/>
        <v>0</v>
      </c>
      <c r="BA254" s="270">
        <f t="shared" si="1671"/>
        <v>0</v>
      </c>
      <c r="BB254" s="270">
        <f t="shared" si="1671"/>
        <v>0</v>
      </c>
      <c r="BC254" s="270">
        <f t="shared" si="1671"/>
        <v>0</v>
      </c>
      <c r="BD254" s="270">
        <f t="shared" si="1671"/>
        <v>0</v>
      </c>
      <c r="BE254" s="270">
        <f t="shared" si="1671"/>
        <v>0</v>
      </c>
      <c r="BF254" s="270">
        <f t="shared" si="1671"/>
        <v>0</v>
      </c>
      <c r="BG254" s="270">
        <f t="shared" si="1671"/>
        <v>0</v>
      </c>
      <c r="BH254" s="270">
        <f t="shared" si="1671"/>
        <v>0</v>
      </c>
      <c r="BI254" s="270">
        <f t="shared" si="1671"/>
        <v>0</v>
      </c>
      <c r="BJ254" s="270">
        <f t="shared" si="1671"/>
        <v>0</v>
      </c>
      <c r="BK254" s="270">
        <f t="shared" si="1671"/>
        <v>0</v>
      </c>
      <c r="BL254" s="265">
        <f t="shared" si="16"/>
        <v>-21.95</v>
      </c>
      <c r="BM254" s="215"/>
      <c r="BN254" s="270">
        <f t="shared" ref="BN254:CP254" si="1672">ROUND(AI253*E$9/12,2)</f>
        <v>0</v>
      </c>
      <c r="BO254" s="270">
        <f t="shared" si="1672"/>
        <v>0</v>
      </c>
      <c r="BP254" s="270">
        <f t="shared" si="1672"/>
        <v>0</v>
      </c>
      <c r="BQ254" s="270">
        <f t="shared" si="1672"/>
        <v>0</v>
      </c>
      <c r="BR254" s="270">
        <f t="shared" si="1672"/>
        <v>0</v>
      </c>
      <c r="BS254" s="270">
        <f t="shared" si="1672"/>
        <v>0</v>
      </c>
      <c r="BT254" s="270">
        <f t="shared" si="1672"/>
        <v>0</v>
      </c>
      <c r="BU254" s="270">
        <f t="shared" si="1672"/>
        <v>0</v>
      </c>
      <c r="BV254" s="270">
        <f t="shared" si="1672"/>
        <v>0</v>
      </c>
      <c r="BW254" s="270">
        <f t="shared" si="1672"/>
        <v>0</v>
      </c>
      <c r="BX254" s="270">
        <f t="shared" si="1672"/>
        <v>0</v>
      </c>
      <c r="BY254" s="270">
        <f t="shared" si="1672"/>
        <v>-0.05</v>
      </c>
      <c r="BZ254" s="270">
        <f t="shared" si="1672"/>
        <v>-0.05</v>
      </c>
      <c r="CA254" s="270">
        <f t="shared" si="1672"/>
        <v>0</v>
      </c>
      <c r="CB254" s="270">
        <f t="shared" si="1672"/>
        <v>0</v>
      </c>
      <c r="CC254" s="270">
        <f t="shared" si="1672"/>
        <v>0</v>
      </c>
      <c r="CD254" s="270">
        <f t="shared" si="1672"/>
        <v>0</v>
      </c>
      <c r="CE254" s="270">
        <f t="shared" si="1672"/>
        <v>0</v>
      </c>
      <c r="CF254" s="270">
        <f t="shared" si="1672"/>
        <v>0</v>
      </c>
      <c r="CG254" s="270">
        <f t="shared" si="1672"/>
        <v>0</v>
      </c>
      <c r="CH254" s="270">
        <f t="shared" si="1672"/>
        <v>0</v>
      </c>
      <c r="CI254" s="270">
        <f t="shared" si="1672"/>
        <v>0</v>
      </c>
      <c r="CJ254" s="270">
        <f t="shared" si="1672"/>
        <v>0</v>
      </c>
      <c r="CK254" s="270">
        <f t="shared" si="1672"/>
        <v>0</v>
      </c>
      <c r="CL254" s="270">
        <f t="shared" si="1672"/>
        <v>0</v>
      </c>
      <c r="CM254" s="270">
        <f t="shared" si="1672"/>
        <v>0</v>
      </c>
      <c r="CN254" s="270">
        <f t="shared" si="1672"/>
        <v>0</v>
      </c>
      <c r="CO254" s="270">
        <f t="shared" si="1672"/>
        <v>0</v>
      </c>
      <c r="CP254" s="270">
        <f t="shared" si="1672"/>
        <v>0</v>
      </c>
      <c r="CQ254" s="215"/>
      <c r="CR254" s="270">
        <f t="shared" si="27"/>
        <v>-0.1</v>
      </c>
      <c r="CS254" s="215"/>
      <c r="CT254" s="270">
        <f t="shared" ref="CT254:DX254" si="1673">IF(AI253&gt;0,IF((AI253+BN254)&lt;E$10,AI253+BN254,E$10),0)</f>
        <v>0</v>
      </c>
      <c r="CU254" s="270">
        <f t="shared" si="1673"/>
        <v>0</v>
      </c>
      <c r="CV254" s="270">
        <f t="shared" si="1673"/>
        <v>0</v>
      </c>
      <c r="CW254" s="270">
        <f t="shared" si="1673"/>
        <v>0</v>
      </c>
      <c r="CX254" s="270">
        <f t="shared" si="1673"/>
        <v>0</v>
      </c>
      <c r="CY254" s="270">
        <f t="shared" si="1673"/>
        <v>0</v>
      </c>
      <c r="CZ254" s="270">
        <f t="shared" si="1673"/>
        <v>0</v>
      </c>
      <c r="DA254" s="270">
        <f t="shared" si="1673"/>
        <v>0</v>
      </c>
      <c r="DB254" s="270">
        <f t="shared" si="1673"/>
        <v>0</v>
      </c>
      <c r="DC254" s="270">
        <f t="shared" si="1673"/>
        <v>0</v>
      </c>
      <c r="DD254" s="270">
        <f t="shared" si="1673"/>
        <v>0</v>
      </c>
      <c r="DE254" s="270">
        <f t="shared" si="1673"/>
        <v>0</v>
      </c>
      <c r="DF254" s="270">
        <f t="shared" si="1673"/>
        <v>0</v>
      </c>
      <c r="DG254" s="270">
        <f t="shared" si="1673"/>
        <v>0</v>
      </c>
      <c r="DH254" s="270">
        <f t="shared" si="1673"/>
        <v>0</v>
      </c>
      <c r="DI254" s="270">
        <f t="shared" si="1673"/>
        <v>0</v>
      </c>
      <c r="DJ254" s="270">
        <f t="shared" si="1673"/>
        <v>0</v>
      </c>
      <c r="DK254" s="270">
        <f t="shared" si="1673"/>
        <v>0</v>
      </c>
      <c r="DL254" s="270">
        <f t="shared" si="1673"/>
        <v>0</v>
      </c>
      <c r="DM254" s="270">
        <f t="shared" si="1673"/>
        <v>0</v>
      </c>
      <c r="DN254" s="270">
        <f t="shared" si="1673"/>
        <v>0</v>
      </c>
      <c r="DO254" s="270">
        <f t="shared" si="1673"/>
        <v>0</v>
      </c>
      <c r="DP254" s="270">
        <f t="shared" si="1673"/>
        <v>0</v>
      </c>
      <c r="DQ254" s="270">
        <f t="shared" si="1673"/>
        <v>0</v>
      </c>
      <c r="DR254" s="270">
        <f t="shared" si="1673"/>
        <v>0</v>
      </c>
      <c r="DS254" s="270">
        <f t="shared" si="1673"/>
        <v>0</v>
      </c>
      <c r="DT254" s="270">
        <f t="shared" si="1673"/>
        <v>0</v>
      </c>
      <c r="DU254" s="270">
        <f t="shared" si="1673"/>
        <v>0</v>
      </c>
      <c r="DV254" s="270">
        <f t="shared" si="1673"/>
        <v>0</v>
      </c>
      <c r="DW254" s="270">
        <f t="shared" si="1673"/>
        <v>0</v>
      </c>
      <c r="DX254" s="270">
        <f t="shared" si="1673"/>
        <v>0</v>
      </c>
      <c r="DY254" s="270">
        <f t="shared" si="29"/>
        <v>0</v>
      </c>
      <c r="DZ254" s="274"/>
      <c r="EA254" s="275">
        <f t="shared" si="38"/>
        <v>0</v>
      </c>
      <c r="EB254" s="270">
        <f t="shared" ref="EB254:FC254" si="1674">IF(AJ252&lt;=0,0,IF($C253&lt;=SUM($EA254:EA254),0,IF(CU253+$C253-SUM($EA254:EA254)&gt;AJ252+BO253,AJ252+BO253-CU253,$C253-SUM($EA254:EA254))))</f>
        <v>0</v>
      </c>
      <c r="EC254" s="270">
        <f t="shared" si="1674"/>
        <v>0</v>
      </c>
      <c r="ED254" s="270">
        <f t="shared" si="1674"/>
        <v>0</v>
      </c>
      <c r="EE254" s="270">
        <f t="shared" si="1674"/>
        <v>0</v>
      </c>
      <c r="EF254" s="270">
        <f t="shared" si="1674"/>
        <v>0</v>
      </c>
      <c r="EG254" s="270">
        <f t="shared" si="1674"/>
        <v>0</v>
      </c>
      <c r="EH254" s="270">
        <f t="shared" si="1674"/>
        <v>0</v>
      </c>
      <c r="EI254" s="270">
        <f t="shared" si="1674"/>
        <v>0</v>
      </c>
      <c r="EJ254" s="270">
        <f t="shared" si="1674"/>
        <v>0</v>
      </c>
      <c r="EK254" s="270">
        <f t="shared" si="1674"/>
        <v>0</v>
      </c>
      <c r="EL254" s="270">
        <f t="shared" si="1674"/>
        <v>0</v>
      </c>
      <c r="EM254" s="270">
        <f t="shared" si="1674"/>
        <v>0</v>
      </c>
      <c r="EN254" s="270">
        <f t="shared" si="1674"/>
        <v>0</v>
      </c>
      <c r="EO254" s="270">
        <f t="shared" si="1674"/>
        <v>0</v>
      </c>
      <c r="EP254" s="270">
        <f t="shared" si="1674"/>
        <v>0</v>
      </c>
      <c r="EQ254" s="270">
        <f t="shared" si="1674"/>
        <v>0</v>
      </c>
      <c r="ER254" s="270">
        <f t="shared" si="1674"/>
        <v>0</v>
      </c>
      <c r="ES254" s="270">
        <f t="shared" si="1674"/>
        <v>0</v>
      </c>
      <c r="ET254" s="270">
        <f t="shared" si="1674"/>
        <v>0</v>
      </c>
      <c r="EU254" s="270">
        <f t="shared" si="1674"/>
        <v>0</v>
      </c>
      <c r="EV254" s="270">
        <f t="shared" si="1674"/>
        <v>0</v>
      </c>
      <c r="EW254" s="270">
        <f t="shared" si="1674"/>
        <v>0</v>
      </c>
      <c r="EX254" s="270">
        <f t="shared" si="1674"/>
        <v>0</v>
      </c>
      <c r="EY254" s="270">
        <f t="shared" si="1674"/>
        <v>0</v>
      </c>
      <c r="EZ254" s="270">
        <f t="shared" si="1674"/>
        <v>0</v>
      </c>
      <c r="FA254" s="270">
        <f t="shared" si="1674"/>
        <v>0</v>
      </c>
      <c r="FB254" s="270">
        <f t="shared" si="1674"/>
        <v>0</v>
      </c>
      <c r="FC254" s="270">
        <f t="shared" si="1674"/>
        <v>0</v>
      </c>
      <c r="FD254" s="271"/>
      <c r="FE254" s="271"/>
      <c r="FF254" s="271"/>
      <c r="FG254" s="215"/>
      <c r="FH254" s="215"/>
    </row>
    <row r="255" ht="11.25" customHeight="1">
      <c r="A255" s="215" t="str">
        <f t="shared" si="19"/>
        <v/>
      </c>
      <c r="B255" s="241" t="str">
        <f t="shared" si="600"/>
        <v>#N/A</v>
      </c>
      <c r="C255" s="271" t="str">
        <f>IF(A255="","",IF(Calculator!snowball,IF(($E$5-DY255)&lt;0,0,$E$5-DY255),0)+D255)</f>
        <v/>
      </c>
      <c r="D255" s="271"/>
      <c r="E255" s="270">
        <f t="shared" si="40"/>
        <v>0</v>
      </c>
      <c r="F255" s="270">
        <f t="shared" ref="F255:AG255" si="1675">CU255+EB256</f>
        <v>0</v>
      </c>
      <c r="G255" s="270">
        <f t="shared" si="1675"/>
        <v>0</v>
      </c>
      <c r="H255" s="270">
        <f t="shared" si="1675"/>
        <v>0</v>
      </c>
      <c r="I255" s="270">
        <f t="shared" si="1675"/>
        <v>0</v>
      </c>
      <c r="J255" s="270">
        <f t="shared" si="1675"/>
        <v>0</v>
      </c>
      <c r="K255" s="270">
        <f t="shared" si="1675"/>
        <v>0</v>
      </c>
      <c r="L255" s="270">
        <f t="shared" si="1675"/>
        <v>0</v>
      </c>
      <c r="M255" s="270">
        <f t="shared" si="1675"/>
        <v>0</v>
      </c>
      <c r="N255" s="270">
        <f t="shared" si="1675"/>
        <v>0</v>
      </c>
      <c r="O255" s="270">
        <f t="shared" si="1675"/>
        <v>0</v>
      </c>
      <c r="P255" s="272">
        <f t="shared" si="1675"/>
        <v>0</v>
      </c>
      <c r="Q255" s="272">
        <f t="shared" si="1675"/>
        <v>0</v>
      </c>
      <c r="R255" s="272">
        <f t="shared" si="1675"/>
        <v>0</v>
      </c>
      <c r="S255" s="272">
        <f t="shared" si="1675"/>
        <v>0</v>
      </c>
      <c r="T255" s="272">
        <f t="shared" si="1675"/>
        <v>0</v>
      </c>
      <c r="U255" s="270">
        <f t="shared" si="1675"/>
        <v>0</v>
      </c>
      <c r="V255" s="270">
        <f t="shared" si="1675"/>
        <v>0</v>
      </c>
      <c r="W255" s="270">
        <f t="shared" si="1675"/>
        <v>0</v>
      </c>
      <c r="X255" s="270">
        <f t="shared" si="1675"/>
        <v>0</v>
      </c>
      <c r="Y255" s="270">
        <f t="shared" si="1675"/>
        <v>0</v>
      </c>
      <c r="Z255" s="270">
        <f t="shared" si="1675"/>
        <v>0</v>
      </c>
      <c r="AA255" s="270">
        <f t="shared" si="1675"/>
        <v>0</v>
      </c>
      <c r="AB255" s="270">
        <f t="shared" si="1675"/>
        <v>0</v>
      </c>
      <c r="AC255" s="270">
        <f t="shared" si="1675"/>
        <v>0</v>
      </c>
      <c r="AD255" s="270">
        <f t="shared" si="1675"/>
        <v>0</v>
      </c>
      <c r="AE255" s="270">
        <f t="shared" si="1675"/>
        <v>0</v>
      </c>
      <c r="AF255" s="270">
        <f t="shared" si="1675"/>
        <v>0</v>
      </c>
      <c r="AG255" s="270">
        <f t="shared" si="1675"/>
        <v>0</v>
      </c>
      <c r="AH255" s="279">
        <f t="shared" si="602"/>
        <v>0</v>
      </c>
      <c r="AI255" s="270">
        <f t="shared" si="43"/>
        <v>0</v>
      </c>
      <c r="AJ255" s="270">
        <f t="shared" ref="AJ255:AO255" si="1676">IF(F$8=0,0,ROUND(AJ254-(F255-BO255),2))</f>
        <v>0</v>
      </c>
      <c r="AK255" s="270">
        <f t="shared" si="1676"/>
        <v>0</v>
      </c>
      <c r="AL255" s="270">
        <f t="shared" si="1676"/>
        <v>0</v>
      </c>
      <c r="AM255" s="270">
        <f t="shared" si="1676"/>
        <v>0</v>
      </c>
      <c r="AN255" s="270">
        <f t="shared" si="1676"/>
        <v>0</v>
      </c>
      <c r="AO255" s="270">
        <f t="shared" si="1676"/>
        <v>0</v>
      </c>
      <c r="AP255" s="270">
        <v>0.0</v>
      </c>
      <c r="AQ255" s="270">
        <f t="shared" ref="AQ255:AS255" si="1677">IF(M$8=0,0,ROUND(AQ254-(M255-BV255),2))</f>
        <v>0</v>
      </c>
      <c r="AR255" s="270">
        <f t="shared" si="1677"/>
        <v>0</v>
      </c>
      <c r="AS255" s="270">
        <f t="shared" si="1677"/>
        <v>0</v>
      </c>
      <c r="AT255" s="270">
        <f t="shared" si="605"/>
        <v>-6.22</v>
      </c>
      <c r="AU255" s="270">
        <f t="shared" ref="AU255:BK255" si="1678">IF(Q$8=0,0,ROUND(AU254-(Q255-BY255),2))</f>
        <v>-15.78</v>
      </c>
      <c r="AV255" s="270">
        <f t="shared" si="1678"/>
        <v>0</v>
      </c>
      <c r="AW255" s="270">
        <f t="shared" si="1678"/>
        <v>0</v>
      </c>
      <c r="AX255" s="270">
        <f t="shared" si="1678"/>
        <v>0</v>
      </c>
      <c r="AY255" s="270">
        <f t="shared" si="1678"/>
        <v>0</v>
      </c>
      <c r="AZ255" s="270">
        <f t="shared" si="1678"/>
        <v>0</v>
      </c>
      <c r="BA255" s="270">
        <f t="shared" si="1678"/>
        <v>0</v>
      </c>
      <c r="BB255" s="270">
        <f t="shared" si="1678"/>
        <v>0</v>
      </c>
      <c r="BC255" s="270">
        <f t="shared" si="1678"/>
        <v>0</v>
      </c>
      <c r="BD255" s="270">
        <f t="shared" si="1678"/>
        <v>0</v>
      </c>
      <c r="BE255" s="270">
        <f t="shared" si="1678"/>
        <v>0</v>
      </c>
      <c r="BF255" s="270">
        <f t="shared" si="1678"/>
        <v>0</v>
      </c>
      <c r="BG255" s="270">
        <f t="shared" si="1678"/>
        <v>0</v>
      </c>
      <c r="BH255" s="270">
        <f t="shared" si="1678"/>
        <v>0</v>
      </c>
      <c r="BI255" s="270">
        <f t="shared" si="1678"/>
        <v>0</v>
      </c>
      <c r="BJ255" s="270">
        <f t="shared" si="1678"/>
        <v>0</v>
      </c>
      <c r="BK255" s="270">
        <f t="shared" si="1678"/>
        <v>0</v>
      </c>
      <c r="BL255" s="265">
        <f t="shared" si="16"/>
        <v>-22</v>
      </c>
      <c r="BM255" s="215"/>
      <c r="BN255" s="270">
        <f t="shared" ref="BN255:CP255" si="1679">ROUND(AI254*E$9/12,2)</f>
        <v>0</v>
      </c>
      <c r="BO255" s="270">
        <f t="shared" si="1679"/>
        <v>0</v>
      </c>
      <c r="BP255" s="270">
        <f t="shared" si="1679"/>
        <v>0</v>
      </c>
      <c r="BQ255" s="270">
        <f t="shared" si="1679"/>
        <v>0</v>
      </c>
      <c r="BR255" s="270">
        <f t="shared" si="1679"/>
        <v>0</v>
      </c>
      <c r="BS255" s="270">
        <f t="shared" si="1679"/>
        <v>0</v>
      </c>
      <c r="BT255" s="270">
        <f t="shared" si="1679"/>
        <v>0</v>
      </c>
      <c r="BU255" s="270">
        <f t="shared" si="1679"/>
        <v>0</v>
      </c>
      <c r="BV255" s="270">
        <f t="shared" si="1679"/>
        <v>0</v>
      </c>
      <c r="BW255" s="270">
        <f t="shared" si="1679"/>
        <v>0</v>
      </c>
      <c r="BX255" s="270">
        <f t="shared" si="1679"/>
        <v>0</v>
      </c>
      <c r="BY255" s="270">
        <f t="shared" si="1679"/>
        <v>-0.05</v>
      </c>
      <c r="BZ255" s="270">
        <f t="shared" si="1679"/>
        <v>-0.05</v>
      </c>
      <c r="CA255" s="270">
        <f t="shared" si="1679"/>
        <v>0</v>
      </c>
      <c r="CB255" s="270">
        <f t="shared" si="1679"/>
        <v>0</v>
      </c>
      <c r="CC255" s="270">
        <f t="shared" si="1679"/>
        <v>0</v>
      </c>
      <c r="CD255" s="270">
        <f t="shared" si="1679"/>
        <v>0</v>
      </c>
      <c r="CE255" s="270">
        <f t="shared" si="1679"/>
        <v>0</v>
      </c>
      <c r="CF255" s="270">
        <f t="shared" si="1679"/>
        <v>0</v>
      </c>
      <c r="CG255" s="270">
        <f t="shared" si="1679"/>
        <v>0</v>
      </c>
      <c r="CH255" s="270">
        <f t="shared" si="1679"/>
        <v>0</v>
      </c>
      <c r="CI255" s="270">
        <f t="shared" si="1679"/>
        <v>0</v>
      </c>
      <c r="CJ255" s="270">
        <f t="shared" si="1679"/>
        <v>0</v>
      </c>
      <c r="CK255" s="270">
        <f t="shared" si="1679"/>
        <v>0</v>
      </c>
      <c r="CL255" s="270">
        <f t="shared" si="1679"/>
        <v>0</v>
      </c>
      <c r="CM255" s="270">
        <f t="shared" si="1679"/>
        <v>0</v>
      </c>
      <c r="CN255" s="270">
        <f t="shared" si="1679"/>
        <v>0</v>
      </c>
      <c r="CO255" s="270">
        <f t="shared" si="1679"/>
        <v>0</v>
      </c>
      <c r="CP255" s="270">
        <f t="shared" si="1679"/>
        <v>0</v>
      </c>
      <c r="CQ255" s="215"/>
      <c r="CR255" s="270">
        <f t="shared" si="27"/>
        <v>-0.1</v>
      </c>
      <c r="CS255" s="215"/>
      <c r="CT255" s="270">
        <f t="shared" ref="CT255:DX255" si="1680">IF(AI254&gt;0,IF((AI254+BN255)&lt;E$10,AI254+BN255,E$10),0)</f>
        <v>0</v>
      </c>
      <c r="CU255" s="270">
        <f t="shared" si="1680"/>
        <v>0</v>
      </c>
      <c r="CV255" s="270">
        <f t="shared" si="1680"/>
        <v>0</v>
      </c>
      <c r="CW255" s="270">
        <f t="shared" si="1680"/>
        <v>0</v>
      </c>
      <c r="CX255" s="270">
        <f t="shared" si="1680"/>
        <v>0</v>
      </c>
      <c r="CY255" s="270">
        <f t="shared" si="1680"/>
        <v>0</v>
      </c>
      <c r="CZ255" s="270">
        <f t="shared" si="1680"/>
        <v>0</v>
      </c>
      <c r="DA255" s="270">
        <f t="shared" si="1680"/>
        <v>0</v>
      </c>
      <c r="DB255" s="270">
        <f t="shared" si="1680"/>
        <v>0</v>
      </c>
      <c r="DC255" s="270">
        <f t="shared" si="1680"/>
        <v>0</v>
      </c>
      <c r="DD255" s="270">
        <f t="shared" si="1680"/>
        <v>0</v>
      </c>
      <c r="DE255" s="270">
        <f t="shared" si="1680"/>
        <v>0</v>
      </c>
      <c r="DF255" s="270">
        <f t="shared" si="1680"/>
        <v>0</v>
      </c>
      <c r="DG255" s="270">
        <f t="shared" si="1680"/>
        <v>0</v>
      </c>
      <c r="DH255" s="270">
        <f t="shared" si="1680"/>
        <v>0</v>
      </c>
      <c r="DI255" s="270">
        <f t="shared" si="1680"/>
        <v>0</v>
      </c>
      <c r="DJ255" s="270">
        <f t="shared" si="1680"/>
        <v>0</v>
      </c>
      <c r="DK255" s="270">
        <f t="shared" si="1680"/>
        <v>0</v>
      </c>
      <c r="DL255" s="270">
        <f t="shared" si="1680"/>
        <v>0</v>
      </c>
      <c r="DM255" s="270">
        <f t="shared" si="1680"/>
        <v>0</v>
      </c>
      <c r="DN255" s="270">
        <f t="shared" si="1680"/>
        <v>0</v>
      </c>
      <c r="DO255" s="270">
        <f t="shared" si="1680"/>
        <v>0</v>
      </c>
      <c r="DP255" s="270">
        <f t="shared" si="1680"/>
        <v>0</v>
      </c>
      <c r="DQ255" s="270">
        <f t="shared" si="1680"/>
        <v>0</v>
      </c>
      <c r="DR255" s="270">
        <f t="shared" si="1680"/>
        <v>0</v>
      </c>
      <c r="DS255" s="270">
        <f t="shared" si="1680"/>
        <v>0</v>
      </c>
      <c r="DT255" s="270">
        <f t="shared" si="1680"/>
        <v>0</v>
      </c>
      <c r="DU255" s="270">
        <f t="shared" si="1680"/>
        <v>0</v>
      </c>
      <c r="DV255" s="270">
        <f t="shared" si="1680"/>
        <v>0</v>
      </c>
      <c r="DW255" s="270">
        <f t="shared" si="1680"/>
        <v>0</v>
      </c>
      <c r="DX255" s="270">
        <f t="shared" si="1680"/>
        <v>0</v>
      </c>
      <c r="DY255" s="270">
        <f t="shared" si="29"/>
        <v>0</v>
      </c>
      <c r="DZ255" s="274"/>
      <c r="EA255" s="275">
        <f t="shared" si="38"/>
        <v>0</v>
      </c>
      <c r="EB255" s="270">
        <f t="shared" ref="EB255:FC255" si="1681">IF(AJ253&lt;=0,0,IF($C254&lt;=SUM($EA255:EA255),0,IF(CU254+$C254-SUM($EA255:EA255)&gt;AJ253+BO254,AJ253+BO254-CU254,$C254-SUM($EA255:EA255))))</f>
        <v>0</v>
      </c>
      <c r="EC255" s="270">
        <f t="shared" si="1681"/>
        <v>0</v>
      </c>
      <c r="ED255" s="270">
        <f t="shared" si="1681"/>
        <v>0</v>
      </c>
      <c r="EE255" s="270">
        <f t="shared" si="1681"/>
        <v>0</v>
      </c>
      <c r="EF255" s="270">
        <f t="shared" si="1681"/>
        <v>0</v>
      </c>
      <c r="EG255" s="270">
        <f t="shared" si="1681"/>
        <v>0</v>
      </c>
      <c r="EH255" s="270">
        <f t="shared" si="1681"/>
        <v>0</v>
      </c>
      <c r="EI255" s="270">
        <f t="shared" si="1681"/>
        <v>0</v>
      </c>
      <c r="EJ255" s="270">
        <f t="shared" si="1681"/>
        <v>0</v>
      </c>
      <c r="EK255" s="270">
        <f t="shared" si="1681"/>
        <v>0</v>
      </c>
      <c r="EL255" s="270">
        <f t="shared" si="1681"/>
        <v>0</v>
      </c>
      <c r="EM255" s="270">
        <f t="shared" si="1681"/>
        <v>0</v>
      </c>
      <c r="EN255" s="270">
        <f t="shared" si="1681"/>
        <v>0</v>
      </c>
      <c r="EO255" s="270">
        <f t="shared" si="1681"/>
        <v>0</v>
      </c>
      <c r="EP255" s="270">
        <f t="shared" si="1681"/>
        <v>0</v>
      </c>
      <c r="EQ255" s="270">
        <f t="shared" si="1681"/>
        <v>0</v>
      </c>
      <c r="ER255" s="270">
        <f t="shared" si="1681"/>
        <v>0</v>
      </c>
      <c r="ES255" s="270">
        <f t="shared" si="1681"/>
        <v>0</v>
      </c>
      <c r="ET255" s="270">
        <f t="shared" si="1681"/>
        <v>0</v>
      </c>
      <c r="EU255" s="270">
        <f t="shared" si="1681"/>
        <v>0</v>
      </c>
      <c r="EV255" s="270">
        <f t="shared" si="1681"/>
        <v>0</v>
      </c>
      <c r="EW255" s="270">
        <f t="shared" si="1681"/>
        <v>0</v>
      </c>
      <c r="EX255" s="270">
        <f t="shared" si="1681"/>
        <v>0</v>
      </c>
      <c r="EY255" s="270">
        <f t="shared" si="1681"/>
        <v>0</v>
      </c>
      <c r="EZ255" s="270">
        <f t="shared" si="1681"/>
        <v>0</v>
      </c>
      <c r="FA255" s="270">
        <f t="shared" si="1681"/>
        <v>0</v>
      </c>
      <c r="FB255" s="270">
        <f t="shared" si="1681"/>
        <v>0</v>
      </c>
      <c r="FC255" s="270">
        <f t="shared" si="1681"/>
        <v>0</v>
      </c>
      <c r="FD255" s="271"/>
      <c r="FE255" s="271"/>
      <c r="FF255" s="271"/>
      <c r="FG255" s="215"/>
      <c r="FH255" s="215"/>
    </row>
    <row r="256" ht="11.25" customHeight="1">
      <c r="A256" s="215" t="str">
        <f t="shared" si="19"/>
        <v/>
      </c>
      <c r="B256" s="241" t="str">
        <f t="shared" si="600"/>
        <v>#N/A</v>
      </c>
      <c r="C256" s="271" t="str">
        <f>IF(A256="","",IF(Calculator!snowball,IF(($E$5-DY256)&lt;0,0,$E$5-DY256),0)+D256)</f>
        <v/>
      </c>
      <c r="D256" s="271"/>
      <c r="E256" s="270">
        <f t="shared" si="40"/>
        <v>0</v>
      </c>
      <c r="F256" s="270">
        <f t="shared" ref="F256:AG256" si="1682">CU256+EB257</f>
        <v>0</v>
      </c>
      <c r="G256" s="270">
        <f t="shared" si="1682"/>
        <v>0</v>
      </c>
      <c r="H256" s="270">
        <f t="shared" si="1682"/>
        <v>0</v>
      </c>
      <c r="I256" s="270">
        <f t="shared" si="1682"/>
        <v>0</v>
      </c>
      <c r="J256" s="270">
        <f t="shared" si="1682"/>
        <v>0</v>
      </c>
      <c r="K256" s="270">
        <f t="shared" si="1682"/>
        <v>0</v>
      </c>
      <c r="L256" s="270">
        <f t="shared" si="1682"/>
        <v>0</v>
      </c>
      <c r="M256" s="270">
        <f t="shared" si="1682"/>
        <v>0</v>
      </c>
      <c r="N256" s="270">
        <f t="shared" si="1682"/>
        <v>0</v>
      </c>
      <c r="O256" s="270">
        <f t="shared" si="1682"/>
        <v>0</v>
      </c>
      <c r="P256" s="272">
        <f t="shared" si="1682"/>
        <v>0</v>
      </c>
      <c r="Q256" s="272">
        <f t="shared" si="1682"/>
        <v>0</v>
      </c>
      <c r="R256" s="272">
        <f t="shared" si="1682"/>
        <v>0</v>
      </c>
      <c r="S256" s="272">
        <f t="shared" si="1682"/>
        <v>0</v>
      </c>
      <c r="T256" s="272">
        <f t="shared" si="1682"/>
        <v>0</v>
      </c>
      <c r="U256" s="270">
        <f t="shared" si="1682"/>
        <v>0</v>
      </c>
      <c r="V256" s="270">
        <f t="shared" si="1682"/>
        <v>0</v>
      </c>
      <c r="W256" s="270">
        <f t="shared" si="1682"/>
        <v>0</v>
      </c>
      <c r="X256" s="270">
        <f t="shared" si="1682"/>
        <v>0</v>
      </c>
      <c r="Y256" s="270">
        <f t="shared" si="1682"/>
        <v>0</v>
      </c>
      <c r="Z256" s="270">
        <f t="shared" si="1682"/>
        <v>0</v>
      </c>
      <c r="AA256" s="270">
        <f t="shared" si="1682"/>
        <v>0</v>
      </c>
      <c r="AB256" s="270">
        <f t="shared" si="1682"/>
        <v>0</v>
      </c>
      <c r="AC256" s="270">
        <f t="shared" si="1682"/>
        <v>0</v>
      </c>
      <c r="AD256" s="270">
        <f t="shared" si="1682"/>
        <v>0</v>
      </c>
      <c r="AE256" s="270">
        <f t="shared" si="1682"/>
        <v>0</v>
      </c>
      <c r="AF256" s="270">
        <f t="shared" si="1682"/>
        <v>0</v>
      </c>
      <c r="AG256" s="270">
        <f t="shared" si="1682"/>
        <v>0</v>
      </c>
      <c r="AH256" s="279">
        <f t="shared" si="602"/>
        <v>0</v>
      </c>
      <c r="AI256" s="270">
        <f t="shared" si="43"/>
        <v>0</v>
      </c>
      <c r="AJ256" s="270">
        <f t="shared" ref="AJ256:AO256" si="1683">IF(F$8=0,0,ROUND(AJ255-(F256-BO256),2))</f>
        <v>0</v>
      </c>
      <c r="AK256" s="270">
        <f t="shared" si="1683"/>
        <v>0</v>
      </c>
      <c r="AL256" s="270">
        <f t="shared" si="1683"/>
        <v>0</v>
      </c>
      <c r="AM256" s="270">
        <f t="shared" si="1683"/>
        <v>0</v>
      </c>
      <c r="AN256" s="270">
        <f t="shared" si="1683"/>
        <v>0</v>
      </c>
      <c r="AO256" s="270">
        <f t="shared" si="1683"/>
        <v>0</v>
      </c>
      <c r="AP256" s="270">
        <v>0.0</v>
      </c>
      <c r="AQ256" s="270">
        <f t="shared" ref="AQ256:AS256" si="1684">IF(M$8=0,0,ROUND(AQ255-(M256-BV256),2))</f>
        <v>0</v>
      </c>
      <c r="AR256" s="270">
        <f t="shared" si="1684"/>
        <v>0</v>
      </c>
      <c r="AS256" s="270">
        <f t="shared" si="1684"/>
        <v>0</v>
      </c>
      <c r="AT256" s="270">
        <f t="shared" si="605"/>
        <v>-6.22</v>
      </c>
      <c r="AU256" s="270">
        <f t="shared" ref="AU256:BK256" si="1685">IF(Q$8=0,0,ROUND(AU255-(Q256-BY256),2))</f>
        <v>-15.83</v>
      </c>
      <c r="AV256" s="270">
        <f t="shared" si="1685"/>
        <v>0</v>
      </c>
      <c r="AW256" s="270">
        <f t="shared" si="1685"/>
        <v>0</v>
      </c>
      <c r="AX256" s="270">
        <f t="shared" si="1685"/>
        <v>0</v>
      </c>
      <c r="AY256" s="270">
        <f t="shared" si="1685"/>
        <v>0</v>
      </c>
      <c r="AZ256" s="270">
        <f t="shared" si="1685"/>
        <v>0</v>
      </c>
      <c r="BA256" s="270">
        <f t="shared" si="1685"/>
        <v>0</v>
      </c>
      <c r="BB256" s="270">
        <f t="shared" si="1685"/>
        <v>0</v>
      </c>
      <c r="BC256" s="270">
        <f t="shared" si="1685"/>
        <v>0</v>
      </c>
      <c r="BD256" s="270">
        <f t="shared" si="1685"/>
        <v>0</v>
      </c>
      <c r="BE256" s="270">
        <f t="shared" si="1685"/>
        <v>0</v>
      </c>
      <c r="BF256" s="270">
        <f t="shared" si="1685"/>
        <v>0</v>
      </c>
      <c r="BG256" s="270">
        <f t="shared" si="1685"/>
        <v>0</v>
      </c>
      <c r="BH256" s="270">
        <f t="shared" si="1685"/>
        <v>0</v>
      </c>
      <c r="BI256" s="270">
        <f t="shared" si="1685"/>
        <v>0</v>
      </c>
      <c r="BJ256" s="270">
        <f t="shared" si="1685"/>
        <v>0</v>
      </c>
      <c r="BK256" s="270">
        <f t="shared" si="1685"/>
        <v>0</v>
      </c>
      <c r="BL256" s="265">
        <f t="shared" si="16"/>
        <v>-22.05</v>
      </c>
      <c r="BM256" s="215"/>
      <c r="BN256" s="270">
        <f t="shared" ref="BN256:CP256" si="1686">ROUND(AI255*E$9/12,2)</f>
        <v>0</v>
      </c>
      <c r="BO256" s="270">
        <f t="shared" si="1686"/>
        <v>0</v>
      </c>
      <c r="BP256" s="270">
        <f t="shared" si="1686"/>
        <v>0</v>
      </c>
      <c r="BQ256" s="270">
        <f t="shared" si="1686"/>
        <v>0</v>
      </c>
      <c r="BR256" s="270">
        <f t="shared" si="1686"/>
        <v>0</v>
      </c>
      <c r="BS256" s="270">
        <f t="shared" si="1686"/>
        <v>0</v>
      </c>
      <c r="BT256" s="270">
        <f t="shared" si="1686"/>
        <v>0</v>
      </c>
      <c r="BU256" s="270">
        <f t="shared" si="1686"/>
        <v>0</v>
      </c>
      <c r="BV256" s="270">
        <f t="shared" si="1686"/>
        <v>0</v>
      </c>
      <c r="BW256" s="270">
        <f t="shared" si="1686"/>
        <v>0</v>
      </c>
      <c r="BX256" s="270">
        <f t="shared" si="1686"/>
        <v>0</v>
      </c>
      <c r="BY256" s="270">
        <f t="shared" si="1686"/>
        <v>-0.05</v>
      </c>
      <c r="BZ256" s="270">
        <f t="shared" si="1686"/>
        <v>-0.05</v>
      </c>
      <c r="CA256" s="270">
        <f t="shared" si="1686"/>
        <v>0</v>
      </c>
      <c r="CB256" s="270">
        <f t="shared" si="1686"/>
        <v>0</v>
      </c>
      <c r="CC256" s="270">
        <f t="shared" si="1686"/>
        <v>0</v>
      </c>
      <c r="CD256" s="270">
        <f t="shared" si="1686"/>
        <v>0</v>
      </c>
      <c r="CE256" s="270">
        <f t="shared" si="1686"/>
        <v>0</v>
      </c>
      <c r="CF256" s="270">
        <f t="shared" si="1686"/>
        <v>0</v>
      </c>
      <c r="CG256" s="270">
        <f t="shared" si="1686"/>
        <v>0</v>
      </c>
      <c r="CH256" s="270">
        <f t="shared" si="1686"/>
        <v>0</v>
      </c>
      <c r="CI256" s="270">
        <f t="shared" si="1686"/>
        <v>0</v>
      </c>
      <c r="CJ256" s="270">
        <f t="shared" si="1686"/>
        <v>0</v>
      </c>
      <c r="CK256" s="270">
        <f t="shared" si="1686"/>
        <v>0</v>
      </c>
      <c r="CL256" s="270">
        <f t="shared" si="1686"/>
        <v>0</v>
      </c>
      <c r="CM256" s="270">
        <f t="shared" si="1686"/>
        <v>0</v>
      </c>
      <c r="CN256" s="270">
        <f t="shared" si="1686"/>
        <v>0</v>
      </c>
      <c r="CO256" s="270">
        <f t="shared" si="1686"/>
        <v>0</v>
      </c>
      <c r="CP256" s="270">
        <f t="shared" si="1686"/>
        <v>0</v>
      </c>
      <c r="CQ256" s="215"/>
      <c r="CR256" s="270">
        <f t="shared" si="27"/>
        <v>-0.1</v>
      </c>
      <c r="CS256" s="215"/>
      <c r="CT256" s="270">
        <f t="shared" ref="CT256:DX256" si="1687">IF(AI255&gt;0,IF((AI255+BN256)&lt;E$10,AI255+BN256,E$10),0)</f>
        <v>0</v>
      </c>
      <c r="CU256" s="270">
        <f t="shared" si="1687"/>
        <v>0</v>
      </c>
      <c r="CV256" s="270">
        <f t="shared" si="1687"/>
        <v>0</v>
      </c>
      <c r="CW256" s="270">
        <f t="shared" si="1687"/>
        <v>0</v>
      </c>
      <c r="CX256" s="270">
        <f t="shared" si="1687"/>
        <v>0</v>
      </c>
      <c r="CY256" s="270">
        <f t="shared" si="1687"/>
        <v>0</v>
      </c>
      <c r="CZ256" s="270">
        <f t="shared" si="1687"/>
        <v>0</v>
      </c>
      <c r="DA256" s="270">
        <f t="shared" si="1687"/>
        <v>0</v>
      </c>
      <c r="DB256" s="270">
        <f t="shared" si="1687"/>
        <v>0</v>
      </c>
      <c r="DC256" s="270">
        <f t="shared" si="1687"/>
        <v>0</v>
      </c>
      <c r="DD256" s="270">
        <f t="shared" si="1687"/>
        <v>0</v>
      </c>
      <c r="DE256" s="270">
        <f t="shared" si="1687"/>
        <v>0</v>
      </c>
      <c r="DF256" s="270">
        <f t="shared" si="1687"/>
        <v>0</v>
      </c>
      <c r="DG256" s="270">
        <f t="shared" si="1687"/>
        <v>0</v>
      </c>
      <c r="DH256" s="270">
        <f t="shared" si="1687"/>
        <v>0</v>
      </c>
      <c r="DI256" s="270">
        <f t="shared" si="1687"/>
        <v>0</v>
      </c>
      <c r="DJ256" s="270">
        <f t="shared" si="1687"/>
        <v>0</v>
      </c>
      <c r="DK256" s="270">
        <f t="shared" si="1687"/>
        <v>0</v>
      </c>
      <c r="DL256" s="270">
        <f t="shared" si="1687"/>
        <v>0</v>
      </c>
      <c r="DM256" s="270">
        <f t="shared" si="1687"/>
        <v>0</v>
      </c>
      <c r="DN256" s="270">
        <f t="shared" si="1687"/>
        <v>0</v>
      </c>
      <c r="DO256" s="270">
        <f t="shared" si="1687"/>
        <v>0</v>
      </c>
      <c r="DP256" s="270">
        <f t="shared" si="1687"/>
        <v>0</v>
      </c>
      <c r="DQ256" s="270">
        <f t="shared" si="1687"/>
        <v>0</v>
      </c>
      <c r="DR256" s="270">
        <f t="shared" si="1687"/>
        <v>0</v>
      </c>
      <c r="DS256" s="270">
        <f t="shared" si="1687"/>
        <v>0</v>
      </c>
      <c r="DT256" s="270">
        <f t="shared" si="1687"/>
        <v>0</v>
      </c>
      <c r="DU256" s="270">
        <f t="shared" si="1687"/>
        <v>0</v>
      </c>
      <c r="DV256" s="270">
        <f t="shared" si="1687"/>
        <v>0</v>
      </c>
      <c r="DW256" s="270">
        <f t="shared" si="1687"/>
        <v>0</v>
      </c>
      <c r="DX256" s="270">
        <f t="shared" si="1687"/>
        <v>0</v>
      </c>
      <c r="DY256" s="270">
        <f t="shared" si="29"/>
        <v>0</v>
      </c>
      <c r="DZ256" s="274"/>
      <c r="EA256" s="275">
        <f t="shared" si="38"/>
        <v>0</v>
      </c>
      <c r="EB256" s="270">
        <f t="shared" ref="EB256:FC256" si="1688">IF(AJ254&lt;=0,0,IF($C255&lt;=SUM($EA256:EA256),0,IF(CU255+$C255-SUM($EA256:EA256)&gt;AJ254+BO255,AJ254+BO255-CU255,$C255-SUM($EA256:EA256))))</f>
        <v>0</v>
      </c>
      <c r="EC256" s="270">
        <f t="shared" si="1688"/>
        <v>0</v>
      </c>
      <c r="ED256" s="270">
        <f t="shared" si="1688"/>
        <v>0</v>
      </c>
      <c r="EE256" s="270">
        <f t="shared" si="1688"/>
        <v>0</v>
      </c>
      <c r="EF256" s="270">
        <f t="shared" si="1688"/>
        <v>0</v>
      </c>
      <c r="EG256" s="270">
        <f t="shared" si="1688"/>
        <v>0</v>
      </c>
      <c r="EH256" s="270">
        <f t="shared" si="1688"/>
        <v>0</v>
      </c>
      <c r="EI256" s="270">
        <f t="shared" si="1688"/>
        <v>0</v>
      </c>
      <c r="EJ256" s="270">
        <f t="shared" si="1688"/>
        <v>0</v>
      </c>
      <c r="EK256" s="270">
        <f t="shared" si="1688"/>
        <v>0</v>
      </c>
      <c r="EL256" s="270">
        <f t="shared" si="1688"/>
        <v>0</v>
      </c>
      <c r="EM256" s="270">
        <f t="shared" si="1688"/>
        <v>0</v>
      </c>
      <c r="EN256" s="270">
        <f t="shared" si="1688"/>
        <v>0</v>
      </c>
      <c r="EO256" s="270">
        <f t="shared" si="1688"/>
        <v>0</v>
      </c>
      <c r="EP256" s="270">
        <f t="shared" si="1688"/>
        <v>0</v>
      </c>
      <c r="EQ256" s="270">
        <f t="shared" si="1688"/>
        <v>0</v>
      </c>
      <c r="ER256" s="270">
        <f t="shared" si="1688"/>
        <v>0</v>
      </c>
      <c r="ES256" s="270">
        <f t="shared" si="1688"/>
        <v>0</v>
      </c>
      <c r="ET256" s="270">
        <f t="shared" si="1688"/>
        <v>0</v>
      </c>
      <c r="EU256" s="270">
        <f t="shared" si="1688"/>
        <v>0</v>
      </c>
      <c r="EV256" s="270">
        <f t="shared" si="1688"/>
        <v>0</v>
      </c>
      <c r="EW256" s="270">
        <f t="shared" si="1688"/>
        <v>0</v>
      </c>
      <c r="EX256" s="270">
        <f t="shared" si="1688"/>
        <v>0</v>
      </c>
      <c r="EY256" s="270">
        <f t="shared" si="1688"/>
        <v>0</v>
      </c>
      <c r="EZ256" s="270">
        <f t="shared" si="1688"/>
        <v>0</v>
      </c>
      <c r="FA256" s="270">
        <f t="shared" si="1688"/>
        <v>0</v>
      </c>
      <c r="FB256" s="270">
        <f t="shared" si="1688"/>
        <v>0</v>
      </c>
      <c r="FC256" s="270">
        <f t="shared" si="1688"/>
        <v>0</v>
      </c>
      <c r="FD256" s="271"/>
      <c r="FE256" s="271"/>
      <c r="FF256" s="271"/>
      <c r="FG256" s="215"/>
      <c r="FH256" s="215"/>
    </row>
    <row r="257" ht="11.25" customHeight="1">
      <c r="A257" s="215" t="str">
        <f t="shared" si="19"/>
        <v/>
      </c>
      <c r="B257" s="241" t="str">
        <f t="shared" si="600"/>
        <v>#N/A</v>
      </c>
      <c r="C257" s="271" t="str">
        <f>IF(A257="","",IF(Calculator!snowball,IF(($E$5-DY257)&lt;0,0,$E$5-DY257),0)+D257)</f>
        <v/>
      </c>
      <c r="D257" s="271"/>
      <c r="E257" s="270">
        <f t="shared" si="40"/>
        <v>0</v>
      </c>
      <c r="F257" s="270">
        <f t="shared" ref="F257:AG257" si="1689">CU257+EB258</f>
        <v>0</v>
      </c>
      <c r="G257" s="270">
        <f t="shared" si="1689"/>
        <v>0</v>
      </c>
      <c r="H257" s="270">
        <f t="shared" si="1689"/>
        <v>0</v>
      </c>
      <c r="I257" s="270">
        <f t="shared" si="1689"/>
        <v>0</v>
      </c>
      <c r="J257" s="270">
        <f t="shared" si="1689"/>
        <v>0</v>
      </c>
      <c r="K257" s="270">
        <f t="shared" si="1689"/>
        <v>0</v>
      </c>
      <c r="L257" s="270">
        <f t="shared" si="1689"/>
        <v>0</v>
      </c>
      <c r="M257" s="270">
        <f t="shared" si="1689"/>
        <v>0</v>
      </c>
      <c r="N257" s="270">
        <f t="shared" si="1689"/>
        <v>0</v>
      </c>
      <c r="O257" s="270">
        <f t="shared" si="1689"/>
        <v>0</v>
      </c>
      <c r="P257" s="272">
        <f t="shared" si="1689"/>
        <v>0</v>
      </c>
      <c r="Q257" s="272">
        <f t="shared" si="1689"/>
        <v>0</v>
      </c>
      <c r="R257" s="272">
        <f t="shared" si="1689"/>
        <v>0</v>
      </c>
      <c r="S257" s="272">
        <f t="shared" si="1689"/>
        <v>0</v>
      </c>
      <c r="T257" s="272">
        <f t="shared" si="1689"/>
        <v>0</v>
      </c>
      <c r="U257" s="270">
        <f t="shared" si="1689"/>
        <v>0</v>
      </c>
      <c r="V257" s="270">
        <f t="shared" si="1689"/>
        <v>0</v>
      </c>
      <c r="W257" s="270">
        <f t="shared" si="1689"/>
        <v>0</v>
      </c>
      <c r="X257" s="270">
        <f t="shared" si="1689"/>
        <v>0</v>
      </c>
      <c r="Y257" s="270">
        <f t="shared" si="1689"/>
        <v>0</v>
      </c>
      <c r="Z257" s="270">
        <f t="shared" si="1689"/>
        <v>0</v>
      </c>
      <c r="AA257" s="270">
        <f t="shared" si="1689"/>
        <v>0</v>
      </c>
      <c r="AB257" s="270">
        <f t="shared" si="1689"/>
        <v>0</v>
      </c>
      <c r="AC257" s="270">
        <f t="shared" si="1689"/>
        <v>0</v>
      </c>
      <c r="AD257" s="270">
        <f t="shared" si="1689"/>
        <v>0</v>
      </c>
      <c r="AE257" s="270">
        <f t="shared" si="1689"/>
        <v>0</v>
      </c>
      <c r="AF257" s="270">
        <f t="shared" si="1689"/>
        <v>0</v>
      </c>
      <c r="AG257" s="270">
        <f t="shared" si="1689"/>
        <v>0</v>
      </c>
      <c r="AH257" s="279">
        <f t="shared" si="602"/>
        <v>0</v>
      </c>
      <c r="AI257" s="270">
        <f t="shared" si="43"/>
        <v>0</v>
      </c>
      <c r="AJ257" s="270">
        <f t="shared" ref="AJ257:AO257" si="1690">IF(F$8=0,0,ROUND(AJ256-(F257-BO257),2))</f>
        <v>0</v>
      </c>
      <c r="AK257" s="270">
        <f t="shared" si="1690"/>
        <v>0</v>
      </c>
      <c r="AL257" s="270">
        <f t="shared" si="1690"/>
        <v>0</v>
      </c>
      <c r="AM257" s="270">
        <f t="shared" si="1690"/>
        <v>0</v>
      </c>
      <c r="AN257" s="270">
        <f t="shared" si="1690"/>
        <v>0</v>
      </c>
      <c r="AO257" s="270">
        <f t="shared" si="1690"/>
        <v>0</v>
      </c>
      <c r="AP257" s="270">
        <v>0.0</v>
      </c>
      <c r="AQ257" s="270">
        <f t="shared" ref="AQ257:AS257" si="1691">IF(M$8=0,0,ROUND(AQ256-(M257-BV257),2))</f>
        <v>0</v>
      </c>
      <c r="AR257" s="270">
        <f t="shared" si="1691"/>
        <v>0</v>
      </c>
      <c r="AS257" s="270">
        <f t="shared" si="1691"/>
        <v>0</v>
      </c>
      <c r="AT257" s="270">
        <f t="shared" si="605"/>
        <v>-6.22</v>
      </c>
      <c r="AU257" s="270">
        <f t="shared" ref="AU257:BK257" si="1692">IF(Q$8=0,0,ROUND(AU256-(Q257-BY257),2))</f>
        <v>-15.88</v>
      </c>
      <c r="AV257" s="270">
        <f t="shared" si="1692"/>
        <v>0</v>
      </c>
      <c r="AW257" s="270">
        <f t="shared" si="1692"/>
        <v>0</v>
      </c>
      <c r="AX257" s="270">
        <f t="shared" si="1692"/>
        <v>0</v>
      </c>
      <c r="AY257" s="270">
        <f t="shared" si="1692"/>
        <v>0</v>
      </c>
      <c r="AZ257" s="270">
        <f t="shared" si="1692"/>
        <v>0</v>
      </c>
      <c r="BA257" s="270">
        <f t="shared" si="1692"/>
        <v>0</v>
      </c>
      <c r="BB257" s="270">
        <f t="shared" si="1692"/>
        <v>0</v>
      </c>
      <c r="BC257" s="270">
        <f t="shared" si="1692"/>
        <v>0</v>
      </c>
      <c r="BD257" s="270">
        <f t="shared" si="1692"/>
        <v>0</v>
      </c>
      <c r="BE257" s="270">
        <f t="shared" si="1692"/>
        <v>0</v>
      </c>
      <c r="BF257" s="270">
        <f t="shared" si="1692"/>
        <v>0</v>
      </c>
      <c r="BG257" s="270">
        <f t="shared" si="1692"/>
        <v>0</v>
      </c>
      <c r="BH257" s="270">
        <f t="shared" si="1692"/>
        <v>0</v>
      </c>
      <c r="BI257" s="270">
        <f t="shared" si="1692"/>
        <v>0</v>
      </c>
      <c r="BJ257" s="270">
        <f t="shared" si="1692"/>
        <v>0</v>
      </c>
      <c r="BK257" s="270">
        <f t="shared" si="1692"/>
        <v>0</v>
      </c>
      <c r="BL257" s="265">
        <f t="shared" si="16"/>
        <v>-22.1</v>
      </c>
      <c r="BM257" s="215"/>
      <c r="BN257" s="270">
        <f t="shared" ref="BN257:CP257" si="1693">ROUND(AI256*E$9/12,2)</f>
        <v>0</v>
      </c>
      <c r="BO257" s="270">
        <f t="shared" si="1693"/>
        <v>0</v>
      </c>
      <c r="BP257" s="270">
        <f t="shared" si="1693"/>
        <v>0</v>
      </c>
      <c r="BQ257" s="270">
        <f t="shared" si="1693"/>
        <v>0</v>
      </c>
      <c r="BR257" s="270">
        <f t="shared" si="1693"/>
        <v>0</v>
      </c>
      <c r="BS257" s="270">
        <f t="shared" si="1693"/>
        <v>0</v>
      </c>
      <c r="BT257" s="270">
        <f t="shared" si="1693"/>
        <v>0</v>
      </c>
      <c r="BU257" s="270">
        <f t="shared" si="1693"/>
        <v>0</v>
      </c>
      <c r="BV257" s="270">
        <f t="shared" si="1693"/>
        <v>0</v>
      </c>
      <c r="BW257" s="270">
        <f t="shared" si="1693"/>
        <v>0</v>
      </c>
      <c r="BX257" s="270">
        <f t="shared" si="1693"/>
        <v>0</v>
      </c>
      <c r="BY257" s="270">
        <f t="shared" si="1693"/>
        <v>-0.05</v>
      </c>
      <c r="BZ257" s="270">
        <f t="shared" si="1693"/>
        <v>-0.05</v>
      </c>
      <c r="CA257" s="270">
        <f t="shared" si="1693"/>
        <v>0</v>
      </c>
      <c r="CB257" s="270">
        <f t="shared" si="1693"/>
        <v>0</v>
      </c>
      <c r="CC257" s="270">
        <f t="shared" si="1693"/>
        <v>0</v>
      </c>
      <c r="CD257" s="270">
        <f t="shared" si="1693"/>
        <v>0</v>
      </c>
      <c r="CE257" s="270">
        <f t="shared" si="1693"/>
        <v>0</v>
      </c>
      <c r="CF257" s="270">
        <f t="shared" si="1693"/>
        <v>0</v>
      </c>
      <c r="CG257" s="270">
        <f t="shared" si="1693"/>
        <v>0</v>
      </c>
      <c r="CH257" s="270">
        <f t="shared" si="1693"/>
        <v>0</v>
      </c>
      <c r="CI257" s="270">
        <f t="shared" si="1693"/>
        <v>0</v>
      </c>
      <c r="CJ257" s="270">
        <f t="shared" si="1693"/>
        <v>0</v>
      </c>
      <c r="CK257" s="270">
        <f t="shared" si="1693"/>
        <v>0</v>
      </c>
      <c r="CL257" s="270">
        <f t="shared" si="1693"/>
        <v>0</v>
      </c>
      <c r="CM257" s="270">
        <f t="shared" si="1693"/>
        <v>0</v>
      </c>
      <c r="CN257" s="270">
        <f t="shared" si="1693"/>
        <v>0</v>
      </c>
      <c r="CO257" s="270">
        <f t="shared" si="1693"/>
        <v>0</v>
      </c>
      <c r="CP257" s="270">
        <f t="shared" si="1693"/>
        <v>0</v>
      </c>
      <c r="CQ257" s="215"/>
      <c r="CR257" s="270">
        <f t="shared" si="27"/>
        <v>-0.1</v>
      </c>
      <c r="CS257" s="215"/>
      <c r="CT257" s="270">
        <f t="shared" ref="CT257:DX257" si="1694">IF(AI256&gt;0,IF((AI256+BN257)&lt;E$10,AI256+BN257,E$10),0)</f>
        <v>0</v>
      </c>
      <c r="CU257" s="270">
        <f t="shared" si="1694"/>
        <v>0</v>
      </c>
      <c r="CV257" s="270">
        <f t="shared" si="1694"/>
        <v>0</v>
      </c>
      <c r="CW257" s="270">
        <f t="shared" si="1694"/>
        <v>0</v>
      </c>
      <c r="CX257" s="270">
        <f t="shared" si="1694"/>
        <v>0</v>
      </c>
      <c r="CY257" s="270">
        <f t="shared" si="1694"/>
        <v>0</v>
      </c>
      <c r="CZ257" s="270">
        <f t="shared" si="1694"/>
        <v>0</v>
      </c>
      <c r="DA257" s="270">
        <f t="shared" si="1694"/>
        <v>0</v>
      </c>
      <c r="DB257" s="270">
        <f t="shared" si="1694"/>
        <v>0</v>
      </c>
      <c r="DC257" s="270">
        <f t="shared" si="1694"/>
        <v>0</v>
      </c>
      <c r="DD257" s="270">
        <f t="shared" si="1694"/>
        <v>0</v>
      </c>
      <c r="DE257" s="270">
        <f t="shared" si="1694"/>
        <v>0</v>
      </c>
      <c r="DF257" s="270">
        <f t="shared" si="1694"/>
        <v>0</v>
      </c>
      <c r="DG257" s="270">
        <f t="shared" si="1694"/>
        <v>0</v>
      </c>
      <c r="DH257" s="270">
        <f t="shared" si="1694"/>
        <v>0</v>
      </c>
      <c r="DI257" s="270">
        <f t="shared" si="1694"/>
        <v>0</v>
      </c>
      <c r="DJ257" s="270">
        <f t="shared" si="1694"/>
        <v>0</v>
      </c>
      <c r="DK257" s="270">
        <f t="shared" si="1694"/>
        <v>0</v>
      </c>
      <c r="DL257" s="270">
        <f t="shared" si="1694"/>
        <v>0</v>
      </c>
      <c r="DM257" s="270">
        <f t="shared" si="1694"/>
        <v>0</v>
      </c>
      <c r="DN257" s="270">
        <f t="shared" si="1694"/>
        <v>0</v>
      </c>
      <c r="DO257" s="270">
        <f t="shared" si="1694"/>
        <v>0</v>
      </c>
      <c r="DP257" s="270">
        <f t="shared" si="1694"/>
        <v>0</v>
      </c>
      <c r="DQ257" s="270">
        <f t="shared" si="1694"/>
        <v>0</v>
      </c>
      <c r="DR257" s="270">
        <f t="shared" si="1694"/>
        <v>0</v>
      </c>
      <c r="DS257" s="270">
        <f t="shared" si="1694"/>
        <v>0</v>
      </c>
      <c r="DT257" s="270">
        <f t="shared" si="1694"/>
        <v>0</v>
      </c>
      <c r="DU257" s="270">
        <f t="shared" si="1694"/>
        <v>0</v>
      </c>
      <c r="DV257" s="270">
        <f t="shared" si="1694"/>
        <v>0</v>
      </c>
      <c r="DW257" s="270">
        <f t="shared" si="1694"/>
        <v>0</v>
      </c>
      <c r="DX257" s="270">
        <f t="shared" si="1694"/>
        <v>0</v>
      </c>
      <c r="DY257" s="270">
        <f t="shared" si="29"/>
        <v>0</v>
      </c>
      <c r="DZ257" s="274"/>
      <c r="EA257" s="275">
        <f t="shared" si="38"/>
        <v>0</v>
      </c>
      <c r="EB257" s="270">
        <f t="shared" ref="EB257:FC257" si="1695">IF(AJ255&lt;=0,0,IF($C256&lt;=SUM($EA257:EA257),0,IF(CU256+$C256-SUM($EA257:EA257)&gt;AJ255+BO256,AJ255+BO256-CU256,$C256-SUM($EA257:EA257))))</f>
        <v>0</v>
      </c>
      <c r="EC257" s="270">
        <f t="shared" si="1695"/>
        <v>0</v>
      </c>
      <c r="ED257" s="270">
        <f t="shared" si="1695"/>
        <v>0</v>
      </c>
      <c r="EE257" s="270">
        <f t="shared" si="1695"/>
        <v>0</v>
      </c>
      <c r="EF257" s="270">
        <f t="shared" si="1695"/>
        <v>0</v>
      </c>
      <c r="EG257" s="270">
        <f t="shared" si="1695"/>
        <v>0</v>
      </c>
      <c r="EH257" s="270">
        <f t="shared" si="1695"/>
        <v>0</v>
      </c>
      <c r="EI257" s="270">
        <f t="shared" si="1695"/>
        <v>0</v>
      </c>
      <c r="EJ257" s="270">
        <f t="shared" si="1695"/>
        <v>0</v>
      </c>
      <c r="EK257" s="270">
        <f t="shared" si="1695"/>
        <v>0</v>
      </c>
      <c r="EL257" s="270">
        <f t="shared" si="1695"/>
        <v>0</v>
      </c>
      <c r="EM257" s="270">
        <f t="shared" si="1695"/>
        <v>0</v>
      </c>
      <c r="EN257" s="270">
        <f t="shared" si="1695"/>
        <v>0</v>
      </c>
      <c r="EO257" s="270">
        <f t="shared" si="1695"/>
        <v>0</v>
      </c>
      <c r="EP257" s="270">
        <f t="shared" si="1695"/>
        <v>0</v>
      </c>
      <c r="EQ257" s="270">
        <f t="shared" si="1695"/>
        <v>0</v>
      </c>
      <c r="ER257" s="270">
        <f t="shared" si="1695"/>
        <v>0</v>
      </c>
      <c r="ES257" s="270">
        <f t="shared" si="1695"/>
        <v>0</v>
      </c>
      <c r="ET257" s="270">
        <f t="shared" si="1695"/>
        <v>0</v>
      </c>
      <c r="EU257" s="270">
        <f t="shared" si="1695"/>
        <v>0</v>
      </c>
      <c r="EV257" s="270">
        <f t="shared" si="1695"/>
        <v>0</v>
      </c>
      <c r="EW257" s="270">
        <f t="shared" si="1695"/>
        <v>0</v>
      </c>
      <c r="EX257" s="270">
        <f t="shared" si="1695"/>
        <v>0</v>
      </c>
      <c r="EY257" s="270">
        <f t="shared" si="1695"/>
        <v>0</v>
      </c>
      <c r="EZ257" s="270">
        <f t="shared" si="1695"/>
        <v>0</v>
      </c>
      <c r="FA257" s="270">
        <f t="shared" si="1695"/>
        <v>0</v>
      </c>
      <c r="FB257" s="270">
        <f t="shared" si="1695"/>
        <v>0</v>
      </c>
      <c r="FC257" s="270">
        <f t="shared" si="1695"/>
        <v>0</v>
      </c>
      <c r="FD257" s="271"/>
      <c r="FE257" s="271"/>
      <c r="FF257" s="271"/>
      <c r="FG257" s="215"/>
      <c r="FH257" s="215"/>
    </row>
    <row r="258" ht="11.25" customHeight="1">
      <c r="A258" s="215" t="str">
        <f t="shared" si="19"/>
        <v/>
      </c>
      <c r="B258" s="241" t="str">
        <f t="shared" si="600"/>
        <v>#N/A</v>
      </c>
      <c r="C258" s="271" t="str">
        <f>IF(A258="","",IF(Calculator!snowball,IF(($E$5-DY258)&lt;0,0,$E$5-DY258),0)+D258)</f>
        <v/>
      </c>
      <c r="D258" s="271"/>
      <c r="E258" s="270">
        <f t="shared" si="40"/>
        <v>0</v>
      </c>
      <c r="F258" s="270">
        <f t="shared" ref="F258:AG258" si="1696">CU258+EB259</f>
        <v>0</v>
      </c>
      <c r="G258" s="270">
        <f t="shared" si="1696"/>
        <v>0</v>
      </c>
      <c r="H258" s="270">
        <f t="shared" si="1696"/>
        <v>0</v>
      </c>
      <c r="I258" s="270">
        <f t="shared" si="1696"/>
        <v>0</v>
      </c>
      <c r="J258" s="270">
        <f t="shared" si="1696"/>
        <v>0</v>
      </c>
      <c r="K258" s="270">
        <f t="shared" si="1696"/>
        <v>0</v>
      </c>
      <c r="L258" s="270">
        <f t="shared" si="1696"/>
        <v>0</v>
      </c>
      <c r="M258" s="270">
        <f t="shared" si="1696"/>
        <v>0</v>
      </c>
      <c r="N258" s="270">
        <f t="shared" si="1696"/>
        <v>0</v>
      </c>
      <c r="O258" s="270">
        <f t="shared" si="1696"/>
        <v>0</v>
      </c>
      <c r="P258" s="272">
        <f t="shared" si="1696"/>
        <v>0</v>
      </c>
      <c r="Q258" s="272">
        <f t="shared" si="1696"/>
        <v>0</v>
      </c>
      <c r="R258" s="272">
        <f t="shared" si="1696"/>
        <v>0</v>
      </c>
      <c r="S258" s="272">
        <f t="shared" si="1696"/>
        <v>0</v>
      </c>
      <c r="T258" s="272">
        <f t="shared" si="1696"/>
        <v>0</v>
      </c>
      <c r="U258" s="270">
        <f t="shared" si="1696"/>
        <v>0</v>
      </c>
      <c r="V258" s="270">
        <f t="shared" si="1696"/>
        <v>0</v>
      </c>
      <c r="W258" s="270">
        <f t="shared" si="1696"/>
        <v>0</v>
      </c>
      <c r="X258" s="270">
        <f t="shared" si="1696"/>
        <v>0</v>
      </c>
      <c r="Y258" s="270">
        <f t="shared" si="1696"/>
        <v>0</v>
      </c>
      <c r="Z258" s="270">
        <f t="shared" si="1696"/>
        <v>0</v>
      </c>
      <c r="AA258" s="270">
        <f t="shared" si="1696"/>
        <v>0</v>
      </c>
      <c r="AB258" s="270">
        <f t="shared" si="1696"/>
        <v>0</v>
      </c>
      <c r="AC258" s="270">
        <f t="shared" si="1696"/>
        <v>0</v>
      </c>
      <c r="AD258" s="270">
        <f t="shared" si="1696"/>
        <v>0</v>
      </c>
      <c r="AE258" s="270">
        <f t="shared" si="1696"/>
        <v>0</v>
      </c>
      <c r="AF258" s="270">
        <f t="shared" si="1696"/>
        <v>0</v>
      </c>
      <c r="AG258" s="270">
        <f t="shared" si="1696"/>
        <v>0</v>
      </c>
      <c r="AH258" s="279">
        <f t="shared" si="602"/>
        <v>0</v>
      </c>
      <c r="AI258" s="270">
        <f t="shared" si="43"/>
        <v>0</v>
      </c>
      <c r="AJ258" s="270">
        <f t="shared" ref="AJ258:AO258" si="1697">IF(F$8=0,0,ROUND(AJ257-(F258-BO258),2))</f>
        <v>0</v>
      </c>
      <c r="AK258" s="270">
        <f t="shared" si="1697"/>
        <v>0</v>
      </c>
      <c r="AL258" s="270">
        <f t="shared" si="1697"/>
        <v>0</v>
      </c>
      <c r="AM258" s="270">
        <f t="shared" si="1697"/>
        <v>0</v>
      </c>
      <c r="AN258" s="270">
        <f t="shared" si="1697"/>
        <v>0</v>
      </c>
      <c r="AO258" s="270">
        <f t="shared" si="1697"/>
        <v>0</v>
      </c>
      <c r="AP258" s="270">
        <v>0.0</v>
      </c>
      <c r="AQ258" s="270">
        <f t="shared" ref="AQ258:AS258" si="1698">IF(M$8=0,0,ROUND(AQ257-(M258-BV258),2))</f>
        <v>0</v>
      </c>
      <c r="AR258" s="270">
        <f t="shared" si="1698"/>
        <v>0</v>
      </c>
      <c r="AS258" s="270">
        <f t="shared" si="1698"/>
        <v>0</v>
      </c>
      <c r="AT258" s="270">
        <f t="shared" si="605"/>
        <v>-6.22</v>
      </c>
      <c r="AU258" s="270">
        <f t="shared" ref="AU258:BK258" si="1699">IF(Q$8=0,0,ROUND(AU257-(Q258-BY258),2))</f>
        <v>-15.93</v>
      </c>
      <c r="AV258" s="270">
        <f t="shared" si="1699"/>
        <v>0</v>
      </c>
      <c r="AW258" s="270">
        <f t="shared" si="1699"/>
        <v>0</v>
      </c>
      <c r="AX258" s="270">
        <f t="shared" si="1699"/>
        <v>0</v>
      </c>
      <c r="AY258" s="270">
        <f t="shared" si="1699"/>
        <v>0</v>
      </c>
      <c r="AZ258" s="270">
        <f t="shared" si="1699"/>
        <v>0</v>
      </c>
      <c r="BA258" s="270">
        <f t="shared" si="1699"/>
        <v>0</v>
      </c>
      <c r="BB258" s="270">
        <f t="shared" si="1699"/>
        <v>0</v>
      </c>
      <c r="BC258" s="270">
        <f t="shared" si="1699"/>
        <v>0</v>
      </c>
      <c r="BD258" s="270">
        <f t="shared" si="1699"/>
        <v>0</v>
      </c>
      <c r="BE258" s="270">
        <f t="shared" si="1699"/>
        <v>0</v>
      </c>
      <c r="BF258" s="270">
        <f t="shared" si="1699"/>
        <v>0</v>
      </c>
      <c r="BG258" s="270">
        <f t="shared" si="1699"/>
        <v>0</v>
      </c>
      <c r="BH258" s="270">
        <f t="shared" si="1699"/>
        <v>0</v>
      </c>
      <c r="BI258" s="270">
        <f t="shared" si="1699"/>
        <v>0</v>
      </c>
      <c r="BJ258" s="270">
        <f t="shared" si="1699"/>
        <v>0</v>
      </c>
      <c r="BK258" s="270">
        <f t="shared" si="1699"/>
        <v>0</v>
      </c>
      <c r="BL258" s="265">
        <f t="shared" si="16"/>
        <v>-22.15</v>
      </c>
      <c r="BM258" s="215"/>
      <c r="BN258" s="270">
        <f t="shared" ref="BN258:CP258" si="1700">ROUND(AI257*E$9/12,2)</f>
        <v>0</v>
      </c>
      <c r="BO258" s="270">
        <f t="shared" si="1700"/>
        <v>0</v>
      </c>
      <c r="BP258" s="270">
        <f t="shared" si="1700"/>
        <v>0</v>
      </c>
      <c r="BQ258" s="270">
        <f t="shared" si="1700"/>
        <v>0</v>
      </c>
      <c r="BR258" s="270">
        <f t="shared" si="1700"/>
        <v>0</v>
      </c>
      <c r="BS258" s="270">
        <f t="shared" si="1700"/>
        <v>0</v>
      </c>
      <c r="BT258" s="270">
        <f t="shared" si="1700"/>
        <v>0</v>
      </c>
      <c r="BU258" s="270">
        <f t="shared" si="1700"/>
        <v>0</v>
      </c>
      <c r="BV258" s="270">
        <f t="shared" si="1700"/>
        <v>0</v>
      </c>
      <c r="BW258" s="270">
        <f t="shared" si="1700"/>
        <v>0</v>
      </c>
      <c r="BX258" s="270">
        <f t="shared" si="1700"/>
        <v>0</v>
      </c>
      <c r="BY258" s="270">
        <f t="shared" si="1700"/>
        <v>-0.05</v>
      </c>
      <c r="BZ258" s="270">
        <f t="shared" si="1700"/>
        <v>-0.05</v>
      </c>
      <c r="CA258" s="270">
        <f t="shared" si="1700"/>
        <v>0</v>
      </c>
      <c r="CB258" s="270">
        <f t="shared" si="1700"/>
        <v>0</v>
      </c>
      <c r="CC258" s="270">
        <f t="shared" si="1700"/>
        <v>0</v>
      </c>
      <c r="CD258" s="270">
        <f t="shared" si="1700"/>
        <v>0</v>
      </c>
      <c r="CE258" s="270">
        <f t="shared" si="1700"/>
        <v>0</v>
      </c>
      <c r="CF258" s="270">
        <f t="shared" si="1700"/>
        <v>0</v>
      </c>
      <c r="CG258" s="270">
        <f t="shared" si="1700"/>
        <v>0</v>
      </c>
      <c r="CH258" s="270">
        <f t="shared" si="1700"/>
        <v>0</v>
      </c>
      <c r="CI258" s="270">
        <f t="shared" si="1700"/>
        <v>0</v>
      </c>
      <c r="CJ258" s="270">
        <f t="shared" si="1700"/>
        <v>0</v>
      </c>
      <c r="CK258" s="270">
        <f t="shared" si="1700"/>
        <v>0</v>
      </c>
      <c r="CL258" s="270">
        <f t="shared" si="1700"/>
        <v>0</v>
      </c>
      <c r="CM258" s="270">
        <f t="shared" si="1700"/>
        <v>0</v>
      </c>
      <c r="CN258" s="270">
        <f t="shared" si="1700"/>
        <v>0</v>
      </c>
      <c r="CO258" s="270">
        <f t="shared" si="1700"/>
        <v>0</v>
      </c>
      <c r="CP258" s="270">
        <f t="shared" si="1700"/>
        <v>0</v>
      </c>
      <c r="CQ258" s="215"/>
      <c r="CR258" s="270">
        <f t="shared" si="27"/>
        <v>-0.1</v>
      </c>
      <c r="CS258" s="215"/>
      <c r="CT258" s="270">
        <f t="shared" ref="CT258:DX258" si="1701">IF(AI257&gt;0,IF((AI257+BN258)&lt;E$10,AI257+BN258,E$10),0)</f>
        <v>0</v>
      </c>
      <c r="CU258" s="270">
        <f t="shared" si="1701"/>
        <v>0</v>
      </c>
      <c r="CV258" s="270">
        <f t="shared" si="1701"/>
        <v>0</v>
      </c>
      <c r="CW258" s="270">
        <f t="shared" si="1701"/>
        <v>0</v>
      </c>
      <c r="CX258" s="270">
        <f t="shared" si="1701"/>
        <v>0</v>
      </c>
      <c r="CY258" s="270">
        <f t="shared" si="1701"/>
        <v>0</v>
      </c>
      <c r="CZ258" s="270">
        <f t="shared" si="1701"/>
        <v>0</v>
      </c>
      <c r="DA258" s="270">
        <f t="shared" si="1701"/>
        <v>0</v>
      </c>
      <c r="DB258" s="270">
        <f t="shared" si="1701"/>
        <v>0</v>
      </c>
      <c r="DC258" s="270">
        <f t="shared" si="1701"/>
        <v>0</v>
      </c>
      <c r="DD258" s="270">
        <f t="shared" si="1701"/>
        <v>0</v>
      </c>
      <c r="DE258" s="270">
        <f t="shared" si="1701"/>
        <v>0</v>
      </c>
      <c r="DF258" s="270">
        <f t="shared" si="1701"/>
        <v>0</v>
      </c>
      <c r="DG258" s="270">
        <f t="shared" si="1701"/>
        <v>0</v>
      </c>
      <c r="DH258" s="270">
        <f t="shared" si="1701"/>
        <v>0</v>
      </c>
      <c r="DI258" s="270">
        <f t="shared" si="1701"/>
        <v>0</v>
      </c>
      <c r="DJ258" s="270">
        <f t="shared" si="1701"/>
        <v>0</v>
      </c>
      <c r="DK258" s="270">
        <f t="shared" si="1701"/>
        <v>0</v>
      </c>
      <c r="DL258" s="270">
        <f t="shared" si="1701"/>
        <v>0</v>
      </c>
      <c r="DM258" s="270">
        <f t="shared" si="1701"/>
        <v>0</v>
      </c>
      <c r="DN258" s="270">
        <f t="shared" si="1701"/>
        <v>0</v>
      </c>
      <c r="DO258" s="270">
        <f t="shared" si="1701"/>
        <v>0</v>
      </c>
      <c r="DP258" s="270">
        <f t="shared" si="1701"/>
        <v>0</v>
      </c>
      <c r="DQ258" s="270">
        <f t="shared" si="1701"/>
        <v>0</v>
      </c>
      <c r="DR258" s="270">
        <f t="shared" si="1701"/>
        <v>0</v>
      </c>
      <c r="DS258" s="270">
        <f t="shared" si="1701"/>
        <v>0</v>
      </c>
      <c r="DT258" s="270">
        <f t="shared" si="1701"/>
        <v>0</v>
      </c>
      <c r="DU258" s="270">
        <f t="shared" si="1701"/>
        <v>0</v>
      </c>
      <c r="DV258" s="270">
        <f t="shared" si="1701"/>
        <v>0</v>
      </c>
      <c r="DW258" s="270">
        <f t="shared" si="1701"/>
        <v>0</v>
      </c>
      <c r="DX258" s="270">
        <f t="shared" si="1701"/>
        <v>0</v>
      </c>
      <c r="DY258" s="270">
        <f t="shared" si="29"/>
        <v>0</v>
      </c>
      <c r="DZ258" s="274"/>
      <c r="EA258" s="275">
        <f t="shared" si="38"/>
        <v>0</v>
      </c>
      <c r="EB258" s="270">
        <f t="shared" ref="EB258:FC258" si="1702">IF(AJ256&lt;=0,0,IF($C257&lt;=SUM($EA258:EA258),0,IF(CU257+$C257-SUM($EA258:EA258)&gt;AJ256+BO257,AJ256+BO257-CU257,$C257-SUM($EA258:EA258))))</f>
        <v>0</v>
      </c>
      <c r="EC258" s="270">
        <f t="shared" si="1702"/>
        <v>0</v>
      </c>
      <c r="ED258" s="270">
        <f t="shared" si="1702"/>
        <v>0</v>
      </c>
      <c r="EE258" s="270">
        <f t="shared" si="1702"/>
        <v>0</v>
      </c>
      <c r="EF258" s="270">
        <f t="shared" si="1702"/>
        <v>0</v>
      </c>
      <c r="EG258" s="270">
        <f t="shared" si="1702"/>
        <v>0</v>
      </c>
      <c r="EH258" s="270">
        <f t="shared" si="1702"/>
        <v>0</v>
      </c>
      <c r="EI258" s="270">
        <f t="shared" si="1702"/>
        <v>0</v>
      </c>
      <c r="EJ258" s="270">
        <f t="shared" si="1702"/>
        <v>0</v>
      </c>
      <c r="EK258" s="270">
        <f t="shared" si="1702"/>
        <v>0</v>
      </c>
      <c r="EL258" s="270">
        <f t="shared" si="1702"/>
        <v>0</v>
      </c>
      <c r="EM258" s="270">
        <f t="shared" si="1702"/>
        <v>0</v>
      </c>
      <c r="EN258" s="270">
        <f t="shared" si="1702"/>
        <v>0</v>
      </c>
      <c r="EO258" s="270">
        <f t="shared" si="1702"/>
        <v>0</v>
      </c>
      <c r="EP258" s="270">
        <f t="shared" si="1702"/>
        <v>0</v>
      </c>
      <c r="EQ258" s="270">
        <f t="shared" si="1702"/>
        <v>0</v>
      </c>
      <c r="ER258" s="270">
        <f t="shared" si="1702"/>
        <v>0</v>
      </c>
      <c r="ES258" s="270">
        <f t="shared" si="1702"/>
        <v>0</v>
      </c>
      <c r="ET258" s="270">
        <f t="shared" si="1702"/>
        <v>0</v>
      </c>
      <c r="EU258" s="270">
        <f t="shared" si="1702"/>
        <v>0</v>
      </c>
      <c r="EV258" s="270">
        <f t="shared" si="1702"/>
        <v>0</v>
      </c>
      <c r="EW258" s="270">
        <f t="shared" si="1702"/>
        <v>0</v>
      </c>
      <c r="EX258" s="270">
        <f t="shared" si="1702"/>
        <v>0</v>
      </c>
      <c r="EY258" s="270">
        <f t="shared" si="1702"/>
        <v>0</v>
      </c>
      <c r="EZ258" s="270">
        <f t="shared" si="1702"/>
        <v>0</v>
      </c>
      <c r="FA258" s="270">
        <f t="shared" si="1702"/>
        <v>0</v>
      </c>
      <c r="FB258" s="270">
        <f t="shared" si="1702"/>
        <v>0</v>
      </c>
      <c r="FC258" s="270">
        <f t="shared" si="1702"/>
        <v>0</v>
      </c>
      <c r="FD258" s="271"/>
      <c r="FE258" s="271"/>
      <c r="FF258" s="271"/>
      <c r="FG258" s="215"/>
      <c r="FH258" s="215"/>
    </row>
    <row r="259" ht="11.25" customHeight="1">
      <c r="A259" s="215" t="str">
        <f t="shared" si="19"/>
        <v/>
      </c>
      <c r="B259" s="241" t="str">
        <f t="shared" si="600"/>
        <v>#N/A</v>
      </c>
      <c r="C259" s="271" t="str">
        <f>IF(A259="","",IF(Calculator!snowball,IF(($E$5-DY259)&lt;0,0,$E$5-DY259),0)+D259)</f>
        <v/>
      </c>
      <c r="D259" s="271"/>
      <c r="E259" s="270">
        <f t="shared" si="40"/>
        <v>0</v>
      </c>
      <c r="F259" s="270">
        <f t="shared" ref="F259:AG259" si="1703">CU259+EB260</f>
        <v>0</v>
      </c>
      <c r="G259" s="270">
        <f t="shared" si="1703"/>
        <v>0</v>
      </c>
      <c r="H259" s="270">
        <f t="shared" si="1703"/>
        <v>0</v>
      </c>
      <c r="I259" s="270">
        <f t="shared" si="1703"/>
        <v>0</v>
      </c>
      <c r="J259" s="270">
        <f t="shared" si="1703"/>
        <v>0</v>
      </c>
      <c r="K259" s="270">
        <f t="shared" si="1703"/>
        <v>0</v>
      </c>
      <c r="L259" s="270">
        <f t="shared" si="1703"/>
        <v>0</v>
      </c>
      <c r="M259" s="270">
        <f t="shared" si="1703"/>
        <v>0</v>
      </c>
      <c r="N259" s="270">
        <f t="shared" si="1703"/>
        <v>0</v>
      </c>
      <c r="O259" s="270">
        <f t="shared" si="1703"/>
        <v>0</v>
      </c>
      <c r="P259" s="272">
        <f t="shared" si="1703"/>
        <v>0</v>
      </c>
      <c r="Q259" s="272">
        <f t="shared" si="1703"/>
        <v>0</v>
      </c>
      <c r="R259" s="272">
        <f t="shared" si="1703"/>
        <v>0</v>
      </c>
      <c r="S259" s="272">
        <f t="shared" si="1703"/>
        <v>0</v>
      </c>
      <c r="T259" s="272">
        <f t="shared" si="1703"/>
        <v>0</v>
      </c>
      <c r="U259" s="270">
        <f t="shared" si="1703"/>
        <v>0</v>
      </c>
      <c r="V259" s="270">
        <f t="shared" si="1703"/>
        <v>0</v>
      </c>
      <c r="W259" s="270">
        <f t="shared" si="1703"/>
        <v>0</v>
      </c>
      <c r="X259" s="270">
        <f t="shared" si="1703"/>
        <v>0</v>
      </c>
      <c r="Y259" s="270">
        <f t="shared" si="1703"/>
        <v>0</v>
      </c>
      <c r="Z259" s="270">
        <f t="shared" si="1703"/>
        <v>0</v>
      </c>
      <c r="AA259" s="270">
        <f t="shared" si="1703"/>
        <v>0</v>
      </c>
      <c r="AB259" s="270">
        <f t="shared" si="1703"/>
        <v>0</v>
      </c>
      <c r="AC259" s="270">
        <f t="shared" si="1703"/>
        <v>0</v>
      </c>
      <c r="AD259" s="270">
        <f t="shared" si="1703"/>
        <v>0</v>
      </c>
      <c r="AE259" s="270">
        <f t="shared" si="1703"/>
        <v>0</v>
      </c>
      <c r="AF259" s="270">
        <f t="shared" si="1703"/>
        <v>0</v>
      </c>
      <c r="AG259" s="270">
        <f t="shared" si="1703"/>
        <v>0</v>
      </c>
      <c r="AH259" s="279">
        <f t="shared" si="602"/>
        <v>0</v>
      </c>
      <c r="AI259" s="270">
        <f t="shared" si="43"/>
        <v>0</v>
      </c>
      <c r="AJ259" s="270">
        <f t="shared" ref="AJ259:AO259" si="1704">IF(F$8=0,0,ROUND(AJ258-(F259-BO259),2))</f>
        <v>0</v>
      </c>
      <c r="AK259" s="270">
        <f t="shared" si="1704"/>
        <v>0</v>
      </c>
      <c r="AL259" s="270">
        <f t="shared" si="1704"/>
        <v>0</v>
      </c>
      <c r="AM259" s="270">
        <f t="shared" si="1704"/>
        <v>0</v>
      </c>
      <c r="AN259" s="270">
        <f t="shared" si="1704"/>
        <v>0</v>
      </c>
      <c r="AO259" s="270">
        <f t="shared" si="1704"/>
        <v>0</v>
      </c>
      <c r="AP259" s="270">
        <v>0.0</v>
      </c>
      <c r="AQ259" s="270">
        <f t="shared" ref="AQ259:AS259" si="1705">IF(M$8=0,0,ROUND(AQ258-(M259-BV259),2))</f>
        <v>0</v>
      </c>
      <c r="AR259" s="270">
        <f t="shared" si="1705"/>
        <v>0</v>
      </c>
      <c r="AS259" s="270">
        <f t="shared" si="1705"/>
        <v>0</v>
      </c>
      <c r="AT259" s="270">
        <f t="shared" si="605"/>
        <v>-6.22</v>
      </c>
      <c r="AU259" s="270">
        <f t="shared" ref="AU259:BK259" si="1706">IF(Q$8=0,0,ROUND(AU258-(Q259-BY259),2))</f>
        <v>-15.98</v>
      </c>
      <c r="AV259" s="270">
        <f t="shared" si="1706"/>
        <v>0</v>
      </c>
      <c r="AW259" s="270">
        <f t="shared" si="1706"/>
        <v>0</v>
      </c>
      <c r="AX259" s="270">
        <f t="shared" si="1706"/>
        <v>0</v>
      </c>
      <c r="AY259" s="270">
        <f t="shared" si="1706"/>
        <v>0</v>
      </c>
      <c r="AZ259" s="270">
        <f t="shared" si="1706"/>
        <v>0</v>
      </c>
      <c r="BA259" s="270">
        <f t="shared" si="1706"/>
        <v>0</v>
      </c>
      <c r="BB259" s="270">
        <f t="shared" si="1706"/>
        <v>0</v>
      </c>
      <c r="BC259" s="270">
        <f t="shared" si="1706"/>
        <v>0</v>
      </c>
      <c r="BD259" s="270">
        <f t="shared" si="1706"/>
        <v>0</v>
      </c>
      <c r="BE259" s="270">
        <f t="shared" si="1706"/>
        <v>0</v>
      </c>
      <c r="BF259" s="270">
        <f t="shared" si="1706"/>
        <v>0</v>
      </c>
      <c r="BG259" s="270">
        <f t="shared" si="1706"/>
        <v>0</v>
      </c>
      <c r="BH259" s="270">
        <f t="shared" si="1706"/>
        <v>0</v>
      </c>
      <c r="BI259" s="270">
        <f t="shared" si="1706"/>
        <v>0</v>
      </c>
      <c r="BJ259" s="270">
        <f t="shared" si="1706"/>
        <v>0</v>
      </c>
      <c r="BK259" s="270">
        <f t="shared" si="1706"/>
        <v>0</v>
      </c>
      <c r="BL259" s="265">
        <f t="shared" si="16"/>
        <v>-22.2</v>
      </c>
      <c r="BM259" s="215"/>
      <c r="BN259" s="270">
        <f t="shared" ref="BN259:CP259" si="1707">ROUND(AI258*E$9/12,2)</f>
        <v>0</v>
      </c>
      <c r="BO259" s="270">
        <f t="shared" si="1707"/>
        <v>0</v>
      </c>
      <c r="BP259" s="270">
        <f t="shared" si="1707"/>
        <v>0</v>
      </c>
      <c r="BQ259" s="270">
        <f t="shared" si="1707"/>
        <v>0</v>
      </c>
      <c r="BR259" s="270">
        <f t="shared" si="1707"/>
        <v>0</v>
      </c>
      <c r="BS259" s="270">
        <f t="shared" si="1707"/>
        <v>0</v>
      </c>
      <c r="BT259" s="270">
        <f t="shared" si="1707"/>
        <v>0</v>
      </c>
      <c r="BU259" s="270">
        <f t="shared" si="1707"/>
        <v>0</v>
      </c>
      <c r="BV259" s="270">
        <f t="shared" si="1707"/>
        <v>0</v>
      </c>
      <c r="BW259" s="270">
        <f t="shared" si="1707"/>
        <v>0</v>
      </c>
      <c r="BX259" s="270">
        <f t="shared" si="1707"/>
        <v>0</v>
      </c>
      <c r="BY259" s="270">
        <f t="shared" si="1707"/>
        <v>-0.05</v>
      </c>
      <c r="BZ259" s="270">
        <f t="shared" si="1707"/>
        <v>-0.05</v>
      </c>
      <c r="CA259" s="270">
        <f t="shared" si="1707"/>
        <v>0</v>
      </c>
      <c r="CB259" s="270">
        <f t="shared" si="1707"/>
        <v>0</v>
      </c>
      <c r="CC259" s="270">
        <f t="shared" si="1707"/>
        <v>0</v>
      </c>
      <c r="CD259" s="270">
        <f t="shared" si="1707"/>
        <v>0</v>
      </c>
      <c r="CE259" s="270">
        <f t="shared" si="1707"/>
        <v>0</v>
      </c>
      <c r="CF259" s="270">
        <f t="shared" si="1707"/>
        <v>0</v>
      </c>
      <c r="CG259" s="270">
        <f t="shared" si="1707"/>
        <v>0</v>
      </c>
      <c r="CH259" s="270">
        <f t="shared" si="1707"/>
        <v>0</v>
      </c>
      <c r="CI259" s="270">
        <f t="shared" si="1707"/>
        <v>0</v>
      </c>
      <c r="CJ259" s="270">
        <f t="shared" si="1707"/>
        <v>0</v>
      </c>
      <c r="CK259" s="270">
        <f t="shared" si="1707"/>
        <v>0</v>
      </c>
      <c r="CL259" s="270">
        <f t="shared" si="1707"/>
        <v>0</v>
      </c>
      <c r="CM259" s="270">
        <f t="shared" si="1707"/>
        <v>0</v>
      </c>
      <c r="CN259" s="270">
        <f t="shared" si="1707"/>
        <v>0</v>
      </c>
      <c r="CO259" s="270">
        <f t="shared" si="1707"/>
        <v>0</v>
      </c>
      <c r="CP259" s="270">
        <f t="shared" si="1707"/>
        <v>0</v>
      </c>
      <c r="CQ259" s="215"/>
      <c r="CR259" s="270">
        <f t="shared" si="27"/>
        <v>-0.1</v>
      </c>
      <c r="CS259" s="215"/>
      <c r="CT259" s="270">
        <f t="shared" ref="CT259:DX259" si="1708">IF(AI258&gt;0,IF((AI258+BN259)&lt;E$10,AI258+BN259,E$10),0)</f>
        <v>0</v>
      </c>
      <c r="CU259" s="270">
        <f t="shared" si="1708"/>
        <v>0</v>
      </c>
      <c r="CV259" s="270">
        <f t="shared" si="1708"/>
        <v>0</v>
      </c>
      <c r="CW259" s="270">
        <f t="shared" si="1708"/>
        <v>0</v>
      </c>
      <c r="CX259" s="270">
        <f t="shared" si="1708"/>
        <v>0</v>
      </c>
      <c r="CY259" s="270">
        <f t="shared" si="1708"/>
        <v>0</v>
      </c>
      <c r="CZ259" s="270">
        <f t="shared" si="1708"/>
        <v>0</v>
      </c>
      <c r="DA259" s="270">
        <f t="shared" si="1708"/>
        <v>0</v>
      </c>
      <c r="DB259" s="270">
        <f t="shared" si="1708"/>
        <v>0</v>
      </c>
      <c r="DC259" s="270">
        <f t="shared" si="1708"/>
        <v>0</v>
      </c>
      <c r="DD259" s="270">
        <f t="shared" si="1708"/>
        <v>0</v>
      </c>
      <c r="DE259" s="270">
        <f t="shared" si="1708"/>
        <v>0</v>
      </c>
      <c r="DF259" s="270">
        <f t="shared" si="1708"/>
        <v>0</v>
      </c>
      <c r="DG259" s="270">
        <f t="shared" si="1708"/>
        <v>0</v>
      </c>
      <c r="DH259" s="270">
        <f t="shared" si="1708"/>
        <v>0</v>
      </c>
      <c r="DI259" s="270">
        <f t="shared" si="1708"/>
        <v>0</v>
      </c>
      <c r="DJ259" s="270">
        <f t="shared" si="1708"/>
        <v>0</v>
      </c>
      <c r="DK259" s="270">
        <f t="shared" si="1708"/>
        <v>0</v>
      </c>
      <c r="DL259" s="270">
        <f t="shared" si="1708"/>
        <v>0</v>
      </c>
      <c r="DM259" s="270">
        <f t="shared" si="1708"/>
        <v>0</v>
      </c>
      <c r="DN259" s="270">
        <f t="shared" si="1708"/>
        <v>0</v>
      </c>
      <c r="DO259" s="270">
        <f t="shared" si="1708"/>
        <v>0</v>
      </c>
      <c r="DP259" s="270">
        <f t="shared" si="1708"/>
        <v>0</v>
      </c>
      <c r="DQ259" s="270">
        <f t="shared" si="1708"/>
        <v>0</v>
      </c>
      <c r="DR259" s="270">
        <f t="shared" si="1708"/>
        <v>0</v>
      </c>
      <c r="DS259" s="270">
        <f t="shared" si="1708"/>
        <v>0</v>
      </c>
      <c r="DT259" s="270">
        <f t="shared" si="1708"/>
        <v>0</v>
      </c>
      <c r="DU259" s="270">
        <f t="shared" si="1708"/>
        <v>0</v>
      </c>
      <c r="DV259" s="270">
        <f t="shared" si="1708"/>
        <v>0</v>
      </c>
      <c r="DW259" s="270">
        <f t="shared" si="1708"/>
        <v>0</v>
      </c>
      <c r="DX259" s="270">
        <f t="shared" si="1708"/>
        <v>0</v>
      </c>
      <c r="DY259" s="270">
        <f t="shared" si="29"/>
        <v>0</v>
      </c>
      <c r="DZ259" s="274"/>
      <c r="EA259" s="275">
        <f t="shared" si="38"/>
        <v>0</v>
      </c>
      <c r="EB259" s="270">
        <f t="shared" ref="EB259:FC259" si="1709">IF(AJ257&lt;=0,0,IF($C258&lt;=SUM($EA259:EA259),0,IF(CU258+$C258-SUM($EA259:EA259)&gt;AJ257+BO258,AJ257+BO258-CU258,$C258-SUM($EA259:EA259))))</f>
        <v>0</v>
      </c>
      <c r="EC259" s="270">
        <f t="shared" si="1709"/>
        <v>0</v>
      </c>
      <c r="ED259" s="270">
        <f t="shared" si="1709"/>
        <v>0</v>
      </c>
      <c r="EE259" s="270">
        <f t="shared" si="1709"/>
        <v>0</v>
      </c>
      <c r="EF259" s="270">
        <f t="shared" si="1709"/>
        <v>0</v>
      </c>
      <c r="EG259" s="270">
        <f t="shared" si="1709"/>
        <v>0</v>
      </c>
      <c r="EH259" s="270">
        <f t="shared" si="1709"/>
        <v>0</v>
      </c>
      <c r="EI259" s="270">
        <f t="shared" si="1709"/>
        <v>0</v>
      </c>
      <c r="EJ259" s="270">
        <f t="shared" si="1709"/>
        <v>0</v>
      </c>
      <c r="EK259" s="270">
        <f t="shared" si="1709"/>
        <v>0</v>
      </c>
      <c r="EL259" s="270">
        <f t="shared" si="1709"/>
        <v>0</v>
      </c>
      <c r="EM259" s="270">
        <f t="shared" si="1709"/>
        <v>0</v>
      </c>
      <c r="EN259" s="270">
        <f t="shared" si="1709"/>
        <v>0</v>
      </c>
      <c r="EO259" s="270">
        <f t="shared" si="1709"/>
        <v>0</v>
      </c>
      <c r="EP259" s="270">
        <f t="shared" si="1709"/>
        <v>0</v>
      </c>
      <c r="EQ259" s="270">
        <f t="shared" si="1709"/>
        <v>0</v>
      </c>
      <c r="ER259" s="270">
        <f t="shared" si="1709"/>
        <v>0</v>
      </c>
      <c r="ES259" s="270">
        <f t="shared" si="1709"/>
        <v>0</v>
      </c>
      <c r="ET259" s="270">
        <f t="shared" si="1709"/>
        <v>0</v>
      </c>
      <c r="EU259" s="270">
        <f t="shared" si="1709"/>
        <v>0</v>
      </c>
      <c r="EV259" s="270">
        <f t="shared" si="1709"/>
        <v>0</v>
      </c>
      <c r="EW259" s="270">
        <f t="shared" si="1709"/>
        <v>0</v>
      </c>
      <c r="EX259" s="270">
        <f t="shared" si="1709"/>
        <v>0</v>
      </c>
      <c r="EY259" s="270">
        <f t="shared" si="1709"/>
        <v>0</v>
      </c>
      <c r="EZ259" s="270">
        <f t="shared" si="1709"/>
        <v>0</v>
      </c>
      <c r="FA259" s="270">
        <f t="shared" si="1709"/>
        <v>0</v>
      </c>
      <c r="FB259" s="270">
        <f t="shared" si="1709"/>
        <v>0</v>
      </c>
      <c r="FC259" s="270">
        <f t="shared" si="1709"/>
        <v>0</v>
      </c>
      <c r="FD259" s="271"/>
      <c r="FE259" s="271"/>
      <c r="FF259" s="271"/>
      <c r="FG259" s="215"/>
      <c r="FH259" s="215"/>
    </row>
    <row r="260" ht="11.25" customHeight="1">
      <c r="A260" s="215" t="str">
        <f t="shared" si="19"/>
        <v/>
      </c>
      <c r="B260" s="241" t="str">
        <f t="shared" si="600"/>
        <v>#N/A</v>
      </c>
      <c r="C260" s="271" t="str">
        <f>IF(A260="","",IF(Calculator!snowball,IF(($E$5-DY260)&lt;0,0,$E$5-DY260),0)+D260)</f>
        <v/>
      </c>
      <c r="D260" s="271"/>
      <c r="E260" s="270">
        <f t="shared" si="40"/>
        <v>0</v>
      </c>
      <c r="F260" s="270">
        <f t="shared" ref="F260:AG260" si="1710">CU260+EB261</f>
        <v>0</v>
      </c>
      <c r="G260" s="270">
        <f t="shared" si="1710"/>
        <v>0</v>
      </c>
      <c r="H260" s="270">
        <f t="shared" si="1710"/>
        <v>0</v>
      </c>
      <c r="I260" s="270">
        <f t="shared" si="1710"/>
        <v>0</v>
      </c>
      <c r="J260" s="270">
        <f t="shared" si="1710"/>
        <v>0</v>
      </c>
      <c r="K260" s="270">
        <f t="shared" si="1710"/>
        <v>0</v>
      </c>
      <c r="L260" s="270">
        <f t="shared" si="1710"/>
        <v>0</v>
      </c>
      <c r="M260" s="270">
        <f t="shared" si="1710"/>
        <v>0</v>
      </c>
      <c r="N260" s="270">
        <f t="shared" si="1710"/>
        <v>0</v>
      </c>
      <c r="O260" s="270">
        <f t="shared" si="1710"/>
        <v>0</v>
      </c>
      <c r="P260" s="272">
        <f t="shared" si="1710"/>
        <v>0</v>
      </c>
      <c r="Q260" s="272">
        <f t="shared" si="1710"/>
        <v>0</v>
      </c>
      <c r="R260" s="272">
        <f t="shared" si="1710"/>
        <v>0</v>
      </c>
      <c r="S260" s="272">
        <f t="shared" si="1710"/>
        <v>0</v>
      </c>
      <c r="T260" s="272">
        <f t="shared" si="1710"/>
        <v>0</v>
      </c>
      <c r="U260" s="270">
        <f t="shared" si="1710"/>
        <v>0</v>
      </c>
      <c r="V260" s="270">
        <f t="shared" si="1710"/>
        <v>0</v>
      </c>
      <c r="W260" s="270">
        <f t="shared" si="1710"/>
        <v>0</v>
      </c>
      <c r="X260" s="270">
        <f t="shared" si="1710"/>
        <v>0</v>
      </c>
      <c r="Y260" s="270">
        <f t="shared" si="1710"/>
        <v>0</v>
      </c>
      <c r="Z260" s="270">
        <f t="shared" si="1710"/>
        <v>0</v>
      </c>
      <c r="AA260" s="270">
        <f t="shared" si="1710"/>
        <v>0</v>
      </c>
      <c r="AB260" s="270">
        <f t="shared" si="1710"/>
        <v>0</v>
      </c>
      <c r="AC260" s="270">
        <f t="shared" si="1710"/>
        <v>0</v>
      </c>
      <c r="AD260" s="270">
        <f t="shared" si="1710"/>
        <v>0</v>
      </c>
      <c r="AE260" s="270">
        <f t="shared" si="1710"/>
        <v>0</v>
      </c>
      <c r="AF260" s="270">
        <f t="shared" si="1710"/>
        <v>0</v>
      </c>
      <c r="AG260" s="270">
        <f t="shared" si="1710"/>
        <v>0</v>
      </c>
      <c r="AH260" s="279">
        <f t="shared" si="602"/>
        <v>0</v>
      </c>
      <c r="AI260" s="270">
        <f t="shared" si="43"/>
        <v>0</v>
      </c>
      <c r="AJ260" s="270">
        <f t="shared" ref="AJ260:AO260" si="1711">IF(F$8=0,0,ROUND(AJ259-(F260-BO260),2))</f>
        <v>0</v>
      </c>
      <c r="AK260" s="270">
        <f t="shared" si="1711"/>
        <v>0</v>
      </c>
      <c r="AL260" s="270">
        <f t="shared" si="1711"/>
        <v>0</v>
      </c>
      <c r="AM260" s="270">
        <f t="shared" si="1711"/>
        <v>0</v>
      </c>
      <c r="AN260" s="270">
        <f t="shared" si="1711"/>
        <v>0</v>
      </c>
      <c r="AO260" s="270">
        <f t="shared" si="1711"/>
        <v>0</v>
      </c>
      <c r="AP260" s="270">
        <v>0.0</v>
      </c>
      <c r="AQ260" s="270">
        <f t="shared" ref="AQ260:AS260" si="1712">IF(M$8=0,0,ROUND(AQ259-(M260-BV260),2))</f>
        <v>0</v>
      </c>
      <c r="AR260" s="270">
        <f t="shared" si="1712"/>
        <v>0</v>
      </c>
      <c r="AS260" s="270">
        <f t="shared" si="1712"/>
        <v>0</v>
      </c>
      <c r="AT260" s="270">
        <f t="shared" si="605"/>
        <v>-6.22</v>
      </c>
      <c r="AU260" s="270">
        <f t="shared" ref="AU260:BK260" si="1713">IF(Q$8=0,0,ROUND(AU259-(Q260-BY260),2))</f>
        <v>-16.03</v>
      </c>
      <c r="AV260" s="270">
        <f t="shared" si="1713"/>
        <v>0</v>
      </c>
      <c r="AW260" s="270">
        <f t="shared" si="1713"/>
        <v>0</v>
      </c>
      <c r="AX260" s="270">
        <f t="shared" si="1713"/>
        <v>0</v>
      </c>
      <c r="AY260" s="270">
        <f t="shared" si="1713"/>
        <v>0</v>
      </c>
      <c r="AZ260" s="270">
        <f t="shared" si="1713"/>
        <v>0</v>
      </c>
      <c r="BA260" s="270">
        <f t="shared" si="1713"/>
        <v>0</v>
      </c>
      <c r="BB260" s="270">
        <f t="shared" si="1713"/>
        <v>0</v>
      </c>
      <c r="BC260" s="270">
        <f t="shared" si="1713"/>
        <v>0</v>
      </c>
      <c r="BD260" s="270">
        <f t="shared" si="1713"/>
        <v>0</v>
      </c>
      <c r="BE260" s="270">
        <f t="shared" si="1713"/>
        <v>0</v>
      </c>
      <c r="BF260" s="270">
        <f t="shared" si="1713"/>
        <v>0</v>
      </c>
      <c r="BG260" s="270">
        <f t="shared" si="1713"/>
        <v>0</v>
      </c>
      <c r="BH260" s="270">
        <f t="shared" si="1713"/>
        <v>0</v>
      </c>
      <c r="BI260" s="270">
        <f t="shared" si="1713"/>
        <v>0</v>
      </c>
      <c r="BJ260" s="270">
        <f t="shared" si="1713"/>
        <v>0</v>
      </c>
      <c r="BK260" s="270">
        <f t="shared" si="1713"/>
        <v>0</v>
      </c>
      <c r="BL260" s="265">
        <f t="shared" si="16"/>
        <v>-22.25</v>
      </c>
      <c r="BM260" s="215"/>
      <c r="BN260" s="270">
        <f t="shared" ref="BN260:CP260" si="1714">ROUND(AI259*E$9/12,2)</f>
        <v>0</v>
      </c>
      <c r="BO260" s="270">
        <f t="shared" si="1714"/>
        <v>0</v>
      </c>
      <c r="BP260" s="270">
        <f t="shared" si="1714"/>
        <v>0</v>
      </c>
      <c r="BQ260" s="270">
        <f t="shared" si="1714"/>
        <v>0</v>
      </c>
      <c r="BR260" s="270">
        <f t="shared" si="1714"/>
        <v>0</v>
      </c>
      <c r="BS260" s="270">
        <f t="shared" si="1714"/>
        <v>0</v>
      </c>
      <c r="BT260" s="270">
        <f t="shared" si="1714"/>
        <v>0</v>
      </c>
      <c r="BU260" s="270">
        <f t="shared" si="1714"/>
        <v>0</v>
      </c>
      <c r="BV260" s="270">
        <f t="shared" si="1714"/>
        <v>0</v>
      </c>
      <c r="BW260" s="270">
        <f t="shared" si="1714"/>
        <v>0</v>
      </c>
      <c r="BX260" s="270">
        <f t="shared" si="1714"/>
        <v>0</v>
      </c>
      <c r="BY260" s="270">
        <f t="shared" si="1714"/>
        <v>-0.05</v>
      </c>
      <c r="BZ260" s="270">
        <f t="shared" si="1714"/>
        <v>-0.05</v>
      </c>
      <c r="CA260" s="270">
        <f t="shared" si="1714"/>
        <v>0</v>
      </c>
      <c r="CB260" s="270">
        <f t="shared" si="1714"/>
        <v>0</v>
      </c>
      <c r="CC260" s="270">
        <f t="shared" si="1714"/>
        <v>0</v>
      </c>
      <c r="CD260" s="270">
        <f t="shared" si="1714"/>
        <v>0</v>
      </c>
      <c r="CE260" s="270">
        <f t="shared" si="1714"/>
        <v>0</v>
      </c>
      <c r="CF260" s="270">
        <f t="shared" si="1714"/>
        <v>0</v>
      </c>
      <c r="CG260" s="270">
        <f t="shared" si="1714"/>
        <v>0</v>
      </c>
      <c r="CH260" s="270">
        <f t="shared" si="1714"/>
        <v>0</v>
      </c>
      <c r="CI260" s="270">
        <f t="shared" si="1714"/>
        <v>0</v>
      </c>
      <c r="CJ260" s="270">
        <f t="shared" si="1714"/>
        <v>0</v>
      </c>
      <c r="CK260" s="270">
        <f t="shared" si="1714"/>
        <v>0</v>
      </c>
      <c r="CL260" s="270">
        <f t="shared" si="1714"/>
        <v>0</v>
      </c>
      <c r="CM260" s="270">
        <f t="shared" si="1714"/>
        <v>0</v>
      </c>
      <c r="CN260" s="270">
        <f t="shared" si="1714"/>
        <v>0</v>
      </c>
      <c r="CO260" s="270">
        <f t="shared" si="1714"/>
        <v>0</v>
      </c>
      <c r="CP260" s="270">
        <f t="shared" si="1714"/>
        <v>0</v>
      </c>
      <c r="CQ260" s="215"/>
      <c r="CR260" s="270">
        <f t="shared" si="27"/>
        <v>-0.1</v>
      </c>
      <c r="CS260" s="215"/>
      <c r="CT260" s="270">
        <f t="shared" ref="CT260:DX260" si="1715">IF(AI259&gt;0,IF((AI259+BN260)&lt;E$10,AI259+BN260,E$10),0)</f>
        <v>0</v>
      </c>
      <c r="CU260" s="270">
        <f t="shared" si="1715"/>
        <v>0</v>
      </c>
      <c r="CV260" s="270">
        <f t="shared" si="1715"/>
        <v>0</v>
      </c>
      <c r="CW260" s="270">
        <f t="shared" si="1715"/>
        <v>0</v>
      </c>
      <c r="CX260" s="270">
        <f t="shared" si="1715"/>
        <v>0</v>
      </c>
      <c r="CY260" s="270">
        <f t="shared" si="1715"/>
        <v>0</v>
      </c>
      <c r="CZ260" s="270">
        <f t="shared" si="1715"/>
        <v>0</v>
      </c>
      <c r="DA260" s="270">
        <f t="shared" si="1715"/>
        <v>0</v>
      </c>
      <c r="DB260" s="270">
        <f t="shared" si="1715"/>
        <v>0</v>
      </c>
      <c r="DC260" s="270">
        <f t="shared" si="1715"/>
        <v>0</v>
      </c>
      <c r="DD260" s="270">
        <f t="shared" si="1715"/>
        <v>0</v>
      </c>
      <c r="DE260" s="270">
        <f t="shared" si="1715"/>
        <v>0</v>
      </c>
      <c r="DF260" s="270">
        <f t="shared" si="1715"/>
        <v>0</v>
      </c>
      <c r="DG260" s="270">
        <f t="shared" si="1715"/>
        <v>0</v>
      </c>
      <c r="DH260" s="270">
        <f t="shared" si="1715"/>
        <v>0</v>
      </c>
      <c r="DI260" s="270">
        <f t="shared" si="1715"/>
        <v>0</v>
      </c>
      <c r="DJ260" s="270">
        <f t="shared" si="1715"/>
        <v>0</v>
      </c>
      <c r="DK260" s="270">
        <f t="shared" si="1715"/>
        <v>0</v>
      </c>
      <c r="DL260" s="270">
        <f t="shared" si="1715"/>
        <v>0</v>
      </c>
      <c r="DM260" s="270">
        <f t="shared" si="1715"/>
        <v>0</v>
      </c>
      <c r="DN260" s="270">
        <f t="shared" si="1715"/>
        <v>0</v>
      </c>
      <c r="DO260" s="270">
        <f t="shared" si="1715"/>
        <v>0</v>
      </c>
      <c r="DP260" s="270">
        <f t="shared" si="1715"/>
        <v>0</v>
      </c>
      <c r="DQ260" s="270">
        <f t="shared" si="1715"/>
        <v>0</v>
      </c>
      <c r="DR260" s="270">
        <f t="shared" si="1715"/>
        <v>0</v>
      </c>
      <c r="DS260" s="270">
        <f t="shared" si="1715"/>
        <v>0</v>
      </c>
      <c r="DT260" s="270">
        <f t="shared" si="1715"/>
        <v>0</v>
      </c>
      <c r="DU260" s="270">
        <f t="shared" si="1715"/>
        <v>0</v>
      </c>
      <c r="DV260" s="270">
        <f t="shared" si="1715"/>
        <v>0</v>
      </c>
      <c r="DW260" s="270">
        <f t="shared" si="1715"/>
        <v>0</v>
      </c>
      <c r="DX260" s="270">
        <f t="shared" si="1715"/>
        <v>0</v>
      </c>
      <c r="DY260" s="270">
        <f t="shared" si="29"/>
        <v>0</v>
      </c>
      <c r="DZ260" s="274"/>
      <c r="EA260" s="275">
        <f t="shared" si="38"/>
        <v>0</v>
      </c>
      <c r="EB260" s="270">
        <f t="shared" ref="EB260:FC260" si="1716">IF(AJ258&lt;=0,0,IF($C259&lt;=SUM($EA260:EA260),0,IF(CU259+$C259-SUM($EA260:EA260)&gt;AJ258+BO259,AJ258+BO259-CU259,$C259-SUM($EA260:EA260))))</f>
        <v>0</v>
      </c>
      <c r="EC260" s="270">
        <f t="shared" si="1716"/>
        <v>0</v>
      </c>
      <c r="ED260" s="270">
        <f t="shared" si="1716"/>
        <v>0</v>
      </c>
      <c r="EE260" s="270">
        <f t="shared" si="1716"/>
        <v>0</v>
      </c>
      <c r="EF260" s="270">
        <f t="shared" si="1716"/>
        <v>0</v>
      </c>
      <c r="EG260" s="270">
        <f t="shared" si="1716"/>
        <v>0</v>
      </c>
      <c r="EH260" s="270">
        <f t="shared" si="1716"/>
        <v>0</v>
      </c>
      <c r="EI260" s="270">
        <f t="shared" si="1716"/>
        <v>0</v>
      </c>
      <c r="EJ260" s="270">
        <f t="shared" si="1716"/>
        <v>0</v>
      </c>
      <c r="EK260" s="270">
        <f t="shared" si="1716"/>
        <v>0</v>
      </c>
      <c r="EL260" s="270">
        <f t="shared" si="1716"/>
        <v>0</v>
      </c>
      <c r="EM260" s="270">
        <f t="shared" si="1716"/>
        <v>0</v>
      </c>
      <c r="EN260" s="270">
        <f t="shared" si="1716"/>
        <v>0</v>
      </c>
      <c r="EO260" s="270">
        <f t="shared" si="1716"/>
        <v>0</v>
      </c>
      <c r="EP260" s="270">
        <f t="shared" si="1716"/>
        <v>0</v>
      </c>
      <c r="EQ260" s="270">
        <f t="shared" si="1716"/>
        <v>0</v>
      </c>
      <c r="ER260" s="270">
        <f t="shared" si="1716"/>
        <v>0</v>
      </c>
      <c r="ES260" s="270">
        <f t="shared" si="1716"/>
        <v>0</v>
      </c>
      <c r="ET260" s="270">
        <f t="shared" si="1716"/>
        <v>0</v>
      </c>
      <c r="EU260" s="270">
        <f t="shared" si="1716"/>
        <v>0</v>
      </c>
      <c r="EV260" s="270">
        <f t="shared" si="1716"/>
        <v>0</v>
      </c>
      <c r="EW260" s="270">
        <f t="shared" si="1716"/>
        <v>0</v>
      </c>
      <c r="EX260" s="270">
        <f t="shared" si="1716"/>
        <v>0</v>
      </c>
      <c r="EY260" s="270">
        <f t="shared" si="1716"/>
        <v>0</v>
      </c>
      <c r="EZ260" s="270">
        <f t="shared" si="1716"/>
        <v>0</v>
      </c>
      <c r="FA260" s="270">
        <f t="shared" si="1716"/>
        <v>0</v>
      </c>
      <c r="FB260" s="270">
        <f t="shared" si="1716"/>
        <v>0</v>
      </c>
      <c r="FC260" s="270">
        <f t="shared" si="1716"/>
        <v>0</v>
      </c>
      <c r="FD260" s="271"/>
      <c r="FE260" s="271"/>
      <c r="FF260" s="271"/>
      <c r="FG260" s="215"/>
      <c r="FH260" s="215"/>
    </row>
    <row r="261" ht="11.25" customHeight="1">
      <c r="A261" s="215" t="str">
        <f t="shared" si="19"/>
        <v/>
      </c>
      <c r="B261" s="241" t="str">
        <f t="shared" si="600"/>
        <v>#N/A</v>
      </c>
      <c r="C261" s="271" t="str">
        <f>IF(A261="","",IF(Calculator!snowball,IF(($E$5-DY261)&lt;0,0,$E$5-DY261),0)+D261)</f>
        <v/>
      </c>
      <c r="D261" s="271"/>
      <c r="E261" s="270">
        <f t="shared" si="40"/>
        <v>0</v>
      </c>
      <c r="F261" s="270">
        <f t="shared" ref="F261:AG261" si="1717">CU261+EB262</f>
        <v>0</v>
      </c>
      <c r="G261" s="270">
        <f t="shared" si="1717"/>
        <v>0</v>
      </c>
      <c r="H261" s="270">
        <f t="shared" si="1717"/>
        <v>0</v>
      </c>
      <c r="I261" s="270">
        <f t="shared" si="1717"/>
        <v>0</v>
      </c>
      <c r="J261" s="270">
        <f t="shared" si="1717"/>
        <v>0</v>
      </c>
      <c r="K261" s="270">
        <f t="shared" si="1717"/>
        <v>0</v>
      </c>
      <c r="L261" s="270">
        <f t="shared" si="1717"/>
        <v>0</v>
      </c>
      <c r="M261" s="270">
        <f t="shared" si="1717"/>
        <v>0</v>
      </c>
      <c r="N261" s="270">
        <f t="shared" si="1717"/>
        <v>0</v>
      </c>
      <c r="O261" s="270">
        <f t="shared" si="1717"/>
        <v>0</v>
      </c>
      <c r="P261" s="272">
        <f t="shared" si="1717"/>
        <v>0</v>
      </c>
      <c r="Q261" s="272">
        <f t="shared" si="1717"/>
        <v>0</v>
      </c>
      <c r="R261" s="272">
        <f t="shared" si="1717"/>
        <v>0</v>
      </c>
      <c r="S261" s="272">
        <f t="shared" si="1717"/>
        <v>0</v>
      </c>
      <c r="T261" s="272">
        <f t="shared" si="1717"/>
        <v>0</v>
      </c>
      <c r="U261" s="270">
        <f t="shared" si="1717"/>
        <v>0</v>
      </c>
      <c r="V261" s="270">
        <f t="shared" si="1717"/>
        <v>0</v>
      </c>
      <c r="W261" s="270">
        <f t="shared" si="1717"/>
        <v>0</v>
      </c>
      <c r="X261" s="270">
        <f t="shared" si="1717"/>
        <v>0</v>
      </c>
      <c r="Y261" s="270">
        <f t="shared" si="1717"/>
        <v>0</v>
      </c>
      <c r="Z261" s="270">
        <f t="shared" si="1717"/>
        <v>0</v>
      </c>
      <c r="AA261" s="270">
        <f t="shared" si="1717"/>
        <v>0</v>
      </c>
      <c r="AB261" s="270">
        <f t="shared" si="1717"/>
        <v>0</v>
      </c>
      <c r="AC261" s="270">
        <f t="shared" si="1717"/>
        <v>0</v>
      </c>
      <c r="AD261" s="270">
        <f t="shared" si="1717"/>
        <v>0</v>
      </c>
      <c r="AE261" s="270">
        <f t="shared" si="1717"/>
        <v>0</v>
      </c>
      <c r="AF261" s="270">
        <f t="shared" si="1717"/>
        <v>0</v>
      </c>
      <c r="AG261" s="270">
        <f t="shared" si="1717"/>
        <v>0</v>
      </c>
      <c r="AH261" s="279">
        <f t="shared" si="602"/>
        <v>0</v>
      </c>
      <c r="AI261" s="270">
        <f t="shared" si="43"/>
        <v>0</v>
      </c>
      <c r="AJ261" s="270">
        <f t="shared" ref="AJ261:AO261" si="1718">IF(F$8=0,0,ROUND(AJ260-(F261-BO261),2))</f>
        <v>0</v>
      </c>
      <c r="AK261" s="270">
        <f t="shared" si="1718"/>
        <v>0</v>
      </c>
      <c r="AL261" s="270">
        <f t="shared" si="1718"/>
        <v>0</v>
      </c>
      <c r="AM261" s="270">
        <f t="shared" si="1718"/>
        <v>0</v>
      </c>
      <c r="AN261" s="270">
        <f t="shared" si="1718"/>
        <v>0</v>
      </c>
      <c r="AO261" s="270">
        <f t="shared" si="1718"/>
        <v>0</v>
      </c>
      <c r="AP261" s="270">
        <v>0.0</v>
      </c>
      <c r="AQ261" s="270">
        <f t="shared" ref="AQ261:AS261" si="1719">IF(M$8=0,0,ROUND(AQ260-(M261-BV261),2))</f>
        <v>0</v>
      </c>
      <c r="AR261" s="270">
        <f t="shared" si="1719"/>
        <v>0</v>
      </c>
      <c r="AS261" s="270">
        <f t="shared" si="1719"/>
        <v>0</v>
      </c>
      <c r="AT261" s="270">
        <f t="shared" si="605"/>
        <v>-6.22</v>
      </c>
      <c r="AU261" s="270">
        <f t="shared" ref="AU261:BK261" si="1720">IF(Q$8=0,0,ROUND(AU260-(Q261-BY261),2))</f>
        <v>-16.08</v>
      </c>
      <c r="AV261" s="270">
        <f t="shared" si="1720"/>
        <v>0</v>
      </c>
      <c r="AW261" s="270">
        <f t="shared" si="1720"/>
        <v>0</v>
      </c>
      <c r="AX261" s="270">
        <f t="shared" si="1720"/>
        <v>0</v>
      </c>
      <c r="AY261" s="270">
        <f t="shared" si="1720"/>
        <v>0</v>
      </c>
      <c r="AZ261" s="270">
        <f t="shared" si="1720"/>
        <v>0</v>
      </c>
      <c r="BA261" s="270">
        <f t="shared" si="1720"/>
        <v>0</v>
      </c>
      <c r="BB261" s="270">
        <f t="shared" si="1720"/>
        <v>0</v>
      </c>
      <c r="BC261" s="270">
        <f t="shared" si="1720"/>
        <v>0</v>
      </c>
      <c r="BD261" s="270">
        <f t="shared" si="1720"/>
        <v>0</v>
      </c>
      <c r="BE261" s="270">
        <f t="shared" si="1720"/>
        <v>0</v>
      </c>
      <c r="BF261" s="270">
        <f t="shared" si="1720"/>
        <v>0</v>
      </c>
      <c r="BG261" s="270">
        <f t="shared" si="1720"/>
        <v>0</v>
      </c>
      <c r="BH261" s="270">
        <f t="shared" si="1720"/>
        <v>0</v>
      </c>
      <c r="BI261" s="270">
        <f t="shared" si="1720"/>
        <v>0</v>
      </c>
      <c r="BJ261" s="270">
        <f t="shared" si="1720"/>
        <v>0</v>
      </c>
      <c r="BK261" s="270">
        <f t="shared" si="1720"/>
        <v>0</v>
      </c>
      <c r="BL261" s="265">
        <f t="shared" si="16"/>
        <v>-22.3</v>
      </c>
      <c r="BM261" s="215"/>
      <c r="BN261" s="270">
        <f t="shared" ref="BN261:CP261" si="1721">ROUND(AI260*E$9/12,2)</f>
        <v>0</v>
      </c>
      <c r="BO261" s="270">
        <f t="shared" si="1721"/>
        <v>0</v>
      </c>
      <c r="BP261" s="270">
        <f t="shared" si="1721"/>
        <v>0</v>
      </c>
      <c r="BQ261" s="270">
        <f t="shared" si="1721"/>
        <v>0</v>
      </c>
      <c r="BR261" s="270">
        <f t="shared" si="1721"/>
        <v>0</v>
      </c>
      <c r="BS261" s="270">
        <f t="shared" si="1721"/>
        <v>0</v>
      </c>
      <c r="BT261" s="270">
        <f t="shared" si="1721"/>
        <v>0</v>
      </c>
      <c r="BU261" s="270">
        <f t="shared" si="1721"/>
        <v>0</v>
      </c>
      <c r="BV261" s="270">
        <f t="shared" si="1721"/>
        <v>0</v>
      </c>
      <c r="BW261" s="270">
        <f t="shared" si="1721"/>
        <v>0</v>
      </c>
      <c r="BX261" s="270">
        <f t="shared" si="1721"/>
        <v>0</v>
      </c>
      <c r="BY261" s="270">
        <f t="shared" si="1721"/>
        <v>-0.05</v>
      </c>
      <c r="BZ261" s="270">
        <f t="shared" si="1721"/>
        <v>-0.05</v>
      </c>
      <c r="CA261" s="270">
        <f t="shared" si="1721"/>
        <v>0</v>
      </c>
      <c r="CB261" s="270">
        <f t="shared" si="1721"/>
        <v>0</v>
      </c>
      <c r="CC261" s="270">
        <f t="shared" si="1721"/>
        <v>0</v>
      </c>
      <c r="CD261" s="270">
        <f t="shared" si="1721"/>
        <v>0</v>
      </c>
      <c r="CE261" s="270">
        <f t="shared" si="1721"/>
        <v>0</v>
      </c>
      <c r="CF261" s="270">
        <f t="shared" si="1721"/>
        <v>0</v>
      </c>
      <c r="CG261" s="270">
        <f t="shared" si="1721"/>
        <v>0</v>
      </c>
      <c r="CH261" s="270">
        <f t="shared" si="1721"/>
        <v>0</v>
      </c>
      <c r="CI261" s="270">
        <f t="shared" si="1721"/>
        <v>0</v>
      </c>
      <c r="CJ261" s="270">
        <f t="shared" si="1721"/>
        <v>0</v>
      </c>
      <c r="CK261" s="270">
        <f t="shared" si="1721"/>
        <v>0</v>
      </c>
      <c r="CL261" s="270">
        <f t="shared" si="1721"/>
        <v>0</v>
      </c>
      <c r="CM261" s="270">
        <f t="shared" si="1721"/>
        <v>0</v>
      </c>
      <c r="CN261" s="270">
        <f t="shared" si="1721"/>
        <v>0</v>
      </c>
      <c r="CO261" s="270">
        <f t="shared" si="1721"/>
        <v>0</v>
      </c>
      <c r="CP261" s="270">
        <f t="shared" si="1721"/>
        <v>0</v>
      </c>
      <c r="CQ261" s="215"/>
      <c r="CR261" s="270">
        <f t="shared" si="27"/>
        <v>-0.1</v>
      </c>
      <c r="CS261" s="215"/>
      <c r="CT261" s="270">
        <f t="shared" ref="CT261:DX261" si="1722">IF(AI260&gt;0,IF((AI260+BN261)&lt;E$10,AI260+BN261,E$10),0)</f>
        <v>0</v>
      </c>
      <c r="CU261" s="270">
        <f t="shared" si="1722"/>
        <v>0</v>
      </c>
      <c r="CV261" s="270">
        <f t="shared" si="1722"/>
        <v>0</v>
      </c>
      <c r="CW261" s="270">
        <f t="shared" si="1722"/>
        <v>0</v>
      </c>
      <c r="CX261" s="270">
        <f t="shared" si="1722"/>
        <v>0</v>
      </c>
      <c r="CY261" s="270">
        <f t="shared" si="1722"/>
        <v>0</v>
      </c>
      <c r="CZ261" s="270">
        <f t="shared" si="1722"/>
        <v>0</v>
      </c>
      <c r="DA261" s="270">
        <f t="shared" si="1722"/>
        <v>0</v>
      </c>
      <c r="DB261" s="270">
        <f t="shared" si="1722"/>
        <v>0</v>
      </c>
      <c r="DC261" s="270">
        <f t="shared" si="1722"/>
        <v>0</v>
      </c>
      <c r="DD261" s="270">
        <f t="shared" si="1722"/>
        <v>0</v>
      </c>
      <c r="DE261" s="270">
        <f t="shared" si="1722"/>
        <v>0</v>
      </c>
      <c r="DF261" s="270">
        <f t="shared" si="1722"/>
        <v>0</v>
      </c>
      <c r="DG261" s="270">
        <f t="shared" si="1722"/>
        <v>0</v>
      </c>
      <c r="DH261" s="270">
        <f t="shared" si="1722"/>
        <v>0</v>
      </c>
      <c r="DI261" s="270">
        <f t="shared" si="1722"/>
        <v>0</v>
      </c>
      <c r="DJ261" s="270">
        <f t="shared" si="1722"/>
        <v>0</v>
      </c>
      <c r="DK261" s="270">
        <f t="shared" si="1722"/>
        <v>0</v>
      </c>
      <c r="DL261" s="270">
        <f t="shared" si="1722"/>
        <v>0</v>
      </c>
      <c r="DM261" s="270">
        <f t="shared" si="1722"/>
        <v>0</v>
      </c>
      <c r="DN261" s="270">
        <f t="shared" si="1722"/>
        <v>0</v>
      </c>
      <c r="DO261" s="270">
        <f t="shared" si="1722"/>
        <v>0</v>
      </c>
      <c r="DP261" s="270">
        <f t="shared" si="1722"/>
        <v>0</v>
      </c>
      <c r="DQ261" s="270">
        <f t="shared" si="1722"/>
        <v>0</v>
      </c>
      <c r="DR261" s="270">
        <f t="shared" si="1722"/>
        <v>0</v>
      </c>
      <c r="DS261" s="270">
        <f t="shared" si="1722"/>
        <v>0</v>
      </c>
      <c r="DT261" s="270">
        <f t="shared" si="1722"/>
        <v>0</v>
      </c>
      <c r="DU261" s="270">
        <f t="shared" si="1722"/>
        <v>0</v>
      </c>
      <c r="DV261" s="270">
        <f t="shared" si="1722"/>
        <v>0</v>
      </c>
      <c r="DW261" s="270">
        <f t="shared" si="1722"/>
        <v>0</v>
      </c>
      <c r="DX261" s="270">
        <f t="shared" si="1722"/>
        <v>0</v>
      </c>
      <c r="DY261" s="270">
        <f t="shared" si="29"/>
        <v>0</v>
      </c>
      <c r="DZ261" s="274"/>
      <c r="EA261" s="275">
        <f t="shared" si="38"/>
        <v>0</v>
      </c>
      <c r="EB261" s="270">
        <f t="shared" ref="EB261:FC261" si="1723">IF(AJ259&lt;=0,0,IF($C260&lt;=SUM($EA261:EA261),0,IF(CU260+$C260-SUM($EA261:EA261)&gt;AJ259+BO260,AJ259+BO260-CU260,$C260-SUM($EA261:EA261))))</f>
        <v>0</v>
      </c>
      <c r="EC261" s="270">
        <f t="shared" si="1723"/>
        <v>0</v>
      </c>
      <c r="ED261" s="270">
        <f t="shared" si="1723"/>
        <v>0</v>
      </c>
      <c r="EE261" s="270">
        <f t="shared" si="1723"/>
        <v>0</v>
      </c>
      <c r="EF261" s="270">
        <f t="shared" si="1723"/>
        <v>0</v>
      </c>
      <c r="EG261" s="270">
        <f t="shared" si="1723"/>
        <v>0</v>
      </c>
      <c r="EH261" s="270">
        <f t="shared" si="1723"/>
        <v>0</v>
      </c>
      <c r="EI261" s="270">
        <f t="shared" si="1723"/>
        <v>0</v>
      </c>
      <c r="EJ261" s="270">
        <f t="shared" si="1723"/>
        <v>0</v>
      </c>
      <c r="EK261" s="270">
        <f t="shared" si="1723"/>
        <v>0</v>
      </c>
      <c r="EL261" s="270">
        <f t="shared" si="1723"/>
        <v>0</v>
      </c>
      <c r="EM261" s="270">
        <f t="shared" si="1723"/>
        <v>0</v>
      </c>
      <c r="EN261" s="270">
        <f t="shared" si="1723"/>
        <v>0</v>
      </c>
      <c r="EO261" s="270">
        <f t="shared" si="1723"/>
        <v>0</v>
      </c>
      <c r="EP261" s="270">
        <f t="shared" si="1723"/>
        <v>0</v>
      </c>
      <c r="EQ261" s="270">
        <f t="shared" si="1723"/>
        <v>0</v>
      </c>
      <c r="ER261" s="270">
        <f t="shared" si="1723"/>
        <v>0</v>
      </c>
      <c r="ES261" s="270">
        <f t="shared" si="1723"/>
        <v>0</v>
      </c>
      <c r="ET261" s="270">
        <f t="shared" si="1723"/>
        <v>0</v>
      </c>
      <c r="EU261" s="270">
        <f t="shared" si="1723"/>
        <v>0</v>
      </c>
      <c r="EV261" s="270">
        <f t="shared" si="1723"/>
        <v>0</v>
      </c>
      <c r="EW261" s="270">
        <f t="shared" si="1723"/>
        <v>0</v>
      </c>
      <c r="EX261" s="270">
        <f t="shared" si="1723"/>
        <v>0</v>
      </c>
      <c r="EY261" s="270">
        <f t="shared" si="1723"/>
        <v>0</v>
      </c>
      <c r="EZ261" s="270">
        <f t="shared" si="1723"/>
        <v>0</v>
      </c>
      <c r="FA261" s="270">
        <f t="shared" si="1723"/>
        <v>0</v>
      </c>
      <c r="FB261" s="270">
        <f t="shared" si="1723"/>
        <v>0</v>
      </c>
      <c r="FC261" s="270">
        <f t="shared" si="1723"/>
        <v>0</v>
      </c>
      <c r="FD261" s="271"/>
      <c r="FE261" s="271"/>
      <c r="FF261" s="271"/>
      <c r="FG261" s="215"/>
      <c r="FH261" s="215"/>
    </row>
    <row r="262" ht="11.25" customHeight="1">
      <c r="A262" s="215" t="str">
        <f t="shared" si="19"/>
        <v/>
      </c>
      <c r="B262" s="241" t="str">
        <f t="shared" si="600"/>
        <v>#N/A</v>
      </c>
      <c r="C262" s="271" t="str">
        <f>IF(A262="","",IF(Calculator!snowball,IF(($E$5-DY262)&lt;0,0,$E$5-DY262),0)+D262)</f>
        <v/>
      </c>
      <c r="D262" s="271"/>
      <c r="E262" s="270">
        <f t="shared" si="40"/>
        <v>0</v>
      </c>
      <c r="F262" s="270">
        <f t="shared" ref="F262:AG262" si="1724">CU262+EB263</f>
        <v>0</v>
      </c>
      <c r="G262" s="270">
        <f t="shared" si="1724"/>
        <v>0</v>
      </c>
      <c r="H262" s="270">
        <f t="shared" si="1724"/>
        <v>0</v>
      </c>
      <c r="I262" s="270">
        <f t="shared" si="1724"/>
        <v>0</v>
      </c>
      <c r="J262" s="270">
        <f t="shared" si="1724"/>
        <v>0</v>
      </c>
      <c r="K262" s="270">
        <f t="shared" si="1724"/>
        <v>0</v>
      </c>
      <c r="L262" s="270">
        <f t="shared" si="1724"/>
        <v>0</v>
      </c>
      <c r="M262" s="270">
        <f t="shared" si="1724"/>
        <v>0</v>
      </c>
      <c r="N262" s="270">
        <f t="shared" si="1724"/>
        <v>0</v>
      </c>
      <c r="O262" s="270">
        <f t="shared" si="1724"/>
        <v>0</v>
      </c>
      <c r="P262" s="272">
        <f t="shared" si="1724"/>
        <v>0</v>
      </c>
      <c r="Q262" s="272">
        <f t="shared" si="1724"/>
        <v>0</v>
      </c>
      <c r="R262" s="272">
        <f t="shared" si="1724"/>
        <v>0</v>
      </c>
      <c r="S262" s="272">
        <f t="shared" si="1724"/>
        <v>0</v>
      </c>
      <c r="T262" s="272">
        <f t="shared" si="1724"/>
        <v>0</v>
      </c>
      <c r="U262" s="270">
        <f t="shared" si="1724"/>
        <v>0</v>
      </c>
      <c r="V262" s="270">
        <f t="shared" si="1724"/>
        <v>0</v>
      </c>
      <c r="W262" s="270">
        <f t="shared" si="1724"/>
        <v>0</v>
      </c>
      <c r="X262" s="270">
        <f t="shared" si="1724"/>
        <v>0</v>
      </c>
      <c r="Y262" s="270">
        <f t="shared" si="1724"/>
        <v>0</v>
      </c>
      <c r="Z262" s="270">
        <f t="shared" si="1724"/>
        <v>0</v>
      </c>
      <c r="AA262" s="270">
        <f t="shared" si="1724"/>
        <v>0</v>
      </c>
      <c r="AB262" s="270">
        <f t="shared" si="1724"/>
        <v>0</v>
      </c>
      <c r="AC262" s="270">
        <f t="shared" si="1724"/>
        <v>0</v>
      </c>
      <c r="AD262" s="270">
        <f t="shared" si="1724"/>
        <v>0</v>
      </c>
      <c r="AE262" s="270">
        <f t="shared" si="1724"/>
        <v>0</v>
      </c>
      <c r="AF262" s="270">
        <f t="shared" si="1724"/>
        <v>0</v>
      </c>
      <c r="AG262" s="270">
        <f t="shared" si="1724"/>
        <v>0</v>
      </c>
      <c r="AH262" s="279">
        <f t="shared" si="602"/>
        <v>0</v>
      </c>
      <c r="AI262" s="270">
        <f t="shared" si="43"/>
        <v>0</v>
      </c>
      <c r="AJ262" s="270">
        <f t="shared" ref="AJ262:AO262" si="1725">IF(F$8=0,0,ROUND(AJ261-(F262-BO262),2))</f>
        <v>0</v>
      </c>
      <c r="AK262" s="270">
        <f t="shared" si="1725"/>
        <v>0</v>
      </c>
      <c r="AL262" s="270">
        <f t="shared" si="1725"/>
        <v>0</v>
      </c>
      <c r="AM262" s="270">
        <f t="shared" si="1725"/>
        <v>0</v>
      </c>
      <c r="AN262" s="270">
        <f t="shared" si="1725"/>
        <v>0</v>
      </c>
      <c r="AO262" s="270">
        <f t="shared" si="1725"/>
        <v>0</v>
      </c>
      <c r="AP262" s="270">
        <v>0.0</v>
      </c>
      <c r="AQ262" s="270">
        <f t="shared" ref="AQ262:AS262" si="1726">IF(M$8=0,0,ROUND(AQ261-(M262-BV262),2))</f>
        <v>0</v>
      </c>
      <c r="AR262" s="270">
        <f t="shared" si="1726"/>
        <v>0</v>
      </c>
      <c r="AS262" s="270">
        <f t="shared" si="1726"/>
        <v>0</v>
      </c>
      <c r="AT262" s="270">
        <f t="shared" si="605"/>
        <v>-6.22</v>
      </c>
      <c r="AU262" s="270">
        <f t="shared" ref="AU262:BK262" si="1727">IF(Q$8=0,0,ROUND(AU261-(Q262-BY262),2))</f>
        <v>-16.13</v>
      </c>
      <c r="AV262" s="270">
        <f t="shared" si="1727"/>
        <v>0</v>
      </c>
      <c r="AW262" s="270">
        <f t="shared" si="1727"/>
        <v>0</v>
      </c>
      <c r="AX262" s="270">
        <f t="shared" si="1727"/>
        <v>0</v>
      </c>
      <c r="AY262" s="270">
        <f t="shared" si="1727"/>
        <v>0</v>
      </c>
      <c r="AZ262" s="270">
        <f t="shared" si="1727"/>
        <v>0</v>
      </c>
      <c r="BA262" s="270">
        <f t="shared" si="1727"/>
        <v>0</v>
      </c>
      <c r="BB262" s="270">
        <f t="shared" si="1727"/>
        <v>0</v>
      </c>
      <c r="BC262" s="270">
        <f t="shared" si="1727"/>
        <v>0</v>
      </c>
      <c r="BD262" s="270">
        <f t="shared" si="1727"/>
        <v>0</v>
      </c>
      <c r="BE262" s="270">
        <f t="shared" si="1727"/>
        <v>0</v>
      </c>
      <c r="BF262" s="270">
        <f t="shared" si="1727"/>
        <v>0</v>
      </c>
      <c r="BG262" s="270">
        <f t="shared" si="1727"/>
        <v>0</v>
      </c>
      <c r="BH262" s="270">
        <f t="shared" si="1727"/>
        <v>0</v>
      </c>
      <c r="BI262" s="270">
        <f t="shared" si="1727"/>
        <v>0</v>
      </c>
      <c r="BJ262" s="270">
        <f t="shared" si="1727"/>
        <v>0</v>
      </c>
      <c r="BK262" s="270">
        <f t="shared" si="1727"/>
        <v>0</v>
      </c>
      <c r="BL262" s="265">
        <f t="shared" si="16"/>
        <v>-22.35</v>
      </c>
      <c r="BM262" s="215"/>
      <c r="BN262" s="270">
        <f t="shared" ref="BN262:CP262" si="1728">ROUND(AI261*E$9/12,2)</f>
        <v>0</v>
      </c>
      <c r="BO262" s="270">
        <f t="shared" si="1728"/>
        <v>0</v>
      </c>
      <c r="BP262" s="270">
        <f t="shared" si="1728"/>
        <v>0</v>
      </c>
      <c r="BQ262" s="270">
        <f t="shared" si="1728"/>
        <v>0</v>
      </c>
      <c r="BR262" s="270">
        <f t="shared" si="1728"/>
        <v>0</v>
      </c>
      <c r="BS262" s="270">
        <f t="shared" si="1728"/>
        <v>0</v>
      </c>
      <c r="BT262" s="270">
        <f t="shared" si="1728"/>
        <v>0</v>
      </c>
      <c r="BU262" s="270">
        <f t="shared" si="1728"/>
        <v>0</v>
      </c>
      <c r="BV262" s="270">
        <f t="shared" si="1728"/>
        <v>0</v>
      </c>
      <c r="BW262" s="270">
        <f t="shared" si="1728"/>
        <v>0</v>
      </c>
      <c r="BX262" s="270">
        <f t="shared" si="1728"/>
        <v>0</v>
      </c>
      <c r="BY262" s="270">
        <f t="shared" si="1728"/>
        <v>-0.05</v>
      </c>
      <c r="BZ262" s="270">
        <f t="shared" si="1728"/>
        <v>-0.05</v>
      </c>
      <c r="CA262" s="270">
        <f t="shared" si="1728"/>
        <v>0</v>
      </c>
      <c r="CB262" s="270">
        <f t="shared" si="1728"/>
        <v>0</v>
      </c>
      <c r="CC262" s="270">
        <f t="shared" si="1728"/>
        <v>0</v>
      </c>
      <c r="CD262" s="270">
        <f t="shared" si="1728"/>
        <v>0</v>
      </c>
      <c r="CE262" s="270">
        <f t="shared" si="1728"/>
        <v>0</v>
      </c>
      <c r="CF262" s="270">
        <f t="shared" si="1728"/>
        <v>0</v>
      </c>
      <c r="CG262" s="270">
        <f t="shared" si="1728"/>
        <v>0</v>
      </c>
      <c r="CH262" s="270">
        <f t="shared" si="1728"/>
        <v>0</v>
      </c>
      <c r="CI262" s="270">
        <f t="shared" si="1728"/>
        <v>0</v>
      </c>
      <c r="CJ262" s="270">
        <f t="shared" si="1728"/>
        <v>0</v>
      </c>
      <c r="CK262" s="270">
        <f t="shared" si="1728"/>
        <v>0</v>
      </c>
      <c r="CL262" s="270">
        <f t="shared" si="1728"/>
        <v>0</v>
      </c>
      <c r="CM262" s="270">
        <f t="shared" si="1728"/>
        <v>0</v>
      </c>
      <c r="CN262" s="270">
        <f t="shared" si="1728"/>
        <v>0</v>
      </c>
      <c r="CO262" s="270">
        <f t="shared" si="1728"/>
        <v>0</v>
      </c>
      <c r="CP262" s="270">
        <f t="shared" si="1728"/>
        <v>0</v>
      </c>
      <c r="CQ262" s="215"/>
      <c r="CR262" s="270">
        <f t="shared" si="27"/>
        <v>-0.1</v>
      </c>
      <c r="CS262" s="215"/>
      <c r="CT262" s="270">
        <f t="shared" ref="CT262:DX262" si="1729">IF(AI261&gt;0,IF((AI261+BN262)&lt;E$10,AI261+BN262,E$10),0)</f>
        <v>0</v>
      </c>
      <c r="CU262" s="270">
        <f t="shared" si="1729"/>
        <v>0</v>
      </c>
      <c r="CV262" s="270">
        <f t="shared" si="1729"/>
        <v>0</v>
      </c>
      <c r="CW262" s="270">
        <f t="shared" si="1729"/>
        <v>0</v>
      </c>
      <c r="CX262" s="270">
        <f t="shared" si="1729"/>
        <v>0</v>
      </c>
      <c r="CY262" s="270">
        <f t="shared" si="1729"/>
        <v>0</v>
      </c>
      <c r="CZ262" s="270">
        <f t="shared" si="1729"/>
        <v>0</v>
      </c>
      <c r="DA262" s="270">
        <f t="shared" si="1729"/>
        <v>0</v>
      </c>
      <c r="DB262" s="270">
        <f t="shared" si="1729"/>
        <v>0</v>
      </c>
      <c r="DC262" s="270">
        <f t="shared" si="1729"/>
        <v>0</v>
      </c>
      <c r="DD262" s="270">
        <f t="shared" si="1729"/>
        <v>0</v>
      </c>
      <c r="DE262" s="270">
        <f t="shared" si="1729"/>
        <v>0</v>
      </c>
      <c r="DF262" s="270">
        <f t="shared" si="1729"/>
        <v>0</v>
      </c>
      <c r="DG262" s="270">
        <f t="shared" si="1729"/>
        <v>0</v>
      </c>
      <c r="DH262" s="270">
        <f t="shared" si="1729"/>
        <v>0</v>
      </c>
      <c r="DI262" s="270">
        <f t="shared" si="1729"/>
        <v>0</v>
      </c>
      <c r="DJ262" s="270">
        <f t="shared" si="1729"/>
        <v>0</v>
      </c>
      <c r="DK262" s="270">
        <f t="shared" si="1729"/>
        <v>0</v>
      </c>
      <c r="DL262" s="270">
        <f t="shared" si="1729"/>
        <v>0</v>
      </c>
      <c r="DM262" s="270">
        <f t="shared" si="1729"/>
        <v>0</v>
      </c>
      <c r="DN262" s="270">
        <f t="shared" si="1729"/>
        <v>0</v>
      </c>
      <c r="DO262" s="270">
        <f t="shared" si="1729"/>
        <v>0</v>
      </c>
      <c r="DP262" s="270">
        <f t="shared" si="1729"/>
        <v>0</v>
      </c>
      <c r="DQ262" s="270">
        <f t="shared" si="1729"/>
        <v>0</v>
      </c>
      <c r="DR262" s="270">
        <f t="shared" si="1729"/>
        <v>0</v>
      </c>
      <c r="DS262" s="270">
        <f t="shared" si="1729"/>
        <v>0</v>
      </c>
      <c r="DT262" s="270">
        <f t="shared" si="1729"/>
        <v>0</v>
      </c>
      <c r="DU262" s="270">
        <f t="shared" si="1729"/>
        <v>0</v>
      </c>
      <c r="DV262" s="270">
        <f t="shared" si="1729"/>
        <v>0</v>
      </c>
      <c r="DW262" s="270">
        <f t="shared" si="1729"/>
        <v>0</v>
      </c>
      <c r="DX262" s="270">
        <f t="shared" si="1729"/>
        <v>0</v>
      </c>
      <c r="DY262" s="270">
        <f t="shared" si="29"/>
        <v>0</v>
      </c>
      <c r="DZ262" s="274"/>
      <c r="EA262" s="275">
        <f t="shared" si="38"/>
        <v>0</v>
      </c>
      <c r="EB262" s="270">
        <f t="shared" ref="EB262:FC262" si="1730">IF(AJ260&lt;=0,0,IF($C261&lt;=SUM($EA262:EA262),0,IF(CU261+$C261-SUM($EA262:EA262)&gt;AJ260+BO261,AJ260+BO261-CU261,$C261-SUM($EA262:EA262))))</f>
        <v>0</v>
      </c>
      <c r="EC262" s="270">
        <f t="shared" si="1730"/>
        <v>0</v>
      </c>
      <c r="ED262" s="270">
        <f t="shared" si="1730"/>
        <v>0</v>
      </c>
      <c r="EE262" s="270">
        <f t="shared" si="1730"/>
        <v>0</v>
      </c>
      <c r="EF262" s="270">
        <f t="shared" si="1730"/>
        <v>0</v>
      </c>
      <c r="EG262" s="270">
        <f t="shared" si="1730"/>
        <v>0</v>
      </c>
      <c r="EH262" s="270">
        <f t="shared" si="1730"/>
        <v>0</v>
      </c>
      <c r="EI262" s="270">
        <f t="shared" si="1730"/>
        <v>0</v>
      </c>
      <c r="EJ262" s="270">
        <f t="shared" si="1730"/>
        <v>0</v>
      </c>
      <c r="EK262" s="270">
        <f t="shared" si="1730"/>
        <v>0</v>
      </c>
      <c r="EL262" s="270">
        <f t="shared" si="1730"/>
        <v>0</v>
      </c>
      <c r="EM262" s="270">
        <f t="shared" si="1730"/>
        <v>0</v>
      </c>
      <c r="EN262" s="270">
        <f t="shared" si="1730"/>
        <v>0</v>
      </c>
      <c r="EO262" s="270">
        <f t="shared" si="1730"/>
        <v>0</v>
      </c>
      <c r="EP262" s="270">
        <f t="shared" si="1730"/>
        <v>0</v>
      </c>
      <c r="EQ262" s="270">
        <f t="shared" si="1730"/>
        <v>0</v>
      </c>
      <c r="ER262" s="270">
        <f t="shared" si="1730"/>
        <v>0</v>
      </c>
      <c r="ES262" s="270">
        <f t="shared" si="1730"/>
        <v>0</v>
      </c>
      <c r="ET262" s="270">
        <f t="shared" si="1730"/>
        <v>0</v>
      </c>
      <c r="EU262" s="270">
        <f t="shared" si="1730"/>
        <v>0</v>
      </c>
      <c r="EV262" s="270">
        <f t="shared" si="1730"/>
        <v>0</v>
      </c>
      <c r="EW262" s="270">
        <f t="shared" si="1730"/>
        <v>0</v>
      </c>
      <c r="EX262" s="270">
        <f t="shared" si="1730"/>
        <v>0</v>
      </c>
      <c r="EY262" s="270">
        <f t="shared" si="1730"/>
        <v>0</v>
      </c>
      <c r="EZ262" s="270">
        <f t="shared" si="1730"/>
        <v>0</v>
      </c>
      <c r="FA262" s="270">
        <f t="shared" si="1730"/>
        <v>0</v>
      </c>
      <c r="FB262" s="270">
        <f t="shared" si="1730"/>
        <v>0</v>
      </c>
      <c r="FC262" s="270">
        <f t="shared" si="1730"/>
        <v>0</v>
      </c>
      <c r="FD262" s="271"/>
      <c r="FE262" s="271"/>
      <c r="FF262" s="271"/>
      <c r="FG262" s="215"/>
      <c r="FH262" s="215"/>
    </row>
    <row r="263" ht="11.25" customHeight="1">
      <c r="A263" s="215" t="str">
        <f t="shared" si="19"/>
        <v/>
      </c>
      <c r="B263" s="241" t="str">
        <f t="shared" si="600"/>
        <v>#N/A</v>
      </c>
      <c r="C263" s="271" t="str">
        <f>IF(A263="","",IF(Calculator!snowball,IF(($E$5-DY263)&lt;0,0,$E$5-DY263),0)+D263)</f>
        <v/>
      </c>
      <c r="D263" s="271"/>
      <c r="E263" s="270">
        <f t="shared" si="40"/>
        <v>0</v>
      </c>
      <c r="F263" s="270">
        <f t="shared" ref="F263:AG263" si="1731">CU263+EB264</f>
        <v>0</v>
      </c>
      <c r="G263" s="270">
        <f t="shared" si="1731"/>
        <v>0</v>
      </c>
      <c r="H263" s="270">
        <f t="shared" si="1731"/>
        <v>0</v>
      </c>
      <c r="I263" s="270">
        <f t="shared" si="1731"/>
        <v>0</v>
      </c>
      <c r="J263" s="270">
        <f t="shared" si="1731"/>
        <v>0</v>
      </c>
      <c r="K263" s="270">
        <f t="shared" si="1731"/>
        <v>0</v>
      </c>
      <c r="L263" s="270">
        <f t="shared" si="1731"/>
        <v>0</v>
      </c>
      <c r="M263" s="270">
        <f t="shared" si="1731"/>
        <v>0</v>
      </c>
      <c r="N263" s="270">
        <f t="shared" si="1731"/>
        <v>0</v>
      </c>
      <c r="O263" s="270">
        <f t="shared" si="1731"/>
        <v>0</v>
      </c>
      <c r="P263" s="272">
        <f t="shared" si="1731"/>
        <v>0</v>
      </c>
      <c r="Q263" s="272">
        <f t="shared" si="1731"/>
        <v>0</v>
      </c>
      <c r="R263" s="272">
        <f t="shared" si="1731"/>
        <v>0</v>
      </c>
      <c r="S263" s="272">
        <f t="shared" si="1731"/>
        <v>0</v>
      </c>
      <c r="T263" s="272">
        <f t="shared" si="1731"/>
        <v>0</v>
      </c>
      <c r="U263" s="270">
        <f t="shared" si="1731"/>
        <v>0</v>
      </c>
      <c r="V263" s="270">
        <f t="shared" si="1731"/>
        <v>0</v>
      </c>
      <c r="W263" s="270">
        <f t="shared" si="1731"/>
        <v>0</v>
      </c>
      <c r="X263" s="270">
        <f t="shared" si="1731"/>
        <v>0</v>
      </c>
      <c r="Y263" s="270">
        <f t="shared" si="1731"/>
        <v>0</v>
      </c>
      <c r="Z263" s="270">
        <f t="shared" si="1731"/>
        <v>0</v>
      </c>
      <c r="AA263" s="270">
        <f t="shared" si="1731"/>
        <v>0</v>
      </c>
      <c r="AB263" s="270">
        <f t="shared" si="1731"/>
        <v>0</v>
      </c>
      <c r="AC263" s="270">
        <f t="shared" si="1731"/>
        <v>0</v>
      </c>
      <c r="AD263" s="270">
        <f t="shared" si="1731"/>
        <v>0</v>
      </c>
      <c r="AE263" s="270">
        <f t="shared" si="1731"/>
        <v>0</v>
      </c>
      <c r="AF263" s="270">
        <f t="shared" si="1731"/>
        <v>0</v>
      </c>
      <c r="AG263" s="270">
        <f t="shared" si="1731"/>
        <v>0</v>
      </c>
      <c r="AH263" s="279">
        <f t="shared" si="602"/>
        <v>0</v>
      </c>
      <c r="AI263" s="270">
        <f t="shared" si="43"/>
        <v>0</v>
      </c>
      <c r="AJ263" s="270">
        <f t="shared" ref="AJ263:AO263" si="1732">IF(F$8=0,0,ROUND(AJ262-(F263-BO263),2))</f>
        <v>0</v>
      </c>
      <c r="AK263" s="270">
        <f t="shared" si="1732"/>
        <v>0</v>
      </c>
      <c r="AL263" s="270">
        <f t="shared" si="1732"/>
        <v>0</v>
      </c>
      <c r="AM263" s="270">
        <f t="shared" si="1732"/>
        <v>0</v>
      </c>
      <c r="AN263" s="270">
        <f t="shared" si="1732"/>
        <v>0</v>
      </c>
      <c r="AO263" s="270">
        <f t="shared" si="1732"/>
        <v>0</v>
      </c>
      <c r="AP263" s="270">
        <v>0.0</v>
      </c>
      <c r="AQ263" s="270">
        <f t="shared" ref="AQ263:AS263" si="1733">IF(M$8=0,0,ROUND(AQ262-(M263-BV263),2))</f>
        <v>0</v>
      </c>
      <c r="AR263" s="270">
        <f t="shared" si="1733"/>
        <v>0</v>
      </c>
      <c r="AS263" s="270">
        <f t="shared" si="1733"/>
        <v>0</v>
      </c>
      <c r="AT263" s="270">
        <f t="shared" si="605"/>
        <v>-6.22</v>
      </c>
      <c r="AU263" s="270">
        <f t="shared" ref="AU263:BK263" si="1734">IF(Q$8=0,0,ROUND(AU262-(Q263-BY263),2))</f>
        <v>-16.18</v>
      </c>
      <c r="AV263" s="270">
        <f t="shared" si="1734"/>
        <v>0</v>
      </c>
      <c r="AW263" s="270">
        <f t="shared" si="1734"/>
        <v>0</v>
      </c>
      <c r="AX263" s="270">
        <f t="shared" si="1734"/>
        <v>0</v>
      </c>
      <c r="AY263" s="270">
        <f t="shared" si="1734"/>
        <v>0</v>
      </c>
      <c r="AZ263" s="270">
        <f t="shared" si="1734"/>
        <v>0</v>
      </c>
      <c r="BA263" s="270">
        <f t="shared" si="1734"/>
        <v>0</v>
      </c>
      <c r="BB263" s="270">
        <f t="shared" si="1734"/>
        <v>0</v>
      </c>
      <c r="BC263" s="270">
        <f t="shared" si="1734"/>
        <v>0</v>
      </c>
      <c r="BD263" s="270">
        <f t="shared" si="1734"/>
        <v>0</v>
      </c>
      <c r="BE263" s="270">
        <f t="shared" si="1734"/>
        <v>0</v>
      </c>
      <c r="BF263" s="270">
        <f t="shared" si="1734"/>
        <v>0</v>
      </c>
      <c r="BG263" s="270">
        <f t="shared" si="1734"/>
        <v>0</v>
      </c>
      <c r="BH263" s="270">
        <f t="shared" si="1734"/>
        <v>0</v>
      </c>
      <c r="BI263" s="270">
        <f t="shared" si="1734"/>
        <v>0</v>
      </c>
      <c r="BJ263" s="270">
        <f t="shared" si="1734"/>
        <v>0</v>
      </c>
      <c r="BK263" s="270">
        <f t="shared" si="1734"/>
        <v>0</v>
      </c>
      <c r="BL263" s="265">
        <f t="shared" si="16"/>
        <v>-22.4</v>
      </c>
      <c r="BM263" s="215"/>
      <c r="BN263" s="270">
        <f t="shared" ref="BN263:CP263" si="1735">ROUND(AI262*E$9/12,2)</f>
        <v>0</v>
      </c>
      <c r="BO263" s="270">
        <f t="shared" si="1735"/>
        <v>0</v>
      </c>
      <c r="BP263" s="270">
        <f t="shared" si="1735"/>
        <v>0</v>
      </c>
      <c r="BQ263" s="270">
        <f t="shared" si="1735"/>
        <v>0</v>
      </c>
      <c r="BR263" s="270">
        <f t="shared" si="1735"/>
        <v>0</v>
      </c>
      <c r="BS263" s="270">
        <f t="shared" si="1735"/>
        <v>0</v>
      </c>
      <c r="BT263" s="270">
        <f t="shared" si="1735"/>
        <v>0</v>
      </c>
      <c r="BU263" s="270">
        <f t="shared" si="1735"/>
        <v>0</v>
      </c>
      <c r="BV263" s="270">
        <f t="shared" si="1735"/>
        <v>0</v>
      </c>
      <c r="BW263" s="270">
        <f t="shared" si="1735"/>
        <v>0</v>
      </c>
      <c r="BX263" s="270">
        <f t="shared" si="1735"/>
        <v>0</v>
      </c>
      <c r="BY263" s="270">
        <f t="shared" si="1735"/>
        <v>-0.05</v>
      </c>
      <c r="BZ263" s="270">
        <f t="shared" si="1735"/>
        <v>-0.05</v>
      </c>
      <c r="CA263" s="270">
        <f t="shared" si="1735"/>
        <v>0</v>
      </c>
      <c r="CB263" s="270">
        <f t="shared" si="1735"/>
        <v>0</v>
      </c>
      <c r="CC263" s="270">
        <f t="shared" si="1735"/>
        <v>0</v>
      </c>
      <c r="CD263" s="270">
        <f t="shared" si="1735"/>
        <v>0</v>
      </c>
      <c r="CE263" s="270">
        <f t="shared" si="1735"/>
        <v>0</v>
      </c>
      <c r="CF263" s="270">
        <f t="shared" si="1735"/>
        <v>0</v>
      </c>
      <c r="CG263" s="270">
        <f t="shared" si="1735"/>
        <v>0</v>
      </c>
      <c r="CH263" s="270">
        <f t="shared" si="1735"/>
        <v>0</v>
      </c>
      <c r="CI263" s="270">
        <f t="shared" si="1735"/>
        <v>0</v>
      </c>
      <c r="CJ263" s="270">
        <f t="shared" si="1735"/>
        <v>0</v>
      </c>
      <c r="CK263" s="270">
        <f t="shared" si="1735"/>
        <v>0</v>
      </c>
      <c r="CL263" s="270">
        <f t="shared" si="1735"/>
        <v>0</v>
      </c>
      <c r="CM263" s="270">
        <f t="shared" si="1735"/>
        <v>0</v>
      </c>
      <c r="CN263" s="270">
        <f t="shared" si="1735"/>
        <v>0</v>
      </c>
      <c r="CO263" s="270">
        <f t="shared" si="1735"/>
        <v>0</v>
      </c>
      <c r="CP263" s="270">
        <f t="shared" si="1735"/>
        <v>0</v>
      </c>
      <c r="CQ263" s="215"/>
      <c r="CR263" s="270">
        <f t="shared" si="27"/>
        <v>-0.1</v>
      </c>
      <c r="CS263" s="215"/>
      <c r="CT263" s="270">
        <f t="shared" ref="CT263:DX263" si="1736">IF(AI262&gt;0,IF((AI262+BN263)&lt;E$10,AI262+BN263,E$10),0)</f>
        <v>0</v>
      </c>
      <c r="CU263" s="270">
        <f t="shared" si="1736"/>
        <v>0</v>
      </c>
      <c r="CV263" s="270">
        <f t="shared" si="1736"/>
        <v>0</v>
      </c>
      <c r="CW263" s="270">
        <f t="shared" si="1736"/>
        <v>0</v>
      </c>
      <c r="CX263" s="270">
        <f t="shared" si="1736"/>
        <v>0</v>
      </c>
      <c r="CY263" s="270">
        <f t="shared" si="1736"/>
        <v>0</v>
      </c>
      <c r="CZ263" s="270">
        <f t="shared" si="1736"/>
        <v>0</v>
      </c>
      <c r="DA263" s="270">
        <f t="shared" si="1736"/>
        <v>0</v>
      </c>
      <c r="DB263" s="270">
        <f t="shared" si="1736"/>
        <v>0</v>
      </c>
      <c r="DC263" s="270">
        <f t="shared" si="1736"/>
        <v>0</v>
      </c>
      <c r="DD263" s="270">
        <f t="shared" si="1736"/>
        <v>0</v>
      </c>
      <c r="DE263" s="270">
        <f t="shared" si="1736"/>
        <v>0</v>
      </c>
      <c r="DF263" s="270">
        <f t="shared" si="1736"/>
        <v>0</v>
      </c>
      <c r="DG263" s="270">
        <f t="shared" si="1736"/>
        <v>0</v>
      </c>
      <c r="DH263" s="270">
        <f t="shared" si="1736"/>
        <v>0</v>
      </c>
      <c r="DI263" s="270">
        <f t="shared" si="1736"/>
        <v>0</v>
      </c>
      <c r="DJ263" s="270">
        <f t="shared" si="1736"/>
        <v>0</v>
      </c>
      <c r="DK263" s="270">
        <f t="shared" si="1736"/>
        <v>0</v>
      </c>
      <c r="DL263" s="270">
        <f t="shared" si="1736"/>
        <v>0</v>
      </c>
      <c r="DM263" s="270">
        <f t="shared" si="1736"/>
        <v>0</v>
      </c>
      <c r="DN263" s="270">
        <f t="shared" si="1736"/>
        <v>0</v>
      </c>
      <c r="DO263" s="270">
        <f t="shared" si="1736"/>
        <v>0</v>
      </c>
      <c r="DP263" s="270">
        <f t="shared" si="1736"/>
        <v>0</v>
      </c>
      <c r="DQ263" s="270">
        <f t="shared" si="1736"/>
        <v>0</v>
      </c>
      <c r="DR263" s="270">
        <f t="shared" si="1736"/>
        <v>0</v>
      </c>
      <c r="DS263" s="270">
        <f t="shared" si="1736"/>
        <v>0</v>
      </c>
      <c r="DT263" s="270">
        <f t="shared" si="1736"/>
        <v>0</v>
      </c>
      <c r="DU263" s="270">
        <f t="shared" si="1736"/>
        <v>0</v>
      </c>
      <c r="DV263" s="270">
        <f t="shared" si="1736"/>
        <v>0</v>
      </c>
      <c r="DW263" s="270">
        <f t="shared" si="1736"/>
        <v>0</v>
      </c>
      <c r="DX263" s="270">
        <f t="shared" si="1736"/>
        <v>0</v>
      </c>
      <c r="DY263" s="270">
        <f t="shared" si="29"/>
        <v>0</v>
      </c>
      <c r="DZ263" s="274"/>
      <c r="EA263" s="275">
        <f t="shared" si="38"/>
        <v>0</v>
      </c>
      <c r="EB263" s="270">
        <f t="shared" ref="EB263:FC263" si="1737">IF(AJ261&lt;=0,0,IF($C262&lt;=SUM($EA263:EA263),0,IF(CU262+$C262-SUM($EA263:EA263)&gt;AJ261+BO262,AJ261+BO262-CU262,$C262-SUM($EA263:EA263))))</f>
        <v>0</v>
      </c>
      <c r="EC263" s="270">
        <f t="shared" si="1737"/>
        <v>0</v>
      </c>
      <c r="ED263" s="270">
        <f t="shared" si="1737"/>
        <v>0</v>
      </c>
      <c r="EE263" s="270">
        <f t="shared" si="1737"/>
        <v>0</v>
      </c>
      <c r="EF263" s="270">
        <f t="shared" si="1737"/>
        <v>0</v>
      </c>
      <c r="EG263" s="270">
        <f t="shared" si="1737"/>
        <v>0</v>
      </c>
      <c r="EH263" s="270">
        <f t="shared" si="1737"/>
        <v>0</v>
      </c>
      <c r="EI263" s="270">
        <f t="shared" si="1737"/>
        <v>0</v>
      </c>
      <c r="EJ263" s="270">
        <f t="shared" si="1737"/>
        <v>0</v>
      </c>
      <c r="EK263" s="270">
        <f t="shared" si="1737"/>
        <v>0</v>
      </c>
      <c r="EL263" s="270">
        <f t="shared" si="1737"/>
        <v>0</v>
      </c>
      <c r="EM263" s="270">
        <f t="shared" si="1737"/>
        <v>0</v>
      </c>
      <c r="EN263" s="270">
        <f t="shared" si="1737"/>
        <v>0</v>
      </c>
      <c r="EO263" s="270">
        <f t="shared" si="1737"/>
        <v>0</v>
      </c>
      <c r="EP263" s="270">
        <f t="shared" si="1737"/>
        <v>0</v>
      </c>
      <c r="EQ263" s="270">
        <f t="shared" si="1737"/>
        <v>0</v>
      </c>
      <c r="ER263" s="270">
        <f t="shared" si="1737"/>
        <v>0</v>
      </c>
      <c r="ES263" s="270">
        <f t="shared" si="1737"/>
        <v>0</v>
      </c>
      <c r="ET263" s="270">
        <f t="shared" si="1737"/>
        <v>0</v>
      </c>
      <c r="EU263" s="270">
        <f t="shared" si="1737"/>
        <v>0</v>
      </c>
      <c r="EV263" s="270">
        <f t="shared" si="1737"/>
        <v>0</v>
      </c>
      <c r="EW263" s="270">
        <f t="shared" si="1737"/>
        <v>0</v>
      </c>
      <c r="EX263" s="270">
        <f t="shared" si="1737"/>
        <v>0</v>
      </c>
      <c r="EY263" s="270">
        <f t="shared" si="1737"/>
        <v>0</v>
      </c>
      <c r="EZ263" s="270">
        <f t="shared" si="1737"/>
        <v>0</v>
      </c>
      <c r="FA263" s="270">
        <f t="shared" si="1737"/>
        <v>0</v>
      </c>
      <c r="FB263" s="270">
        <f t="shared" si="1737"/>
        <v>0</v>
      </c>
      <c r="FC263" s="270">
        <f t="shared" si="1737"/>
        <v>0</v>
      </c>
      <c r="FD263" s="271"/>
      <c r="FE263" s="271"/>
      <c r="FF263" s="271"/>
      <c r="FG263" s="215"/>
      <c r="FH263" s="215"/>
    </row>
    <row r="264" ht="11.25" customHeight="1">
      <c r="A264" s="215" t="str">
        <f t="shared" si="19"/>
        <v/>
      </c>
      <c r="B264" s="241" t="str">
        <f t="shared" si="600"/>
        <v>#N/A</v>
      </c>
      <c r="C264" s="271" t="str">
        <f>IF(A264="","",IF(Calculator!snowball,IF(($E$5-DY264)&lt;0,0,$E$5-DY264),0)+D264)</f>
        <v/>
      </c>
      <c r="D264" s="271"/>
      <c r="E264" s="270">
        <f t="shared" si="40"/>
        <v>0</v>
      </c>
      <c r="F264" s="270">
        <f t="shared" ref="F264:AG264" si="1738">CU264+EB265</f>
        <v>0</v>
      </c>
      <c r="G264" s="270">
        <f t="shared" si="1738"/>
        <v>0</v>
      </c>
      <c r="H264" s="270">
        <f t="shared" si="1738"/>
        <v>0</v>
      </c>
      <c r="I264" s="270">
        <f t="shared" si="1738"/>
        <v>0</v>
      </c>
      <c r="J264" s="270">
        <f t="shared" si="1738"/>
        <v>0</v>
      </c>
      <c r="K264" s="270">
        <f t="shared" si="1738"/>
        <v>0</v>
      </c>
      <c r="L264" s="270">
        <f t="shared" si="1738"/>
        <v>0</v>
      </c>
      <c r="M264" s="270">
        <f t="shared" si="1738"/>
        <v>0</v>
      </c>
      <c r="N264" s="270">
        <f t="shared" si="1738"/>
        <v>0</v>
      </c>
      <c r="O264" s="270">
        <f t="shared" si="1738"/>
        <v>0</v>
      </c>
      <c r="P264" s="272">
        <f t="shared" si="1738"/>
        <v>0</v>
      </c>
      <c r="Q264" s="272">
        <f t="shared" si="1738"/>
        <v>0</v>
      </c>
      <c r="R264" s="272">
        <f t="shared" si="1738"/>
        <v>0</v>
      </c>
      <c r="S264" s="272">
        <f t="shared" si="1738"/>
        <v>0</v>
      </c>
      <c r="T264" s="272">
        <f t="shared" si="1738"/>
        <v>0</v>
      </c>
      <c r="U264" s="270">
        <f t="shared" si="1738"/>
        <v>0</v>
      </c>
      <c r="V264" s="270">
        <f t="shared" si="1738"/>
        <v>0</v>
      </c>
      <c r="W264" s="270">
        <f t="shared" si="1738"/>
        <v>0</v>
      </c>
      <c r="X264" s="270">
        <f t="shared" si="1738"/>
        <v>0</v>
      </c>
      <c r="Y264" s="270">
        <f t="shared" si="1738"/>
        <v>0</v>
      </c>
      <c r="Z264" s="270">
        <f t="shared" si="1738"/>
        <v>0</v>
      </c>
      <c r="AA264" s="270">
        <f t="shared" si="1738"/>
        <v>0</v>
      </c>
      <c r="AB264" s="270">
        <f t="shared" si="1738"/>
        <v>0</v>
      </c>
      <c r="AC264" s="270">
        <f t="shared" si="1738"/>
        <v>0</v>
      </c>
      <c r="AD264" s="270">
        <f t="shared" si="1738"/>
        <v>0</v>
      </c>
      <c r="AE264" s="270">
        <f t="shared" si="1738"/>
        <v>0</v>
      </c>
      <c r="AF264" s="270">
        <f t="shared" si="1738"/>
        <v>0</v>
      </c>
      <c r="AG264" s="270">
        <f t="shared" si="1738"/>
        <v>0</v>
      </c>
      <c r="AH264" s="279">
        <f t="shared" si="602"/>
        <v>0</v>
      </c>
      <c r="AI264" s="270">
        <f t="shared" si="43"/>
        <v>0</v>
      </c>
      <c r="AJ264" s="270">
        <f t="shared" ref="AJ264:AO264" si="1739">IF(F$8=0,0,ROUND(AJ263-(F264-BO264),2))</f>
        <v>0</v>
      </c>
      <c r="AK264" s="270">
        <f t="shared" si="1739"/>
        <v>0</v>
      </c>
      <c r="AL264" s="270">
        <f t="shared" si="1739"/>
        <v>0</v>
      </c>
      <c r="AM264" s="270">
        <f t="shared" si="1739"/>
        <v>0</v>
      </c>
      <c r="AN264" s="270">
        <f t="shared" si="1739"/>
        <v>0</v>
      </c>
      <c r="AO264" s="270">
        <f t="shared" si="1739"/>
        <v>0</v>
      </c>
      <c r="AP264" s="270">
        <v>0.0</v>
      </c>
      <c r="AQ264" s="270">
        <f t="shared" ref="AQ264:AS264" si="1740">IF(M$8=0,0,ROUND(AQ263-(M264-BV264),2))</f>
        <v>0</v>
      </c>
      <c r="AR264" s="270">
        <f t="shared" si="1740"/>
        <v>0</v>
      </c>
      <c r="AS264" s="270">
        <f t="shared" si="1740"/>
        <v>0</v>
      </c>
      <c r="AT264" s="270">
        <f t="shared" si="605"/>
        <v>-6.22</v>
      </c>
      <c r="AU264" s="270">
        <f t="shared" ref="AU264:BK264" si="1741">IF(Q$8=0,0,ROUND(AU263-(Q264-BY264),2))</f>
        <v>-16.23</v>
      </c>
      <c r="AV264" s="270">
        <f t="shared" si="1741"/>
        <v>0</v>
      </c>
      <c r="AW264" s="270">
        <f t="shared" si="1741"/>
        <v>0</v>
      </c>
      <c r="AX264" s="270">
        <f t="shared" si="1741"/>
        <v>0</v>
      </c>
      <c r="AY264" s="270">
        <f t="shared" si="1741"/>
        <v>0</v>
      </c>
      <c r="AZ264" s="270">
        <f t="shared" si="1741"/>
        <v>0</v>
      </c>
      <c r="BA264" s="270">
        <f t="shared" si="1741"/>
        <v>0</v>
      </c>
      <c r="BB264" s="270">
        <f t="shared" si="1741"/>
        <v>0</v>
      </c>
      <c r="BC264" s="270">
        <f t="shared" si="1741"/>
        <v>0</v>
      </c>
      <c r="BD264" s="270">
        <f t="shared" si="1741"/>
        <v>0</v>
      </c>
      <c r="BE264" s="270">
        <f t="shared" si="1741"/>
        <v>0</v>
      </c>
      <c r="BF264" s="270">
        <f t="shared" si="1741"/>
        <v>0</v>
      </c>
      <c r="BG264" s="270">
        <f t="shared" si="1741"/>
        <v>0</v>
      </c>
      <c r="BH264" s="270">
        <f t="shared" si="1741"/>
        <v>0</v>
      </c>
      <c r="BI264" s="270">
        <f t="shared" si="1741"/>
        <v>0</v>
      </c>
      <c r="BJ264" s="270">
        <f t="shared" si="1741"/>
        <v>0</v>
      </c>
      <c r="BK264" s="270">
        <f t="shared" si="1741"/>
        <v>0</v>
      </c>
      <c r="BL264" s="265">
        <f t="shared" si="16"/>
        <v>-22.45</v>
      </c>
      <c r="BM264" s="215"/>
      <c r="BN264" s="270">
        <f t="shared" ref="BN264:CP264" si="1742">ROUND(AI263*E$9/12,2)</f>
        <v>0</v>
      </c>
      <c r="BO264" s="270">
        <f t="shared" si="1742"/>
        <v>0</v>
      </c>
      <c r="BP264" s="270">
        <f t="shared" si="1742"/>
        <v>0</v>
      </c>
      <c r="BQ264" s="270">
        <f t="shared" si="1742"/>
        <v>0</v>
      </c>
      <c r="BR264" s="270">
        <f t="shared" si="1742"/>
        <v>0</v>
      </c>
      <c r="BS264" s="270">
        <f t="shared" si="1742"/>
        <v>0</v>
      </c>
      <c r="BT264" s="270">
        <f t="shared" si="1742"/>
        <v>0</v>
      </c>
      <c r="BU264" s="270">
        <f t="shared" si="1742"/>
        <v>0</v>
      </c>
      <c r="BV264" s="270">
        <f t="shared" si="1742"/>
        <v>0</v>
      </c>
      <c r="BW264" s="270">
        <f t="shared" si="1742"/>
        <v>0</v>
      </c>
      <c r="BX264" s="270">
        <f t="shared" si="1742"/>
        <v>0</v>
      </c>
      <c r="BY264" s="270">
        <f t="shared" si="1742"/>
        <v>-0.05</v>
      </c>
      <c r="BZ264" s="270">
        <f t="shared" si="1742"/>
        <v>-0.05</v>
      </c>
      <c r="CA264" s="270">
        <f t="shared" si="1742"/>
        <v>0</v>
      </c>
      <c r="CB264" s="270">
        <f t="shared" si="1742"/>
        <v>0</v>
      </c>
      <c r="CC264" s="270">
        <f t="shared" si="1742"/>
        <v>0</v>
      </c>
      <c r="CD264" s="270">
        <f t="shared" si="1742"/>
        <v>0</v>
      </c>
      <c r="CE264" s="270">
        <f t="shared" si="1742"/>
        <v>0</v>
      </c>
      <c r="CF264" s="270">
        <f t="shared" si="1742"/>
        <v>0</v>
      </c>
      <c r="CG264" s="270">
        <f t="shared" si="1742"/>
        <v>0</v>
      </c>
      <c r="CH264" s="270">
        <f t="shared" si="1742"/>
        <v>0</v>
      </c>
      <c r="CI264" s="270">
        <f t="shared" si="1742"/>
        <v>0</v>
      </c>
      <c r="CJ264" s="270">
        <f t="shared" si="1742"/>
        <v>0</v>
      </c>
      <c r="CK264" s="270">
        <f t="shared" si="1742"/>
        <v>0</v>
      </c>
      <c r="CL264" s="270">
        <f t="shared" si="1742"/>
        <v>0</v>
      </c>
      <c r="CM264" s="270">
        <f t="shared" si="1742"/>
        <v>0</v>
      </c>
      <c r="CN264" s="270">
        <f t="shared" si="1742"/>
        <v>0</v>
      </c>
      <c r="CO264" s="270">
        <f t="shared" si="1742"/>
        <v>0</v>
      </c>
      <c r="CP264" s="270">
        <f t="shared" si="1742"/>
        <v>0</v>
      </c>
      <c r="CQ264" s="215"/>
      <c r="CR264" s="270">
        <f t="shared" si="27"/>
        <v>-0.1</v>
      </c>
      <c r="CS264" s="215"/>
      <c r="CT264" s="270">
        <f t="shared" ref="CT264:DX264" si="1743">IF(AI263&gt;0,IF((AI263+BN264)&lt;E$10,AI263+BN264,E$10),0)</f>
        <v>0</v>
      </c>
      <c r="CU264" s="270">
        <f t="shared" si="1743"/>
        <v>0</v>
      </c>
      <c r="CV264" s="270">
        <f t="shared" si="1743"/>
        <v>0</v>
      </c>
      <c r="CW264" s="270">
        <f t="shared" si="1743"/>
        <v>0</v>
      </c>
      <c r="CX264" s="270">
        <f t="shared" si="1743"/>
        <v>0</v>
      </c>
      <c r="CY264" s="270">
        <f t="shared" si="1743"/>
        <v>0</v>
      </c>
      <c r="CZ264" s="270">
        <f t="shared" si="1743"/>
        <v>0</v>
      </c>
      <c r="DA264" s="270">
        <f t="shared" si="1743"/>
        <v>0</v>
      </c>
      <c r="DB264" s="270">
        <f t="shared" si="1743"/>
        <v>0</v>
      </c>
      <c r="DC264" s="270">
        <f t="shared" si="1743"/>
        <v>0</v>
      </c>
      <c r="DD264" s="270">
        <f t="shared" si="1743"/>
        <v>0</v>
      </c>
      <c r="DE264" s="270">
        <f t="shared" si="1743"/>
        <v>0</v>
      </c>
      <c r="DF264" s="270">
        <f t="shared" si="1743"/>
        <v>0</v>
      </c>
      <c r="DG264" s="270">
        <f t="shared" si="1743"/>
        <v>0</v>
      </c>
      <c r="DH264" s="270">
        <f t="shared" si="1743"/>
        <v>0</v>
      </c>
      <c r="DI264" s="270">
        <f t="shared" si="1743"/>
        <v>0</v>
      </c>
      <c r="DJ264" s="270">
        <f t="shared" si="1743"/>
        <v>0</v>
      </c>
      <c r="DK264" s="270">
        <f t="shared" si="1743"/>
        <v>0</v>
      </c>
      <c r="DL264" s="270">
        <f t="shared" si="1743"/>
        <v>0</v>
      </c>
      <c r="DM264" s="270">
        <f t="shared" si="1743"/>
        <v>0</v>
      </c>
      <c r="DN264" s="270">
        <f t="shared" si="1743"/>
        <v>0</v>
      </c>
      <c r="DO264" s="270">
        <f t="shared" si="1743"/>
        <v>0</v>
      </c>
      <c r="DP264" s="270">
        <f t="shared" si="1743"/>
        <v>0</v>
      </c>
      <c r="DQ264" s="270">
        <f t="shared" si="1743"/>
        <v>0</v>
      </c>
      <c r="DR264" s="270">
        <f t="shared" si="1743"/>
        <v>0</v>
      </c>
      <c r="DS264" s="270">
        <f t="shared" si="1743"/>
        <v>0</v>
      </c>
      <c r="DT264" s="270">
        <f t="shared" si="1743"/>
        <v>0</v>
      </c>
      <c r="DU264" s="270">
        <f t="shared" si="1743"/>
        <v>0</v>
      </c>
      <c r="DV264" s="270">
        <f t="shared" si="1743"/>
        <v>0</v>
      </c>
      <c r="DW264" s="270">
        <f t="shared" si="1743"/>
        <v>0</v>
      </c>
      <c r="DX264" s="270">
        <f t="shared" si="1743"/>
        <v>0</v>
      </c>
      <c r="DY264" s="270">
        <f t="shared" si="29"/>
        <v>0</v>
      </c>
      <c r="DZ264" s="274"/>
      <c r="EA264" s="275">
        <f t="shared" si="38"/>
        <v>0</v>
      </c>
      <c r="EB264" s="270">
        <f t="shared" ref="EB264:FC264" si="1744">IF(AJ262&lt;=0,0,IF($C263&lt;=SUM($EA264:EA264),0,IF(CU263+$C263-SUM($EA264:EA264)&gt;AJ262+BO263,AJ262+BO263-CU263,$C263-SUM($EA264:EA264))))</f>
        <v>0</v>
      </c>
      <c r="EC264" s="270">
        <f t="shared" si="1744"/>
        <v>0</v>
      </c>
      <c r="ED264" s="270">
        <f t="shared" si="1744"/>
        <v>0</v>
      </c>
      <c r="EE264" s="270">
        <f t="shared" si="1744"/>
        <v>0</v>
      </c>
      <c r="EF264" s="270">
        <f t="shared" si="1744"/>
        <v>0</v>
      </c>
      <c r="EG264" s="270">
        <f t="shared" si="1744"/>
        <v>0</v>
      </c>
      <c r="EH264" s="270">
        <f t="shared" si="1744"/>
        <v>0</v>
      </c>
      <c r="EI264" s="270">
        <f t="shared" si="1744"/>
        <v>0</v>
      </c>
      <c r="EJ264" s="270">
        <f t="shared" si="1744"/>
        <v>0</v>
      </c>
      <c r="EK264" s="270">
        <f t="shared" si="1744"/>
        <v>0</v>
      </c>
      <c r="EL264" s="270">
        <f t="shared" si="1744"/>
        <v>0</v>
      </c>
      <c r="EM264" s="270">
        <f t="shared" si="1744"/>
        <v>0</v>
      </c>
      <c r="EN264" s="270">
        <f t="shared" si="1744"/>
        <v>0</v>
      </c>
      <c r="EO264" s="270">
        <f t="shared" si="1744"/>
        <v>0</v>
      </c>
      <c r="EP264" s="270">
        <f t="shared" si="1744"/>
        <v>0</v>
      </c>
      <c r="EQ264" s="270">
        <f t="shared" si="1744"/>
        <v>0</v>
      </c>
      <c r="ER264" s="270">
        <f t="shared" si="1744"/>
        <v>0</v>
      </c>
      <c r="ES264" s="270">
        <f t="shared" si="1744"/>
        <v>0</v>
      </c>
      <c r="ET264" s="270">
        <f t="shared" si="1744"/>
        <v>0</v>
      </c>
      <c r="EU264" s="270">
        <f t="shared" si="1744"/>
        <v>0</v>
      </c>
      <c r="EV264" s="270">
        <f t="shared" si="1744"/>
        <v>0</v>
      </c>
      <c r="EW264" s="270">
        <f t="shared" si="1744"/>
        <v>0</v>
      </c>
      <c r="EX264" s="270">
        <f t="shared" si="1744"/>
        <v>0</v>
      </c>
      <c r="EY264" s="270">
        <f t="shared" si="1744"/>
        <v>0</v>
      </c>
      <c r="EZ264" s="270">
        <f t="shared" si="1744"/>
        <v>0</v>
      </c>
      <c r="FA264" s="270">
        <f t="shared" si="1744"/>
        <v>0</v>
      </c>
      <c r="FB264" s="270">
        <f t="shared" si="1744"/>
        <v>0</v>
      </c>
      <c r="FC264" s="270">
        <f t="shared" si="1744"/>
        <v>0</v>
      </c>
      <c r="FD264" s="271"/>
      <c r="FE264" s="271"/>
      <c r="FF264" s="271"/>
      <c r="FG264" s="215"/>
      <c r="FH264" s="215"/>
    </row>
    <row r="265" ht="11.25" customHeight="1">
      <c r="A265" s="215" t="str">
        <f t="shared" si="19"/>
        <v/>
      </c>
      <c r="B265" s="241" t="str">
        <f t="shared" si="600"/>
        <v>#N/A</v>
      </c>
      <c r="C265" s="271" t="str">
        <f>IF(A265="","",IF(Calculator!snowball,IF(($E$5-DY265)&lt;0,0,$E$5-DY265),0)+D265)</f>
        <v/>
      </c>
      <c r="D265" s="271"/>
      <c r="E265" s="270">
        <f t="shared" si="40"/>
        <v>0</v>
      </c>
      <c r="F265" s="270">
        <f t="shared" ref="F265:AG265" si="1745">CU265+EB266</f>
        <v>0</v>
      </c>
      <c r="G265" s="270">
        <f t="shared" si="1745"/>
        <v>0</v>
      </c>
      <c r="H265" s="270">
        <f t="shared" si="1745"/>
        <v>0</v>
      </c>
      <c r="I265" s="270">
        <f t="shared" si="1745"/>
        <v>0</v>
      </c>
      <c r="J265" s="270">
        <f t="shared" si="1745"/>
        <v>0</v>
      </c>
      <c r="K265" s="270">
        <f t="shared" si="1745"/>
        <v>0</v>
      </c>
      <c r="L265" s="270">
        <f t="shared" si="1745"/>
        <v>0</v>
      </c>
      <c r="M265" s="270">
        <f t="shared" si="1745"/>
        <v>0</v>
      </c>
      <c r="N265" s="270">
        <f t="shared" si="1745"/>
        <v>0</v>
      </c>
      <c r="O265" s="270">
        <f t="shared" si="1745"/>
        <v>0</v>
      </c>
      <c r="P265" s="272">
        <f t="shared" si="1745"/>
        <v>0</v>
      </c>
      <c r="Q265" s="272">
        <f t="shared" si="1745"/>
        <v>0</v>
      </c>
      <c r="R265" s="272">
        <f t="shared" si="1745"/>
        <v>0</v>
      </c>
      <c r="S265" s="272">
        <f t="shared" si="1745"/>
        <v>0</v>
      </c>
      <c r="T265" s="272">
        <f t="shared" si="1745"/>
        <v>0</v>
      </c>
      <c r="U265" s="270">
        <f t="shared" si="1745"/>
        <v>0</v>
      </c>
      <c r="V265" s="270">
        <f t="shared" si="1745"/>
        <v>0</v>
      </c>
      <c r="W265" s="270">
        <f t="shared" si="1745"/>
        <v>0</v>
      </c>
      <c r="X265" s="270">
        <f t="shared" si="1745"/>
        <v>0</v>
      </c>
      <c r="Y265" s="270">
        <f t="shared" si="1745"/>
        <v>0</v>
      </c>
      <c r="Z265" s="270">
        <f t="shared" si="1745"/>
        <v>0</v>
      </c>
      <c r="AA265" s="270">
        <f t="shared" si="1745"/>
        <v>0</v>
      </c>
      <c r="AB265" s="270">
        <f t="shared" si="1745"/>
        <v>0</v>
      </c>
      <c r="AC265" s="270">
        <f t="shared" si="1745"/>
        <v>0</v>
      </c>
      <c r="AD265" s="270">
        <f t="shared" si="1745"/>
        <v>0</v>
      </c>
      <c r="AE265" s="270">
        <f t="shared" si="1745"/>
        <v>0</v>
      </c>
      <c r="AF265" s="270">
        <f t="shared" si="1745"/>
        <v>0</v>
      </c>
      <c r="AG265" s="270">
        <f t="shared" si="1745"/>
        <v>0</v>
      </c>
      <c r="AH265" s="279">
        <f t="shared" si="602"/>
        <v>0</v>
      </c>
      <c r="AI265" s="270">
        <f t="shared" si="43"/>
        <v>0</v>
      </c>
      <c r="AJ265" s="270">
        <f t="shared" ref="AJ265:AO265" si="1746">IF(F$8=0,0,ROUND(AJ264-(F265-BO265),2))</f>
        <v>0</v>
      </c>
      <c r="AK265" s="270">
        <f t="shared" si="1746"/>
        <v>0</v>
      </c>
      <c r="AL265" s="270">
        <f t="shared" si="1746"/>
        <v>0</v>
      </c>
      <c r="AM265" s="270">
        <f t="shared" si="1746"/>
        <v>0</v>
      </c>
      <c r="AN265" s="270">
        <f t="shared" si="1746"/>
        <v>0</v>
      </c>
      <c r="AO265" s="270">
        <f t="shared" si="1746"/>
        <v>0</v>
      </c>
      <c r="AP265" s="270">
        <v>0.0</v>
      </c>
      <c r="AQ265" s="270">
        <f t="shared" ref="AQ265:AS265" si="1747">IF(M$8=0,0,ROUND(AQ264-(M265-BV265),2))</f>
        <v>0</v>
      </c>
      <c r="AR265" s="270">
        <f t="shared" si="1747"/>
        <v>0</v>
      </c>
      <c r="AS265" s="270">
        <f t="shared" si="1747"/>
        <v>0</v>
      </c>
      <c r="AT265" s="270">
        <f t="shared" si="605"/>
        <v>-6.22</v>
      </c>
      <c r="AU265" s="270">
        <f t="shared" ref="AU265:BK265" si="1748">IF(Q$8=0,0,ROUND(AU264-(Q265-BY265),2))</f>
        <v>-16.28</v>
      </c>
      <c r="AV265" s="270">
        <f t="shared" si="1748"/>
        <v>0</v>
      </c>
      <c r="AW265" s="270">
        <f t="shared" si="1748"/>
        <v>0</v>
      </c>
      <c r="AX265" s="270">
        <f t="shared" si="1748"/>
        <v>0</v>
      </c>
      <c r="AY265" s="270">
        <f t="shared" si="1748"/>
        <v>0</v>
      </c>
      <c r="AZ265" s="270">
        <f t="shared" si="1748"/>
        <v>0</v>
      </c>
      <c r="BA265" s="270">
        <f t="shared" si="1748"/>
        <v>0</v>
      </c>
      <c r="BB265" s="270">
        <f t="shared" si="1748"/>
        <v>0</v>
      </c>
      <c r="BC265" s="270">
        <f t="shared" si="1748"/>
        <v>0</v>
      </c>
      <c r="BD265" s="270">
        <f t="shared" si="1748"/>
        <v>0</v>
      </c>
      <c r="BE265" s="270">
        <f t="shared" si="1748"/>
        <v>0</v>
      </c>
      <c r="BF265" s="270">
        <f t="shared" si="1748"/>
        <v>0</v>
      </c>
      <c r="BG265" s="270">
        <f t="shared" si="1748"/>
        <v>0</v>
      </c>
      <c r="BH265" s="270">
        <f t="shared" si="1748"/>
        <v>0</v>
      </c>
      <c r="BI265" s="270">
        <f t="shared" si="1748"/>
        <v>0</v>
      </c>
      <c r="BJ265" s="270">
        <f t="shared" si="1748"/>
        <v>0</v>
      </c>
      <c r="BK265" s="270">
        <f t="shared" si="1748"/>
        <v>0</v>
      </c>
      <c r="BL265" s="265">
        <f t="shared" si="16"/>
        <v>-22.5</v>
      </c>
      <c r="BM265" s="215"/>
      <c r="BN265" s="270">
        <f t="shared" ref="BN265:CP265" si="1749">ROUND(AI264*E$9/12,2)</f>
        <v>0</v>
      </c>
      <c r="BO265" s="270">
        <f t="shared" si="1749"/>
        <v>0</v>
      </c>
      <c r="BP265" s="270">
        <f t="shared" si="1749"/>
        <v>0</v>
      </c>
      <c r="BQ265" s="270">
        <f t="shared" si="1749"/>
        <v>0</v>
      </c>
      <c r="BR265" s="270">
        <f t="shared" si="1749"/>
        <v>0</v>
      </c>
      <c r="BS265" s="270">
        <f t="shared" si="1749"/>
        <v>0</v>
      </c>
      <c r="BT265" s="270">
        <f t="shared" si="1749"/>
        <v>0</v>
      </c>
      <c r="BU265" s="270">
        <f t="shared" si="1749"/>
        <v>0</v>
      </c>
      <c r="BV265" s="270">
        <f t="shared" si="1749"/>
        <v>0</v>
      </c>
      <c r="BW265" s="270">
        <f t="shared" si="1749"/>
        <v>0</v>
      </c>
      <c r="BX265" s="270">
        <f t="shared" si="1749"/>
        <v>0</v>
      </c>
      <c r="BY265" s="270">
        <f t="shared" si="1749"/>
        <v>-0.05</v>
      </c>
      <c r="BZ265" s="270">
        <f t="shared" si="1749"/>
        <v>-0.05</v>
      </c>
      <c r="CA265" s="270">
        <f t="shared" si="1749"/>
        <v>0</v>
      </c>
      <c r="CB265" s="270">
        <f t="shared" si="1749"/>
        <v>0</v>
      </c>
      <c r="CC265" s="270">
        <f t="shared" si="1749"/>
        <v>0</v>
      </c>
      <c r="CD265" s="270">
        <f t="shared" si="1749"/>
        <v>0</v>
      </c>
      <c r="CE265" s="270">
        <f t="shared" si="1749"/>
        <v>0</v>
      </c>
      <c r="CF265" s="270">
        <f t="shared" si="1749"/>
        <v>0</v>
      </c>
      <c r="CG265" s="270">
        <f t="shared" si="1749"/>
        <v>0</v>
      </c>
      <c r="CH265" s="270">
        <f t="shared" si="1749"/>
        <v>0</v>
      </c>
      <c r="CI265" s="270">
        <f t="shared" si="1749"/>
        <v>0</v>
      </c>
      <c r="CJ265" s="270">
        <f t="shared" si="1749"/>
        <v>0</v>
      </c>
      <c r="CK265" s="270">
        <f t="shared" si="1749"/>
        <v>0</v>
      </c>
      <c r="CL265" s="270">
        <f t="shared" si="1749"/>
        <v>0</v>
      </c>
      <c r="CM265" s="270">
        <f t="shared" si="1749"/>
        <v>0</v>
      </c>
      <c r="CN265" s="270">
        <f t="shared" si="1749"/>
        <v>0</v>
      </c>
      <c r="CO265" s="270">
        <f t="shared" si="1749"/>
        <v>0</v>
      </c>
      <c r="CP265" s="270">
        <f t="shared" si="1749"/>
        <v>0</v>
      </c>
      <c r="CQ265" s="215"/>
      <c r="CR265" s="270">
        <f t="shared" si="27"/>
        <v>-0.1</v>
      </c>
      <c r="CS265" s="215"/>
      <c r="CT265" s="270">
        <f t="shared" ref="CT265:DX265" si="1750">IF(AI264&gt;0,IF((AI264+BN265)&lt;E$10,AI264+BN265,E$10),0)</f>
        <v>0</v>
      </c>
      <c r="CU265" s="270">
        <f t="shared" si="1750"/>
        <v>0</v>
      </c>
      <c r="CV265" s="270">
        <f t="shared" si="1750"/>
        <v>0</v>
      </c>
      <c r="CW265" s="270">
        <f t="shared" si="1750"/>
        <v>0</v>
      </c>
      <c r="CX265" s="270">
        <f t="shared" si="1750"/>
        <v>0</v>
      </c>
      <c r="CY265" s="270">
        <f t="shared" si="1750"/>
        <v>0</v>
      </c>
      <c r="CZ265" s="270">
        <f t="shared" si="1750"/>
        <v>0</v>
      </c>
      <c r="DA265" s="270">
        <f t="shared" si="1750"/>
        <v>0</v>
      </c>
      <c r="DB265" s="270">
        <f t="shared" si="1750"/>
        <v>0</v>
      </c>
      <c r="DC265" s="270">
        <f t="shared" si="1750"/>
        <v>0</v>
      </c>
      <c r="DD265" s="270">
        <f t="shared" si="1750"/>
        <v>0</v>
      </c>
      <c r="DE265" s="270">
        <f t="shared" si="1750"/>
        <v>0</v>
      </c>
      <c r="DF265" s="270">
        <f t="shared" si="1750"/>
        <v>0</v>
      </c>
      <c r="DG265" s="270">
        <f t="shared" si="1750"/>
        <v>0</v>
      </c>
      <c r="DH265" s="270">
        <f t="shared" si="1750"/>
        <v>0</v>
      </c>
      <c r="DI265" s="270">
        <f t="shared" si="1750"/>
        <v>0</v>
      </c>
      <c r="DJ265" s="270">
        <f t="shared" si="1750"/>
        <v>0</v>
      </c>
      <c r="DK265" s="270">
        <f t="shared" si="1750"/>
        <v>0</v>
      </c>
      <c r="DL265" s="270">
        <f t="shared" si="1750"/>
        <v>0</v>
      </c>
      <c r="DM265" s="270">
        <f t="shared" si="1750"/>
        <v>0</v>
      </c>
      <c r="DN265" s="270">
        <f t="shared" si="1750"/>
        <v>0</v>
      </c>
      <c r="DO265" s="270">
        <f t="shared" si="1750"/>
        <v>0</v>
      </c>
      <c r="DP265" s="270">
        <f t="shared" si="1750"/>
        <v>0</v>
      </c>
      <c r="DQ265" s="270">
        <f t="shared" si="1750"/>
        <v>0</v>
      </c>
      <c r="DR265" s="270">
        <f t="shared" si="1750"/>
        <v>0</v>
      </c>
      <c r="DS265" s="270">
        <f t="shared" si="1750"/>
        <v>0</v>
      </c>
      <c r="DT265" s="270">
        <f t="shared" si="1750"/>
        <v>0</v>
      </c>
      <c r="DU265" s="270">
        <f t="shared" si="1750"/>
        <v>0</v>
      </c>
      <c r="DV265" s="270">
        <f t="shared" si="1750"/>
        <v>0</v>
      </c>
      <c r="DW265" s="270">
        <f t="shared" si="1750"/>
        <v>0</v>
      </c>
      <c r="DX265" s="270">
        <f t="shared" si="1750"/>
        <v>0</v>
      </c>
      <c r="DY265" s="270">
        <f t="shared" si="29"/>
        <v>0</v>
      </c>
      <c r="DZ265" s="274"/>
      <c r="EA265" s="275">
        <f t="shared" si="38"/>
        <v>0</v>
      </c>
      <c r="EB265" s="270">
        <f t="shared" ref="EB265:FC265" si="1751">IF(AJ263&lt;=0,0,IF($C264&lt;=SUM($EA265:EA265),0,IF(CU264+$C264-SUM($EA265:EA265)&gt;AJ263+BO264,AJ263+BO264-CU264,$C264-SUM($EA265:EA265))))</f>
        <v>0</v>
      </c>
      <c r="EC265" s="270">
        <f t="shared" si="1751"/>
        <v>0</v>
      </c>
      <c r="ED265" s="270">
        <f t="shared" si="1751"/>
        <v>0</v>
      </c>
      <c r="EE265" s="270">
        <f t="shared" si="1751"/>
        <v>0</v>
      </c>
      <c r="EF265" s="270">
        <f t="shared" si="1751"/>
        <v>0</v>
      </c>
      <c r="EG265" s="270">
        <f t="shared" si="1751"/>
        <v>0</v>
      </c>
      <c r="EH265" s="270">
        <f t="shared" si="1751"/>
        <v>0</v>
      </c>
      <c r="EI265" s="270">
        <f t="shared" si="1751"/>
        <v>0</v>
      </c>
      <c r="EJ265" s="270">
        <f t="shared" si="1751"/>
        <v>0</v>
      </c>
      <c r="EK265" s="270">
        <f t="shared" si="1751"/>
        <v>0</v>
      </c>
      <c r="EL265" s="270">
        <f t="shared" si="1751"/>
        <v>0</v>
      </c>
      <c r="EM265" s="270">
        <f t="shared" si="1751"/>
        <v>0</v>
      </c>
      <c r="EN265" s="270">
        <f t="shared" si="1751"/>
        <v>0</v>
      </c>
      <c r="EO265" s="270">
        <f t="shared" si="1751"/>
        <v>0</v>
      </c>
      <c r="EP265" s="270">
        <f t="shared" si="1751"/>
        <v>0</v>
      </c>
      <c r="EQ265" s="270">
        <f t="shared" si="1751"/>
        <v>0</v>
      </c>
      <c r="ER265" s="270">
        <f t="shared" si="1751"/>
        <v>0</v>
      </c>
      <c r="ES265" s="270">
        <f t="shared" si="1751"/>
        <v>0</v>
      </c>
      <c r="ET265" s="270">
        <f t="shared" si="1751"/>
        <v>0</v>
      </c>
      <c r="EU265" s="270">
        <f t="shared" si="1751"/>
        <v>0</v>
      </c>
      <c r="EV265" s="270">
        <f t="shared" si="1751"/>
        <v>0</v>
      </c>
      <c r="EW265" s="270">
        <f t="shared" si="1751"/>
        <v>0</v>
      </c>
      <c r="EX265" s="270">
        <f t="shared" si="1751"/>
        <v>0</v>
      </c>
      <c r="EY265" s="270">
        <f t="shared" si="1751"/>
        <v>0</v>
      </c>
      <c r="EZ265" s="270">
        <f t="shared" si="1751"/>
        <v>0</v>
      </c>
      <c r="FA265" s="270">
        <f t="shared" si="1751"/>
        <v>0</v>
      </c>
      <c r="FB265" s="270">
        <f t="shared" si="1751"/>
        <v>0</v>
      </c>
      <c r="FC265" s="270">
        <f t="shared" si="1751"/>
        <v>0</v>
      </c>
      <c r="FD265" s="271"/>
      <c r="FE265" s="271"/>
      <c r="FF265" s="271"/>
      <c r="FG265" s="215"/>
      <c r="FH265" s="215"/>
    </row>
    <row r="266" ht="11.25" customHeight="1">
      <c r="A266" s="215" t="str">
        <f t="shared" si="19"/>
        <v/>
      </c>
      <c r="B266" s="241" t="str">
        <f t="shared" si="600"/>
        <v>#N/A</v>
      </c>
      <c r="C266" s="271" t="str">
        <f>IF(A266="","",IF(Calculator!snowball,IF(($E$5-DY266)&lt;0,0,$E$5-DY266),0)+D266)</f>
        <v/>
      </c>
      <c r="D266" s="271"/>
      <c r="E266" s="270">
        <f t="shared" si="40"/>
        <v>0</v>
      </c>
      <c r="F266" s="270">
        <f t="shared" ref="F266:AG266" si="1752">CU266+EB267</f>
        <v>0</v>
      </c>
      <c r="G266" s="270">
        <f t="shared" si="1752"/>
        <v>0</v>
      </c>
      <c r="H266" s="270">
        <f t="shared" si="1752"/>
        <v>0</v>
      </c>
      <c r="I266" s="270">
        <f t="shared" si="1752"/>
        <v>0</v>
      </c>
      <c r="J266" s="270">
        <f t="shared" si="1752"/>
        <v>0</v>
      </c>
      <c r="K266" s="270">
        <f t="shared" si="1752"/>
        <v>0</v>
      </c>
      <c r="L266" s="270">
        <f t="shared" si="1752"/>
        <v>0</v>
      </c>
      <c r="M266" s="270">
        <f t="shared" si="1752"/>
        <v>0</v>
      </c>
      <c r="N266" s="270">
        <f t="shared" si="1752"/>
        <v>0</v>
      </c>
      <c r="O266" s="270">
        <f t="shared" si="1752"/>
        <v>0</v>
      </c>
      <c r="P266" s="272">
        <f t="shared" si="1752"/>
        <v>0</v>
      </c>
      <c r="Q266" s="272">
        <f t="shared" si="1752"/>
        <v>0</v>
      </c>
      <c r="R266" s="272">
        <f t="shared" si="1752"/>
        <v>0</v>
      </c>
      <c r="S266" s="272">
        <f t="shared" si="1752"/>
        <v>0</v>
      </c>
      <c r="T266" s="272">
        <f t="shared" si="1752"/>
        <v>0</v>
      </c>
      <c r="U266" s="270">
        <f t="shared" si="1752"/>
        <v>0</v>
      </c>
      <c r="V266" s="270">
        <f t="shared" si="1752"/>
        <v>0</v>
      </c>
      <c r="W266" s="270">
        <f t="shared" si="1752"/>
        <v>0</v>
      </c>
      <c r="X266" s="270">
        <f t="shared" si="1752"/>
        <v>0</v>
      </c>
      <c r="Y266" s="270">
        <f t="shared" si="1752"/>
        <v>0</v>
      </c>
      <c r="Z266" s="270">
        <f t="shared" si="1752"/>
        <v>0</v>
      </c>
      <c r="AA266" s="270">
        <f t="shared" si="1752"/>
        <v>0</v>
      </c>
      <c r="AB266" s="270">
        <f t="shared" si="1752"/>
        <v>0</v>
      </c>
      <c r="AC266" s="270">
        <f t="shared" si="1752"/>
        <v>0</v>
      </c>
      <c r="AD266" s="270">
        <f t="shared" si="1752"/>
        <v>0</v>
      </c>
      <c r="AE266" s="270">
        <f t="shared" si="1752"/>
        <v>0</v>
      </c>
      <c r="AF266" s="270">
        <f t="shared" si="1752"/>
        <v>0</v>
      </c>
      <c r="AG266" s="270">
        <f t="shared" si="1752"/>
        <v>0</v>
      </c>
      <c r="AH266" s="279">
        <f t="shared" si="602"/>
        <v>0</v>
      </c>
      <c r="AI266" s="270">
        <f t="shared" si="43"/>
        <v>0</v>
      </c>
      <c r="AJ266" s="270">
        <f t="shared" ref="AJ266:AO266" si="1753">IF(F$8=0,0,ROUND(AJ265-(F266-BO266),2))</f>
        <v>0</v>
      </c>
      <c r="AK266" s="270">
        <f t="shared" si="1753"/>
        <v>0</v>
      </c>
      <c r="AL266" s="270">
        <f t="shared" si="1753"/>
        <v>0</v>
      </c>
      <c r="AM266" s="270">
        <f t="shared" si="1753"/>
        <v>0</v>
      </c>
      <c r="AN266" s="270">
        <f t="shared" si="1753"/>
        <v>0</v>
      </c>
      <c r="AO266" s="270">
        <f t="shared" si="1753"/>
        <v>0</v>
      </c>
      <c r="AP266" s="270">
        <v>0.0</v>
      </c>
      <c r="AQ266" s="270">
        <f t="shared" ref="AQ266:AS266" si="1754">IF(M$8=0,0,ROUND(AQ265-(M266-BV266),2))</f>
        <v>0</v>
      </c>
      <c r="AR266" s="270">
        <f t="shared" si="1754"/>
        <v>0</v>
      </c>
      <c r="AS266" s="270">
        <f t="shared" si="1754"/>
        <v>0</v>
      </c>
      <c r="AT266" s="270">
        <f t="shared" si="605"/>
        <v>-6.22</v>
      </c>
      <c r="AU266" s="270">
        <f t="shared" ref="AU266:BK266" si="1755">IF(Q$8=0,0,ROUND(AU265-(Q266-BY266),2))</f>
        <v>-16.33</v>
      </c>
      <c r="AV266" s="270">
        <f t="shared" si="1755"/>
        <v>0</v>
      </c>
      <c r="AW266" s="270">
        <f t="shared" si="1755"/>
        <v>0</v>
      </c>
      <c r="AX266" s="270">
        <f t="shared" si="1755"/>
        <v>0</v>
      </c>
      <c r="AY266" s="270">
        <f t="shared" si="1755"/>
        <v>0</v>
      </c>
      <c r="AZ266" s="270">
        <f t="shared" si="1755"/>
        <v>0</v>
      </c>
      <c r="BA266" s="270">
        <f t="shared" si="1755"/>
        <v>0</v>
      </c>
      <c r="BB266" s="270">
        <f t="shared" si="1755"/>
        <v>0</v>
      </c>
      <c r="BC266" s="270">
        <f t="shared" si="1755"/>
        <v>0</v>
      </c>
      <c r="BD266" s="270">
        <f t="shared" si="1755"/>
        <v>0</v>
      </c>
      <c r="BE266" s="270">
        <f t="shared" si="1755"/>
        <v>0</v>
      </c>
      <c r="BF266" s="270">
        <f t="shared" si="1755"/>
        <v>0</v>
      </c>
      <c r="BG266" s="270">
        <f t="shared" si="1755"/>
        <v>0</v>
      </c>
      <c r="BH266" s="270">
        <f t="shared" si="1755"/>
        <v>0</v>
      </c>
      <c r="BI266" s="270">
        <f t="shared" si="1755"/>
        <v>0</v>
      </c>
      <c r="BJ266" s="270">
        <f t="shared" si="1755"/>
        <v>0</v>
      </c>
      <c r="BK266" s="270">
        <f t="shared" si="1755"/>
        <v>0</v>
      </c>
      <c r="BL266" s="265">
        <f t="shared" si="16"/>
        <v>-22.55</v>
      </c>
      <c r="BM266" s="215"/>
      <c r="BN266" s="270">
        <f t="shared" ref="BN266:CP266" si="1756">ROUND(AI265*E$9/12,2)</f>
        <v>0</v>
      </c>
      <c r="BO266" s="270">
        <f t="shared" si="1756"/>
        <v>0</v>
      </c>
      <c r="BP266" s="270">
        <f t="shared" si="1756"/>
        <v>0</v>
      </c>
      <c r="BQ266" s="270">
        <f t="shared" si="1756"/>
        <v>0</v>
      </c>
      <c r="BR266" s="270">
        <f t="shared" si="1756"/>
        <v>0</v>
      </c>
      <c r="BS266" s="270">
        <f t="shared" si="1756"/>
        <v>0</v>
      </c>
      <c r="BT266" s="270">
        <f t="shared" si="1756"/>
        <v>0</v>
      </c>
      <c r="BU266" s="270">
        <f t="shared" si="1756"/>
        <v>0</v>
      </c>
      <c r="BV266" s="270">
        <f t="shared" si="1756"/>
        <v>0</v>
      </c>
      <c r="BW266" s="270">
        <f t="shared" si="1756"/>
        <v>0</v>
      </c>
      <c r="BX266" s="270">
        <f t="shared" si="1756"/>
        <v>0</v>
      </c>
      <c r="BY266" s="270">
        <f t="shared" si="1756"/>
        <v>-0.05</v>
      </c>
      <c r="BZ266" s="270">
        <f t="shared" si="1756"/>
        <v>-0.05</v>
      </c>
      <c r="CA266" s="270">
        <f t="shared" si="1756"/>
        <v>0</v>
      </c>
      <c r="CB266" s="270">
        <f t="shared" si="1756"/>
        <v>0</v>
      </c>
      <c r="CC266" s="270">
        <f t="shared" si="1756"/>
        <v>0</v>
      </c>
      <c r="CD266" s="270">
        <f t="shared" si="1756"/>
        <v>0</v>
      </c>
      <c r="CE266" s="270">
        <f t="shared" si="1756"/>
        <v>0</v>
      </c>
      <c r="CF266" s="270">
        <f t="shared" si="1756"/>
        <v>0</v>
      </c>
      <c r="CG266" s="270">
        <f t="shared" si="1756"/>
        <v>0</v>
      </c>
      <c r="CH266" s="270">
        <f t="shared" si="1756"/>
        <v>0</v>
      </c>
      <c r="CI266" s="270">
        <f t="shared" si="1756"/>
        <v>0</v>
      </c>
      <c r="CJ266" s="270">
        <f t="shared" si="1756"/>
        <v>0</v>
      </c>
      <c r="CK266" s="270">
        <f t="shared" si="1756"/>
        <v>0</v>
      </c>
      <c r="CL266" s="270">
        <f t="shared" si="1756"/>
        <v>0</v>
      </c>
      <c r="CM266" s="270">
        <f t="shared" si="1756"/>
        <v>0</v>
      </c>
      <c r="CN266" s="270">
        <f t="shared" si="1756"/>
        <v>0</v>
      </c>
      <c r="CO266" s="270">
        <f t="shared" si="1756"/>
        <v>0</v>
      </c>
      <c r="CP266" s="270">
        <f t="shared" si="1756"/>
        <v>0</v>
      </c>
      <c r="CQ266" s="215"/>
      <c r="CR266" s="270">
        <f t="shared" si="27"/>
        <v>-0.1</v>
      </c>
      <c r="CS266" s="215"/>
      <c r="CT266" s="270">
        <f t="shared" ref="CT266:DX266" si="1757">IF(AI265&gt;0,IF((AI265+BN266)&lt;E$10,AI265+BN266,E$10),0)</f>
        <v>0</v>
      </c>
      <c r="CU266" s="270">
        <f t="shared" si="1757"/>
        <v>0</v>
      </c>
      <c r="CV266" s="270">
        <f t="shared" si="1757"/>
        <v>0</v>
      </c>
      <c r="CW266" s="270">
        <f t="shared" si="1757"/>
        <v>0</v>
      </c>
      <c r="CX266" s="270">
        <f t="shared" si="1757"/>
        <v>0</v>
      </c>
      <c r="CY266" s="270">
        <f t="shared" si="1757"/>
        <v>0</v>
      </c>
      <c r="CZ266" s="270">
        <f t="shared" si="1757"/>
        <v>0</v>
      </c>
      <c r="DA266" s="270">
        <f t="shared" si="1757"/>
        <v>0</v>
      </c>
      <c r="DB266" s="270">
        <f t="shared" si="1757"/>
        <v>0</v>
      </c>
      <c r="DC266" s="270">
        <f t="shared" si="1757"/>
        <v>0</v>
      </c>
      <c r="DD266" s="270">
        <f t="shared" si="1757"/>
        <v>0</v>
      </c>
      <c r="DE266" s="270">
        <f t="shared" si="1757"/>
        <v>0</v>
      </c>
      <c r="DF266" s="270">
        <f t="shared" si="1757"/>
        <v>0</v>
      </c>
      <c r="DG266" s="270">
        <f t="shared" si="1757"/>
        <v>0</v>
      </c>
      <c r="DH266" s="270">
        <f t="shared" si="1757"/>
        <v>0</v>
      </c>
      <c r="DI266" s="270">
        <f t="shared" si="1757"/>
        <v>0</v>
      </c>
      <c r="DJ266" s="270">
        <f t="shared" si="1757"/>
        <v>0</v>
      </c>
      <c r="DK266" s="270">
        <f t="shared" si="1757"/>
        <v>0</v>
      </c>
      <c r="DL266" s="270">
        <f t="shared" si="1757"/>
        <v>0</v>
      </c>
      <c r="DM266" s="270">
        <f t="shared" si="1757"/>
        <v>0</v>
      </c>
      <c r="DN266" s="270">
        <f t="shared" si="1757"/>
        <v>0</v>
      </c>
      <c r="DO266" s="270">
        <f t="shared" si="1757"/>
        <v>0</v>
      </c>
      <c r="DP266" s="270">
        <f t="shared" si="1757"/>
        <v>0</v>
      </c>
      <c r="DQ266" s="270">
        <f t="shared" si="1757"/>
        <v>0</v>
      </c>
      <c r="DR266" s="270">
        <f t="shared" si="1757"/>
        <v>0</v>
      </c>
      <c r="DS266" s="270">
        <f t="shared" si="1757"/>
        <v>0</v>
      </c>
      <c r="DT266" s="270">
        <f t="shared" si="1757"/>
        <v>0</v>
      </c>
      <c r="DU266" s="270">
        <f t="shared" si="1757"/>
        <v>0</v>
      </c>
      <c r="DV266" s="270">
        <f t="shared" si="1757"/>
        <v>0</v>
      </c>
      <c r="DW266" s="270">
        <f t="shared" si="1757"/>
        <v>0</v>
      </c>
      <c r="DX266" s="270">
        <f t="shared" si="1757"/>
        <v>0</v>
      </c>
      <c r="DY266" s="270">
        <f t="shared" si="29"/>
        <v>0</v>
      </c>
      <c r="DZ266" s="274"/>
      <c r="EA266" s="275">
        <f t="shared" si="38"/>
        <v>0</v>
      </c>
      <c r="EB266" s="270">
        <f t="shared" ref="EB266:FC266" si="1758">IF(AJ264&lt;=0,0,IF($C265&lt;=SUM($EA266:EA266),0,IF(CU265+$C265-SUM($EA266:EA266)&gt;AJ264+BO265,AJ264+BO265-CU265,$C265-SUM($EA266:EA266))))</f>
        <v>0</v>
      </c>
      <c r="EC266" s="270">
        <f t="shared" si="1758"/>
        <v>0</v>
      </c>
      <c r="ED266" s="270">
        <f t="shared" si="1758"/>
        <v>0</v>
      </c>
      <c r="EE266" s="270">
        <f t="shared" si="1758"/>
        <v>0</v>
      </c>
      <c r="EF266" s="270">
        <f t="shared" si="1758"/>
        <v>0</v>
      </c>
      <c r="EG266" s="270">
        <f t="shared" si="1758"/>
        <v>0</v>
      </c>
      <c r="EH266" s="270">
        <f t="shared" si="1758"/>
        <v>0</v>
      </c>
      <c r="EI266" s="270">
        <f t="shared" si="1758"/>
        <v>0</v>
      </c>
      <c r="EJ266" s="270">
        <f t="shared" si="1758"/>
        <v>0</v>
      </c>
      <c r="EK266" s="270">
        <f t="shared" si="1758"/>
        <v>0</v>
      </c>
      <c r="EL266" s="270">
        <f t="shared" si="1758"/>
        <v>0</v>
      </c>
      <c r="EM266" s="270">
        <f t="shared" si="1758"/>
        <v>0</v>
      </c>
      <c r="EN266" s="270">
        <f t="shared" si="1758"/>
        <v>0</v>
      </c>
      <c r="EO266" s="270">
        <f t="shared" si="1758"/>
        <v>0</v>
      </c>
      <c r="EP266" s="270">
        <f t="shared" si="1758"/>
        <v>0</v>
      </c>
      <c r="EQ266" s="270">
        <f t="shared" si="1758"/>
        <v>0</v>
      </c>
      <c r="ER266" s="270">
        <f t="shared" si="1758"/>
        <v>0</v>
      </c>
      <c r="ES266" s="270">
        <f t="shared" si="1758"/>
        <v>0</v>
      </c>
      <c r="ET266" s="270">
        <f t="shared" si="1758"/>
        <v>0</v>
      </c>
      <c r="EU266" s="270">
        <f t="shared" si="1758"/>
        <v>0</v>
      </c>
      <c r="EV266" s="270">
        <f t="shared" si="1758"/>
        <v>0</v>
      </c>
      <c r="EW266" s="270">
        <f t="shared" si="1758"/>
        <v>0</v>
      </c>
      <c r="EX266" s="270">
        <f t="shared" si="1758"/>
        <v>0</v>
      </c>
      <c r="EY266" s="270">
        <f t="shared" si="1758"/>
        <v>0</v>
      </c>
      <c r="EZ266" s="270">
        <f t="shared" si="1758"/>
        <v>0</v>
      </c>
      <c r="FA266" s="270">
        <f t="shared" si="1758"/>
        <v>0</v>
      </c>
      <c r="FB266" s="270">
        <f t="shared" si="1758"/>
        <v>0</v>
      </c>
      <c r="FC266" s="270">
        <f t="shared" si="1758"/>
        <v>0</v>
      </c>
      <c r="FD266" s="271"/>
      <c r="FE266" s="271"/>
      <c r="FF266" s="271"/>
      <c r="FG266" s="215"/>
      <c r="FH266" s="215"/>
    </row>
    <row r="267" ht="11.25" customHeight="1">
      <c r="A267" s="215" t="str">
        <f t="shared" si="19"/>
        <v/>
      </c>
      <c r="B267" s="241" t="str">
        <f t="shared" si="600"/>
        <v>#N/A</v>
      </c>
      <c r="C267" s="271" t="str">
        <f>IF(A267="","",IF(Calculator!snowball,IF(($E$5-DY267)&lt;0,0,$E$5-DY267),0)+D267)</f>
        <v/>
      </c>
      <c r="D267" s="271"/>
      <c r="E267" s="270">
        <f t="shared" si="40"/>
        <v>0</v>
      </c>
      <c r="F267" s="270">
        <f t="shared" ref="F267:AG267" si="1759">CU267+EB268</f>
        <v>0</v>
      </c>
      <c r="G267" s="270">
        <f t="shared" si="1759"/>
        <v>0</v>
      </c>
      <c r="H267" s="270">
        <f t="shared" si="1759"/>
        <v>0</v>
      </c>
      <c r="I267" s="270">
        <f t="shared" si="1759"/>
        <v>0</v>
      </c>
      <c r="J267" s="270">
        <f t="shared" si="1759"/>
        <v>0</v>
      </c>
      <c r="K267" s="270">
        <f t="shared" si="1759"/>
        <v>0</v>
      </c>
      <c r="L267" s="270">
        <f t="shared" si="1759"/>
        <v>0</v>
      </c>
      <c r="M267" s="270">
        <f t="shared" si="1759"/>
        <v>0</v>
      </c>
      <c r="N267" s="270">
        <f t="shared" si="1759"/>
        <v>0</v>
      </c>
      <c r="O267" s="270">
        <f t="shared" si="1759"/>
        <v>0</v>
      </c>
      <c r="P267" s="272">
        <f t="shared" si="1759"/>
        <v>0</v>
      </c>
      <c r="Q267" s="272">
        <f t="shared" si="1759"/>
        <v>0</v>
      </c>
      <c r="R267" s="272">
        <f t="shared" si="1759"/>
        <v>0</v>
      </c>
      <c r="S267" s="272">
        <f t="shared" si="1759"/>
        <v>0</v>
      </c>
      <c r="T267" s="272">
        <f t="shared" si="1759"/>
        <v>0</v>
      </c>
      <c r="U267" s="270">
        <f t="shared" si="1759"/>
        <v>0</v>
      </c>
      <c r="V267" s="270">
        <f t="shared" si="1759"/>
        <v>0</v>
      </c>
      <c r="W267" s="270">
        <f t="shared" si="1759"/>
        <v>0</v>
      </c>
      <c r="X267" s="270">
        <f t="shared" si="1759"/>
        <v>0</v>
      </c>
      <c r="Y267" s="270">
        <f t="shared" si="1759"/>
        <v>0</v>
      </c>
      <c r="Z267" s="270">
        <f t="shared" si="1759"/>
        <v>0</v>
      </c>
      <c r="AA267" s="270">
        <f t="shared" si="1759"/>
        <v>0</v>
      </c>
      <c r="AB267" s="270">
        <f t="shared" si="1759"/>
        <v>0</v>
      </c>
      <c r="AC267" s="270">
        <f t="shared" si="1759"/>
        <v>0</v>
      </c>
      <c r="AD267" s="270">
        <f t="shared" si="1759"/>
        <v>0</v>
      </c>
      <c r="AE267" s="270">
        <f t="shared" si="1759"/>
        <v>0</v>
      </c>
      <c r="AF267" s="270">
        <f t="shared" si="1759"/>
        <v>0</v>
      </c>
      <c r="AG267" s="270">
        <f t="shared" si="1759"/>
        <v>0</v>
      </c>
      <c r="AH267" s="279">
        <f t="shared" si="602"/>
        <v>0</v>
      </c>
      <c r="AI267" s="270">
        <f t="shared" si="43"/>
        <v>0</v>
      </c>
      <c r="AJ267" s="270">
        <f t="shared" ref="AJ267:AO267" si="1760">IF(F$8=0,0,ROUND(AJ266-(F267-BO267),2))</f>
        <v>0</v>
      </c>
      <c r="AK267" s="270">
        <f t="shared" si="1760"/>
        <v>0</v>
      </c>
      <c r="AL267" s="270">
        <f t="shared" si="1760"/>
        <v>0</v>
      </c>
      <c r="AM267" s="270">
        <f t="shared" si="1760"/>
        <v>0</v>
      </c>
      <c r="AN267" s="270">
        <f t="shared" si="1760"/>
        <v>0</v>
      </c>
      <c r="AO267" s="270">
        <f t="shared" si="1760"/>
        <v>0</v>
      </c>
      <c r="AP267" s="270">
        <v>0.0</v>
      </c>
      <c r="AQ267" s="270">
        <f t="shared" ref="AQ267:AS267" si="1761">IF(M$8=0,0,ROUND(AQ266-(M267-BV267),2))</f>
        <v>0</v>
      </c>
      <c r="AR267" s="270">
        <f t="shared" si="1761"/>
        <v>0</v>
      </c>
      <c r="AS267" s="270">
        <f t="shared" si="1761"/>
        <v>0</v>
      </c>
      <c r="AT267" s="270">
        <f t="shared" si="605"/>
        <v>-6.22</v>
      </c>
      <c r="AU267" s="270">
        <f t="shared" ref="AU267:BK267" si="1762">IF(Q$8=0,0,ROUND(AU266-(Q267-BY267),2))</f>
        <v>-16.38</v>
      </c>
      <c r="AV267" s="270">
        <f t="shared" si="1762"/>
        <v>0</v>
      </c>
      <c r="AW267" s="270">
        <f t="shared" si="1762"/>
        <v>0</v>
      </c>
      <c r="AX267" s="270">
        <f t="shared" si="1762"/>
        <v>0</v>
      </c>
      <c r="AY267" s="270">
        <f t="shared" si="1762"/>
        <v>0</v>
      </c>
      <c r="AZ267" s="270">
        <f t="shared" si="1762"/>
        <v>0</v>
      </c>
      <c r="BA267" s="270">
        <f t="shared" si="1762"/>
        <v>0</v>
      </c>
      <c r="BB267" s="270">
        <f t="shared" si="1762"/>
        <v>0</v>
      </c>
      <c r="BC267" s="270">
        <f t="shared" si="1762"/>
        <v>0</v>
      </c>
      <c r="BD267" s="270">
        <f t="shared" si="1762"/>
        <v>0</v>
      </c>
      <c r="BE267" s="270">
        <f t="shared" si="1762"/>
        <v>0</v>
      </c>
      <c r="BF267" s="270">
        <f t="shared" si="1762"/>
        <v>0</v>
      </c>
      <c r="BG267" s="270">
        <f t="shared" si="1762"/>
        <v>0</v>
      </c>
      <c r="BH267" s="270">
        <f t="shared" si="1762"/>
        <v>0</v>
      </c>
      <c r="BI267" s="270">
        <f t="shared" si="1762"/>
        <v>0</v>
      </c>
      <c r="BJ267" s="270">
        <f t="shared" si="1762"/>
        <v>0</v>
      </c>
      <c r="BK267" s="270">
        <f t="shared" si="1762"/>
        <v>0</v>
      </c>
      <c r="BL267" s="265">
        <f t="shared" si="16"/>
        <v>-22.6</v>
      </c>
      <c r="BM267" s="215"/>
      <c r="BN267" s="270">
        <f t="shared" ref="BN267:CP267" si="1763">ROUND(AI266*E$9/12,2)</f>
        <v>0</v>
      </c>
      <c r="BO267" s="270">
        <f t="shared" si="1763"/>
        <v>0</v>
      </c>
      <c r="BP267" s="270">
        <f t="shared" si="1763"/>
        <v>0</v>
      </c>
      <c r="BQ267" s="270">
        <f t="shared" si="1763"/>
        <v>0</v>
      </c>
      <c r="BR267" s="270">
        <f t="shared" si="1763"/>
        <v>0</v>
      </c>
      <c r="BS267" s="270">
        <f t="shared" si="1763"/>
        <v>0</v>
      </c>
      <c r="BT267" s="270">
        <f t="shared" si="1763"/>
        <v>0</v>
      </c>
      <c r="BU267" s="270">
        <f t="shared" si="1763"/>
        <v>0</v>
      </c>
      <c r="BV267" s="270">
        <f t="shared" si="1763"/>
        <v>0</v>
      </c>
      <c r="BW267" s="270">
        <f t="shared" si="1763"/>
        <v>0</v>
      </c>
      <c r="BX267" s="270">
        <f t="shared" si="1763"/>
        <v>0</v>
      </c>
      <c r="BY267" s="270">
        <f t="shared" si="1763"/>
        <v>-0.05</v>
      </c>
      <c r="BZ267" s="270">
        <f t="shared" si="1763"/>
        <v>-0.05</v>
      </c>
      <c r="CA267" s="270">
        <f t="shared" si="1763"/>
        <v>0</v>
      </c>
      <c r="CB267" s="270">
        <f t="shared" si="1763"/>
        <v>0</v>
      </c>
      <c r="CC267" s="270">
        <f t="shared" si="1763"/>
        <v>0</v>
      </c>
      <c r="CD267" s="270">
        <f t="shared" si="1763"/>
        <v>0</v>
      </c>
      <c r="CE267" s="270">
        <f t="shared" si="1763"/>
        <v>0</v>
      </c>
      <c r="CF267" s="270">
        <f t="shared" si="1763"/>
        <v>0</v>
      </c>
      <c r="CG267" s="270">
        <f t="shared" si="1763"/>
        <v>0</v>
      </c>
      <c r="CH267" s="270">
        <f t="shared" si="1763"/>
        <v>0</v>
      </c>
      <c r="CI267" s="270">
        <f t="shared" si="1763"/>
        <v>0</v>
      </c>
      <c r="CJ267" s="270">
        <f t="shared" si="1763"/>
        <v>0</v>
      </c>
      <c r="CK267" s="270">
        <f t="shared" si="1763"/>
        <v>0</v>
      </c>
      <c r="CL267" s="270">
        <f t="shared" si="1763"/>
        <v>0</v>
      </c>
      <c r="CM267" s="270">
        <f t="shared" si="1763"/>
        <v>0</v>
      </c>
      <c r="CN267" s="270">
        <f t="shared" si="1763"/>
        <v>0</v>
      </c>
      <c r="CO267" s="270">
        <f t="shared" si="1763"/>
        <v>0</v>
      </c>
      <c r="CP267" s="270">
        <f t="shared" si="1763"/>
        <v>0</v>
      </c>
      <c r="CQ267" s="215"/>
      <c r="CR267" s="270">
        <f t="shared" si="27"/>
        <v>-0.1</v>
      </c>
      <c r="CS267" s="215"/>
      <c r="CT267" s="270">
        <f t="shared" ref="CT267:DX267" si="1764">IF(AI266&gt;0,IF((AI266+BN267)&lt;E$10,AI266+BN267,E$10),0)</f>
        <v>0</v>
      </c>
      <c r="CU267" s="270">
        <f t="shared" si="1764"/>
        <v>0</v>
      </c>
      <c r="CV267" s="270">
        <f t="shared" si="1764"/>
        <v>0</v>
      </c>
      <c r="CW267" s="270">
        <f t="shared" si="1764"/>
        <v>0</v>
      </c>
      <c r="CX267" s="270">
        <f t="shared" si="1764"/>
        <v>0</v>
      </c>
      <c r="CY267" s="270">
        <f t="shared" si="1764"/>
        <v>0</v>
      </c>
      <c r="CZ267" s="270">
        <f t="shared" si="1764"/>
        <v>0</v>
      </c>
      <c r="DA267" s="270">
        <f t="shared" si="1764"/>
        <v>0</v>
      </c>
      <c r="DB267" s="270">
        <f t="shared" si="1764"/>
        <v>0</v>
      </c>
      <c r="DC267" s="270">
        <f t="shared" si="1764"/>
        <v>0</v>
      </c>
      <c r="DD267" s="270">
        <f t="shared" si="1764"/>
        <v>0</v>
      </c>
      <c r="DE267" s="270">
        <f t="shared" si="1764"/>
        <v>0</v>
      </c>
      <c r="DF267" s="270">
        <f t="shared" si="1764"/>
        <v>0</v>
      </c>
      <c r="DG267" s="270">
        <f t="shared" si="1764"/>
        <v>0</v>
      </c>
      <c r="DH267" s="270">
        <f t="shared" si="1764"/>
        <v>0</v>
      </c>
      <c r="DI267" s="270">
        <f t="shared" si="1764"/>
        <v>0</v>
      </c>
      <c r="DJ267" s="270">
        <f t="shared" si="1764"/>
        <v>0</v>
      </c>
      <c r="DK267" s="270">
        <f t="shared" si="1764"/>
        <v>0</v>
      </c>
      <c r="DL267" s="270">
        <f t="shared" si="1764"/>
        <v>0</v>
      </c>
      <c r="DM267" s="270">
        <f t="shared" si="1764"/>
        <v>0</v>
      </c>
      <c r="DN267" s="270">
        <f t="shared" si="1764"/>
        <v>0</v>
      </c>
      <c r="DO267" s="270">
        <f t="shared" si="1764"/>
        <v>0</v>
      </c>
      <c r="DP267" s="270">
        <f t="shared" si="1764"/>
        <v>0</v>
      </c>
      <c r="DQ267" s="270">
        <f t="shared" si="1764"/>
        <v>0</v>
      </c>
      <c r="DR267" s="270">
        <f t="shared" si="1764"/>
        <v>0</v>
      </c>
      <c r="DS267" s="270">
        <f t="shared" si="1764"/>
        <v>0</v>
      </c>
      <c r="DT267" s="270">
        <f t="shared" si="1764"/>
        <v>0</v>
      </c>
      <c r="DU267" s="270">
        <f t="shared" si="1764"/>
        <v>0</v>
      </c>
      <c r="DV267" s="270">
        <f t="shared" si="1764"/>
        <v>0</v>
      </c>
      <c r="DW267" s="270">
        <f t="shared" si="1764"/>
        <v>0</v>
      </c>
      <c r="DX267" s="270">
        <f t="shared" si="1764"/>
        <v>0</v>
      </c>
      <c r="DY267" s="270">
        <f t="shared" si="29"/>
        <v>0</v>
      </c>
      <c r="DZ267" s="274"/>
      <c r="EA267" s="275">
        <f t="shared" si="38"/>
        <v>0</v>
      </c>
      <c r="EB267" s="270">
        <f t="shared" ref="EB267:FC267" si="1765">IF(AJ265&lt;=0,0,IF($C266&lt;=SUM($EA267:EA267),0,IF(CU266+$C266-SUM($EA267:EA267)&gt;AJ265+BO266,AJ265+BO266-CU266,$C266-SUM($EA267:EA267))))</f>
        <v>0</v>
      </c>
      <c r="EC267" s="270">
        <f t="shared" si="1765"/>
        <v>0</v>
      </c>
      <c r="ED267" s="270">
        <f t="shared" si="1765"/>
        <v>0</v>
      </c>
      <c r="EE267" s="270">
        <f t="shared" si="1765"/>
        <v>0</v>
      </c>
      <c r="EF267" s="270">
        <f t="shared" si="1765"/>
        <v>0</v>
      </c>
      <c r="EG267" s="270">
        <f t="shared" si="1765"/>
        <v>0</v>
      </c>
      <c r="EH267" s="270">
        <f t="shared" si="1765"/>
        <v>0</v>
      </c>
      <c r="EI267" s="270">
        <f t="shared" si="1765"/>
        <v>0</v>
      </c>
      <c r="EJ267" s="270">
        <f t="shared" si="1765"/>
        <v>0</v>
      </c>
      <c r="EK267" s="270">
        <f t="shared" si="1765"/>
        <v>0</v>
      </c>
      <c r="EL267" s="270">
        <f t="shared" si="1765"/>
        <v>0</v>
      </c>
      <c r="EM267" s="270">
        <f t="shared" si="1765"/>
        <v>0</v>
      </c>
      <c r="EN267" s="270">
        <f t="shared" si="1765"/>
        <v>0</v>
      </c>
      <c r="EO267" s="270">
        <f t="shared" si="1765"/>
        <v>0</v>
      </c>
      <c r="EP267" s="270">
        <f t="shared" si="1765"/>
        <v>0</v>
      </c>
      <c r="EQ267" s="270">
        <f t="shared" si="1765"/>
        <v>0</v>
      </c>
      <c r="ER267" s="270">
        <f t="shared" si="1765"/>
        <v>0</v>
      </c>
      <c r="ES267" s="270">
        <f t="shared" si="1765"/>
        <v>0</v>
      </c>
      <c r="ET267" s="270">
        <f t="shared" si="1765"/>
        <v>0</v>
      </c>
      <c r="EU267" s="270">
        <f t="shared" si="1765"/>
        <v>0</v>
      </c>
      <c r="EV267" s="270">
        <f t="shared" si="1765"/>
        <v>0</v>
      </c>
      <c r="EW267" s="270">
        <f t="shared" si="1765"/>
        <v>0</v>
      </c>
      <c r="EX267" s="270">
        <f t="shared" si="1765"/>
        <v>0</v>
      </c>
      <c r="EY267" s="270">
        <f t="shared" si="1765"/>
        <v>0</v>
      </c>
      <c r="EZ267" s="270">
        <f t="shared" si="1765"/>
        <v>0</v>
      </c>
      <c r="FA267" s="270">
        <f t="shared" si="1765"/>
        <v>0</v>
      </c>
      <c r="FB267" s="270">
        <f t="shared" si="1765"/>
        <v>0</v>
      </c>
      <c r="FC267" s="270">
        <f t="shared" si="1765"/>
        <v>0</v>
      </c>
      <c r="FD267" s="271"/>
      <c r="FE267" s="271"/>
      <c r="FF267" s="271"/>
      <c r="FG267" s="215"/>
      <c r="FH267" s="215"/>
    </row>
    <row r="268" ht="11.25" customHeight="1">
      <c r="A268" s="215" t="str">
        <f t="shared" si="19"/>
        <v/>
      </c>
      <c r="B268" s="241" t="str">
        <f t="shared" si="600"/>
        <v>#N/A</v>
      </c>
      <c r="C268" s="271" t="str">
        <f>IF(A268="","",IF(Calculator!snowball,IF(($E$5-DY268)&lt;0,0,$E$5-DY268),0)+D268)</f>
        <v/>
      </c>
      <c r="D268" s="271"/>
      <c r="E268" s="270">
        <f t="shared" si="40"/>
        <v>0</v>
      </c>
      <c r="F268" s="270">
        <f t="shared" ref="F268:AG268" si="1766">CU268+EB269</f>
        <v>0</v>
      </c>
      <c r="G268" s="270">
        <f t="shared" si="1766"/>
        <v>0</v>
      </c>
      <c r="H268" s="270">
        <f t="shared" si="1766"/>
        <v>0</v>
      </c>
      <c r="I268" s="270">
        <f t="shared" si="1766"/>
        <v>0</v>
      </c>
      <c r="J268" s="270">
        <f t="shared" si="1766"/>
        <v>0</v>
      </c>
      <c r="K268" s="270">
        <f t="shared" si="1766"/>
        <v>0</v>
      </c>
      <c r="L268" s="270">
        <f t="shared" si="1766"/>
        <v>0</v>
      </c>
      <c r="M268" s="270">
        <f t="shared" si="1766"/>
        <v>0</v>
      </c>
      <c r="N268" s="270">
        <f t="shared" si="1766"/>
        <v>0</v>
      </c>
      <c r="O268" s="270">
        <f t="shared" si="1766"/>
        <v>0</v>
      </c>
      <c r="P268" s="272">
        <f t="shared" si="1766"/>
        <v>0</v>
      </c>
      <c r="Q268" s="272">
        <f t="shared" si="1766"/>
        <v>0</v>
      </c>
      <c r="R268" s="272">
        <f t="shared" si="1766"/>
        <v>0</v>
      </c>
      <c r="S268" s="272">
        <f t="shared" si="1766"/>
        <v>0</v>
      </c>
      <c r="T268" s="272">
        <f t="shared" si="1766"/>
        <v>0</v>
      </c>
      <c r="U268" s="270">
        <f t="shared" si="1766"/>
        <v>0</v>
      </c>
      <c r="V268" s="270">
        <f t="shared" si="1766"/>
        <v>0</v>
      </c>
      <c r="W268" s="270">
        <f t="shared" si="1766"/>
        <v>0</v>
      </c>
      <c r="X268" s="270">
        <f t="shared" si="1766"/>
        <v>0</v>
      </c>
      <c r="Y268" s="270">
        <f t="shared" si="1766"/>
        <v>0</v>
      </c>
      <c r="Z268" s="270">
        <f t="shared" si="1766"/>
        <v>0</v>
      </c>
      <c r="AA268" s="270">
        <f t="shared" si="1766"/>
        <v>0</v>
      </c>
      <c r="AB268" s="270">
        <f t="shared" si="1766"/>
        <v>0</v>
      </c>
      <c r="AC268" s="270">
        <f t="shared" si="1766"/>
        <v>0</v>
      </c>
      <c r="AD268" s="270">
        <f t="shared" si="1766"/>
        <v>0</v>
      </c>
      <c r="AE268" s="270">
        <f t="shared" si="1766"/>
        <v>0</v>
      </c>
      <c r="AF268" s="270">
        <f t="shared" si="1766"/>
        <v>0</v>
      </c>
      <c r="AG268" s="270">
        <f t="shared" si="1766"/>
        <v>0</v>
      </c>
      <c r="AH268" s="279">
        <f t="shared" si="602"/>
        <v>0</v>
      </c>
      <c r="AI268" s="270">
        <f t="shared" si="43"/>
        <v>0</v>
      </c>
      <c r="AJ268" s="270">
        <f t="shared" ref="AJ268:AO268" si="1767">IF(F$8=0,0,ROUND(AJ267-(F268-BO268),2))</f>
        <v>0</v>
      </c>
      <c r="AK268" s="270">
        <f t="shared" si="1767"/>
        <v>0</v>
      </c>
      <c r="AL268" s="270">
        <f t="shared" si="1767"/>
        <v>0</v>
      </c>
      <c r="AM268" s="270">
        <f t="shared" si="1767"/>
        <v>0</v>
      </c>
      <c r="AN268" s="270">
        <f t="shared" si="1767"/>
        <v>0</v>
      </c>
      <c r="AO268" s="270">
        <f t="shared" si="1767"/>
        <v>0</v>
      </c>
      <c r="AP268" s="270">
        <v>0.0</v>
      </c>
      <c r="AQ268" s="270">
        <f t="shared" ref="AQ268:AS268" si="1768">IF(M$8=0,0,ROUND(AQ267-(M268-BV268),2))</f>
        <v>0</v>
      </c>
      <c r="AR268" s="270">
        <f t="shared" si="1768"/>
        <v>0</v>
      </c>
      <c r="AS268" s="270">
        <f t="shared" si="1768"/>
        <v>0</v>
      </c>
      <c r="AT268" s="270">
        <f t="shared" si="605"/>
        <v>-6.22</v>
      </c>
      <c r="AU268" s="270">
        <f t="shared" ref="AU268:BK268" si="1769">IF(Q$8=0,0,ROUND(AU267-(Q268-BY268),2))</f>
        <v>-16.43</v>
      </c>
      <c r="AV268" s="270">
        <f t="shared" si="1769"/>
        <v>0</v>
      </c>
      <c r="AW268" s="270">
        <f t="shared" si="1769"/>
        <v>0</v>
      </c>
      <c r="AX268" s="270">
        <f t="shared" si="1769"/>
        <v>0</v>
      </c>
      <c r="AY268" s="270">
        <f t="shared" si="1769"/>
        <v>0</v>
      </c>
      <c r="AZ268" s="270">
        <f t="shared" si="1769"/>
        <v>0</v>
      </c>
      <c r="BA268" s="270">
        <f t="shared" si="1769"/>
        <v>0</v>
      </c>
      <c r="BB268" s="270">
        <f t="shared" si="1769"/>
        <v>0</v>
      </c>
      <c r="BC268" s="270">
        <f t="shared" si="1769"/>
        <v>0</v>
      </c>
      <c r="BD268" s="270">
        <f t="shared" si="1769"/>
        <v>0</v>
      </c>
      <c r="BE268" s="270">
        <f t="shared" si="1769"/>
        <v>0</v>
      </c>
      <c r="BF268" s="270">
        <f t="shared" si="1769"/>
        <v>0</v>
      </c>
      <c r="BG268" s="270">
        <f t="shared" si="1769"/>
        <v>0</v>
      </c>
      <c r="BH268" s="270">
        <f t="shared" si="1769"/>
        <v>0</v>
      </c>
      <c r="BI268" s="270">
        <f t="shared" si="1769"/>
        <v>0</v>
      </c>
      <c r="BJ268" s="270">
        <f t="shared" si="1769"/>
        <v>0</v>
      </c>
      <c r="BK268" s="270">
        <f t="shared" si="1769"/>
        <v>0</v>
      </c>
      <c r="BL268" s="265">
        <f t="shared" si="16"/>
        <v>-22.65</v>
      </c>
      <c r="BM268" s="215"/>
      <c r="BN268" s="270">
        <f t="shared" ref="BN268:CP268" si="1770">ROUND(AI267*E$9/12,2)</f>
        <v>0</v>
      </c>
      <c r="BO268" s="270">
        <f t="shared" si="1770"/>
        <v>0</v>
      </c>
      <c r="BP268" s="270">
        <f t="shared" si="1770"/>
        <v>0</v>
      </c>
      <c r="BQ268" s="270">
        <f t="shared" si="1770"/>
        <v>0</v>
      </c>
      <c r="BR268" s="270">
        <f t="shared" si="1770"/>
        <v>0</v>
      </c>
      <c r="BS268" s="270">
        <f t="shared" si="1770"/>
        <v>0</v>
      </c>
      <c r="BT268" s="270">
        <f t="shared" si="1770"/>
        <v>0</v>
      </c>
      <c r="BU268" s="270">
        <f t="shared" si="1770"/>
        <v>0</v>
      </c>
      <c r="BV268" s="270">
        <f t="shared" si="1770"/>
        <v>0</v>
      </c>
      <c r="BW268" s="270">
        <f t="shared" si="1770"/>
        <v>0</v>
      </c>
      <c r="BX268" s="270">
        <f t="shared" si="1770"/>
        <v>0</v>
      </c>
      <c r="BY268" s="270">
        <f t="shared" si="1770"/>
        <v>-0.05</v>
      </c>
      <c r="BZ268" s="270">
        <f t="shared" si="1770"/>
        <v>-0.05</v>
      </c>
      <c r="CA268" s="270">
        <f t="shared" si="1770"/>
        <v>0</v>
      </c>
      <c r="CB268" s="270">
        <f t="shared" si="1770"/>
        <v>0</v>
      </c>
      <c r="CC268" s="270">
        <f t="shared" si="1770"/>
        <v>0</v>
      </c>
      <c r="CD268" s="270">
        <f t="shared" si="1770"/>
        <v>0</v>
      </c>
      <c r="CE268" s="270">
        <f t="shared" si="1770"/>
        <v>0</v>
      </c>
      <c r="CF268" s="270">
        <f t="shared" si="1770"/>
        <v>0</v>
      </c>
      <c r="CG268" s="270">
        <f t="shared" si="1770"/>
        <v>0</v>
      </c>
      <c r="CH268" s="270">
        <f t="shared" si="1770"/>
        <v>0</v>
      </c>
      <c r="CI268" s="270">
        <f t="shared" si="1770"/>
        <v>0</v>
      </c>
      <c r="CJ268" s="270">
        <f t="shared" si="1770"/>
        <v>0</v>
      </c>
      <c r="CK268" s="270">
        <f t="shared" si="1770"/>
        <v>0</v>
      </c>
      <c r="CL268" s="270">
        <f t="shared" si="1770"/>
        <v>0</v>
      </c>
      <c r="CM268" s="270">
        <f t="shared" si="1770"/>
        <v>0</v>
      </c>
      <c r="CN268" s="270">
        <f t="shared" si="1770"/>
        <v>0</v>
      </c>
      <c r="CO268" s="270">
        <f t="shared" si="1770"/>
        <v>0</v>
      </c>
      <c r="CP268" s="270">
        <f t="shared" si="1770"/>
        <v>0</v>
      </c>
      <c r="CQ268" s="215"/>
      <c r="CR268" s="270">
        <f t="shared" si="27"/>
        <v>-0.1</v>
      </c>
      <c r="CS268" s="215"/>
      <c r="CT268" s="270">
        <f t="shared" ref="CT268:DX268" si="1771">IF(AI267&gt;0,IF((AI267+BN268)&lt;E$10,AI267+BN268,E$10),0)</f>
        <v>0</v>
      </c>
      <c r="CU268" s="270">
        <f t="shared" si="1771"/>
        <v>0</v>
      </c>
      <c r="CV268" s="270">
        <f t="shared" si="1771"/>
        <v>0</v>
      </c>
      <c r="CW268" s="270">
        <f t="shared" si="1771"/>
        <v>0</v>
      </c>
      <c r="CX268" s="270">
        <f t="shared" si="1771"/>
        <v>0</v>
      </c>
      <c r="CY268" s="270">
        <f t="shared" si="1771"/>
        <v>0</v>
      </c>
      <c r="CZ268" s="270">
        <f t="shared" si="1771"/>
        <v>0</v>
      </c>
      <c r="DA268" s="270">
        <f t="shared" si="1771"/>
        <v>0</v>
      </c>
      <c r="DB268" s="270">
        <f t="shared" si="1771"/>
        <v>0</v>
      </c>
      <c r="DC268" s="270">
        <f t="shared" si="1771"/>
        <v>0</v>
      </c>
      <c r="DD268" s="270">
        <f t="shared" si="1771"/>
        <v>0</v>
      </c>
      <c r="DE268" s="270">
        <f t="shared" si="1771"/>
        <v>0</v>
      </c>
      <c r="DF268" s="270">
        <f t="shared" si="1771"/>
        <v>0</v>
      </c>
      <c r="DG268" s="270">
        <f t="shared" si="1771"/>
        <v>0</v>
      </c>
      <c r="DH268" s="270">
        <f t="shared" si="1771"/>
        <v>0</v>
      </c>
      <c r="DI268" s="270">
        <f t="shared" si="1771"/>
        <v>0</v>
      </c>
      <c r="DJ268" s="270">
        <f t="shared" si="1771"/>
        <v>0</v>
      </c>
      <c r="DK268" s="270">
        <f t="shared" si="1771"/>
        <v>0</v>
      </c>
      <c r="DL268" s="270">
        <f t="shared" si="1771"/>
        <v>0</v>
      </c>
      <c r="DM268" s="270">
        <f t="shared" si="1771"/>
        <v>0</v>
      </c>
      <c r="DN268" s="270">
        <f t="shared" si="1771"/>
        <v>0</v>
      </c>
      <c r="DO268" s="270">
        <f t="shared" si="1771"/>
        <v>0</v>
      </c>
      <c r="DP268" s="270">
        <f t="shared" si="1771"/>
        <v>0</v>
      </c>
      <c r="DQ268" s="270">
        <f t="shared" si="1771"/>
        <v>0</v>
      </c>
      <c r="DR268" s="270">
        <f t="shared" si="1771"/>
        <v>0</v>
      </c>
      <c r="DS268" s="270">
        <f t="shared" si="1771"/>
        <v>0</v>
      </c>
      <c r="DT268" s="270">
        <f t="shared" si="1771"/>
        <v>0</v>
      </c>
      <c r="DU268" s="270">
        <f t="shared" si="1771"/>
        <v>0</v>
      </c>
      <c r="DV268" s="270">
        <f t="shared" si="1771"/>
        <v>0</v>
      </c>
      <c r="DW268" s="270">
        <f t="shared" si="1771"/>
        <v>0</v>
      </c>
      <c r="DX268" s="270">
        <f t="shared" si="1771"/>
        <v>0</v>
      </c>
      <c r="DY268" s="270">
        <f t="shared" si="29"/>
        <v>0</v>
      </c>
      <c r="DZ268" s="274"/>
      <c r="EA268" s="275">
        <f t="shared" si="38"/>
        <v>0</v>
      </c>
      <c r="EB268" s="270">
        <f t="shared" ref="EB268:FC268" si="1772">IF(AJ266&lt;=0,0,IF($C267&lt;=SUM($EA268:EA268),0,IF(CU267+$C267-SUM($EA268:EA268)&gt;AJ266+BO267,AJ266+BO267-CU267,$C267-SUM($EA268:EA268))))</f>
        <v>0</v>
      </c>
      <c r="EC268" s="270">
        <f t="shared" si="1772"/>
        <v>0</v>
      </c>
      <c r="ED268" s="270">
        <f t="shared" si="1772"/>
        <v>0</v>
      </c>
      <c r="EE268" s="270">
        <f t="shared" si="1772"/>
        <v>0</v>
      </c>
      <c r="EF268" s="270">
        <f t="shared" si="1772"/>
        <v>0</v>
      </c>
      <c r="EG268" s="270">
        <f t="shared" si="1772"/>
        <v>0</v>
      </c>
      <c r="EH268" s="270">
        <f t="shared" si="1772"/>
        <v>0</v>
      </c>
      <c r="EI268" s="270">
        <f t="shared" si="1772"/>
        <v>0</v>
      </c>
      <c r="EJ268" s="270">
        <f t="shared" si="1772"/>
        <v>0</v>
      </c>
      <c r="EK268" s="270">
        <f t="shared" si="1772"/>
        <v>0</v>
      </c>
      <c r="EL268" s="270">
        <f t="shared" si="1772"/>
        <v>0</v>
      </c>
      <c r="EM268" s="270">
        <f t="shared" si="1772"/>
        <v>0</v>
      </c>
      <c r="EN268" s="270">
        <f t="shared" si="1772"/>
        <v>0</v>
      </c>
      <c r="EO268" s="270">
        <f t="shared" si="1772"/>
        <v>0</v>
      </c>
      <c r="EP268" s="270">
        <f t="shared" si="1772"/>
        <v>0</v>
      </c>
      <c r="EQ268" s="270">
        <f t="shared" si="1772"/>
        <v>0</v>
      </c>
      <c r="ER268" s="270">
        <f t="shared" si="1772"/>
        <v>0</v>
      </c>
      <c r="ES268" s="270">
        <f t="shared" si="1772"/>
        <v>0</v>
      </c>
      <c r="ET268" s="270">
        <f t="shared" si="1772"/>
        <v>0</v>
      </c>
      <c r="EU268" s="270">
        <f t="shared" si="1772"/>
        <v>0</v>
      </c>
      <c r="EV268" s="270">
        <f t="shared" si="1772"/>
        <v>0</v>
      </c>
      <c r="EW268" s="270">
        <f t="shared" si="1772"/>
        <v>0</v>
      </c>
      <c r="EX268" s="270">
        <f t="shared" si="1772"/>
        <v>0</v>
      </c>
      <c r="EY268" s="270">
        <f t="shared" si="1772"/>
        <v>0</v>
      </c>
      <c r="EZ268" s="270">
        <f t="shared" si="1772"/>
        <v>0</v>
      </c>
      <c r="FA268" s="270">
        <f t="shared" si="1772"/>
        <v>0</v>
      </c>
      <c r="FB268" s="270">
        <f t="shared" si="1772"/>
        <v>0</v>
      </c>
      <c r="FC268" s="270">
        <f t="shared" si="1772"/>
        <v>0</v>
      </c>
      <c r="FD268" s="271"/>
      <c r="FE268" s="271"/>
      <c r="FF268" s="271"/>
      <c r="FG268" s="215"/>
      <c r="FH268" s="215"/>
    </row>
    <row r="269" ht="11.25" customHeight="1">
      <c r="A269" s="215" t="str">
        <f t="shared" si="19"/>
        <v/>
      </c>
      <c r="B269" s="241" t="str">
        <f t="shared" si="600"/>
        <v>#N/A</v>
      </c>
      <c r="C269" s="271" t="str">
        <f>IF(A269="","",IF(Calculator!snowball,IF(($E$5-DY269)&lt;0,0,$E$5-DY269),0)+D269)</f>
        <v/>
      </c>
      <c r="D269" s="271"/>
      <c r="E269" s="270">
        <f t="shared" si="40"/>
        <v>0</v>
      </c>
      <c r="F269" s="270">
        <f t="shared" ref="F269:AG269" si="1773">CU269+EB270</f>
        <v>0</v>
      </c>
      <c r="G269" s="270">
        <f t="shared" si="1773"/>
        <v>0</v>
      </c>
      <c r="H269" s="270">
        <f t="shared" si="1773"/>
        <v>0</v>
      </c>
      <c r="I269" s="270">
        <f t="shared" si="1773"/>
        <v>0</v>
      </c>
      <c r="J269" s="270">
        <f t="shared" si="1773"/>
        <v>0</v>
      </c>
      <c r="K269" s="270">
        <f t="shared" si="1773"/>
        <v>0</v>
      </c>
      <c r="L269" s="270">
        <f t="shared" si="1773"/>
        <v>0</v>
      </c>
      <c r="M269" s="270">
        <f t="shared" si="1773"/>
        <v>0</v>
      </c>
      <c r="N269" s="270">
        <f t="shared" si="1773"/>
        <v>0</v>
      </c>
      <c r="O269" s="270">
        <f t="shared" si="1773"/>
        <v>0</v>
      </c>
      <c r="P269" s="272">
        <f t="shared" si="1773"/>
        <v>0</v>
      </c>
      <c r="Q269" s="272">
        <f t="shared" si="1773"/>
        <v>0</v>
      </c>
      <c r="R269" s="272">
        <f t="shared" si="1773"/>
        <v>0</v>
      </c>
      <c r="S269" s="272">
        <f t="shared" si="1773"/>
        <v>0</v>
      </c>
      <c r="T269" s="272">
        <f t="shared" si="1773"/>
        <v>0</v>
      </c>
      <c r="U269" s="270">
        <f t="shared" si="1773"/>
        <v>0</v>
      </c>
      <c r="V269" s="270">
        <f t="shared" si="1773"/>
        <v>0</v>
      </c>
      <c r="W269" s="270">
        <f t="shared" si="1773"/>
        <v>0</v>
      </c>
      <c r="X269" s="270">
        <f t="shared" si="1773"/>
        <v>0</v>
      </c>
      <c r="Y269" s="270">
        <f t="shared" si="1773"/>
        <v>0</v>
      </c>
      <c r="Z269" s="270">
        <f t="shared" si="1773"/>
        <v>0</v>
      </c>
      <c r="AA269" s="270">
        <f t="shared" si="1773"/>
        <v>0</v>
      </c>
      <c r="AB269" s="270">
        <f t="shared" si="1773"/>
        <v>0</v>
      </c>
      <c r="AC269" s="270">
        <f t="shared" si="1773"/>
        <v>0</v>
      </c>
      <c r="AD269" s="270">
        <f t="shared" si="1773"/>
        <v>0</v>
      </c>
      <c r="AE269" s="270">
        <f t="shared" si="1773"/>
        <v>0</v>
      </c>
      <c r="AF269" s="270">
        <f t="shared" si="1773"/>
        <v>0</v>
      </c>
      <c r="AG269" s="270">
        <f t="shared" si="1773"/>
        <v>0</v>
      </c>
      <c r="AH269" s="279">
        <f t="shared" si="602"/>
        <v>0</v>
      </c>
      <c r="AI269" s="270">
        <f t="shared" si="43"/>
        <v>0</v>
      </c>
      <c r="AJ269" s="270">
        <f t="shared" ref="AJ269:AO269" si="1774">IF(F$8=0,0,ROUND(AJ268-(F269-BO269),2))</f>
        <v>0</v>
      </c>
      <c r="AK269" s="270">
        <f t="shared" si="1774"/>
        <v>0</v>
      </c>
      <c r="AL269" s="270">
        <f t="shared" si="1774"/>
        <v>0</v>
      </c>
      <c r="AM269" s="270">
        <f t="shared" si="1774"/>
        <v>0</v>
      </c>
      <c r="AN269" s="270">
        <f t="shared" si="1774"/>
        <v>0</v>
      </c>
      <c r="AO269" s="270">
        <f t="shared" si="1774"/>
        <v>0</v>
      </c>
      <c r="AP269" s="270">
        <v>0.0</v>
      </c>
      <c r="AQ269" s="270">
        <f t="shared" ref="AQ269:AS269" si="1775">IF(M$8=0,0,ROUND(AQ268-(M269-BV269),2))</f>
        <v>0</v>
      </c>
      <c r="AR269" s="270">
        <f t="shared" si="1775"/>
        <v>0</v>
      </c>
      <c r="AS269" s="270">
        <f t="shared" si="1775"/>
        <v>0</v>
      </c>
      <c r="AT269" s="270">
        <f t="shared" si="605"/>
        <v>-6.22</v>
      </c>
      <c r="AU269" s="270">
        <f t="shared" ref="AU269:BK269" si="1776">IF(Q$8=0,0,ROUND(AU268-(Q269-BY269),2))</f>
        <v>-16.48</v>
      </c>
      <c r="AV269" s="270">
        <f t="shared" si="1776"/>
        <v>0</v>
      </c>
      <c r="AW269" s="270">
        <f t="shared" si="1776"/>
        <v>0</v>
      </c>
      <c r="AX269" s="270">
        <f t="shared" si="1776"/>
        <v>0</v>
      </c>
      <c r="AY269" s="270">
        <f t="shared" si="1776"/>
        <v>0</v>
      </c>
      <c r="AZ269" s="270">
        <f t="shared" si="1776"/>
        <v>0</v>
      </c>
      <c r="BA269" s="270">
        <f t="shared" si="1776"/>
        <v>0</v>
      </c>
      <c r="BB269" s="270">
        <f t="shared" si="1776"/>
        <v>0</v>
      </c>
      <c r="BC269" s="270">
        <f t="shared" si="1776"/>
        <v>0</v>
      </c>
      <c r="BD269" s="270">
        <f t="shared" si="1776"/>
        <v>0</v>
      </c>
      <c r="BE269" s="270">
        <f t="shared" si="1776"/>
        <v>0</v>
      </c>
      <c r="BF269" s="270">
        <f t="shared" si="1776"/>
        <v>0</v>
      </c>
      <c r="BG269" s="270">
        <f t="shared" si="1776"/>
        <v>0</v>
      </c>
      <c r="BH269" s="270">
        <f t="shared" si="1776"/>
        <v>0</v>
      </c>
      <c r="BI269" s="270">
        <f t="shared" si="1776"/>
        <v>0</v>
      </c>
      <c r="BJ269" s="270">
        <f t="shared" si="1776"/>
        <v>0</v>
      </c>
      <c r="BK269" s="270">
        <f t="shared" si="1776"/>
        <v>0</v>
      </c>
      <c r="BL269" s="265">
        <f t="shared" si="16"/>
        <v>-22.7</v>
      </c>
      <c r="BM269" s="215"/>
      <c r="BN269" s="270">
        <f t="shared" ref="BN269:CP269" si="1777">ROUND(AI268*E$9/12,2)</f>
        <v>0</v>
      </c>
      <c r="BO269" s="270">
        <f t="shared" si="1777"/>
        <v>0</v>
      </c>
      <c r="BP269" s="270">
        <f t="shared" si="1777"/>
        <v>0</v>
      </c>
      <c r="BQ269" s="270">
        <f t="shared" si="1777"/>
        <v>0</v>
      </c>
      <c r="BR269" s="270">
        <f t="shared" si="1777"/>
        <v>0</v>
      </c>
      <c r="BS269" s="270">
        <f t="shared" si="1777"/>
        <v>0</v>
      </c>
      <c r="BT269" s="270">
        <f t="shared" si="1777"/>
        <v>0</v>
      </c>
      <c r="BU269" s="270">
        <f t="shared" si="1777"/>
        <v>0</v>
      </c>
      <c r="BV269" s="270">
        <f t="shared" si="1777"/>
        <v>0</v>
      </c>
      <c r="BW269" s="270">
        <f t="shared" si="1777"/>
        <v>0</v>
      </c>
      <c r="BX269" s="270">
        <f t="shared" si="1777"/>
        <v>0</v>
      </c>
      <c r="BY269" s="270">
        <f t="shared" si="1777"/>
        <v>-0.05</v>
      </c>
      <c r="BZ269" s="270">
        <f t="shared" si="1777"/>
        <v>-0.05</v>
      </c>
      <c r="CA269" s="270">
        <f t="shared" si="1777"/>
        <v>0</v>
      </c>
      <c r="CB269" s="270">
        <f t="shared" si="1777"/>
        <v>0</v>
      </c>
      <c r="CC269" s="270">
        <f t="shared" si="1777"/>
        <v>0</v>
      </c>
      <c r="CD269" s="270">
        <f t="shared" si="1777"/>
        <v>0</v>
      </c>
      <c r="CE269" s="270">
        <f t="shared" si="1777"/>
        <v>0</v>
      </c>
      <c r="CF269" s="270">
        <f t="shared" si="1777"/>
        <v>0</v>
      </c>
      <c r="CG269" s="270">
        <f t="shared" si="1777"/>
        <v>0</v>
      </c>
      <c r="CH269" s="270">
        <f t="shared" si="1777"/>
        <v>0</v>
      </c>
      <c r="CI269" s="270">
        <f t="shared" si="1777"/>
        <v>0</v>
      </c>
      <c r="CJ269" s="270">
        <f t="shared" si="1777"/>
        <v>0</v>
      </c>
      <c r="CK269" s="270">
        <f t="shared" si="1777"/>
        <v>0</v>
      </c>
      <c r="CL269" s="270">
        <f t="shared" si="1777"/>
        <v>0</v>
      </c>
      <c r="CM269" s="270">
        <f t="shared" si="1777"/>
        <v>0</v>
      </c>
      <c r="CN269" s="270">
        <f t="shared" si="1777"/>
        <v>0</v>
      </c>
      <c r="CO269" s="270">
        <f t="shared" si="1777"/>
        <v>0</v>
      </c>
      <c r="CP269" s="270">
        <f t="shared" si="1777"/>
        <v>0</v>
      </c>
      <c r="CQ269" s="215"/>
      <c r="CR269" s="270">
        <f t="shared" si="27"/>
        <v>-0.1</v>
      </c>
      <c r="CS269" s="215"/>
      <c r="CT269" s="270">
        <f t="shared" ref="CT269:DX269" si="1778">IF(AI268&gt;0,IF((AI268+BN269)&lt;E$10,AI268+BN269,E$10),0)</f>
        <v>0</v>
      </c>
      <c r="CU269" s="270">
        <f t="shared" si="1778"/>
        <v>0</v>
      </c>
      <c r="CV269" s="270">
        <f t="shared" si="1778"/>
        <v>0</v>
      </c>
      <c r="CW269" s="270">
        <f t="shared" si="1778"/>
        <v>0</v>
      </c>
      <c r="CX269" s="270">
        <f t="shared" si="1778"/>
        <v>0</v>
      </c>
      <c r="CY269" s="270">
        <f t="shared" si="1778"/>
        <v>0</v>
      </c>
      <c r="CZ269" s="270">
        <f t="shared" si="1778"/>
        <v>0</v>
      </c>
      <c r="DA269" s="270">
        <f t="shared" si="1778"/>
        <v>0</v>
      </c>
      <c r="DB269" s="270">
        <f t="shared" si="1778"/>
        <v>0</v>
      </c>
      <c r="DC269" s="270">
        <f t="shared" si="1778"/>
        <v>0</v>
      </c>
      <c r="DD269" s="270">
        <f t="shared" si="1778"/>
        <v>0</v>
      </c>
      <c r="DE269" s="270">
        <f t="shared" si="1778"/>
        <v>0</v>
      </c>
      <c r="DF269" s="270">
        <f t="shared" si="1778"/>
        <v>0</v>
      </c>
      <c r="DG269" s="270">
        <f t="shared" si="1778"/>
        <v>0</v>
      </c>
      <c r="DH269" s="270">
        <f t="shared" si="1778"/>
        <v>0</v>
      </c>
      <c r="DI269" s="270">
        <f t="shared" si="1778"/>
        <v>0</v>
      </c>
      <c r="DJ269" s="270">
        <f t="shared" si="1778"/>
        <v>0</v>
      </c>
      <c r="DK269" s="270">
        <f t="shared" si="1778"/>
        <v>0</v>
      </c>
      <c r="DL269" s="270">
        <f t="shared" si="1778"/>
        <v>0</v>
      </c>
      <c r="DM269" s="270">
        <f t="shared" si="1778"/>
        <v>0</v>
      </c>
      <c r="DN269" s="270">
        <f t="shared" si="1778"/>
        <v>0</v>
      </c>
      <c r="DO269" s="270">
        <f t="shared" si="1778"/>
        <v>0</v>
      </c>
      <c r="DP269" s="270">
        <f t="shared" si="1778"/>
        <v>0</v>
      </c>
      <c r="DQ269" s="270">
        <f t="shared" si="1778"/>
        <v>0</v>
      </c>
      <c r="DR269" s="270">
        <f t="shared" si="1778"/>
        <v>0</v>
      </c>
      <c r="DS269" s="270">
        <f t="shared" si="1778"/>
        <v>0</v>
      </c>
      <c r="DT269" s="270">
        <f t="shared" si="1778"/>
        <v>0</v>
      </c>
      <c r="DU269" s="270">
        <f t="shared" si="1778"/>
        <v>0</v>
      </c>
      <c r="DV269" s="270">
        <f t="shared" si="1778"/>
        <v>0</v>
      </c>
      <c r="DW269" s="270">
        <f t="shared" si="1778"/>
        <v>0</v>
      </c>
      <c r="DX269" s="270">
        <f t="shared" si="1778"/>
        <v>0</v>
      </c>
      <c r="DY269" s="270">
        <f t="shared" si="29"/>
        <v>0</v>
      </c>
      <c r="DZ269" s="274"/>
      <c r="EA269" s="275">
        <f t="shared" si="38"/>
        <v>0</v>
      </c>
      <c r="EB269" s="270">
        <f t="shared" ref="EB269:FC269" si="1779">IF(AJ267&lt;=0,0,IF($C268&lt;=SUM($EA269:EA269),0,IF(CU268+$C268-SUM($EA269:EA269)&gt;AJ267+BO268,AJ267+BO268-CU268,$C268-SUM($EA269:EA269))))</f>
        <v>0</v>
      </c>
      <c r="EC269" s="270">
        <f t="shared" si="1779"/>
        <v>0</v>
      </c>
      <c r="ED269" s="270">
        <f t="shared" si="1779"/>
        <v>0</v>
      </c>
      <c r="EE269" s="270">
        <f t="shared" si="1779"/>
        <v>0</v>
      </c>
      <c r="EF269" s="270">
        <f t="shared" si="1779"/>
        <v>0</v>
      </c>
      <c r="EG269" s="270">
        <f t="shared" si="1779"/>
        <v>0</v>
      </c>
      <c r="EH269" s="270">
        <f t="shared" si="1779"/>
        <v>0</v>
      </c>
      <c r="EI269" s="270">
        <f t="shared" si="1779"/>
        <v>0</v>
      </c>
      <c r="EJ269" s="270">
        <f t="shared" si="1779"/>
        <v>0</v>
      </c>
      <c r="EK269" s="270">
        <f t="shared" si="1779"/>
        <v>0</v>
      </c>
      <c r="EL269" s="270">
        <f t="shared" si="1779"/>
        <v>0</v>
      </c>
      <c r="EM269" s="270">
        <f t="shared" si="1779"/>
        <v>0</v>
      </c>
      <c r="EN269" s="270">
        <f t="shared" si="1779"/>
        <v>0</v>
      </c>
      <c r="EO269" s="270">
        <f t="shared" si="1779"/>
        <v>0</v>
      </c>
      <c r="EP269" s="270">
        <f t="shared" si="1779"/>
        <v>0</v>
      </c>
      <c r="EQ269" s="270">
        <f t="shared" si="1779"/>
        <v>0</v>
      </c>
      <c r="ER269" s="270">
        <f t="shared" si="1779"/>
        <v>0</v>
      </c>
      <c r="ES269" s="270">
        <f t="shared" si="1779"/>
        <v>0</v>
      </c>
      <c r="ET269" s="270">
        <f t="shared" si="1779"/>
        <v>0</v>
      </c>
      <c r="EU269" s="270">
        <f t="shared" si="1779"/>
        <v>0</v>
      </c>
      <c r="EV269" s="270">
        <f t="shared" si="1779"/>
        <v>0</v>
      </c>
      <c r="EW269" s="270">
        <f t="shared" si="1779"/>
        <v>0</v>
      </c>
      <c r="EX269" s="270">
        <f t="shared" si="1779"/>
        <v>0</v>
      </c>
      <c r="EY269" s="270">
        <f t="shared" si="1779"/>
        <v>0</v>
      </c>
      <c r="EZ269" s="270">
        <f t="shared" si="1779"/>
        <v>0</v>
      </c>
      <c r="FA269" s="270">
        <f t="shared" si="1779"/>
        <v>0</v>
      </c>
      <c r="FB269" s="270">
        <f t="shared" si="1779"/>
        <v>0</v>
      </c>
      <c r="FC269" s="270">
        <f t="shared" si="1779"/>
        <v>0</v>
      </c>
      <c r="FD269" s="271"/>
      <c r="FE269" s="271"/>
      <c r="FF269" s="271"/>
      <c r="FG269" s="215"/>
      <c r="FH269" s="215"/>
    </row>
    <row r="270" ht="11.25" customHeight="1">
      <c r="A270" s="215" t="str">
        <f t="shared" si="19"/>
        <v/>
      </c>
      <c r="B270" s="241" t="str">
        <f t="shared" si="600"/>
        <v>#N/A</v>
      </c>
      <c r="C270" s="271" t="str">
        <f>IF(A270="","",IF(Calculator!snowball,IF(($E$5-DY270)&lt;0,0,$E$5-DY270),0)+D270)</f>
        <v/>
      </c>
      <c r="D270" s="271"/>
      <c r="E270" s="270">
        <f t="shared" si="40"/>
        <v>0</v>
      </c>
      <c r="F270" s="270">
        <f t="shared" ref="F270:AG270" si="1780">CU270+EB271</f>
        <v>0</v>
      </c>
      <c r="G270" s="270">
        <f t="shared" si="1780"/>
        <v>0</v>
      </c>
      <c r="H270" s="270">
        <f t="shared" si="1780"/>
        <v>0</v>
      </c>
      <c r="I270" s="270">
        <f t="shared" si="1780"/>
        <v>0</v>
      </c>
      <c r="J270" s="270">
        <f t="shared" si="1780"/>
        <v>0</v>
      </c>
      <c r="K270" s="270">
        <f t="shared" si="1780"/>
        <v>0</v>
      </c>
      <c r="L270" s="270">
        <f t="shared" si="1780"/>
        <v>0</v>
      </c>
      <c r="M270" s="270">
        <f t="shared" si="1780"/>
        <v>0</v>
      </c>
      <c r="N270" s="270">
        <f t="shared" si="1780"/>
        <v>0</v>
      </c>
      <c r="O270" s="270">
        <f t="shared" si="1780"/>
        <v>0</v>
      </c>
      <c r="P270" s="272">
        <f t="shared" si="1780"/>
        <v>0</v>
      </c>
      <c r="Q270" s="272">
        <f t="shared" si="1780"/>
        <v>0</v>
      </c>
      <c r="R270" s="272">
        <f t="shared" si="1780"/>
        <v>0</v>
      </c>
      <c r="S270" s="272">
        <f t="shared" si="1780"/>
        <v>0</v>
      </c>
      <c r="T270" s="272">
        <f t="shared" si="1780"/>
        <v>0</v>
      </c>
      <c r="U270" s="270">
        <f t="shared" si="1780"/>
        <v>0</v>
      </c>
      <c r="V270" s="270">
        <f t="shared" si="1780"/>
        <v>0</v>
      </c>
      <c r="W270" s="270">
        <f t="shared" si="1780"/>
        <v>0</v>
      </c>
      <c r="X270" s="270">
        <f t="shared" si="1780"/>
        <v>0</v>
      </c>
      <c r="Y270" s="270">
        <f t="shared" si="1780"/>
        <v>0</v>
      </c>
      <c r="Z270" s="270">
        <f t="shared" si="1780"/>
        <v>0</v>
      </c>
      <c r="AA270" s="270">
        <f t="shared" si="1780"/>
        <v>0</v>
      </c>
      <c r="AB270" s="270">
        <f t="shared" si="1780"/>
        <v>0</v>
      </c>
      <c r="AC270" s="270">
        <f t="shared" si="1780"/>
        <v>0</v>
      </c>
      <c r="AD270" s="270">
        <f t="shared" si="1780"/>
        <v>0</v>
      </c>
      <c r="AE270" s="270">
        <f t="shared" si="1780"/>
        <v>0</v>
      </c>
      <c r="AF270" s="270">
        <f t="shared" si="1780"/>
        <v>0</v>
      </c>
      <c r="AG270" s="270">
        <f t="shared" si="1780"/>
        <v>0</v>
      </c>
      <c r="AH270" s="279">
        <f t="shared" si="602"/>
        <v>0</v>
      </c>
      <c r="AI270" s="270">
        <f t="shared" si="43"/>
        <v>0</v>
      </c>
      <c r="AJ270" s="270">
        <f t="shared" ref="AJ270:AO270" si="1781">IF(F$8=0,0,ROUND(AJ269-(F270-BO270),2))</f>
        <v>0</v>
      </c>
      <c r="AK270" s="270">
        <f t="shared" si="1781"/>
        <v>0</v>
      </c>
      <c r="AL270" s="270">
        <f t="shared" si="1781"/>
        <v>0</v>
      </c>
      <c r="AM270" s="270">
        <f t="shared" si="1781"/>
        <v>0</v>
      </c>
      <c r="AN270" s="270">
        <f t="shared" si="1781"/>
        <v>0</v>
      </c>
      <c r="AO270" s="270">
        <f t="shared" si="1781"/>
        <v>0</v>
      </c>
      <c r="AP270" s="270">
        <v>0.0</v>
      </c>
      <c r="AQ270" s="270">
        <f t="shared" ref="AQ270:AS270" si="1782">IF(M$8=0,0,ROUND(AQ269-(M270-BV270),2))</f>
        <v>0</v>
      </c>
      <c r="AR270" s="270">
        <f t="shared" si="1782"/>
        <v>0</v>
      </c>
      <c r="AS270" s="270">
        <f t="shared" si="1782"/>
        <v>0</v>
      </c>
      <c r="AT270" s="270">
        <f t="shared" si="605"/>
        <v>-6.22</v>
      </c>
      <c r="AU270" s="270">
        <f t="shared" ref="AU270:BK270" si="1783">IF(Q$8=0,0,ROUND(AU269-(Q270-BY270),2))</f>
        <v>-16.53</v>
      </c>
      <c r="AV270" s="270">
        <f t="shared" si="1783"/>
        <v>0</v>
      </c>
      <c r="AW270" s="270">
        <f t="shared" si="1783"/>
        <v>0</v>
      </c>
      <c r="AX270" s="270">
        <f t="shared" si="1783"/>
        <v>0</v>
      </c>
      <c r="AY270" s="270">
        <f t="shared" si="1783"/>
        <v>0</v>
      </c>
      <c r="AZ270" s="270">
        <f t="shared" si="1783"/>
        <v>0</v>
      </c>
      <c r="BA270" s="270">
        <f t="shared" si="1783"/>
        <v>0</v>
      </c>
      <c r="BB270" s="270">
        <f t="shared" si="1783"/>
        <v>0</v>
      </c>
      <c r="BC270" s="270">
        <f t="shared" si="1783"/>
        <v>0</v>
      </c>
      <c r="BD270" s="270">
        <f t="shared" si="1783"/>
        <v>0</v>
      </c>
      <c r="BE270" s="270">
        <f t="shared" si="1783"/>
        <v>0</v>
      </c>
      <c r="BF270" s="270">
        <f t="shared" si="1783"/>
        <v>0</v>
      </c>
      <c r="BG270" s="270">
        <f t="shared" si="1783"/>
        <v>0</v>
      </c>
      <c r="BH270" s="270">
        <f t="shared" si="1783"/>
        <v>0</v>
      </c>
      <c r="BI270" s="270">
        <f t="shared" si="1783"/>
        <v>0</v>
      </c>
      <c r="BJ270" s="270">
        <f t="shared" si="1783"/>
        <v>0</v>
      </c>
      <c r="BK270" s="270">
        <f t="shared" si="1783"/>
        <v>0</v>
      </c>
      <c r="BL270" s="265">
        <f t="shared" si="16"/>
        <v>-22.75</v>
      </c>
      <c r="BM270" s="215"/>
      <c r="BN270" s="270">
        <f t="shared" ref="BN270:CP270" si="1784">ROUND(AI269*E$9/12,2)</f>
        <v>0</v>
      </c>
      <c r="BO270" s="270">
        <f t="shared" si="1784"/>
        <v>0</v>
      </c>
      <c r="BP270" s="270">
        <f t="shared" si="1784"/>
        <v>0</v>
      </c>
      <c r="BQ270" s="270">
        <f t="shared" si="1784"/>
        <v>0</v>
      </c>
      <c r="BR270" s="270">
        <f t="shared" si="1784"/>
        <v>0</v>
      </c>
      <c r="BS270" s="270">
        <f t="shared" si="1784"/>
        <v>0</v>
      </c>
      <c r="BT270" s="270">
        <f t="shared" si="1784"/>
        <v>0</v>
      </c>
      <c r="BU270" s="270">
        <f t="shared" si="1784"/>
        <v>0</v>
      </c>
      <c r="BV270" s="270">
        <f t="shared" si="1784"/>
        <v>0</v>
      </c>
      <c r="BW270" s="270">
        <f t="shared" si="1784"/>
        <v>0</v>
      </c>
      <c r="BX270" s="270">
        <f t="shared" si="1784"/>
        <v>0</v>
      </c>
      <c r="BY270" s="270">
        <f t="shared" si="1784"/>
        <v>-0.05</v>
      </c>
      <c r="BZ270" s="270">
        <f t="shared" si="1784"/>
        <v>-0.05</v>
      </c>
      <c r="CA270" s="270">
        <f t="shared" si="1784"/>
        <v>0</v>
      </c>
      <c r="CB270" s="270">
        <f t="shared" si="1784"/>
        <v>0</v>
      </c>
      <c r="CC270" s="270">
        <f t="shared" si="1784"/>
        <v>0</v>
      </c>
      <c r="CD270" s="270">
        <f t="shared" si="1784"/>
        <v>0</v>
      </c>
      <c r="CE270" s="270">
        <f t="shared" si="1784"/>
        <v>0</v>
      </c>
      <c r="CF270" s="270">
        <f t="shared" si="1784"/>
        <v>0</v>
      </c>
      <c r="CG270" s="270">
        <f t="shared" si="1784"/>
        <v>0</v>
      </c>
      <c r="CH270" s="270">
        <f t="shared" si="1784"/>
        <v>0</v>
      </c>
      <c r="CI270" s="270">
        <f t="shared" si="1784"/>
        <v>0</v>
      </c>
      <c r="CJ270" s="270">
        <f t="shared" si="1784"/>
        <v>0</v>
      </c>
      <c r="CK270" s="270">
        <f t="shared" si="1784"/>
        <v>0</v>
      </c>
      <c r="CL270" s="270">
        <f t="shared" si="1784"/>
        <v>0</v>
      </c>
      <c r="CM270" s="270">
        <f t="shared" si="1784"/>
        <v>0</v>
      </c>
      <c r="CN270" s="270">
        <f t="shared" si="1784"/>
        <v>0</v>
      </c>
      <c r="CO270" s="270">
        <f t="shared" si="1784"/>
        <v>0</v>
      </c>
      <c r="CP270" s="270">
        <f t="shared" si="1784"/>
        <v>0</v>
      </c>
      <c r="CQ270" s="215"/>
      <c r="CR270" s="270">
        <f t="shared" si="27"/>
        <v>-0.1</v>
      </c>
      <c r="CS270" s="215"/>
      <c r="CT270" s="270">
        <f t="shared" ref="CT270:DX270" si="1785">IF(AI269&gt;0,IF((AI269+BN270)&lt;E$10,AI269+BN270,E$10),0)</f>
        <v>0</v>
      </c>
      <c r="CU270" s="270">
        <f t="shared" si="1785"/>
        <v>0</v>
      </c>
      <c r="CV270" s="270">
        <f t="shared" si="1785"/>
        <v>0</v>
      </c>
      <c r="CW270" s="270">
        <f t="shared" si="1785"/>
        <v>0</v>
      </c>
      <c r="CX270" s="270">
        <f t="shared" si="1785"/>
        <v>0</v>
      </c>
      <c r="CY270" s="270">
        <f t="shared" si="1785"/>
        <v>0</v>
      </c>
      <c r="CZ270" s="270">
        <f t="shared" si="1785"/>
        <v>0</v>
      </c>
      <c r="DA270" s="270">
        <f t="shared" si="1785"/>
        <v>0</v>
      </c>
      <c r="DB270" s="270">
        <f t="shared" si="1785"/>
        <v>0</v>
      </c>
      <c r="DC270" s="270">
        <f t="shared" si="1785"/>
        <v>0</v>
      </c>
      <c r="DD270" s="270">
        <f t="shared" si="1785"/>
        <v>0</v>
      </c>
      <c r="DE270" s="270">
        <f t="shared" si="1785"/>
        <v>0</v>
      </c>
      <c r="DF270" s="270">
        <f t="shared" si="1785"/>
        <v>0</v>
      </c>
      <c r="DG270" s="270">
        <f t="shared" si="1785"/>
        <v>0</v>
      </c>
      <c r="DH270" s="270">
        <f t="shared" si="1785"/>
        <v>0</v>
      </c>
      <c r="DI270" s="270">
        <f t="shared" si="1785"/>
        <v>0</v>
      </c>
      <c r="DJ270" s="270">
        <f t="shared" si="1785"/>
        <v>0</v>
      </c>
      <c r="DK270" s="270">
        <f t="shared" si="1785"/>
        <v>0</v>
      </c>
      <c r="DL270" s="270">
        <f t="shared" si="1785"/>
        <v>0</v>
      </c>
      <c r="DM270" s="270">
        <f t="shared" si="1785"/>
        <v>0</v>
      </c>
      <c r="DN270" s="270">
        <f t="shared" si="1785"/>
        <v>0</v>
      </c>
      <c r="DO270" s="270">
        <f t="shared" si="1785"/>
        <v>0</v>
      </c>
      <c r="DP270" s="270">
        <f t="shared" si="1785"/>
        <v>0</v>
      </c>
      <c r="DQ270" s="270">
        <f t="shared" si="1785"/>
        <v>0</v>
      </c>
      <c r="DR270" s="270">
        <f t="shared" si="1785"/>
        <v>0</v>
      </c>
      <c r="DS270" s="270">
        <f t="shared" si="1785"/>
        <v>0</v>
      </c>
      <c r="DT270" s="270">
        <f t="shared" si="1785"/>
        <v>0</v>
      </c>
      <c r="DU270" s="270">
        <f t="shared" si="1785"/>
        <v>0</v>
      </c>
      <c r="DV270" s="270">
        <f t="shared" si="1785"/>
        <v>0</v>
      </c>
      <c r="DW270" s="270">
        <f t="shared" si="1785"/>
        <v>0</v>
      </c>
      <c r="DX270" s="270">
        <f t="shared" si="1785"/>
        <v>0</v>
      </c>
      <c r="DY270" s="270">
        <f t="shared" si="29"/>
        <v>0</v>
      </c>
      <c r="DZ270" s="274"/>
      <c r="EA270" s="275">
        <f t="shared" si="38"/>
        <v>0</v>
      </c>
      <c r="EB270" s="270">
        <f t="shared" ref="EB270:FC270" si="1786">IF(AJ268&lt;=0,0,IF($C269&lt;=SUM($EA270:EA270),0,IF(CU269+$C269-SUM($EA270:EA270)&gt;AJ268+BO269,AJ268+BO269-CU269,$C269-SUM($EA270:EA270))))</f>
        <v>0</v>
      </c>
      <c r="EC270" s="270">
        <f t="shared" si="1786"/>
        <v>0</v>
      </c>
      <c r="ED270" s="270">
        <f t="shared" si="1786"/>
        <v>0</v>
      </c>
      <c r="EE270" s="270">
        <f t="shared" si="1786"/>
        <v>0</v>
      </c>
      <c r="EF270" s="270">
        <f t="shared" si="1786"/>
        <v>0</v>
      </c>
      <c r="EG270" s="270">
        <f t="shared" si="1786"/>
        <v>0</v>
      </c>
      <c r="EH270" s="270">
        <f t="shared" si="1786"/>
        <v>0</v>
      </c>
      <c r="EI270" s="270">
        <f t="shared" si="1786"/>
        <v>0</v>
      </c>
      <c r="EJ270" s="270">
        <f t="shared" si="1786"/>
        <v>0</v>
      </c>
      <c r="EK270" s="270">
        <f t="shared" si="1786"/>
        <v>0</v>
      </c>
      <c r="EL270" s="270">
        <f t="shared" si="1786"/>
        <v>0</v>
      </c>
      <c r="EM270" s="270">
        <f t="shared" si="1786"/>
        <v>0</v>
      </c>
      <c r="EN270" s="270">
        <f t="shared" si="1786"/>
        <v>0</v>
      </c>
      <c r="EO270" s="270">
        <f t="shared" si="1786"/>
        <v>0</v>
      </c>
      <c r="EP270" s="270">
        <f t="shared" si="1786"/>
        <v>0</v>
      </c>
      <c r="EQ270" s="270">
        <f t="shared" si="1786"/>
        <v>0</v>
      </c>
      <c r="ER270" s="270">
        <f t="shared" si="1786"/>
        <v>0</v>
      </c>
      <c r="ES270" s="270">
        <f t="shared" si="1786"/>
        <v>0</v>
      </c>
      <c r="ET270" s="270">
        <f t="shared" si="1786"/>
        <v>0</v>
      </c>
      <c r="EU270" s="270">
        <f t="shared" si="1786"/>
        <v>0</v>
      </c>
      <c r="EV270" s="270">
        <f t="shared" si="1786"/>
        <v>0</v>
      </c>
      <c r="EW270" s="270">
        <f t="shared" si="1786"/>
        <v>0</v>
      </c>
      <c r="EX270" s="270">
        <f t="shared" si="1786"/>
        <v>0</v>
      </c>
      <c r="EY270" s="270">
        <f t="shared" si="1786"/>
        <v>0</v>
      </c>
      <c r="EZ270" s="270">
        <f t="shared" si="1786"/>
        <v>0</v>
      </c>
      <c r="FA270" s="270">
        <f t="shared" si="1786"/>
        <v>0</v>
      </c>
      <c r="FB270" s="270">
        <f t="shared" si="1786"/>
        <v>0</v>
      </c>
      <c r="FC270" s="270">
        <f t="shared" si="1786"/>
        <v>0</v>
      </c>
      <c r="FD270" s="271"/>
      <c r="FE270" s="271"/>
      <c r="FF270" s="271"/>
      <c r="FG270" s="215"/>
      <c r="FH270" s="215"/>
    </row>
    <row r="271" ht="11.25" customHeight="1">
      <c r="A271" s="215" t="str">
        <f t="shared" si="19"/>
        <v/>
      </c>
      <c r="B271" s="241" t="str">
        <f t="shared" si="600"/>
        <v>#N/A</v>
      </c>
      <c r="C271" s="271" t="str">
        <f>IF(A271="","",IF(Calculator!snowball,IF(($E$5-DY271)&lt;0,0,$E$5-DY271),0)+D271)</f>
        <v/>
      </c>
      <c r="D271" s="271"/>
      <c r="E271" s="270">
        <f t="shared" si="40"/>
        <v>0</v>
      </c>
      <c r="F271" s="270">
        <f t="shared" ref="F271:AG271" si="1787">CU271+EB272</f>
        <v>0</v>
      </c>
      <c r="G271" s="270">
        <f t="shared" si="1787"/>
        <v>0</v>
      </c>
      <c r="H271" s="270">
        <f t="shared" si="1787"/>
        <v>0</v>
      </c>
      <c r="I271" s="270">
        <f t="shared" si="1787"/>
        <v>0</v>
      </c>
      <c r="J271" s="270">
        <f t="shared" si="1787"/>
        <v>0</v>
      </c>
      <c r="K271" s="270">
        <f t="shared" si="1787"/>
        <v>0</v>
      </c>
      <c r="L271" s="270">
        <f t="shared" si="1787"/>
        <v>0</v>
      </c>
      <c r="M271" s="270">
        <f t="shared" si="1787"/>
        <v>0</v>
      </c>
      <c r="N271" s="270">
        <f t="shared" si="1787"/>
        <v>0</v>
      </c>
      <c r="O271" s="270">
        <f t="shared" si="1787"/>
        <v>0</v>
      </c>
      <c r="P271" s="272">
        <f t="shared" si="1787"/>
        <v>0</v>
      </c>
      <c r="Q271" s="272">
        <f t="shared" si="1787"/>
        <v>0</v>
      </c>
      <c r="R271" s="272">
        <f t="shared" si="1787"/>
        <v>0</v>
      </c>
      <c r="S271" s="272">
        <f t="shared" si="1787"/>
        <v>0</v>
      </c>
      <c r="T271" s="272">
        <f t="shared" si="1787"/>
        <v>0</v>
      </c>
      <c r="U271" s="270">
        <f t="shared" si="1787"/>
        <v>0</v>
      </c>
      <c r="V271" s="270">
        <f t="shared" si="1787"/>
        <v>0</v>
      </c>
      <c r="W271" s="270">
        <f t="shared" si="1787"/>
        <v>0</v>
      </c>
      <c r="X271" s="270">
        <f t="shared" si="1787"/>
        <v>0</v>
      </c>
      <c r="Y271" s="270">
        <f t="shared" si="1787"/>
        <v>0</v>
      </c>
      <c r="Z271" s="270">
        <f t="shared" si="1787"/>
        <v>0</v>
      </c>
      <c r="AA271" s="270">
        <f t="shared" si="1787"/>
        <v>0</v>
      </c>
      <c r="AB271" s="270">
        <f t="shared" si="1787"/>
        <v>0</v>
      </c>
      <c r="AC271" s="270">
        <f t="shared" si="1787"/>
        <v>0</v>
      </c>
      <c r="AD271" s="270">
        <f t="shared" si="1787"/>
        <v>0</v>
      </c>
      <c r="AE271" s="270">
        <f t="shared" si="1787"/>
        <v>0</v>
      </c>
      <c r="AF271" s="270">
        <f t="shared" si="1787"/>
        <v>0</v>
      </c>
      <c r="AG271" s="270">
        <f t="shared" si="1787"/>
        <v>0</v>
      </c>
      <c r="AH271" s="279">
        <f t="shared" si="602"/>
        <v>0</v>
      </c>
      <c r="AI271" s="270">
        <f t="shared" si="43"/>
        <v>0</v>
      </c>
      <c r="AJ271" s="270">
        <f t="shared" ref="AJ271:AO271" si="1788">IF(F$8=0,0,ROUND(AJ270-(F271-BO271),2))</f>
        <v>0</v>
      </c>
      <c r="AK271" s="270">
        <f t="shared" si="1788"/>
        <v>0</v>
      </c>
      <c r="AL271" s="270">
        <f t="shared" si="1788"/>
        <v>0</v>
      </c>
      <c r="AM271" s="270">
        <f t="shared" si="1788"/>
        <v>0</v>
      </c>
      <c r="AN271" s="270">
        <f t="shared" si="1788"/>
        <v>0</v>
      </c>
      <c r="AO271" s="270">
        <f t="shared" si="1788"/>
        <v>0</v>
      </c>
      <c r="AP271" s="270">
        <v>0.0</v>
      </c>
      <c r="AQ271" s="270">
        <f t="shared" ref="AQ271:AS271" si="1789">IF(M$8=0,0,ROUND(AQ270-(M271-BV271),2))</f>
        <v>0</v>
      </c>
      <c r="AR271" s="270">
        <f t="shared" si="1789"/>
        <v>0</v>
      </c>
      <c r="AS271" s="270">
        <f t="shared" si="1789"/>
        <v>0</v>
      </c>
      <c r="AT271" s="270">
        <f t="shared" si="605"/>
        <v>-6.22</v>
      </c>
      <c r="AU271" s="270">
        <f t="shared" ref="AU271:BK271" si="1790">IF(Q$8=0,0,ROUND(AU270-(Q271-BY271),2))</f>
        <v>-16.58</v>
      </c>
      <c r="AV271" s="270">
        <f t="shared" si="1790"/>
        <v>0</v>
      </c>
      <c r="AW271" s="270">
        <f t="shared" si="1790"/>
        <v>0</v>
      </c>
      <c r="AX271" s="270">
        <f t="shared" si="1790"/>
        <v>0</v>
      </c>
      <c r="AY271" s="270">
        <f t="shared" si="1790"/>
        <v>0</v>
      </c>
      <c r="AZ271" s="270">
        <f t="shared" si="1790"/>
        <v>0</v>
      </c>
      <c r="BA271" s="270">
        <f t="shared" si="1790"/>
        <v>0</v>
      </c>
      <c r="BB271" s="270">
        <f t="shared" si="1790"/>
        <v>0</v>
      </c>
      <c r="BC271" s="270">
        <f t="shared" si="1790"/>
        <v>0</v>
      </c>
      <c r="BD271" s="270">
        <f t="shared" si="1790"/>
        <v>0</v>
      </c>
      <c r="BE271" s="270">
        <f t="shared" si="1790"/>
        <v>0</v>
      </c>
      <c r="BF271" s="270">
        <f t="shared" si="1790"/>
        <v>0</v>
      </c>
      <c r="BG271" s="270">
        <f t="shared" si="1790"/>
        <v>0</v>
      </c>
      <c r="BH271" s="270">
        <f t="shared" si="1790"/>
        <v>0</v>
      </c>
      <c r="BI271" s="270">
        <f t="shared" si="1790"/>
        <v>0</v>
      </c>
      <c r="BJ271" s="270">
        <f t="shared" si="1790"/>
        <v>0</v>
      </c>
      <c r="BK271" s="270">
        <f t="shared" si="1790"/>
        <v>0</v>
      </c>
      <c r="BL271" s="265">
        <f t="shared" si="16"/>
        <v>-22.8</v>
      </c>
      <c r="BM271" s="215"/>
      <c r="BN271" s="270">
        <f t="shared" ref="BN271:CP271" si="1791">ROUND(AI270*E$9/12,2)</f>
        <v>0</v>
      </c>
      <c r="BO271" s="270">
        <f t="shared" si="1791"/>
        <v>0</v>
      </c>
      <c r="BP271" s="270">
        <f t="shared" si="1791"/>
        <v>0</v>
      </c>
      <c r="BQ271" s="270">
        <f t="shared" si="1791"/>
        <v>0</v>
      </c>
      <c r="BR271" s="270">
        <f t="shared" si="1791"/>
        <v>0</v>
      </c>
      <c r="BS271" s="270">
        <f t="shared" si="1791"/>
        <v>0</v>
      </c>
      <c r="BT271" s="270">
        <f t="shared" si="1791"/>
        <v>0</v>
      </c>
      <c r="BU271" s="270">
        <f t="shared" si="1791"/>
        <v>0</v>
      </c>
      <c r="BV271" s="270">
        <f t="shared" si="1791"/>
        <v>0</v>
      </c>
      <c r="BW271" s="270">
        <f t="shared" si="1791"/>
        <v>0</v>
      </c>
      <c r="BX271" s="270">
        <f t="shared" si="1791"/>
        <v>0</v>
      </c>
      <c r="BY271" s="270">
        <f t="shared" si="1791"/>
        <v>-0.05</v>
      </c>
      <c r="BZ271" s="270">
        <f t="shared" si="1791"/>
        <v>-0.05</v>
      </c>
      <c r="CA271" s="270">
        <f t="shared" si="1791"/>
        <v>0</v>
      </c>
      <c r="CB271" s="270">
        <f t="shared" si="1791"/>
        <v>0</v>
      </c>
      <c r="CC271" s="270">
        <f t="shared" si="1791"/>
        <v>0</v>
      </c>
      <c r="CD271" s="270">
        <f t="shared" si="1791"/>
        <v>0</v>
      </c>
      <c r="CE271" s="270">
        <f t="shared" si="1791"/>
        <v>0</v>
      </c>
      <c r="CF271" s="270">
        <f t="shared" si="1791"/>
        <v>0</v>
      </c>
      <c r="CG271" s="270">
        <f t="shared" si="1791"/>
        <v>0</v>
      </c>
      <c r="CH271" s="270">
        <f t="shared" si="1791"/>
        <v>0</v>
      </c>
      <c r="CI271" s="270">
        <f t="shared" si="1791"/>
        <v>0</v>
      </c>
      <c r="CJ271" s="270">
        <f t="shared" si="1791"/>
        <v>0</v>
      </c>
      <c r="CK271" s="270">
        <f t="shared" si="1791"/>
        <v>0</v>
      </c>
      <c r="CL271" s="270">
        <f t="shared" si="1791"/>
        <v>0</v>
      </c>
      <c r="CM271" s="270">
        <f t="shared" si="1791"/>
        <v>0</v>
      </c>
      <c r="CN271" s="270">
        <f t="shared" si="1791"/>
        <v>0</v>
      </c>
      <c r="CO271" s="270">
        <f t="shared" si="1791"/>
        <v>0</v>
      </c>
      <c r="CP271" s="270">
        <f t="shared" si="1791"/>
        <v>0</v>
      </c>
      <c r="CQ271" s="215"/>
      <c r="CR271" s="270">
        <f t="shared" si="27"/>
        <v>-0.1</v>
      </c>
      <c r="CS271" s="215"/>
      <c r="CT271" s="270">
        <f t="shared" ref="CT271:DX271" si="1792">IF(AI270&gt;0,IF((AI270+BN271)&lt;E$10,AI270+BN271,E$10),0)</f>
        <v>0</v>
      </c>
      <c r="CU271" s="270">
        <f t="shared" si="1792"/>
        <v>0</v>
      </c>
      <c r="CV271" s="270">
        <f t="shared" si="1792"/>
        <v>0</v>
      </c>
      <c r="CW271" s="270">
        <f t="shared" si="1792"/>
        <v>0</v>
      </c>
      <c r="CX271" s="270">
        <f t="shared" si="1792"/>
        <v>0</v>
      </c>
      <c r="CY271" s="270">
        <f t="shared" si="1792"/>
        <v>0</v>
      </c>
      <c r="CZ271" s="270">
        <f t="shared" si="1792"/>
        <v>0</v>
      </c>
      <c r="DA271" s="270">
        <f t="shared" si="1792"/>
        <v>0</v>
      </c>
      <c r="DB271" s="270">
        <f t="shared" si="1792"/>
        <v>0</v>
      </c>
      <c r="DC271" s="270">
        <f t="shared" si="1792"/>
        <v>0</v>
      </c>
      <c r="DD271" s="270">
        <f t="shared" si="1792"/>
        <v>0</v>
      </c>
      <c r="DE271" s="270">
        <f t="shared" si="1792"/>
        <v>0</v>
      </c>
      <c r="DF271" s="270">
        <f t="shared" si="1792"/>
        <v>0</v>
      </c>
      <c r="DG271" s="270">
        <f t="shared" si="1792"/>
        <v>0</v>
      </c>
      <c r="DH271" s="270">
        <f t="shared" si="1792"/>
        <v>0</v>
      </c>
      <c r="DI271" s="270">
        <f t="shared" si="1792"/>
        <v>0</v>
      </c>
      <c r="DJ271" s="270">
        <f t="shared" si="1792"/>
        <v>0</v>
      </c>
      <c r="DK271" s="270">
        <f t="shared" si="1792"/>
        <v>0</v>
      </c>
      <c r="DL271" s="270">
        <f t="shared" si="1792"/>
        <v>0</v>
      </c>
      <c r="DM271" s="270">
        <f t="shared" si="1792"/>
        <v>0</v>
      </c>
      <c r="DN271" s="270">
        <f t="shared" si="1792"/>
        <v>0</v>
      </c>
      <c r="DO271" s="270">
        <f t="shared" si="1792"/>
        <v>0</v>
      </c>
      <c r="DP271" s="270">
        <f t="shared" si="1792"/>
        <v>0</v>
      </c>
      <c r="DQ271" s="270">
        <f t="shared" si="1792"/>
        <v>0</v>
      </c>
      <c r="DR271" s="270">
        <f t="shared" si="1792"/>
        <v>0</v>
      </c>
      <c r="DS271" s="270">
        <f t="shared" si="1792"/>
        <v>0</v>
      </c>
      <c r="DT271" s="270">
        <f t="shared" si="1792"/>
        <v>0</v>
      </c>
      <c r="DU271" s="270">
        <f t="shared" si="1792"/>
        <v>0</v>
      </c>
      <c r="DV271" s="270">
        <f t="shared" si="1792"/>
        <v>0</v>
      </c>
      <c r="DW271" s="270">
        <f t="shared" si="1792"/>
        <v>0</v>
      </c>
      <c r="DX271" s="270">
        <f t="shared" si="1792"/>
        <v>0</v>
      </c>
      <c r="DY271" s="270">
        <f t="shared" si="29"/>
        <v>0</v>
      </c>
      <c r="DZ271" s="274"/>
      <c r="EA271" s="275">
        <f t="shared" si="38"/>
        <v>0</v>
      </c>
      <c r="EB271" s="270">
        <f t="shared" ref="EB271:FC271" si="1793">IF(AJ269&lt;=0,0,IF($C270&lt;=SUM($EA271:EA271),0,IF(CU270+$C270-SUM($EA271:EA271)&gt;AJ269+BO270,AJ269+BO270-CU270,$C270-SUM($EA271:EA271))))</f>
        <v>0</v>
      </c>
      <c r="EC271" s="270">
        <f t="shared" si="1793"/>
        <v>0</v>
      </c>
      <c r="ED271" s="270">
        <f t="shared" si="1793"/>
        <v>0</v>
      </c>
      <c r="EE271" s="270">
        <f t="shared" si="1793"/>
        <v>0</v>
      </c>
      <c r="EF271" s="270">
        <f t="shared" si="1793"/>
        <v>0</v>
      </c>
      <c r="EG271" s="270">
        <f t="shared" si="1793"/>
        <v>0</v>
      </c>
      <c r="EH271" s="270">
        <f t="shared" si="1793"/>
        <v>0</v>
      </c>
      <c r="EI271" s="270">
        <f t="shared" si="1793"/>
        <v>0</v>
      </c>
      <c r="EJ271" s="270">
        <f t="shared" si="1793"/>
        <v>0</v>
      </c>
      <c r="EK271" s="270">
        <f t="shared" si="1793"/>
        <v>0</v>
      </c>
      <c r="EL271" s="270">
        <f t="shared" si="1793"/>
        <v>0</v>
      </c>
      <c r="EM271" s="270">
        <f t="shared" si="1793"/>
        <v>0</v>
      </c>
      <c r="EN271" s="270">
        <f t="shared" si="1793"/>
        <v>0</v>
      </c>
      <c r="EO271" s="270">
        <f t="shared" si="1793"/>
        <v>0</v>
      </c>
      <c r="EP271" s="270">
        <f t="shared" si="1793"/>
        <v>0</v>
      </c>
      <c r="EQ271" s="270">
        <f t="shared" si="1793"/>
        <v>0</v>
      </c>
      <c r="ER271" s="270">
        <f t="shared" si="1793"/>
        <v>0</v>
      </c>
      <c r="ES271" s="270">
        <f t="shared" si="1793"/>
        <v>0</v>
      </c>
      <c r="ET271" s="270">
        <f t="shared" si="1793"/>
        <v>0</v>
      </c>
      <c r="EU271" s="270">
        <f t="shared" si="1793"/>
        <v>0</v>
      </c>
      <c r="EV271" s="270">
        <f t="shared" si="1793"/>
        <v>0</v>
      </c>
      <c r="EW271" s="270">
        <f t="shared" si="1793"/>
        <v>0</v>
      </c>
      <c r="EX271" s="270">
        <f t="shared" si="1793"/>
        <v>0</v>
      </c>
      <c r="EY271" s="270">
        <f t="shared" si="1793"/>
        <v>0</v>
      </c>
      <c r="EZ271" s="270">
        <f t="shared" si="1793"/>
        <v>0</v>
      </c>
      <c r="FA271" s="270">
        <f t="shared" si="1793"/>
        <v>0</v>
      </c>
      <c r="FB271" s="270">
        <f t="shared" si="1793"/>
        <v>0</v>
      </c>
      <c r="FC271" s="270">
        <f t="shared" si="1793"/>
        <v>0</v>
      </c>
      <c r="FD271" s="271"/>
      <c r="FE271" s="271"/>
      <c r="FF271" s="271"/>
      <c r="FG271" s="215"/>
      <c r="FH271" s="215"/>
    </row>
    <row r="272" ht="11.25" customHeight="1">
      <c r="A272" s="215" t="str">
        <f t="shared" si="19"/>
        <v/>
      </c>
      <c r="B272" s="241" t="str">
        <f t="shared" si="600"/>
        <v>#N/A</v>
      </c>
      <c r="C272" s="271" t="str">
        <f>IF(A272="","",IF(Calculator!snowball,IF(($E$5-DY272)&lt;0,0,$E$5-DY272),0)+D272)</f>
        <v/>
      </c>
      <c r="D272" s="271"/>
      <c r="E272" s="270">
        <f t="shared" si="40"/>
        <v>0</v>
      </c>
      <c r="F272" s="270">
        <f t="shared" ref="F272:AG272" si="1794">CU272+EB273</f>
        <v>0</v>
      </c>
      <c r="G272" s="270">
        <f t="shared" si="1794"/>
        <v>0</v>
      </c>
      <c r="H272" s="270">
        <f t="shared" si="1794"/>
        <v>0</v>
      </c>
      <c r="I272" s="270">
        <f t="shared" si="1794"/>
        <v>0</v>
      </c>
      <c r="J272" s="270">
        <f t="shared" si="1794"/>
        <v>0</v>
      </c>
      <c r="K272" s="270">
        <f t="shared" si="1794"/>
        <v>0</v>
      </c>
      <c r="L272" s="270">
        <f t="shared" si="1794"/>
        <v>0</v>
      </c>
      <c r="M272" s="270">
        <f t="shared" si="1794"/>
        <v>0</v>
      </c>
      <c r="N272" s="270">
        <f t="shared" si="1794"/>
        <v>0</v>
      </c>
      <c r="O272" s="270">
        <f t="shared" si="1794"/>
        <v>0</v>
      </c>
      <c r="P272" s="272">
        <f t="shared" si="1794"/>
        <v>0</v>
      </c>
      <c r="Q272" s="272">
        <f t="shared" si="1794"/>
        <v>0</v>
      </c>
      <c r="R272" s="272">
        <f t="shared" si="1794"/>
        <v>0</v>
      </c>
      <c r="S272" s="272">
        <f t="shared" si="1794"/>
        <v>0</v>
      </c>
      <c r="T272" s="272">
        <f t="shared" si="1794"/>
        <v>0</v>
      </c>
      <c r="U272" s="270">
        <f t="shared" si="1794"/>
        <v>0</v>
      </c>
      <c r="V272" s="270">
        <f t="shared" si="1794"/>
        <v>0</v>
      </c>
      <c r="W272" s="270">
        <f t="shared" si="1794"/>
        <v>0</v>
      </c>
      <c r="X272" s="270">
        <f t="shared" si="1794"/>
        <v>0</v>
      </c>
      <c r="Y272" s="270">
        <f t="shared" si="1794"/>
        <v>0</v>
      </c>
      <c r="Z272" s="270">
        <f t="shared" si="1794"/>
        <v>0</v>
      </c>
      <c r="AA272" s="270">
        <f t="shared" si="1794"/>
        <v>0</v>
      </c>
      <c r="AB272" s="270">
        <f t="shared" si="1794"/>
        <v>0</v>
      </c>
      <c r="AC272" s="270">
        <f t="shared" si="1794"/>
        <v>0</v>
      </c>
      <c r="AD272" s="270">
        <f t="shared" si="1794"/>
        <v>0</v>
      </c>
      <c r="AE272" s="270">
        <f t="shared" si="1794"/>
        <v>0</v>
      </c>
      <c r="AF272" s="270">
        <f t="shared" si="1794"/>
        <v>0</v>
      </c>
      <c r="AG272" s="270">
        <f t="shared" si="1794"/>
        <v>0</v>
      </c>
      <c r="AH272" s="279">
        <f t="shared" si="602"/>
        <v>0</v>
      </c>
      <c r="AI272" s="270">
        <f t="shared" si="43"/>
        <v>0</v>
      </c>
      <c r="AJ272" s="270">
        <f t="shared" ref="AJ272:AO272" si="1795">IF(F$8=0,0,ROUND(AJ271-(F272-BO272),2))</f>
        <v>0</v>
      </c>
      <c r="AK272" s="270">
        <f t="shared" si="1795"/>
        <v>0</v>
      </c>
      <c r="AL272" s="270">
        <f t="shared" si="1795"/>
        <v>0</v>
      </c>
      <c r="AM272" s="270">
        <f t="shared" si="1795"/>
        <v>0</v>
      </c>
      <c r="AN272" s="270">
        <f t="shared" si="1795"/>
        <v>0</v>
      </c>
      <c r="AO272" s="270">
        <f t="shared" si="1795"/>
        <v>0</v>
      </c>
      <c r="AP272" s="270">
        <v>0.0</v>
      </c>
      <c r="AQ272" s="270">
        <f t="shared" ref="AQ272:AS272" si="1796">IF(M$8=0,0,ROUND(AQ271-(M272-BV272),2))</f>
        <v>0</v>
      </c>
      <c r="AR272" s="270">
        <f t="shared" si="1796"/>
        <v>0</v>
      </c>
      <c r="AS272" s="270">
        <f t="shared" si="1796"/>
        <v>0</v>
      </c>
      <c r="AT272" s="270">
        <f t="shared" si="605"/>
        <v>-6.22</v>
      </c>
      <c r="AU272" s="270">
        <f t="shared" ref="AU272:BK272" si="1797">IF(Q$8=0,0,ROUND(AU271-(Q272-BY272),2))</f>
        <v>-16.63</v>
      </c>
      <c r="AV272" s="270">
        <f t="shared" si="1797"/>
        <v>0</v>
      </c>
      <c r="AW272" s="270">
        <f t="shared" si="1797"/>
        <v>0</v>
      </c>
      <c r="AX272" s="270">
        <f t="shared" si="1797"/>
        <v>0</v>
      </c>
      <c r="AY272" s="270">
        <f t="shared" si="1797"/>
        <v>0</v>
      </c>
      <c r="AZ272" s="270">
        <f t="shared" si="1797"/>
        <v>0</v>
      </c>
      <c r="BA272" s="270">
        <f t="shared" si="1797"/>
        <v>0</v>
      </c>
      <c r="BB272" s="270">
        <f t="shared" si="1797"/>
        <v>0</v>
      </c>
      <c r="BC272" s="270">
        <f t="shared" si="1797"/>
        <v>0</v>
      </c>
      <c r="BD272" s="270">
        <f t="shared" si="1797"/>
        <v>0</v>
      </c>
      <c r="BE272" s="270">
        <f t="shared" si="1797"/>
        <v>0</v>
      </c>
      <c r="BF272" s="270">
        <f t="shared" si="1797"/>
        <v>0</v>
      </c>
      <c r="BG272" s="270">
        <f t="shared" si="1797"/>
        <v>0</v>
      </c>
      <c r="BH272" s="270">
        <f t="shared" si="1797"/>
        <v>0</v>
      </c>
      <c r="BI272" s="270">
        <f t="shared" si="1797"/>
        <v>0</v>
      </c>
      <c r="BJ272" s="270">
        <f t="shared" si="1797"/>
        <v>0</v>
      </c>
      <c r="BK272" s="270">
        <f t="shared" si="1797"/>
        <v>0</v>
      </c>
      <c r="BL272" s="265">
        <f t="shared" si="16"/>
        <v>-22.85</v>
      </c>
      <c r="BM272" s="215"/>
      <c r="BN272" s="270">
        <f t="shared" ref="BN272:CP272" si="1798">ROUND(AI271*E$9/12,2)</f>
        <v>0</v>
      </c>
      <c r="BO272" s="270">
        <f t="shared" si="1798"/>
        <v>0</v>
      </c>
      <c r="BP272" s="270">
        <f t="shared" si="1798"/>
        <v>0</v>
      </c>
      <c r="BQ272" s="270">
        <f t="shared" si="1798"/>
        <v>0</v>
      </c>
      <c r="BR272" s="270">
        <f t="shared" si="1798"/>
        <v>0</v>
      </c>
      <c r="BS272" s="270">
        <f t="shared" si="1798"/>
        <v>0</v>
      </c>
      <c r="BT272" s="270">
        <f t="shared" si="1798"/>
        <v>0</v>
      </c>
      <c r="BU272" s="270">
        <f t="shared" si="1798"/>
        <v>0</v>
      </c>
      <c r="BV272" s="270">
        <f t="shared" si="1798"/>
        <v>0</v>
      </c>
      <c r="BW272" s="270">
        <f t="shared" si="1798"/>
        <v>0</v>
      </c>
      <c r="BX272" s="270">
        <f t="shared" si="1798"/>
        <v>0</v>
      </c>
      <c r="BY272" s="270">
        <f t="shared" si="1798"/>
        <v>-0.05</v>
      </c>
      <c r="BZ272" s="270">
        <f t="shared" si="1798"/>
        <v>-0.05</v>
      </c>
      <c r="CA272" s="270">
        <f t="shared" si="1798"/>
        <v>0</v>
      </c>
      <c r="CB272" s="270">
        <f t="shared" si="1798"/>
        <v>0</v>
      </c>
      <c r="CC272" s="270">
        <f t="shared" si="1798"/>
        <v>0</v>
      </c>
      <c r="CD272" s="270">
        <f t="shared" si="1798"/>
        <v>0</v>
      </c>
      <c r="CE272" s="270">
        <f t="shared" si="1798"/>
        <v>0</v>
      </c>
      <c r="CF272" s="270">
        <f t="shared" si="1798"/>
        <v>0</v>
      </c>
      <c r="CG272" s="270">
        <f t="shared" si="1798"/>
        <v>0</v>
      </c>
      <c r="CH272" s="270">
        <f t="shared" si="1798"/>
        <v>0</v>
      </c>
      <c r="CI272" s="270">
        <f t="shared" si="1798"/>
        <v>0</v>
      </c>
      <c r="CJ272" s="270">
        <f t="shared" si="1798"/>
        <v>0</v>
      </c>
      <c r="CK272" s="270">
        <f t="shared" si="1798"/>
        <v>0</v>
      </c>
      <c r="CL272" s="270">
        <f t="shared" si="1798"/>
        <v>0</v>
      </c>
      <c r="CM272" s="270">
        <f t="shared" si="1798"/>
        <v>0</v>
      </c>
      <c r="CN272" s="270">
        <f t="shared" si="1798"/>
        <v>0</v>
      </c>
      <c r="CO272" s="270">
        <f t="shared" si="1798"/>
        <v>0</v>
      </c>
      <c r="CP272" s="270">
        <f t="shared" si="1798"/>
        <v>0</v>
      </c>
      <c r="CQ272" s="215"/>
      <c r="CR272" s="270">
        <f t="shared" si="27"/>
        <v>-0.1</v>
      </c>
      <c r="CS272" s="215"/>
      <c r="CT272" s="270">
        <f t="shared" ref="CT272:DX272" si="1799">IF(AI271&gt;0,IF((AI271+BN272)&lt;E$10,AI271+BN272,E$10),0)</f>
        <v>0</v>
      </c>
      <c r="CU272" s="270">
        <f t="shared" si="1799"/>
        <v>0</v>
      </c>
      <c r="CV272" s="270">
        <f t="shared" si="1799"/>
        <v>0</v>
      </c>
      <c r="CW272" s="270">
        <f t="shared" si="1799"/>
        <v>0</v>
      </c>
      <c r="CX272" s="270">
        <f t="shared" si="1799"/>
        <v>0</v>
      </c>
      <c r="CY272" s="270">
        <f t="shared" si="1799"/>
        <v>0</v>
      </c>
      <c r="CZ272" s="270">
        <f t="shared" si="1799"/>
        <v>0</v>
      </c>
      <c r="DA272" s="270">
        <f t="shared" si="1799"/>
        <v>0</v>
      </c>
      <c r="DB272" s="270">
        <f t="shared" si="1799"/>
        <v>0</v>
      </c>
      <c r="DC272" s="270">
        <f t="shared" si="1799"/>
        <v>0</v>
      </c>
      <c r="DD272" s="270">
        <f t="shared" si="1799"/>
        <v>0</v>
      </c>
      <c r="DE272" s="270">
        <f t="shared" si="1799"/>
        <v>0</v>
      </c>
      <c r="DF272" s="270">
        <f t="shared" si="1799"/>
        <v>0</v>
      </c>
      <c r="DG272" s="270">
        <f t="shared" si="1799"/>
        <v>0</v>
      </c>
      <c r="DH272" s="270">
        <f t="shared" si="1799"/>
        <v>0</v>
      </c>
      <c r="DI272" s="270">
        <f t="shared" si="1799"/>
        <v>0</v>
      </c>
      <c r="DJ272" s="270">
        <f t="shared" si="1799"/>
        <v>0</v>
      </c>
      <c r="DK272" s="270">
        <f t="shared" si="1799"/>
        <v>0</v>
      </c>
      <c r="DL272" s="270">
        <f t="shared" si="1799"/>
        <v>0</v>
      </c>
      <c r="DM272" s="270">
        <f t="shared" si="1799"/>
        <v>0</v>
      </c>
      <c r="DN272" s="270">
        <f t="shared" si="1799"/>
        <v>0</v>
      </c>
      <c r="DO272" s="270">
        <f t="shared" si="1799"/>
        <v>0</v>
      </c>
      <c r="DP272" s="270">
        <f t="shared" si="1799"/>
        <v>0</v>
      </c>
      <c r="DQ272" s="270">
        <f t="shared" si="1799"/>
        <v>0</v>
      </c>
      <c r="DR272" s="270">
        <f t="shared" si="1799"/>
        <v>0</v>
      </c>
      <c r="DS272" s="270">
        <f t="shared" si="1799"/>
        <v>0</v>
      </c>
      <c r="DT272" s="270">
        <f t="shared" si="1799"/>
        <v>0</v>
      </c>
      <c r="DU272" s="270">
        <f t="shared" si="1799"/>
        <v>0</v>
      </c>
      <c r="DV272" s="270">
        <f t="shared" si="1799"/>
        <v>0</v>
      </c>
      <c r="DW272" s="270">
        <f t="shared" si="1799"/>
        <v>0</v>
      </c>
      <c r="DX272" s="270">
        <f t="shared" si="1799"/>
        <v>0</v>
      </c>
      <c r="DY272" s="270">
        <f t="shared" si="29"/>
        <v>0</v>
      </c>
      <c r="DZ272" s="274"/>
      <c r="EA272" s="275">
        <f t="shared" si="38"/>
        <v>0</v>
      </c>
      <c r="EB272" s="270">
        <f t="shared" ref="EB272:FC272" si="1800">IF(AJ270&lt;=0,0,IF($C271&lt;=SUM($EA272:EA272),0,IF(CU271+$C271-SUM($EA272:EA272)&gt;AJ270+BO271,AJ270+BO271-CU271,$C271-SUM($EA272:EA272))))</f>
        <v>0</v>
      </c>
      <c r="EC272" s="270">
        <f t="shared" si="1800"/>
        <v>0</v>
      </c>
      <c r="ED272" s="270">
        <f t="shared" si="1800"/>
        <v>0</v>
      </c>
      <c r="EE272" s="270">
        <f t="shared" si="1800"/>
        <v>0</v>
      </c>
      <c r="EF272" s="270">
        <f t="shared" si="1800"/>
        <v>0</v>
      </c>
      <c r="EG272" s="270">
        <f t="shared" si="1800"/>
        <v>0</v>
      </c>
      <c r="EH272" s="270">
        <f t="shared" si="1800"/>
        <v>0</v>
      </c>
      <c r="EI272" s="270">
        <f t="shared" si="1800"/>
        <v>0</v>
      </c>
      <c r="EJ272" s="270">
        <f t="shared" si="1800"/>
        <v>0</v>
      </c>
      <c r="EK272" s="270">
        <f t="shared" si="1800"/>
        <v>0</v>
      </c>
      <c r="EL272" s="270">
        <f t="shared" si="1800"/>
        <v>0</v>
      </c>
      <c r="EM272" s="270">
        <f t="shared" si="1800"/>
        <v>0</v>
      </c>
      <c r="EN272" s="270">
        <f t="shared" si="1800"/>
        <v>0</v>
      </c>
      <c r="EO272" s="270">
        <f t="shared" si="1800"/>
        <v>0</v>
      </c>
      <c r="EP272" s="270">
        <f t="shared" si="1800"/>
        <v>0</v>
      </c>
      <c r="EQ272" s="270">
        <f t="shared" si="1800"/>
        <v>0</v>
      </c>
      <c r="ER272" s="270">
        <f t="shared" si="1800"/>
        <v>0</v>
      </c>
      <c r="ES272" s="270">
        <f t="shared" si="1800"/>
        <v>0</v>
      </c>
      <c r="ET272" s="270">
        <f t="shared" si="1800"/>
        <v>0</v>
      </c>
      <c r="EU272" s="270">
        <f t="shared" si="1800"/>
        <v>0</v>
      </c>
      <c r="EV272" s="270">
        <f t="shared" si="1800"/>
        <v>0</v>
      </c>
      <c r="EW272" s="270">
        <f t="shared" si="1800"/>
        <v>0</v>
      </c>
      <c r="EX272" s="270">
        <f t="shared" si="1800"/>
        <v>0</v>
      </c>
      <c r="EY272" s="270">
        <f t="shared" si="1800"/>
        <v>0</v>
      </c>
      <c r="EZ272" s="270">
        <f t="shared" si="1800"/>
        <v>0</v>
      </c>
      <c r="FA272" s="270">
        <f t="shared" si="1800"/>
        <v>0</v>
      </c>
      <c r="FB272" s="270">
        <f t="shared" si="1800"/>
        <v>0</v>
      </c>
      <c r="FC272" s="270">
        <f t="shared" si="1800"/>
        <v>0</v>
      </c>
      <c r="FD272" s="271"/>
      <c r="FE272" s="271"/>
      <c r="FF272" s="271"/>
      <c r="FG272" s="215"/>
      <c r="FH272" s="215"/>
    </row>
    <row r="273" ht="11.25" customHeight="1">
      <c r="A273" s="215" t="str">
        <f t="shared" si="19"/>
        <v/>
      </c>
      <c r="B273" s="241" t="str">
        <f t="shared" si="600"/>
        <v>#N/A</v>
      </c>
      <c r="C273" s="271" t="str">
        <f>IF(A273="","",IF(Calculator!snowball,IF(($E$5-DY273)&lt;0,0,$E$5-DY273),0)+D273)</f>
        <v/>
      </c>
      <c r="D273" s="271"/>
      <c r="E273" s="270">
        <f t="shared" si="40"/>
        <v>0</v>
      </c>
      <c r="F273" s="270">
        <f t="shared" ref="F273:AG273" si="1801">CU273+EB274</f>
        <v>0</v>
      </c>
      <c r="G273" s="270">
        <f t="shared" si="1801"/>
        <v>0</v>
      </c>
      <c r="H273" s="270">
        <f t="shared" si="1801"/>
        <v>0</v>
      </c>
      <c r="I273" s="270">
        <f t="shared" si="1801"/>
        <v>0</v>
      </c>
      <c r="J273" s="270">
        <f t="shared" si="1801"/>
        <v>0</v>
      </c>
      <c r="K273" s="270">
        <f t="shared" si="1801"/>
        <v>0</v>
      </c>
      <c r="L273" s="270">
        <f t="shared" si="1801"/>
        <v>0</v>
      </c>
      <c r="M273" s="270">
        <f t="shared" si="1801"/>
        <v>0</v>
      </c>
      <c r="N273" s="270">
        <f t="shared" si="1801"/>
        <v>0</v>
      </c>
      <c r="O273" s="270">
        <f t="shared" si="1801"/>
        <v>0</v>
      </c>
      <c r="P273" s="272">
        <f t="shared" si="1801"/>
        <v>0</v>
      </c>
      <c r="Q273" s="272">
        <f t="shared" si="1801"/>
        <v>0</v>
      </c>
      <c r="R273" s="272">
        <f t="shared" si="1801"/>
        <v>0</v>
      </c>
      <c r="S273" s="272">
        <f t="shared" si="1801"/>
        <v>0</v>
      </c>
      <c r="T273" s="272">
        <f t="shared" si="1801"/>
        <v>0</v>
      </c>
      <c r="U273" s="270">
        <f t="shared" si="1801"/>
        <v>0</v>
      </c>
      <c r="V273" s="270">
        <f t="shared" si="1801"/>
        <v>0</v>
      </c>
      <c r="W273" s="270">
        <f t="shared" si="1801"/>
        <v>0</v>
      </c>
      <c r="X273" s="270">
        <f t="shared" si="1801"/>
        <v>0</v>
      </c>
      <c r="Y273" s="270">
        <f t="shared" si="1801"/>
        <v>0</v>
      </c>
      <c r="Z273" s="270">
        <f t="shared" si="1801"/>
        <v>0</v>
      </c>
      <c r="AA273" s="270">
        <f t="shared" si="1801"/>
        <v>0</v>
      </c>
      <c r="AB273" s="270">
        <f t="shared" si="1801"/>
        <v>0</v>
      </c>
      <c r="AC273" s="270">
        <f t="shared" si="1801"/>
        <v>0</v>
      </c>
      <c r="AD273" s="270">
        <f t="shared" si="1801"/>
        <v>0</v>
      </c>
      <c r="AE273" s="270">
        <f t="shared" si="1801"/>
        <v>0</v>
      </c>
      <c r="AF273" s="270">
        <f t="shared" si="1801"/>
        <v>0</v>
      </c>
      <c r="AG273" s="270">
        <f t="shared" si="1801"/>
        <v>0</v>
      </c>
      <c r="AH273" s="279">
        <f t="shared" si="602"/>
        <v>0</v>
      </c>
      <c r="AI273" s="270">
        <f t="shared" si="43"/>
        <v>0</v>
      </c>
      <c r="AJ273" s="270">
        <f t="shared" ref="AJ273:AO273" si="1802">IF(F$8=0,0,ROUND(AJ272-(F273-BO273),2))</f>
        <v>0</v>
      </c>
      <c r="AK273" s="270">
        <f t="shared" si="1802"/>
        <v>0</v>
      </c>
      <c r="AL273" s="270">
        <f t="shared" si="1802"/>
        <v>0</v>
      </c>
      <c r="AM273" s="270">
        <f t="shared" si="1802"/>
        <v>0</v>
      </c>
      <c r="AN273" s="270">
        <f t="shared" si="1802"/>
        <v>0</v>
      </c>
      <c r="AO273" s="270">
        <f t="shared" si="1802"/>
        <v>0</v>
      </c>
      <c r="AP273" s="270">
        <v>0.0</v>
      </c>
      <c r="AQ273" s="270">
        <f t="shared" ref="AQ273:AS273" si="1803">IF(M$8=0,0,ROUND(AQ272-(M273-BV273),2))</f>
        <v>0</v>
      </c>
      <c r="AR273" s="270">
        <f t="shared" si="1803"/>
        <v>0</v>
      </c>
      <c r="AS273" s="270">
        <f t="shared" si="1803"/>
        <v>0</v>
      </c>
      <c r="AT273" s="270">
        <f t="shared" si="605"/>
        <v>-6.22</v>
      </c>
      <c r="AU273" s="270">
        <f t="shared" ref="AU273:BK273" si="1804">IF(Q$8=0,0,ROUND(AU272-(Q273-BY273),2))</f>
        <v>-16.68</v>
      </c>
      <c r="AV273" s="270">
        <f t="shared" si="1804"/>
        <v>0</v>
      </c>
      <c r="AW273" s="270">
        <f t="shared" si="1804"/>
        <v>0</v>
      </c>
      <c r="AX273" s="270">
        <f t="shared" si="1804"/>
        <v>0</v>
      </c>
      <c r="AY273" s="270">
        <f t="shared" si="1804"/>
        <v>0</v>
      </c>
      <c r="AZ273" s="270">
        <f t="shared" si="1804"/>
        <v>0</v>
      </c>
      <c r="BA273" s="270">
        <f t="shared" si="1804"/>
        <v>0</v>
      </c>
      <c r="BB273" s="270">
        <f t="shared" si="1804"/>
        <v>0</v>
      </c>
      <c r="BC273" s="270">
        <f t="shared" si="1804"/>
        <v>0</v>
      </c>
      <c r="BD273" s="270">
        <f t="shared" si="1804"/>
        <v>0</v>
      </c>
      <c r="BE273" s="270">
        <f t="shared" si="1804"/>
        <v>0</v>
      </c>
      <c r="BF273" s="270">
        <f t="shared" si="1804"/>
        <v>0</v>
      </c>
      <c r="BG273" s="270">
        <f t="shared" si="1804"/>
        <v>0</v>
      </c>
      <c r="BH273" s="270">
        <f t="shared" si="1804"/>
        <v>0</v>
      </c>
      <c r="BI273" s="270">
        <f t="shared" si="1804"/>
        <v>0</v>
      </c>
      <c r="BJ273" s="270">
        <f t="shared" si="1804"/>
        <v>0</v>
      </c>
      <c r="BK273" s="270">
        <f t="shared" si="1804"/>
        <v>0</v>
      </c>
      <c r="BL273" s="265">
        <f t="shared" si="16"/>
        <v>-22.9</v>
      </c>
      <c r="BM273" s="215"/>
      <c r="BN273" s="270">
        <f t="shared" ref="BN273:CP273" si="1805">ROUND(AI272*E$9/12,2)</f>
        <v>0</v>
      </c>
      <c r="BO273" s="270">
        <f t="shared" si="1805"/>
        <v>0</v>
      </c>
      <c r="BP273" s="270">
        <f t="shared" si="1805"/>
        <v>0</v>
      </c>
      <c r="BQ273" s="270">
        <f t="shared" si="1805"/>
        <v>0</v>
      </c>
      <c r="BR273" s="270">
        <f t="shared" si="1805"/>
        <v>0</v>
      </c>
      <c r="BS273" s="270">
        <f t="shared" si="1805"/>
        <v>0</v>
      </c>
      <c r="BT273" s="270">
        <f t="shared" si="1805"/>
        <v>0</v>
      </c>
      <c r="BU273" s="270">
        <f t="shared" si="1805"/>
        <v>0</v>
      </c>
      <c r="BV273" s="270">
        <f t="shared" si="1805"/>
        <v>0</v>
      </c>
      <c r="BW273" s="270">
        <f t="shared" si="1805"/>
        <v>0</v>
      </c>
      <c r="BX273" s="270">
        <f t="shared" si="1805"/>
        <v>0</v>
      </c>
      <c r="BY273" s="270">
        <f t="shared" si="1805"/>
        <v>-0.05</v>
      </c>
      <c r="BZ273" s="270">
        <f t="shared" si="1805"/>
        <v>-0.05</v>
      </c>
      <c r="CA273" s="270">
        <f t="shared" si="1805"/>
        <v>0</v>
      </c>
      <c r="CB273" s="270">
        <f t="shared" si="1805"/>
        <v>0</v>
      </c>
      <c r="CC273" s="270">
        <f t="shared" si="1805"/>
        <v>0</v>
      </c>
      <c r="CD273" s="270">
        <f t="shared" si="1805"/>
        <v>0</v>
      </c>
      <c r="CE273" s="270">
        <f t="shared" si="1805"/>
        <v>0</v>
      </c>
      <c r="CF273" s="270">
        <f t="shared" si="1805"/>
        <v>0</v>
      </c>
      <c r="CG273" s="270">
        <f t="shared" si="1805"/>
        <v>0</v>
      </c>
      <c r="CH273" s="270">
        <f t="shared" si="1805"/>
        <v>0</v>
      </c>
      <c r="CI273" s="270">
        <f t="shared" si="1805"/>
        <v>0</v>
      </c>
      <c r="CJ273" s="270">
        <f t="shared" si="1805"/>
        <v>0</v>
      </c>
      <c r="CK273" s="270">
        <f t="shared" si="1805"/>
        <v>0</v>
      </c>
      <c r="CL273" s="270">
        <f t="shared" si="1805"/>
        <v>0</v>
      </c>
      <c r="CM273" s="270">
        <f t="shared" si="1805"/>
        <v>0</v>
      </c>
      <c r="CN273" s="270">
        <f t="shared" si="1805"/>
        <v>0</v>
      </c>
      <c r="CO273" s="270">
        <f t="shared" si="1805"/>
        <v>0</v>
      </c>
      <c r="CP273" s="270">
        <f t="shared" si="1805"/>
        <v>0</v>
      </c>
      <c r="CQ273" s="215"/>
      <c r="CR273" s="270">
        <f t="shared" si="27"/>
        <v>-0.1</v>
      </c>
      <c r="CS273" s="215"/>
      <c r="CT273" s="270">
        <f t="shared" ref="CT273:DX273" si="1806">IF(AI272&gt;0,IF((AI272+BN273)&lt;E$10,AI272+BN273,E$10),0)</f>
        <v>0</v>
      </c>
      <c r="CU273" s="270">
        <f t="shared" si="1806"/>
        <v>0</v>
      </c>
      <c r="CV273" s="270">
        <f t="shared" si="1806"/>
        <v>0</v>
      </c>
      <c r="CW273" s="270">
        <f t="shared" si="1806"/>
        <v>0</v>
      </c>
      <c r="CX273" s="270">
        <f t="shared" si="1806"/>
        <v>0</v>
      </c>
      <c r="CY273" s="270">
        <f t="shared" si="1806"/>
        <v>0</v>
      </c>
      <c r="CZ273" s="270">
        <f t="shared" si="1806"/>
        <v>0</v>
      </c>
      <c r="DA273" s="270">
        <f t="shared" si="1806"/>
        <v>0</v>
      </c>
      <c r="DB273" s="270">
        <f t="shared" si="1806"/>
        <v>0</v>
      </c>
      <c r="DC273" s="270">
        <f t="shared" si="1806"/>
        <v>0</v>
      </c>
      <c r="DD273" s="270">
        <f t="shared" si="1806"/>
        <v>0</v>
      </c>
      <c r="DE273" s="270">
        <f t="shared" si="1806"/>
        <v>0</v>
      </c>
      <c r="DF273" s="270">
        <f t="shared" si="1806"/>
        <v>0</v>
      </c>
      <c r="DG273" s="270">
        <f t="shared" si="1806"/>
        <v>0</v>
      </c>
      <c r="DH273" s="270">
        <f t="shared" si="1806"/>
        <v>0</v>
      </c>
      <c r="DI273" s="270">
        <f t="shared" si="1806"/>
        <v>0</v>
      </c>
      <c r="DJ273" s="270">
        <f t="shared" si="1806"/>
        <v>0</v>
      </c>
      <c r="DK273" s="270">
        <f t="shared" si="1806"/>
        <v>0</v>
      </c>
      <c r="DL273" s="270">
        <f t="shared" si="1806"/>
        <v>0</v>
      </c>
      <c r="DM273" s="270">
        <f t="shared" si="1806"/>
        <v>0</v>
      </c>
      <c r="DN273" s="270">
        <f t="shared" si="1806"/>
        <v>0</v>
      </c>
      <c r="DO273" s="270">
        <f t="shared" si="1806"/>
        <v>0</v>
      </c>
      <c r="DP273" s="270">
        <f t="shared" si="1806"/>
        <v>0</v>
      </c>
      <c r="DQ273" s="270">
        <f t="shared" si="1806"/>
        <v>0</v>
      </c>
      <c r="DR273" s="270">
        <f t="shared" si="1806"/>
        <v>0</v>
      </c>
      <c r="DS273" s="270">
        <f t="shared" si="1806"/>
        <v>0</v>
      </c>
      <c r="DT273" s="270">
        <f t="shared" si="1806"/>
        <v>0</v>
      </c>
      <c r="DU273" s="270">
        <f t="shared" si="1806"/>
        <v>0</v>
      </c>
      <c r="DV273" s="270">
        <f t="shared" si="1806"/>
        <v>0</v>
      </c>
      <c r="DW273" s="270">
        <f t="shared" si="1806"/>
        <v>0</v>
      </c>
      <c r="DX273" s="270">
        <f t="shared" si="1806"/>
        <v>0</v>
      </c>
      <c r="DY273" s="270">
        <f t="shared" si="29"/>
        <v>0</v>
      </c>
      <c r="DZ273" s="274"/>
      <c r="EA273" s="275">
        <f t="shared" si="38"/>
        <v>0</v>
      </c>
      <c r="EB273" s="270">
        <f t="shared" ref="EB273:FC273" si="1807">IF(AJ271&lt;=0,0,IF($C272&lt;=SUM($EA273:EA273),0,IF(CU272+$C272-SUM($EA273:EA273)&gt;AJ271+BO272,AJ271+BO272-CU272,$C272-SUM($EA273:EA273))))</f>
        <v>0</v>
      </c>
      <c r="EC273" s="270">
        <f t="shared" si="1807"/>
        <v>0</v>
      </c>
      <c r="ED273" s="270">
        <f t="shared" si="1807"/>
        <v>0</v>
      </c>
      <c r="EE273" s="270">
        <f t="shared" si="1807"/>
        <v>0</v>
      </c>
      <c r="EF273" s="270">
        <f t="shared" si="1807"/>
        <v>0</v>
      </c>
      <c r="EG273" s="270">
        <f t="shared" si="1807"/>
        <v>0</v>
      </c>
      <c r="EH273" s="270">
        <f t="shared" si="1807"/>
        <v>0</v>
      </c>
      <c r="EI273" s="270">
        <f t="shared" si="1807"/>
        <v>0</v>
      </c>
      <c r="EJ273" s="270">
        <f t="shared" si="1807"/>
        <v>0</v>
      </c>
      <c r="EK273" s="270">
        <f t="shared" si="1807"/>
        <v>0</v>
      </c>
      <c r="EL273" s="270">
        <f t="shared" si="1807"/>
        <v>0</v>
      </c>
      <c r="EM273" s="270">
        <f t="shared" si="1807"/>
        <v>0</v>
      </c>
      <c r="EN273" s="270">
        <f t="shared" si="1807"/>
        <v>0</v>
      </c>
      <c r="EO273" s="270">
        <f t="shared" si="1807"/>
        <v>0</v>
      </c>
      <c r="EP273" s="270">
        <f t="shared" si="1807"/>
        <v>0</v>
      </c>
      <c r="EQ273" s="270">
        <f t="shared" si="1807"/>
        <v>0</v>
      </c>
      <c r="ER273" s="270">
        <f t="shared" si="1807"/>
        <v>0</v>
      </c>
      <c r="ES273" s="270">
        <f t="shared" si="1807"/>
        <v>0</v>
      </c>
      <c r="ET273" s="270">
        <f t="shared" si="1807"/>
        <v>0</v>
      </c>
      <c r="EU273" s="270">
        <f t="shared" si="1807"/>
        <v>0</v>
      </c>
      <c r="EV273" s="270">
        <f t="shared" si="1807"/>
        <v>0</v>
      </c>
      <c r="EW273" s="270">
        <f t="shared" si="1807"/>
        <v>0</v>
      </c>
      <c r="EX273" s="270">
        <f t="shared" si="1807"/>
        <v>0</v>
      </c>
      <c r="EY273" s="270">
        <f t="shared" si="1807"/>
        <v>0</v>
      </c>
      <c r="EZ273" s="270">
        <f t="shared" si="1807"/>
        <v>0</v>
      </c>
      <c r="FA273" s="270">
        <f t="shared" si="1807"/>
        <v>0</v>
      </c>
      <c r="FB273" s="270">
        <f t="shared" si="1807"/>
        <v>0</v>
      </c>
      <c r="FC273" s="270">
        <f t="shared" si="1807"/>
        <v>0</v>
      </c>
      <c r="FD273" s="271"/>
      <c r="FE273" s="271"/>
      <c r="FF273" s="271"/>
      <c r="FG273" s="215"/>
      <c r="FH273" s="215"/>
    </row>
    <row r="274" ht="11.25" customHeight="1">
      <c r="A274" s="215" t="str">
        <f t="shared" si="19"/>
        <v/>
      </c>
      <c r="B274" s="241" t="str">
        <f t="shared" si="600"/>
        <v>#N/A</v>
      </c>
      <c r="C274" s="271" t="str">
        <f>IF(A274="","",IF(Calculator!snowball,IF(($E$5-DY274)&lt;0,0,$E$5-DY274),0)+D274)</f>
        <v/>
      </c>
      <c r="D274" s="271"/>
      <c r="E274" s="270">
        <f t="shared" si="40"/>
        <v>0</v>
      </c>
      <c r="F274" s="270">
        <f t="shared" ref="F274:AG274" si="1808">CU274+EB275</f>
        <v>0</v>
      </c>
      <c r="G274" s="270">
        <f t="shared" si="1808"/>
        <v>0</v>
      </c>
      <c r="H274" s="270">
        <f t="shared" si="1808"/>
        <v>0</v>
      </c>
      <c r="I274" s="270">
        <f t="shared" si="1808"/>
        <v>0</v>
      </c>
      <c r="J274" s="270">
        <f t="shared" si="1808"/>
        <v>0</v>
      </c>
      <c r="K274" s="270">
        <f t="shared" si="1808"/>
        <v>0</v>
      </c>
      <c r="L274" s="270">
        <f t="shared" si="1808"/>
        <v>0</v>
      </c>
      <c r="M274" s="270">
        <f t="shared" si="1808"/>
        <v>0</v>
      </c>
      <c r="N274" s="270">
        <f t="shared" si="1808"/>
        <v>0</v>
      </c>
      <c r="O274" s="270">
        <f t="shared" si="1808"/>
        <v>0</v>
      </c>
      <c r="P274" s="272">
        <f t="shared" si="1808"/>
        <v>0</v>
      </c>
      <c r="Q274" s="272">
        <f t="shared" si="1808"/>
        <v>0</v>
      </c>
      <c r="R274" s="272">
        <f t="shared" si="1808"/>
        <v>0</v>
      </c>
      <c r="S274" s="272">
        <f t="shared" si="1808"/>
        <v>0</v>
      </c>
      <c r="T274" s="272">
        <f t="shared" si="1808"/>
        <v>0</v>
      </c>
      <c r="U274" s="270">
        <f t="shared" si="1808"/>
        <v>0</v>
      </c>
      <c r="V274" s="270">
        <f t="shared" si="1808"/>
        <v>0</v>
      </c>
      <c r="W274" s="270">
        <f t="shared" si="1808"/>
        <v>0</v>
      </c>
      <c r="X274" s="270">
        <f t="shared" si="1808"/>
        <v>0</v>
      </c>
      <c r="Y274" s="270">
        <f t="shared" si="1808"/>
        <v>0</v>
      </c>
      <c r="Z274" s="270">
        <f t="shared" si="1808"/>
        <v>0</v>
      </c>
      <c r="AA274" s="270">
        <f t="shared" si="1808"/>
        <v>0</v>
      </c>
      <c r="AB274" s="270">
        <f t="shared" si="1808"/>
        <v>0</v>
      </c>
      <c r="AC274" s="270">
        <f t="shared" si="1808"/>
        <v>0</v>
      </c>
      <c r="AD274" s="270">
        <f t="shared" si="1808"/>
        <v>0</v>
      </c>
      <c r="AE274" s="270">
        <f t="shared" si="1808"/>
        <v>0</v>
      </c>
      <c r="AF274" s="270">
        <f t="shared" si="1808"/>
        <v>0</v>
      </c>
      <c r="AG274" s="270">
        <f t="shared" si="1808"/>
        <v>0</v>
      </c>
      <c r="AH274" s="279">
        <f t="shared" si="602"/>
        <v>0</v>
      </c>
      <c r="AI274" s="270">
        <f t="shared" si="43"/>
        <v>0</v>
      </c>
      <c r="AJ274" s="270">
        <f t="shared" ref="AJ274:AO274" si="1809">IF(F$8=0,0,ROUND(AJ273-(F274-BO274),2))</f>
        <v>0</v>
      </c>
      <c r="AK274" s="270">
        <f t="shared" si="1809"/>
        <v>0</v>
      </c>
      <c r="AL274" s="270">
        <f t="shared" si="1809"/>
        <v>0</v>
      </c>
      <c r="AM274" s="270">
        <f t="shared" si="1809"/>
        <v>0</v>
      </c>
      <c r="AN274" s="270">
        <f t="shared" si="1809"/>
        <v>0</v>
      </c>
      <c r="AO274" s="270">
        <f t="shared" si="1809"/>
        <v>0</v>
      </c>
      <c r="AP274" s="270">
        <v>0.0</v>
      </c>
      <c r="AQ274" s="270">
        <f t="shared" ref="AQ274:AS274" si="1810">IF(M$8=0,0,ROUND(AQ273-(M274-BV274),2))</f>
        <v>0</v>
      </c>
      <c r="AR274" s="270">
        <f t="shared" si="1810"/>
        <v>0</v>
      </c>
      <c r="AS274" s="270">
        <f t="shared" si="1810"/>
        <v>0</v>
      </c>
      <c r="AT274" s="270">
        <f t="shared" si="605"/>
        <v>-6.22</v>
      </c>
      <c r="AU274" s="270">
        <f t="shared" ref="AU274:BK274" si="1811">IF(Q$8=0,0,ROUND(AU273-(Q274-BY274),2))</f>
        <v>-16.73</v>
      </c>
      <c r="AV274" s="270">
        <f t="shared" si="1811"/>
        <v>0</v>
      </c>
      <c r="AW274" s="270">
        <f t="shared" si="1811"/>
        <v>0</v>
      </c>
      <c r="AX274" s="270">
        <f t="shared" si="1811"/>
        <v>0</v>
      </c>
      <c r="AY274" s="270">
        <f t="shared" si="1811"/>
        <v>0</v>
      </c>
      <c r="AZ274" s="270">
        <f t="shared" si="1811"/>
        <v>0</v>
      </c>
      <c r="BA274" s="270">
        <f t="shared" si="1811"/>
        <v>0</v>
      </c>
      <c r="BB274" s="270">
        <f t="shared" si="1811"/>
        <v>0</v>
      </c>
      <c r="BC274" s="270">
        <f t="shared" si="1811"/>
        <v>0</v>
      </c>
      <c r="BD274" s="270">
        <f t="shared" si="1811"/>
        <v>0</v>
      </c>
      <c r="BE274" s="270">
        <f t="shared" si="1811"/>
        <v>0</v>
      </c>
      <c r="BF274" s="270">
        <f t="shared" si="1811"/>
        <v>0</v>
      </c>
      <c r="BG274" s="270">
        <f t="shared" si="1811"/>
        <v>0</v>
      </c>
      <c r="BH274" s="270">
        <f t="shared" si="1811"/>
        <v>0</v>
      </c>
      <c r="BI274" s="270">
        <f t="shared" si="1811"/>
        <v>0</v>
      </c>
      <c r="BJ274" s="270">
        <f t="shared" si="1811"/>
        <v>0</v>
      </c>
      <c r="BK274" s="270">
        <f t="shared" si="1811"/>
        <v>0</v>
      </c>
      <c r="BL274" s="265">
        <f t="shared" si="16"/>
        <v>-22.95</v>
      </c>
      <c r="BM274" s="215"/>
      <c r="BN274" s="270">
        <f t="shared" ref="BN274:CP274" si="1812">ROUND(AI273*E$9/12,2)</f>
        <v>0</v>
      </c>
      <c r="BO274" s="270">
        <f t="shared" si="1812"/>
        <v>0</v>
      </c>
      <c r="BP274" s="270">
        <f t="shared" si="1812"/>
        <v>0</v>
      </c>
      <c r="BQ274" s="270">
        <f t="shared" si="1812"/>
        <v>0</v>
      </c>
      <c r="BR274" s="270">
        <f t="shared" si="1812"/>
        <v>0</v>
      </c>
      <c r="BS274" s="270">
        <f t="shared" si="1812"/>
        <v>0</v>
      </c>
      <c r="BT274" s="270">
        <f t="shared" si="1812"/>
        <v>0</v>
      </c>
      <c r="BU274" s="270">
        <f t="shared" si="1812"/>
        <v>0</v>
      </c>
      <c r="BV274" s="270">
        <f t="shared" si="1812"/>
        <v>0</v>
      </c>
      <c r="BW274" s="270">
        <f t="shared" si="1812"/>
        <v>0</v>
      </c>
      <c r="BX274" s="270">
        <f t="shared" si="1812"/>
        <v>0</v>
      </c>
      <c r="BY274" s="270">
        <f t="shared" si="1812"/>
        <v>-0.05</v>
      </c>
      <c r="BZ274" s="270">
        <f t="shared" si="1812"/>
        <v>-0.05</v>
      </c>
      <c r="CA274" s="270">
        <f t="shared" si="1812"/>
        <v>0</v>
      </c>
      <c r="CB274" s="270">
        <f t="shared" si="1812"/>
        <v>0</v>
      </c>
      <c r="CC274" s="270">
        <f t="shared" si="1812"/>
        <v>0</v>
      </c>
      <c r="CD274" s="270">
        <f t="shared" si="1812"/>
        <v>0</v>
      </c>
      <c r="CE274" s="270">
        <f t="shared" si="1812"/>
        <v>0</v>
      </c>
      <c r="CF274" s="270">
        <f t="shared" si="1812"/>
        <v>0</v>
      </c>
      <c r="CG274" s="270">
        <f t="shared" si="1812"/>
        <v>0</v>
      </c>
      <c r="CH274" s="270">
        <f t="shared" si="1812"/>
        <v>0</v>
      </c>
      <c r="CI274" s="270">
        <f t="shared" si="1812"/>
        <v>0</v>
      </c>
      <c r="CJ274" s="270">
        <f t="shared" si="1812"/>
        <v>0</v>
      </c>
      <c r="CK274" s="270">
        <f t="shared" si="1812"/>
        <v>0</v>
      </c>
      <c r="CL274" s="270">
        <f t="shared" si="1812"/>
        <v>0</v>
      </c>
      <c r="CM274" s="270">
        <f t="shared" si="1812"/>
        <v>0</v>
      </c>
      <c r="CN274" s="270">
        <f t="shared" si="1812"/>
        <v>0</v>
      </c>
      <c r="CO274" s="270">
        <f t="shared" si="1812"/>
        <v>0</v>
      </c>
      <c r="CP274" s="270">
        <f t="shared" si="1812"/>
        <v>0</v>
      </c>
      <c r="CQ274" s="215"/>
      <c r="CR274" s="270">
        <f t="shared" si="27"/>
        <v>-0.1</v>
      </c>
      <c r="CS274" s="215"/>
      <c r="CT274" s="270">
        <f t="shared" ref="CT274:DX274" si="1813">IF(AI273&gt;0,IF((AI273+BN274)&lt;E$10,AI273+BN274,E$10),0)</f>
        <v>0</v>
      </c>
      <c r="CU274" s="270">
        <f t="shared" si="1813"/>
        <v>0</v>
      </c>
      <c r="CV274" s="270">
        <f t="shared" si="1813"/>
        <v>0</v>
      </c>
      <c r="CW274" s="270">
        <f t="shared" si="1813"/>
        <v>0</v>
      </c>
      <c r="CX274" s="270">
        <f t="shared" si="1813"/>
        <v>0</v>
      </c>
      <c r="CY274" s="270">
        <f t="shared" si="1813"/>
        <v>0</v>
      </c>
      <c r="CZ274" s="270">
        <f t="shared" si="1813"/>
        <v>0</v>
      </c>
      <c r="DA274" s="270">
        <f t="shared" si="1813"/>
        <v>0</v>
      </c>
      <c r="DB274" s="270">
        <f t="shared" si="1813"/>
        <v>0</v>
      </c>
      <c r="DC274" s="270">
        <f t="shared" si="1813"/>
        <v>0</v>
      </c>
      <c r="DD274" s="270">
        <f t="shared" si="1813"/>
        <v>0</v>
      </c>
      <c r="DE274" s="270">
        <f t="shared" si="1813"/>
        <v>0</v>
      </c>
      <c r="DF274" s="270">
        <f t="shared" si="1813"/>
        <v>0</v>
      </c>
      <c r="DG274" s="270">
        <f t="shared" si="1813"/>
        <v>0</v>
      </c>
      <c r="DH274" s="270">
        <f t="shared" si="1813"/>
        <v>0</v>
      </c>
      <c r="DI274" s="270">
        <f t="shared" si="1813"/>
        <v>0</v>
      </c>
      <c r="DJ274" s="270">
        <f t="shared" si="1813"/>
        <v>0</v>
      </c>
      <c r="DK274" s="270">
        <f t="shared" si="1813"/>
        <v>0</v>
      </c>
      <c r="DL274" s="270">
        <f t="shared" si="1813"/>
        <v>0</v>
      </c>
      <c r="DM274" s="270">
        <f t="shared" si="1813"/>
        <v>0</v>
      </c>
      <c r="DN274" s="270">
        <f t="shared" si="1813"/>
        <v>0</v>
      </c>
      <c r="DO274" s="270">
        <f t="shared" si="1813"/>
        <v>0</v>
      </c>
      <c r="DP274" s="270">
        <f t="shared" si="1813"/>
        <v>0</v>
      </c>
      <c r="DQ274" s="270">
        <f t="shared" si="1813"/>
        <v>0</v>
      </c>
      <c r="DR274" s="270">
        <f t="shared" si="1813"/>
        <v>0</v>
      </c>
      <c r="DS274" s="270">
        <f t="shared" si="1813"/>
        <v>0</v>
      </c>
      <c r="DT274" s="270">
        <f t="shared" si="1813"/>
        <v>0</v>
      </c>
      <c r="DU274" s="270">
        <f t="shared" si="1813"/>
        <v>0</v>
      </c>
      <c r="DV274" s="270">
        <f t="shared" si="1813"/>
        <v>0</v>
      </c>
      <c r="DW274" s="270">
        <f t="shared" si="1813"/>
        <v>0</v>
      </c>
      <c r="DX274" s="270">
        <f t="shared" si="1813"/>
        <v>0</v>
      </c>
      <c r="DY274" s="270">
        <f t="shared" si="29"/>
        <v>0</v>
      </c>
      <c r="DZ274" s="274"/>
      <c r="EA274" s="275">
        <f t="shared" si="38"/>
        <v>0</v>
      </c>
      <c r="EB274" s="270">
        <f t="shared" ref="EB274:FC274" si="1814">IF(AJ272&lt;=0,0,IF($C273&lt;=SUM($EA274:EA274),0,IF(CU273+$C273-SUM($EA274:EA274)&gt;AJ272+BO273,AJ272+BO273-CU273,$C273-SUM($EA274:EA274))))</f>
        <v>0</v>
      </c>
      <c r="EC274" s="270">
        <f t="shared" si="1814"/>
        <v>0</v>
      </c>
      <c r="ED274" s="270">
        <f t="shared" si="1814"/>
        <v>0</v>
      </c>
      <c r="EE274" s="270">
        <f t="shared" si="1814"/>
        <v>0</v>
      </c>
      <c r="EF274" s="270">
        <f t="shared" si="1814"/>
        <v>0</v>
      </c>
      <c r="EG274" s="270">
        <f t="shared" si="1814"/>
        <v>0</v>
      </c>
      <c r="EH274" s="270">
        <f t="shared" si="1814"/>
        <v>0</v>
      </c>
      <c r="EI274" s="270">
        <f t="shared" si="1814"/>
        <v>0</v>
      </c>
      <c r="EJ274" s="270">
        <f t="shared" si="1814"/>
        <v>0</v>
      </c>
      <c r="EK274" s="270">
        <f t="shared" si="1814"/>
        <v>0</v>
      </c>
      <c r="EL274" s="270">
        <f t="shared" si="1814"/>
        <v>0</v>
      </c>
      <c r="EM274" s="270">
        <f t="shared" si="1814"/>
        <v>0</v>
      </c>
      <c r="EN274" s="270">
        <f t="shared" si="1814"/>
        <v>0</v>
      </c>
      <c r="EO274" s="270">
        <f t="shared" si="1814"/>
        <v>0</v>
      </c>
      <c r="EP274" s="270">
        <f t="shared" si="1814"/>
        <v>0</v>
      </c>
      <c r="EQ274" s="270">
        <f t="shared" si="1814"/>
        <v>0</v>
      </c>
      <c r="ER274" s="270">
        <f t="shared" si="1814"/>
        <v>0</v>
      </c>
      <c r="ES274" s="270">
        <f t="shared" si="1814"/>
        <v>0</v>
      </c>
      <c r="ET274" s="270">
        <f t="shared" si="1814"/>
        <v>0</v>
      </c>
      <c r="EU274" s="270">
        <f t="shared" si="1814"/>
        <v>0</v>
      </c>
      <c r="EV274" s="270">
        <f t="shared" si="1814"/>
        <v>0</v>
      </c>
      <c r="EW274" s="270">
        <f t="shared" si="1814"/>
        <v>0</v>
      </c>
      <c r="EX274" s="270">
        <f t="shared" si="1814"/>
        <v>0</v>
      </c>
      <c r="EY274" s="270">
        <f t="shared" si="1814"/>
        <v>0</v>
      </c>
      <c r="EZ274" s="270">
        <f t="shared" si="1814"/>
        <v>0</v>
      </c>
      <c r="FA274" s="270">
        <f t="shared" si="1814"/>
        <v>0</v>
      </c>
      <c r="FB274" s="270">
        <f t="shared" si="1814"/>
        <v>0</v>
      </c>
      <c r="FC274" s="270">
        <f t="shared" si="1814"/>
        <v>0</v>
      </c>
      <c r="FD274" s="271"/>
      <c r="FE274" s="271"/>
      <c r="FF274" s="271"/>
      <c r="FG274" s="215"/>
      <c r="FH274" s="215"/>
    </row>
    <row r="275" ht="11.25" customHeight="1">
      <c r="A275" s="215" t="str">
        <f t="shared" si="19"/>
        <v/>
      </c>
      <c r="B275" s="241" t="str">
        <f t="shared" si="600"/>
        <v>#N/A</v>
      </c>
      <c r="C275" s="271" t="str">
        <f>IF(A275="","",IF(Calculator!snowball,IF(($E$5-DY275)&lt;0,0,$E$5-DY275),0)+D275)</f>
        <v/>
      </c>
      <c r="D275" s="271"/>
      <c r="E275" s="270">
        <f t="shared" si="40"/>
        <v>0</v>
      </c>
      <c r="F275" s="270">
        <f t="shared" ref="F275:AG275" si="1815">CU275+EB276</f>
        <v>0</v>
      </c>
      <c r="G275" s="270">
        <f t="shared" si="1815"/>
        <v>0</v>
      </c>
      <c r="H275" s="270">
        <f t="shared" si="1815"/>
        <v>0</v>
      </c>
      <c r="I275" s="270">
        <f t="shared" si="1815"/>
        <v>0</v>
      </c>
      <c r="J275" s="270">
        <f t="shared" si="1815"/>
        <v>0</v>
      </c>
      <c r="K275" s="270">
        <f t="shared" si="1815"/>
        <v>0</v>
      </c>
      <c r="L275" s="270">
        <f t="shared" si="1815"/>
        <v>0</v>
      </c>
      <c r="M275" s="270">
        <f t="shared" si="1815"/>
        <v>0</v>
      </c>
      <c r="N275" s="270">
        <f t="shared" si="1815"/>
        <v>0</v>
      </c>
      <c r="O275" s="270">
        <f t="shared" si="1815"/>
        <v>0</v>
      </c>
      <c r="P275" s="272">
        <f t="shared" si="1815"/>
        <v>0</v>
      </c>
      <c r="Q275" s="272">
        <f t="shared" si="1815"/>
        <v>0</v>
      </c>
      <c r="R275" s="272">
        <f t="shared" si="1815"/>
        <v>0</v>
      </c>
      <c r="S275" s="272">
        <f t="shared" si="1815"/>
        <v>0</v>
      </c>
      <c r="T275" s="272">
        <f t="shared" si="1815"/>
        <v>0</v>
      </c>
      <c r="U275" s="270">
        <f t="shared" si="1815"/>
        <v>0</v>
      </c>
      <c r="V275" s="270">
        <f t="shared" si="1815"/>
        <v>0</v>
      </c>
      <c r="W275" s="270">
        <f t="shared" si="1815"/>
        <v>0</v>
      </c>
      <c r="X275" s="270">
        <f t="shared" si="1815"/>
        <v>0</v>
      </c>
      <c r="Y275" s="270">
        <f t="shared" si="1815"/>
        <v>0</v>
      </c>
      <c r="Z275" s="270">
        <f t="shared" si="1815"/>
        <v>0</v>
      </c>
      <c r="AA275" s="270">
        <f t="shared" si="1815"/>
        <v>0</v>
      </c>
      <c r="AB275" s="270">
        <f t="shared" si="1815"/>
        <v>0</v>
      </c>
      <c r="AC275" s="270">
        <f t="shared" si="1815"/>
        <v>0</v>
      </c>
      <c r="AD275" s="270">
        <f t="shared" si="1815"/>
        <v>0</v>
      </c>
      <c r="AE275" s="270">
        <f t="shared" si="1815"/>
        <v>0</v>
      </c>
      <c r="AF275" s="270">
        <f t="shared" si="1815"/>
        <v>0</v>
      </c>
      <c r="AG275" s="270">
        <f t="shared" si="1815"/>
        <v>0</v>
      </c>
      <c r="AH275" s="279">
        <f t="shared" si="602"/>
        <v>0</v>
      </c>
      <c r="AI275" s="270">
        <f t="shared" si="43"/>
        <v>0</v>
      </c>
      <c r="AJ275" s="270">
        <f t="shared" ref="AJ275:AO275" si="1816">IF(F$8=0,0,ROUND(AJ274-(F275-BO275),2))</f>
        <v>0</v>
      </c>
      <c r="AK275" s="270">
        <f t="shared" si="1816"/>
        <v>0</v>
      </c>
      <c r="AL275" s="270">
        <f t="shared" si="1816"/>
        <v>0</v>
      </c>
      <c r="AM275" s="270">
        <f t="shared" si="1816"/>
        <v>0</v>
      </c>
      <c r="AN275" s="270">
        <f t="shared" si="1816"/>
        <v>0</v>
      </c>
      <c r="AO275" s="270">
        <f t="shared" si="1816"/>
        <v>0</v>
      </c>
      <c r="AP275" s="270">
        <v>0.0</v>
      </c>
      <c r="AQ275" s="270">
        <f t="shared" ref="AQ275:AS275" si="1817">IF(M$8=0,0,ROUND(AQ274-(M275-BV275),2))</f>
        <v>0</v>
      </c>
      <c r="AR275" s="270">
        <f t="shared" si="1817"/>
        <v>0</v>
      </c>
      <c r="AS275" s="270">
        <f t="shared" si="1817"/>
        <v>0</v>
      </c>
      <c r="AT275" s="270">
        <f t="shared" si="605"/>
        <v>-6.22</v>
      </c>
      <c r="AU275" s="270">
        <f t="shared" ref="AU275:BK275" si="1818">IF(Q$8=0,0,ROUND(AU274-(Q275-BY275),2))</f>
        <v>-16.78</v>
      </c>
      <c r="AV275" s="270">
        <f t="shared" si="1818"/>
        <v>0</v>
      </c>
      <c r="AW275" s="270">
        <f t="shared" si="1818"/>
        <v>0</v>
      </c>
      <c r="AX275" s="270">
        <f t="shared" si="1818"/>
        <v>0</v>
      </c>
      <c r="AY275" s="270">
        <f t="shared" si="1818"/>
        <v>0</v>
      </c>
      <c r="AZ275" s="270">
        <f t="shared" si="1818"/>
        <v>0</v>
      </c>
      <c r="BA275" s="270">
        <f t="shared" si="1818"/>
        <v>0</v>
      </c>
      <c r="BB275" s="270">
        <f t="shared" si="1818"/>
        <v>0</v>
      </c>
      <c r="BC275" s="270">
        <f t="shared" si="1818"/>
        <v>0</v>
      </c>
      <c r="BD275" s="270">
        <f t="shared" si="1818"/>
        <v>0</v>
      </c>
      <c r="BE275" s="270">
        <f t="shared" si="1818"/>
        <v>0</v>
      </c>
      <c r="BF275" s="270">
        <f t="shared" si="1818"/>
        <v>0</v>
      </c>
      <c r="BG275" s="270">
        <f t="shared" si="1818"/>
        <v>0</v>
      </c>
      <c r="BH275" s="270">
        <f t="shared" si="1818"/>
        <v>0</v>
      </c>
      <c r="BI275" s="270">
        <f t="shared" si="1818"/>
        <v>0</v>
      </c>
      <c r="BJ275" s="270">
        <f t="shared" si="1818"/>
        <v>0</v>
      </c>
      <c r="BK275" s="270">
        <f t="shared" si="1818"/>
        <v>0</v>
      </c>
      <c r="BL275" s="265">
        <f t="shared" si="16"/>
        <v>-23</v>
      </c>
      <c r="BM275" s="215"/>
      <c r="BN275" s="270">
        <f t="shared" ref="BN275:CP275" si="1819">ROUND(AI274*E$9/12,2)</f>
        <v>0</v>
      </c>
      <c r="BO275" s="270">
        <f t="shared" si="1819"/>
        <v>0</v>
      </c>
      <c r="BP275" s="270">
        <f t="shared" si="1819"/>
        <v>0</v>
      </c>
      <c r="BQ275" s="270">
        <f t="shared" si="1819"/>
        <v>0</v>
      </c>
      <c r="BR275" s="270">
        <f t="shared" si="1819"/>
        <v>0</v>
      </c>
      <c r="BS275" s="270">
        <f t="shared" si="1819"/>
        <v>0</v>
      </c>
      <c r="BT275" s="270">
        <f t="shared" si="1819"/>
        <v>0</v>
      </c>
      <c r="BU275" s="270">
        <f t="shared" si="1819"/>
        <v>0</v>
      </c>
      <c r="BV275" s="270">
        <f t="shared" si="1819"/>
        <v>0</v>
      </c>
      <c r="BW275" s="270">
        <f t="shared" si="1819"/>
        <v>0</v>
      </c>
      <c r="BX275" s="270">
        <f t="shared" si="1819"/>
        <v>0</v>
      </c>
      <c r="BY275" s="270">
        <f t="shared" si="1819"/>
        <v>-0.05</v>
      </c>
      <c r="BZ275" s="270">
        <f t="shared" si="1819"/>
        <v>-0.05</v>
      </c>
      <c r="CA275" s="270">
        <f t="shared" si="1819"/>
        <v>0</v>
      </c>
      <c r="CB275" s="270">
        <f t="shared" si="1819"/>
        <v>0</v>
      </c>
      <c r="CC275" s="270">
        <f t="shared" si="1819"/>
        <v>0</v>
      </c>
      <c r="CD275" s="270">
        <f t="shared" si="1819"/>
        <v>0</v>
      </c>
      <c r="CE275" s="270">
        <f t="shared" si="1819"/>
        <v>0</v>
      </c>
      <c r="CF275" s="270">
        <f t="shared" si="1819"/>
        <v>0</v>
      </c>
      <c r="CG275" s="270">
        <f t="shared" si="1819"/>
        <v>0</v>
      </c>
      <c r="CH275" s="270">
        <f t="shared" si="1819"/>
        <v>0</v>
      </c>
      <c r="CI275" s="270">
        <f t="shared" si="1819"/>
        <v>0</v>
      </c>
      <c r="CJ275" s="270">
        <f t="shared" si="1819"/>
        <v>0</v>
      </c>
      <c r="CK275" s="270">
        <f t="shared" si="1819"/>
        <v>0</v>
      </c>
      <c r="CL275" s="270">
        <f t="shared" si="1819"/>
        <v>0</v>
      </c>
      <c r="CM275" s="270">
        <f t="shared" si="1819"/>
        <v>0</v>
      </c>
      <c r="CN275" s="270">
        <f t="shared" si="1819"/>
        <v>0</v>
      </c>
      <c r="CO275" s="270">
        <f t="shared" si="1819"/>
        <v>0</v>
      </c>
      <c r="CP275" s="270">
        <f t="shared" si="1819"/>
        <v>0</v>
      </c>
      <c r="CQ275" s="215"/>
      <c r="CR275" s="270">
        <f t="shared" si="27"/>
        <v>-0.1</v>
      </c>
      <c r="CS275" s="215"/>
      <c r="CT275" s="270">
        <f t="shared" ref="CT275:DX275" si="1820">IF(AI274&gt;0,IF((AI274+BN275)&lt;E$10,AI274+BN275,E$10),0)</f>
        <v>0</v>
      </c>
      <c r="CU275" s="270">
        <f t="shared" si="1820"/>
        <v>0</v>
      </c>
      <c r="CV275" s="270">
        <f t="shared" si="1820"/>
        <v>0</v>
      </c>
      <c r="CW275" s="270">
        <f t="shared" si="1820"/>
        <v>0</v>
      </c>
      <c r="CX275" s="270">
        <f t="shared" si="1820"/>
        <v>0</v>
      </c>
      <c r="CY275" s="270">
        <f t="shared" si="1820"/>
        <v>0</v>
      </c>
      <c r="CZ275" s="270">
        <f t="shared" si="1820"/>
        <v>0</v>
      </c>
      <c r="DA275" s="270">
        <f t="shared" si="1820"/>
        <v>0</v>
      </c>
      <c r="DB275" s="270">
        <f t="shared" si="1820"/>
        <v>0</v>
      </c>
      <c r="DC275" s="270">
        <f t="shared" si="1820"/>
        <v>0</v>
      </c>
      <c r="DD275" s="270">
        <f t="shared" si="1820"/>
        <v>0</v>
      </c>
      <c r="DE275" s="270">
        <f t="shared" si="1820"/>
        <v>0</v>
      </c>
      <c r="DF275" s="270">
        <f t="shared" si="1820"/>
        <v>0</v>
      </c>
      <c r="DG275" s="270">
        <f t="shared" si="1820"/>
        <v>0</v>
      </c>
      <c r="DH275" s="270">
        <f t="shared" si="1820"/>
        <v>0</v>
      </c>
      <c r="DI275" s="270">
        <f t="shared" si="1820"/>
        <v>0</v>
      </c>
      <c r="DJ275" s="270">
        <f t="shared" si="1820"/>
        <v>0</v>
      </c>
      <c r="DK275" s="270">
        <f t="shared" si="1820"/>
        <v>0</v>
      </c>
      <c r="DL275" s="270">
        <f t="shared" si="1820"/>
        <v>0</v>
      </c>
      <c r="DM275" s="270">
        <f t="shared" si="1820"/>
        <v>0</v>
      </c>
      <c r="DN275" s="270">
        <f t="shared" si="1820"/>
        <v>0</v>
      </c>
      <c r="DO275" s="270">
        <f t="shared" si="1820"/>
        <v>0</v>
      </c>
      <c r="DP275" s="270">
        <f t="shared" si="1820"/>
        <v>0</v>
      </c>
      <c r="DQ275" s="270">
        <f t="shared" si="1820"/>
        <v>0</v>
      </c>
      <c r="DR275" s="270">
        <f t="shared" si="1820"/>
        <v>0</v>
      </c>
      <c r="DS275" s="270">
        <f t="shared" si="1820"/>
        <v>0</v>
      </c>
      <c r="DT275" s="270">
        <f t="shared" si="1820"/>
        <v>0</v>
      </c>
      <c r="DU275" s="270">
        <f t="shared" si="1820"/>
        <v>0</v>
      </c>
      <c r="DV275" s="270">
        <f t="shared" si="1820"/>
        <v>0</v>
      </c>
      <c r="DW275" s="270">
        <f t="shared" si="1820"/>
        <v>0</v>
      </c>
      <c r="DX275" s="270">
        <f t="shared" si="1820"/>
        <v>0</v>
      </c>
      <c r="DY275" s="270">
        <f t="shared" si="29"/>
        <v>0</v>
      </c>
      <c r="DZ275" s="274"/>
      <c r="EA275" s="275">
        <f t="shared" si="38"/>
        <v>0</v>
      </c>
      <c r="EB275" s="270">
        <f t="shared" ref="EB275:FC275" si="1821">IF(AJ273&lt;=0,0,IF($C274&lt;=SUM($EA275:EA275),0,IF(CU274+$C274-SUM($EA275:EA275)&gt;AJ273+BO274,AJ273+BO274-CU274,$C274-SUM($EA275:EA275))))</f>
        <v>0</v>
      </c>
      <c r="EC275" s="270">
        <f t="shared" si="1821"/>
        <v>0</v>
      </c>
      <c r="ED275" s="270">
        <f t="shared" si="1821"/>
        <v>0</v>
      </c>
      <c r="EE275" s="270">
        <f t="shared" si="1821"/>
        <v>0</v>
      </c>
      <c r="EF275" s="270">
        <f t="shared" si="1821"/>
        <v>0</v>
      </c>
      <c r="EG275" s="270">
        <f t="shared" si="1821"/>
        <v>0</v>
      </c>
      <c r="EH275" s="270">
        <f t="shared" si="1821"/>
        <v>0</v>
      </c>
      <c r="EI275" s="270">
        <f t="shared" si="1821"/>
        <v>0</v>
      </c>
      <c r="EJ275" s="270">
        <f t="shared" si="1821"/>
        <v>0</v>
      </c>
      <c r="EK275" s="270">
        <f t="shared" si="1821"/>
        <v>0</v>
      </c>
      <c r="EL275" s="270">
        <f t="shared" si="1821"/>
        <v>0</v>
      </c>
      <c r="EM275" s="270">
        <f t="shared" si="1821"/>
        <v>0</v>
      </c>
      <c r="EN275" s="270">
        <f t="shared" si="1821"/>
        <v>0</v>
      </c>
      <c r="EO275" s="270">
        <f t="shared" si="1821"/>
        <v>0</v>
      </c>
      <c r="EP275" s="270">
        <f t="shared" si="1821"/>
        <v>0</v>
      </c>
      <c r="EQ275" s="270">
        <f t="shared" si="1821"/>
        <v>0</v>
      </c>
      <c r="ER275" s="270">
        <f t="shared" si="1821"/>
        <v>0</v>
      </c>
      <c r="ES275" s="270">
        <f t="shared" si="1821"/>
        <v>0</v>
      </c>
      <c r="ET275" s="270">
        <f t="shared" si="1821"/>
        <v>0</v>
      </c>
      <c r="EU275" s="270">
        <f t="shared" si="1821"/>
        <v>0</v>
      </c>
      <c r="EV275" s="270">
        <f t="shared" si="1821"/>
        <v>0</v>
      </c>
      <c r="EW275" s="270">
        <f t="shared" si="1821"/>
        <v>0</v>
      </c>
      <c r="EX275" s="270">
        <f t="shared" si="1821"/>
        <v>0</v>
      </c>
      <c r="EY275" s="270">
        <f t="shared" si="1821"/>
        <v>0</v>
      </c>
      <c r="EZ275" s="270">
        <f t="shared" si="1821"/>
        <v>0</v>
      </c>
      <c r="FA275" s="270">
        <f t="shared" si="1821"/>
        <v>0</v>
      </c>
      <c r="FB275" s="270">
        <f t="shared" si="1821"/>
        <v>0</v>
      </c>
      <c r="FC275" s="270">
        <f t="shared" si="1821"/>
        <v>0</v>
      </c>
      <c r="FD275" s="271"/>
      <c r="FE275" s="271"/>
      <c r="FF275" s="271"/>
      <c r="FG275" s="215"/>
      <c r="FH275" s="215"/>
    </row>
    <row r="276" ht="11.25" customHeight="1">
      <c r="A276" s="215" t="str">
        <f t="shared" si="19"/>
        <v/>
      </c>
      <c r="B276" s="241" t="str">
        <f t="shared" si="600"/>
        <v>#N/A</v>
      </c>
      <c r="C276" s="271" t="str">
        <f>IF(A276="","",IF(Calculator!snowball,IF(($E$5-DY276)&lt;0,0,$E$5-DY276),0)+D276)</f>
        <v/>
      </c>
      <c r="D276" s="271"/>
      <c r="E276" s="270">
        <f t="shared" si="40"/>
        <v>0</v>
      </c>
      <c r="F276" s="270">
        <f t="shared" ref="F276:AG276" si="1822">CU276+EB277</f>
        <v>0</v>
      </c>
      <c r="G276" s="270">
        <f t="shared" si="1822"/>
        <v>0</v>
      </c>
      <c r="H276" s="270">
        <f t="shared" si="1822"/>
        <v>0</v>
      </c>
      <c r="I276" s="270">
        <f t="shared" si="1822"/>
        <v>0</v>
      </c>
      <c r="J276" s="270">
        <f t="shared" si="1822"/>
        <v>0</v>
      </c>
      <c r="K276" s="270">
        <f t="shared" si="1822"/>
        <v>0</v>
      </c>
      <c r="L276" s="270">
        <f t="shared" si="1822"/>
        <v>0</v>
      </c>
      <c r="M276" s="270">
        <f t="shared" si="1822"/>
        <v>0</v>
      </c>
      <c r="N276" s="270">
        <f t="shared" si="1822"/>
        <v>0</v>
      </c>
      <c r="O276" s="270">
        <f t="shared" si="1822"/>
        <v>0</v>
      </c>
      <c r="P276" s="272">
        <f t="shared" si="1822"/>
        <v>0</v>
      </c>
      <c r="Q276" s="272">
        <f t="shared" si="1822"/>
        <v>0</v>
      </c>
      <c r="R276" s="272">
        <f t="shared" si="1822"/>
        <v>0</v>
      </c>
      <c r="S276" s="272">
        <f t="shared" si="1822"/>
        <v>0</v>
      </c>
      <c r="T276" s="272">
        <f t="shared" si="1822"/>
        <v>0</v>
      </c>
      <c r="U276" s="270">
        <f t="shared" si="1822"/>
        <v>0</v>
      </c>
      <c r="V276" s="270">
        <f t="shared" si="1822"/>
        <v>0</v>
      </c>
      <c r="W276" s="270">
        <f t="shared" si="1822"/>
        <v>0</v>
      </c>
      <c r="X276" s="270">
        <f t="shared" si="1822"/>
        <v>0</v>
      </c>
      <c r="Y276" s="270">
        <f t="shared" si="1822"/>
        <v>0</v>
      </c>
      <c r="Z276" s="270">
        <f t="shared" si="1822"/>
        <v>0</v>
      </c>
      <c r="AA276" s="270">
        <f t="shared" si="1822"/>
        <v>0</v>
      </c>
      <c r="AB276" s="270">
        <f t="shared" si="1822"/>
        <v>0</v>
      </c>
      <c r="AC276" s="270">
        <f t="shared" si="1822"/>
        <v>0</v>
      </c>
      <c r="AD276" s="270">
        <f t="shared" si="1822"/>
        <v>0</v>
      </c>
      <c r="AE276" s="270">
        <f t="shared" si="1822"/>
        <v>0</v>
      </c>
      <c r="AF276" s="270">
        <f t="shared" si="1822"/>
        <v>0</v>
      </c>
      <c r="AG276" s="270">
        <f t="shared" si="1822"/>
        <v>0</v>
      </c>
      <c r="AH276" s="279">
        <f t="shared" si="602"/>
        <v>0</v>
      </c>
      <c r="AI276" s="270">
        <f t="shared" si="43"/>
        <v>0</v>
      </c>
      <c r="AJ276" s="270">
        <f t="shared" ref="AJ276:AO276" si="1823">IF(F$8=0,0,ROUND(AJ275-(F276-BO276),2))</f>
        <v>0</v>
      </c>
      <c r="AK276" s="270">
        <f t="shared" si="1823"/>
        <v>0</v>
      </c>
      <c r="AL276" s="270">
        <f t="shared" si="1823"/>
        <v>0</v>
      </c>
      <c r="AM276" s="270">
        <f t="shared" si="1823"/>
        <v>0</v>
      </c>
      <c r="AN276" s="270">
        <f t="shared" si="1823"/>
        <v>0</v>
      </c>
      <c r="AO276" s="270">
        <f t="shared" si="1823"/>
        <v>0</v>
      </c>
      <c r="AP276" s="270">
        <v>0.0</v>
      </c>
      <c r="AQ276" s="270">
        <f t="shared" ref="AQ276:AS276" si="1824">IF(M$8=0,0,ROUND(AQ275-(M276-BV276),2))</f>
        <v>0</v>
      </c>
      <c r="AR276" s="270">
        <f t="shared" si="1824"/>
        <v>0</v>
      </c>
      <c r="AS276" s="270">
        <f t="shared" si="1824"/>
        <v>0</v>
      </c>
      <c r="AT276" s="270">
        <f t="shared" si="605"/>
        <v>-6.22</v>
      </c>
      <c r="AU276" s="270">
        <f t="shared" ref="AU276:BK276" si="1825">IF(Q$8=0,0,ROUND(AU275-(Q276-BY276),2))</f>
        <v>-16.83</v>
      </c>
      <c r="AV276" s="270">
        <f t="shared" si="1825"/>
        <v>0</v>
      </c>
      <c r="AW276" s="270">
        <f t="shared" si="1825"/>
        <v>0</v>
      </c>
      <c r="AX276" s="270">
        <f t="shared" si="1825"/>
        <v>0</v>
      </c>
      <c r="AY276" s="270">
        <f t="shared" si="1825"/>
        <v>0</v>
      </c>
      <c r="AZ276" s="270">
        <f t="shared" si="1825"/>
        <v>0</v>
      </c>
      <c r="BA276" s="270">
        <f t="shared" si="1825"/>
        <v>0</v>
      </c>
      <c r="BB276" s="270">
        <f t="shared" si="1825"/>
        <v>0</v>
      </c>
      <c r="BC276" s="270">
        <f t="shared" si="1825"/>
        <v>0</v>
      </c>
      <c r="BD276" s="270">
        <f t="shared" si="1825"/>
        <v>0</v>
      </c>
      <c r="BE276" s="270">
        <f t="shared" si="1825"/>
        <v>0</v>
      </c>
      <c r="BF276" s="270">
        <f t="shared" si="1825"/>
        <v>0</v>
      </c>
      <c r="BG276" s="270">
        <f t="shared" si="1825"/>
        <v>0</v>
      </c>
      <c r="BH276" s="270">
        <f t="shared" si="1825"/>
        <v>0</v>
      </c>
      <c r="BI276" s="270">
        <f t="shared" si="1825"/>
        <v>0</v>
      </c>
      <c r="BJ276" s="270">
        <f t="shared" si="1825"/>
        <v>0</v>
      </c>
      <c r="BK276" s="270">
        <f t="shared" si="1825"/>
        <v>0</v>
      </c>
      <c r="BL276" s="265">
        <f t="shared" si="16"/>
        <v>-23.05</v>
      </c>
      <c r="BM276" s="215"/>
      <c r="BN276" s="270">
        <f t="shared" ref="BN276:CP276" si="1826">ROUND(AI275*E$9/12,2)</f>
        <v>0</v>
      </c>
      <c r="BO276" s="270">
        <f t="shared" si="1826"/>
        <v>0</v>
      </c>
      <c r="BP276" s="270">
        <f t="shared" si="1826"/>
        <v>0</v>
      </c>
      <c r="BQ276" s="270">
        <f t="shared" si="1826"/>
        <v>0</v>
      </c>
      <c r="BR276" s="270">
        <f t="shared" si="1826"/>
        <v>0</v>
      </c>
      <c r="BS276" s="270">
        <f t="shared" si="1826"/>
        <v>0</v>
      </c>
      <c r="BT276" s="270">
        <f t="shared" si="1826"/>
        <v>0</v>
      </c>
      <c r="BU276" s="270">
        <f t="shared" si="1826"/>
        <v>0</v>
      </c>
      <c r="BV276" s="270">
        <f t="shared" si="1826"/>
        <v>0</v>
      </c>
      <c r="BW276" s="270">
        <f t="shared" si="1826"/>
        <v>0</v>
      </c>
      <c r="BX276" s="270">
        <f t="shared" si="1826"/>
        <v>0</v>
      </c>
      <c r="BY276" s="270">
        <f t="shared" si="1826"/>
        <v>-0.05</v>
      </c>
      <c r="BZ276" s="270">
        <f t="shared" si="1826"/>
        <v>-0.05</v>
      </c>
      <c r="CA276" s="270">
        <f t="shared" si="1826"/>
        <v>0</v>
      </c>
      <c r="CB276" s="270">
        <f t="shared" si="1826"/>
        <v>0</v>
      </c>
      <c r="CC276" s="270">
        <f t="shared" si="1826"/>
        <v>0</v>
      </c>
      <c r="CD276" s="270">
        <f t="shared" si="1826"/>
        <v>0</v>
      </c>
      <c r="CE276" s="270">
        <f t="shared" si="1826"/>
        <v>0</v>
      </c>
      <c r="CF276" s="270">
        <f t="shared" si="1826"/>
        <v>0</v>
      </c>
      <c r="CG276" s="270">
        <f t="shared" si="1826"/>
        <v>0</v>
      </c>
      <c r="CH276" s="270">
        <f t="shared" si="1826"/>
        <v>0</v>
      </c>
      <c r="CI276" s="270">
        <f t="shared" si="1826"/>
        <v>0</v>
      </c>
      <c r="CJ276" s="270">
        <f t="shared" si="1826"/>
        <v>0</v>
      </c>
      <c r="CK276" s="270">
        <f t="shared" si="1826"/>
        <v>0</v>
      </c>
      <c r="CL276" s="270">
        <f t="shared" si="1826"/>
        <v>0</v>
      </c>
      <c r="CM276" s="270">
        <f t="shared" si="1826"/>
        <v>0</v>
      </c>
      <c r="CN276" s="270">
        <f t="shared" si="1826"/>
        <v>0</v>
      </c>
      <c r="CO276" s="270">
        <f t="shared" si="1826"/>
        <v>0</v>
      </c>
      <c r="CP276" s="270">
        <f t="shared" si="1826"/>
        <v>0</v>
      </c>
      <c r="CQ276" s="215"/>
      <c r="CR276" s="270">
        <f t="shared" si="27"/>
        <v>-0.1</v>
      </c>
      <c r="CS276" s="215"/>
      <c r="CT276" s="270">
        <f t="shared" ref="CT276:DX276" si="1827">IF(AI275&gt;0,IF((AI275+BN276)&lt;E$10,AI275+BN276,E$10),0)</f>
        <v>0</v>
      </c>
      <c r="CU276" s="270">
        <f t="shared" si="1827"/>
        <v>0</v>
      </c>
      <c r="CV276" s="270">
        <f t="shared" si="1827"/>
        <v>0</v>
      </c>
      <c r="CW276" s="270">
        <f t="shared" si="1827"/>
        <v>0</v>
      </c>
      <c r="CX276" s="270">
        <f t="shared" si="1827"/>
        <v>0</v>
      </c>
      <c r="CY276" s="270">
        <f t="shared" si="1827"/>
        <v>0</v>
      </c>
      <c r="CZ276" s="270">
        <f t="shared" si="1827"/>
        <v>0</v>
      </c>
      <c r="DA276" s="270">
        <f t="shared" si="1827"/>
        <v>0</v>
      </c>
      <c r="DB276" s="270">
        <f t="shared" si="1827"/>
        <v>0</v>
      </c>
      <c r="DC276" s="270">
        <f t="shared" si="1827"/>
        <v>0</v>
      </c>
      <c r="DD276" s="270">
        <f t="shared" si="1827"/>
        <v>0</v>
      </c>
      <c r="DE276" s="270">
        <f t="shared" si="1827"/>
        <v>0</v>
      </c>
      <c r="DF276" s="270">
        <f t="shared" si="1827"/>
        <v>0</v>
      </c>
      <c r="DG276" s="270">
        <f t="shared" si="1827"/>
        <v>0</v>
      </c>
      <c r="DH276" s="270">
        <f t="shared" si="1827"/>
        <v>0</v>
      </c>
      <c r="DI276" s="270">
        <f t="shared" si="1827"/>
        <v>0</v>
      </c>
      <c r="DJ276" s="270">
        <f t="shared" si="1827"/>
        <v>0</v>
      </c>
      <c r="DK276" s="270">
        <f t="shared" si="1827"/>
        <v>0</v>
      </c>
      <c r="DL276" s="270">
        <f t="shared" si="1827"/>
        <v>0</v>
      </c>
      <c r="DM276" s="270">
        <f t="shared" si="1827"/>
        <v>0</v>
      </c>
      <c r="DN276" s="270">
        <f t="shared" si="1827"/>
        <v>0</v>
      </c>
      <c r="DO276" s="270">
        <f t="shared" si="1827"/>
        <v>0</v>
      </c>
      <c r="DP276" s="270">
        <f t="shared" si="1827"/>
        <v>0</v>
      </c>
      <c r="DQ276" s="270">
        <f t="shared" si="1827"/>
        <v>0</v>
      </c>
      <c r="DR276" s="270">
        <f t="shared" si="1827"/>
        <v>0</v>
      </c>
      <c r="DS276" s="270">
        <f t="shared" si="1827"/>
        <v>0</v>
      </c>
      <c r="DT276" s="270">
        <f t="shared" si="1827"/>
        <v>0</v>
      </c>
      <c r="DU276" s="270">
        <f t="shared" si="1827"/>
        <v>0</v>
      </c>
      <c r="DV276" s="270">
        <f t="shared" si="1827"/>
        <v>0</v>
      </c>
      <c r="DW276" s="270">
        <f t="shared" si="1827"/>
        <v>0</v>
      </c>
      <c r="DX276" s="270">
        <f t="shared" si="1827"/>
        <v>0</v>
      </c>
      <c r="DY276" s="270">
        <f t="shared" si="29"/>
        <v>0</v>
      </c>
      <c r="DZ276" s="274"/>
      <c r="EA276" s="275">
        <f t="shared" si="38"/>
        <v>0</v>
      </c>
      <c r="EB276" s="270">
        <f t="shared" ref="EB276:FC276" si="1828">IF(AJ274&lt;=0,0,IF($C275&lt;=SUM($EA276:EA276),0,IF(CU275+$C275-SUM($EA276:EA276)&gt;AJ274+BO275,AJ274+BO275-CU275,$C275-SUM($EA276:EA276))))</f>
        <v>0</v>
      </c>
      <c r="EC276" s="270">
        <f t="shared" si="1828"/>
        <v>0</v>
      </c>
      <c r="ED276" s="270">
        <f t="shared" si="1828"/>
        <v>0</v>
      </c>
      <c r="EE276" s="270">
        <f t="shared" si="1828"/>
        <v>0</v>
      </c>
      <c r="EF276" s="270">
        <f t="shared" si="1828"/>
        <v>0</v>
      </c>
      <c r="EG276" s="270">
        <f t="shared" si="1828"/>
        <v>0</v>
      </c>
      <c r="EH276" s="270">
        <f t="shared" si="1828"/>
        <v>0</v>
      </c>
      <c r="EI276" s="270">
        <f t="shared" si="1828"/>
        <v>0</v>
      </c>
      <c r="EJ276" s="270">
        <f t="shared" si="1828"/>
        <v>0</v>
      </c>
      <c r="EK276" s="270">
        <f t="shared" si="1828"/>
        <v>0</v>
      </c>
      <c r="EL276" s="270">
        <f t="shared" si="1828"/>
        <v>0</v>
      </c>
      <c r="EM276" s="270">
        <f t="shared" si="1828"/>
        <v>0</v>
      </c>
      <c r="EN276" s="270">
        <f t="shared" si="1828"/>
        <v>0</v>
      </c>
      <c r="EO276" s="270">
        <f t="shared" si="1828"/>
        <v>0</v>
      </c>
      <c r="EP276" s="270">
        <f t="shared" si="1828"/>
        <v>0</v>
      </c>
      <c r="EQ276" s="270">
        <f t="shared" si="1828"/>
        <v>0</v>
      </c>
      <c r="ER276" s="270">
        <f t="shared" si="1828"/>
        <v>0</v>
      </c>
      <c r="ES276" s="270">
        <f t="shared" si="1828"/>
        <v>0</v>
      </c>
      <c r="ET276" s="270">
        <f t="shared" si="1828"/>
        <v>0</v>
      </c>
      <c r="EU276" s="270">
        <f t="shared" si="1828"/>
        <v>0</v>
      </c>
      <c r="EV276" s="270">
        <f t="shared" si="1828"/>
        <v>0</v>
      </c>
      <c r="EW276" s="270">
        <f t="shared" si="1828"/>
        <v>0</v>
      </c>
      <c r="EX276" s="270">
        <f t="shared" si="1828"/>
        <v>0</v>
      </c>
      <c r="EY276" s="270">
        <f t="shared" si="1828"/>
        <v>0</v>
      </c>
      <c r="EZ276" s="270">
        <f t="shared" si="1828"/>
        <v>0</v>
      </c>
      <c r="FA276" s="270">
        <f t="shared" si="1828"/>
        <v>0</v>
      </c>
      <c r="FB276" s="270">
        <f t="shared" si="1828"/>
        <v>0</v>
      </c>
      <c r="FC276" s="270">
        <f t="shared" si="1828"/>
        <v>0</v>
      </c>
      <c r="FD276" s="271"/>
      <c r="FE276" s="271"/>
      <c r="FF276" s="271"/>
      <c r="FG276" s="215"/>
      <c r="FH276" s="215"/>
    </row>
    <row r="277" ht="11.25" customHeight="1">
      <c r="A277" s="215" t="str">
        <f t="shared" si="19"/>
        <v/>
      </c>
      <c r="B277" s="241" t="str">
        <f t="shared" si="600"/>
        <v>#N/A</v>
      </c>
      <c r="C277" s="271" t="str">
        <f>IF(A277="","",IF(Calculator!snowball,IF(($E$5-DY277)&lt;0,0,$E$5-DY277),0)+D277)</f>
        <v/>
      </c>
      <c r="D277" s="271"/>
      <c r="E277" s="270">
        <f t="shared" si="40"/>
        <v>0</v>
      </c>
      <c r="F277" s="270">
        <f t="shared" ref="F277:AG277" si="1829">CU277+EB278</f>
        <v>0</v>
      </c>
      <c r="G277" s="270">
        <f t="shared" si="1829"/>
        <v>0</v>
      </c>
      <c r="H277" s="270">
        <f t="shared" si="1829"/>
        <v>0</v>
      </c>
      <c r="I277" s="270">
        <f t="shared" si="1829"/>
        <v>0</v>
      </c>
      <c r="J277" s="270">
        <f t="shared" si="1829"/>
        <v>0</v>
      </c>
      <c r="K277" s="270">
        <f t="shared" si="1829"/>
        <v>0</v>
      </c>
      <c r="L277" s="270">
        <f t="shared" si="1829"/>
        <v>0</v>
      </c>
      <c r="M277" s="270">
        <f t="shared" si="1829"/>
        <v>0</v>
      </c>
      <c r="N277" s="270">
        <f t="shared" si="1829"/>
        <v>0</v>
      </c>
      <c r="O277" s="270">
        <f t="shared" si="1829"/>
        <v>0</v>
      </c>
      <c r="P277" s="272">
        <f t="shared" si="1829"/>
        <v>0</v>
      </c>
      <c r="Q277" s="272">
        <f t="shared" si="1829"/>
        <v>0</v>
      </c>
      <c r="R277" s="272">
        <f t="shared" si="1829"/>
        <v>0</v>
      </c>
      <c r="S277" s="272">
        <f t="shared" si="1829"/>
        <v>0</v>
      </c>
      <c r="T277" s="272">
        <f t="shared" si="1829"/>
        <v>0</v>
      </c>
      <c r="U277" s="270">
        <f t="shared" si="1829"/>
        <v>0</v>
      </c>
      <c r="V277" s="270">
        <f t="shared" si="1829"/>
        <v>0</v>
      </c>
      <c r="W277" s="270">
        <f t="shared" si="1829"/>
        <v>0</v>
      </c>
      <c r="X277" s="270">
        <f t="shared" si="1829"/>
        <v>0</v>
      </c>
      <c r="Y277" s="270">
        <f t="shared" si="1829"/>
        <v>0</v>
      </c>
      <c r="Z277" s="270">
        <f t="shared" si="1829"/>
        <v>0</v>
      </c>
      <c r="AA277" s="270">
        <f t="shared" si="1829"/>
        <v>0</v>
      </c>
      <c r="AB277" s="270">
        <f t="shared" si="1829"/>
        <v>0</v>
      </c>
      <c r="AC277" s="270">
        <f t="shared" si="1829"/>
        <v>0</v>
      </c>
      <c r="AD277" s="270">
        <f t="shared" si="1829"/>
        <v>0</v>
      </c>
      <c r="AE277" s="270">
        <f t="shared" si="1829"/>
        <v>0</v>
      </c>
      <c r="AF277" s="270">
        <f t="shared" si="1829"/>
        <v>0</v>
      </c>
      <c r="AG277" s="270">
        <f t="shared" si="1829"/>
        <v>0</v>
      </c>
      <c r="AH277" s="279">
        <f t="shared" si="602"/>
        <v>0</v>
      </c>
      <c r="AI277" s="270">
        <f t="shared" si="43"/>
        <v>0</v>
      </c>
      <c r="AJ277" s="270">
        <f t="shared" ref="AJ277:AO277" si="1830">IF(F$8=0,0,ROUND(AJ276-(F277-BO277),2))</f>
        <v>0</v>
      </c>
      <c r="AK277" s="270">
        <f t="shared" si="1830"/>
        <v>0</v>
      </c>
      <c r="AL277" s="270">
        <f t="shared" si="1830"/>
        <v>0</v>
      </c>
      <c r="AM277" s="270">
        <f t="shared" si="1830"/>
        <v>0</v>
      </c>
      <c r="AN277" s="270">
        <f t="shared" si="1830"/>
        <v>0</v>
      </c>
      <c r="AO277" s="270">
        <f t="shared" si="1830"/>
        <v>0</v>
      </c>
      <c r="AP277" s="270">
        <v>0.0</v>
      </c>
      <c r="AQ277" s="270">
        <f t="shared" ref="AQ277:AS277" si="1831">IF(M$8=0,0,ROUND(AQ276-(M277-BV277),2))</f>
        <v>0</v>
      </c>
      <c r="AR277" s="270">
        <f t="shared" si="1831"/>
        <v>0</v>
      </c>
      <c r="AS277" s="270">
        <f t="shared" si="1831"/>
        <v>0</v>
      </c>
      <c r="AT277" s="270">
        <f t="shared" si="605"/>
        <v>-6.22</v>
      </c>
      <c r="AU277" s="270">
        <f t="shared" ref="AU277:BK277" si="1832">IF(Q$8=0,0,ROUND(AU276-(Q277-BY277),2))</f>
        <v>-16.88</v>
      </c>
      <c r="AV277" s="270">
        <f t="shared" si="1832"/>
        <v>0</v>
      </c>
      <c r="AW277" s="270">
        <f t="shared" si="1832"/>
        <v>0</v>
      </c>
      <c r="AX277" s="270">
        <f t="shared" si="1832"/>
        <v>0</v>
      </c>
      <c r="AY277" s="270">
        <f t="shared" si="1832"/>
        <v>0</v>
      </c>
      <c r="AZ277" s="270">
        <f t="shared" si="1832"/>
        <v>0</v>
      </c>
      <c r="BA277" s="270">
        <f t="shared" si="1832"/>
        <v>0</v>
      </c>
      <c r="BB277" s="270">
        <f t="shared" si="1832"/>
        <v>0</v>
      </c>
      <c r="BC277" s="270">
        <f t="shared" si="1832"/>
        <v>0</v>
      </c>
      <c r="BD277" s="270">
        <f t="shared" si="1832"/>
        <v>0</v>
      </c>
      <c r="BE277" s="270">
        <f t="shared" si="1832"/>
        <v>0</v>
      </c>
      <c r="BF277" s="270">
        <f t="shared" si="1832"/>
        <v>0</v>
      </c>
      <c r="BG277" s="270">
        <f t="shared" si="1832"/>
        <v>0</v>
      </c>
      <c r="BH277" s="270">
        <f t="shared" si="1832"/>
        <v>0</v>
      </c>
      <c r="BI277" s="270">
        <f t="shared" si="1832"/>
        <v>0</v>
      </c>
      <c r="BJ277" s="270">
        <f t="shared" si="1832"/>
        <v>0</v>
      </c>
      <c r="BK277" s="270">
        <f t="shared" si="1832"/>
        <v>0</v>
      </c>
      <c r="BL277" s="265">
        <f t="shared" si="16"/>
        <v>-23.1</v>
      </c>
      <c r="BM277" s="215"/>
      <c r="BN277" s="270">
        <f t="shared" ref="BN277:CP277" si="1833">ROUND(AI276*E$9/12,2)</f>
        <v>0</v>
      </c>
      <c r="BO277" s="270">
        <f t="shared" si="1833"/>
        <v>0</v>
      </c>
      <c r="BP277" s="270">
        <f t="shared" si="1833"/>
        <v>0</v>
      </c>
      <c r="BQ277" s="270">
        <f t="shared" si="1833"/>
        <v>0</v>
      </c>
      <c r="BR277" s="270">
        <f t="shared" si="1833"/>
        <v>0</v>
      </c>
      <c r="BS277" s="270">
        <f t="shared" si="1833"/>
        <v>0</v>
      </c>
      <c r="BT277" s="270">
        <f t="shared" si="1833"/>
        <v>0</v>
      </c>
      <c r="BU277" s="270">
        <f t="shared" si="1833"/>
        <v>0</v>
      </c>
      <c r="BV277" s="270">
        <f t="shared" si="1833"/>
        <v>0</v>
      </c>
      <c r="BW277" s="270">
        <f t="shared" si="1833"/>
        <v>0</v>
      </c>
      <c r="BX277" s="270">
        <f t="shared" si="1833"/>
        <v>0</v>
      </c>
      <c r="BY277" s="270">
        <f t="shared" si="1833"/>
        <v>-0.05</v>
      </c>
      <c r="BZ277" s="270">
        <f t="shared" si="1833"/>
        <v>-0.05</v>
      </c>
      <c r="CA277" s="270">
        <f t="shared" si="1833"/>
        <v>0</v>
      </c>
      <c r="CB277" s="270">
        <f t="shared" si="1833"/>
        <v>0</v>
      </c>
      <c r="CC277" s="270">
        <f t="shared" si="1833"/>
        <v>0</v>
      </c>
      <c r="CD277" s="270">
        <f t="shared" si="1833"/>
        <v>0</v>
      </c>
      <c r="CE277" s="270">
        <f t="shared" si="1833"/>
        <v>0</v>
      </c>
      <c r="CF277" s="270">
        <f t="shared" si="1833"/>
        <v>0</v>
      </c>
      <c r="CG277" s="270">
        <f t="shared" si="1833"/>
        <v>0</v>
      </c>
      <c r="CH277" s="270">
        <f t="shared" si="1833"/>
        <v>0</v>
      </c>
      <c r="CI277" s="270">
        <f t="shared" si="1833"/>
        <v>0</v>
      </c>
      <c r="CJ277" s="270">
        <f t="shared" si="1833"/>
        <v>0</v>
      </c>
      <c r="CK277" s="270">
        <f t="shared" si="1833"/>
        <v>0</v>
      </c>
      <c r="CL277" s="270">
        <f t="shared" si="1833"/>
        <v>0</v>
      </c>
      <c r="CM277" s="270">
        <f t="shared" si="1833"/>
        <v>0</v>
      </c>
      <c r="CN277" s="270">
        <f t="shared" si="1833"/>
        <v>0</v>
      </c>
      <c r="CO277" s="270">
        <f t="shared" si="1833"/>
        <v>0</v>
      </c>
      <c r="CP277" s="270">
        <f t="shared" si="1833"/>
        <v>0</v>
      </c>
      <c r="CQ277" s="215"/>
      <c r="CR277" s="270">
        <f t="shared" si="27"/>
        <v>-0.1</v>
      </c>
      <c r="CS277" s="215"/>
      <c r="CT277" s="270">
        <f t="shared" ref="CT277:DX277" si="1834">IF(AI276&gt;0,IF((AI276+BN277)&lt;E$10,AI276+BN277,E$10),0)</f>
        <v>0</v>
      </c>
      <c r="CU277" s="270">
        <f t="shared" si="1834"/>
        <v>0</v>
      </c>
      <c r="CV277" s="270">
        <f t="shared" si="1834"/>
        <v>0</v>
      </c>
      <c r="CW277" s="270">
        <f t="shared" si="1834"/>
        <v>0</v>
      </c>
      <c r="CX277" s="270">
        <f t="shared" si="1834"/>
        <v>0</v>
      </c>
      <c r="CY277" s="270">
        <f t="shared" si="1834"/>
        <v>0</v>
      </c>
      <c r="CZ277" s="270">
        <f t="shared" si="1834"/>
        <v>0</v>
      </c>
      <c r="DA277" s="270">
        <f t="shared" si="1834"/>
        <v>0</v>
      </c>
      <c r="DB277" s="270">
        <f t="shared" si="1834"/>
        <v>0</v>
      </c>
      <c r="DC277" s="270">
        <f t="shared" si="1834"/>
        <v>0</v>
      </c>
      <c r="DD277" s="270">
        <f t="shared" si="1834"/>
        <v>0</v>
      </c>
      <c r="DE277" s="270">
        <f t="shared" si="1834"/>
        <v>0</v>
      </c>
      <c r="DF277" s="270">
        <f t="shared" si="1834"/>
        <v>0</v>
      </c>
      <c r="DG277" s="270">
        <f t="shared" si="1834"/>
        <v>0</v>
      </c>
      <c r="DH277" s="270">
        <f t="shared" si="1834"/>
        <v>0</v>
      </c>
      <c r="DI277" s="270">
        <f t="shared" si="1834"/>
        <v>0</v>
      </c>
      <c r="DJ277" s="270">
        <f t="shared" si="1834"/>
        <v>0</v>
      </c>
      <c r="DK277" s="270">
        <f t="shared" si="1834"/>
        <v>0</v>
      </c>
      <c r="DL277" s="270">
        <f t="shared" si="1834"/>
        <v>0</v>
      </c>
      <c r="DM277" s="270">
        <f t="shared" si="1834"/>
        <v>0</v>
      </c>
      <c r="DN277" s="270">
        <f t="shared" si="1834"/>
        <v>0</v>
      </c>
      <c r="DO277" s="270">
        <f t="shared" si="1834"/>
        <v>0</v>
      </c>
      <c r="DP277" s="270">
        <f t="shared" si="1834"/>
        <v>0</v>
      </c>
      <c r="DQ277" s="270">
        <f t="shared" si="1834"/>
        <v>0</v>
      </c>
      <c r="DR277" s="270">
        <f t="shared" si="1834"/>
        <v>0</v>
      </c>
      <c r="DS277" s="270">
        <f t="shared" si="1834"/>
        <v>0</v>
      </c>
      <c r="DT277" s="270">
        <f t="shared" si="1834"/>
        <v>0</v>
      </c>
      <c r="DU277" s="270">
        <f t="shared" si="1834"/>
        <v>0</v>
      </c>
      <c r="DV277" s="270">
        <f t="shared" si="1834"/>
        <v>0</v>
      </c>
      <c r="DW277" s="270">
        <f t="shared" si="1834"/>
        <v>0</v>
      </c>
      <c r="DX277" s="270">
        <f t="shared" si="1834"/>
        <v>0</v>
      </c>
      <c r="DY277" s="270">
        <f t="shared" si="29"/>
        <v>0</v>
      </c>
      <c r="DZ277" s="274"/>
      <c r="EA277" s="275">
        <f t="shared" si="38"/>
        <v>0</v>
      </c>
      <c r="EB277" s="270">
        <f t="shared" ref="EB277:FC277" si="1835">IF(AJ275&lt;=0,0,IF($C276&lt;=SUM($EA277:EA277),0,IF(CU276+$C276-SUM($EA277:EA277)&gt;AJ275+BO276,AJ275+BO276-CU276,$C276-SUM($EA277:EA277))))</f>
        <v>0</v>
      </c>
      <c r="EC277" s="270">
        <f t="shared" si="1835"/>
        <v>0</v>
      </c>
      <c r="ED277" s="270">
        <f t="shared" si="1835"/>
        <v>0</v>
      </c>
      <c r="EE277" s="270">
        <f t="shared" si="1835"/>
        <v>0</v>
      </c>
      <c r="EF277" s="270">
        <f t="shared" si="1835"/>
        <v>0</v>
      </c>
      <c r="EG277" s="270">
        <f t="shared" si="1835"/>
        <v>0</v>
      </c>
      <c r="EH277" s="270">
        <f t="shared" si="1835"/>
        <v>0</v>
      </c>
      <c r="EI277" s="270">
        <f t="shared" si="1835"/>
        <v>0</v>
      </c>
      <c r="EJ277" s="270">
        <f t="shared" si="1835"/>
        <v>0</v>
      </c>
      <c r="EK277" s="270">
        <f t="shared" si="1835"/>
        <v>0</v>
      </c>
      <c r="EL277" s="270">
        <f t="shared" si="1835"/>
        <v>0</v>
      </c>
      <c r="EM277" s="270">
        <f t="shared" si="1835"/>
        <v>0</v>
      </c>
      <c r="EN277" s="270">
        <f t="shared" si="1835"/>
        <v>0</v>
      </c>
      <c r="EO277" s="270">
        <f t="shared" si="1835"/>
        <v>0</v>
      </c>
      <c r="EP277" s="270">
        <f t="shared" si="1835"/>
        <v>0</v>
      </c>
      <c r="EQ277" s="270">
        <f t="shared" si="1835"/>
        <v>0</v>
      </c>
      <c r="ER277" s="270">
        <f t="shared" si="1835"/>
        <v>0</v>
      </c>
      <c r="ES277" s="270">
        <f t="shared" si="1835"/>
        <v>0</v>
      </c>
      <c r="ET277" s="270">
        <f t="shared" si="1835"/>
        <v>0</v>
      </c>
      <c r="EU277" s="270">
        <f t="shared" si="1835"/>
        <v>0</v>
      </c>
      <c r="EV277" s="270">
        <f t="shared" si="1835"/>
        <v>0</v>
      </c>
      <c r="EW277" s="270">
        <f t="shared" si="1835"/>
        <v>0</v>
      </c>
      <c r="EX277" s="270">
        <f t="shared" si="1835"/>
        <v>0</v>
      </c>
      <c r="EY277" s="270">
        <f t="shared" si="1835"/>
        <v>0</v>
      </c>
      <c r="EZ277" s="270">
        <f t="shared" si="1835"/>
        <v>0</v>
      </c>
      <c r="FA277" s="270">
        <f t="shared" si="1835"/>
        <v>0</v>
      </c>
      <c r="FB277" s="270">
        <f t="shared" si="1835"/>
        <v>0</v>
      </c>
      <c r="FC277" s="270">
        <f t="shared" si="1835"/>
        <v>0</v>
      </c>
      <c r="FD277" s="271"/>
      <c r="FE277" s="271"/>
      <c r="FF277" s="271"/>
      <c r="FG277" s="215"/>
      <c r="FH277" s="215"/>
    </row>
    <row r="278" ht="11.25" customHeight="1">
      <c r="A278" s="215" t="str">
        <f t="shared" si="19"/>
        <v/>
      </c>
      <c r="B278" s="241" t="str">
        <f t="shared" si="600"/>
        <v>#N/A</v>
      </c>
      <c r="C278" s="271" t="str">
        <f>IF(A278="","",IF(Calculator!snowball,IF(($E$5-DY278)&lt;0,0,$E$5-DY278),0)+D278)</f>
        <v/>
      </c>
      <c r="D278" s="271"/>
      <c r="E278" s="270">
        <f t="shared" si="40"/>
        <v>0</v>
      </c>
      <c r="F278" s="270">
        <f t="shared" ref="F278:AG278" si="1836">CU278+EB279</f>
        <v>0</v>
      </c>
      <c r="G278" s="270">
        <f t="shared" si="1836"/>
        <v>0</v>
      </c>
      <c r="H278" s="270">
        <f t="shared" si="1836"/>
        <v>0</v>
      </c>
      <c r="I278" s="270">
        <f t="shared" si="1836"/>
        <v>0</v>
      </c>
      <c r="J278" s="270">
        <f t="shared" si="1836"/>
        <v>0</v>
      </c>
      <c r="K278" s="270">
        <f t="shared" si="1836"/>
        <v>0</v>
      </c>
      <c r="L278" s="270">
        <f t="shared" si="1836"/>
        <v>0</v>
      </c>
      <c r="M278" s="270">
        <f t="shared" si="1836"/>
        <v>0</v>
      </c>
      <c r="N278" s="270">
        <f t="shared" si="1836"/>
        <v>0</v>
      </c>
      <c r="O278" s="270">
        <f t="shared" si="1836"/>
        <v>0</v>
      </c>
      <c r="P278" s="272">
        <f t="shared" si="1836"/>
        <v>0</v>
      </c>
      <c r="Q278" s="272">
        <f t="shared" si="1836"/>
        <v>0</v>
      </c>
      <c r="R278" s="272">
        <f t="shared" si="1836"/>
        <v>0</v>
      </c>
      <c r="S278" s="272">
        <f t="shared" si="1836"/>
        <v>0</v>
      </c>
      <c r="T278" s="272">
        <f t="shared" si="1836"/>
        <v>0</v>
      </c>
      <c r="U278" s="270">
        <f t="shared" si="1836"/>
        <v>0</v>
      </c>
      <c r="V278" s="270">
        <f t="shared" si="1836"/>
        <v>0</v>
      </c>
      <c r="W278" s="270">
        <f t="shared" si="1836"/>
        <v>0</v>
      </c>
      <c r="X278" s="270">
        <f t="shared" si="1836"/>
        <v>0</v>
      </c>
      <c r="Y278" s="270">
        <f t="shared" si="1836"/>
        <v>0</v>
      </c>
      <c r="Z278" s="270">
        <f t="shared" si="1836"/>
        <v>0</v>
      </c>
      <c r="AA278" s="270">
        <f t="shared" si="1836"/>
        <v>0</v>
      </c>
      <c r="AB278" s="270">
        <f t="shared" si="1836"/>
        <v>0</v>
      </c>
      <c r="AC278" s="270">
        <f t="shared" si="1836"/>
        <v>0</v>
      </c>
      <c r="AD278" s="270">
        <f t="shared" si="1836"/>
        <v>0</v>
      </c>
      <c r="AE278" s="270">
        <f t="shared" si="1836"/>
        <v>0</v>
      </c>
      <c r="AF278" s="270">
        <f t="shared" si="1836"/>
        <v>0</v>
      </c>
      <c r="AG278" s="270">
        <f t="shared" si="1836"/>
        <v>0</v>
      </c>
      <c r="AH278" s="279">
        <f t="shared" si="602"/>
        <v>0</v>
      </c>
      <c r="AI278" s="270">
        <f t="shared" si="43"/>
        <v>0</v>
      </c>
      <c r="AJ278" s="270">
        <f t="shared" ref="AJ278:AO278" si="1837">IF(F$8=0,0,ROUND(AJ277-(F278-BO278),2))</f>
        <v>0</v>
      </c>
      <c r="AK278" s="270">
        <f t="shared" si="1837"/>
        <v>0</v>
      </c>
      <c r="AL278" s="270">
        <f t="shared" si="1837"/>
        <v>0</v>
      </c>
      <c r="AM278" s="270">
        <f t="shared" si="1837"/>
        <v>0</v>
      </c>
      <c r="AN278" s="270">
        <f t="shared" si="1837"/>
        <v>0</v>
      </c>
      <c r="AO278" s="270">
        <f t="shared" si="1837"/>
        <v>0</v>
      </c>
      <c r="AP278" s="270">
        <v>0.0</v>
      </c>
      <c r="AQ278" s="270">
        <f t="shared" ref="AQ278:AS278" si="1838">IF(M$8=0,0,ROUND(AQ277-(M278-BV278),2))</f>
        <v>0</v>
      </c>
      <c r="AR278" s="270">
        <f t="shared" si="1838"/>
        <v>0</v>
      </c>
      <c r="AS278" s="270">
        <f t="shared" si="1838"/>
        <v>0</v>
      </c>
      <c r="AT278" s="270">
        <f t="shared" si="605"/>
        <v>-6.22</v>
      </c>
      <c r="AU278" s="270">
        <f t="shared" ref="AU278:BK278" si="1839">IF(Q$8=0,0,ROUND(AU277-(Q278-BY278),2))</f>
        <v>-16.93</v>
      </c>
      <c r="AV278" s="270">
        <f t="shared" si="1839"/>
        <v>0</v>
      </c>
      <c r="AW278" s="270">
        <f t="shared" si="1839"/>
        <v>0</v>
      </c>
      <c r="AX278" s="270">
        <f t="shared" si="1839"/>
        <v>0</v>
      </c>
      <c r="AY278" s="270">
        <f t="shared" si="1839"/>
        <v>0</v>
      </c>
      <c r="AZ278" s="270">
        <f t="shared" si="1839"/>
        <v>0</v>
      </c>
      <c r="BA278" s="270">
        <f t="shared" si="1839"/>
        <v>0</v>
      </c>
      <c r="BB278" s="270">
        <f t="shared" si="1839"/>
        <v>0</v>
      </c>
      <c r="BC278" s="270">
        <f t="shared" si="1839"/>
        <v>0</v>
      </c>
      <c r="BD278" s="270">
        <f t="shared" si="1839"/>
        <v>0</v>
      </c>
      <c r="BE278" s="270">
        <f t="shared" si="1839"/>
        <v>0</v>
      </c>
      <c r="BF278" s="270">
        <f t="shared" si="1839"/>
        <v>0</v>
      </c>
      <c r="BG278" s="270">
        <f t="shared" si="1839"/>
        <v>0</v>
      </c>
      <c r="BH278" s="270">
        <f t="shared" si="1839"/>
        <v>0</v>
      </c>
      <c r="BI278" s="270">
        <f t="shared" si="1839"/>
        <v>0</v>
      </c>
      <c r="BJ278" s="270">
        <f t="shared" si="1839"/>
        <v>0</v>
      </c>
      <c r="BK278" s="270">
        <f t="shared" si="1839"/>
        <v>0</v>
      </c>
      <c r="BL278" s="265">
        <f t="shared" si="16"/>
        <v>-23.15</v>
      </c>
      <c r="BM278" s="215"/>
      <c r="BN278" s="270">
        <f t="shared" ref="BN278:CP278" si="1840">ROUND(AI277*E$9/12,2)</f>
        <v>0</v>
      </c>
      <c r="BO278" s="270">
        <f t="shared" si="1840"/>
        <v>0</v>
      </c>
      <c r="BP278" s="270">
        <f t="shared" si="1840"/>
        <v>0</v>
      </c>
      <c r="BQ278" s="270">
        <f t="shared" si="1840"/>
        <v>0</v>
      </c>
      <c r="BR278" s="270">
        <f t="shared" si="1840"/>
        <v>0</v>
      </c>
      <c r="BS278" s="270">
        <f t="shared" si="1840"/>
        <v>0</v>
      </c>
      <c r="BT278" s="270">
        <f t="shared" si="1840"/>
        <v>0</v>
      </c>
      <c r="BU278" s="270">
        <f t="shared" si="1840"/>
        <v>0</v>
      </c>
      <c r="BV278" s="270">
        <f t="shared" si="1840"/>
        <v>0</v>
      </c>
      <c r="BW278" s="270">
        <f t="shared" si="1840"/>
        <v>0</v>
      </c>
      <c r="BX278" s="270">
        <f t="shared" si="1840"/>
        <v>0</v>
      </c>
      <c r="BY278" s="270">
        <f t="shared" si="1840"/>
        <v>-0.05</v>
      </c>
      <c r="BZ278" s="270">
        <f t="shared" si="1840"/>
        <v>-0.05</v>
      </c>
      <c r="CA278" s="270">
        <f t="shared" si="1840"/>
        <v>0</v>
      </c>
      <c r="CB278" s="270">
        <f t="shared" si="1840"/>
        <v>0</v>
      </c>
      <c r="CC278" s="270">
        <f t="shared" si="1840"/>
        <v>0</v>
      </c>
      <c r="CD278" s="270">
        <f t="shared" si="1840"/>
        <v>0</v>
      </c>
      <c r="CE278" s="270">
        <f t="shared" si="1840"/>
        <v>0</v>
      </c>
      <c r="CF278" s="270">
        <f t="shared" si="1840"/>
        <v>0</v>
      </c>
      <c r="CG278" s="270">
        <f t="shared" si="1840"/>
        <v>0</v>
      </c>
      <c r="CH278" s="270">
        <f t="shared" si="1840"/>
        <v>0</v>
      </c>
      <c r="CI278" s="270">
        <f t="shared" si="1840"/>
        <v>0</v>
      </c>
      <c r="CJ278" s="270">
        <f t="shared" si="1840"/>
        <v>0</v>
      </c>
      <c r="CK278" s="270">
        <f t="shared" si="1840"/>
        <v>0</v>
      </c>
      <c r="CL278" s="270">
        <f t="shared" si="1840"/>
        <v>0</v>
      </c>
      <c r="CM278" s="270">
        <f t="shared" si="1840"/>
        <v>0</v>
      </c>
      <c r="CN278" s="270">
        <f t="shared" si="1840"/>
        <v>0</v>
      </c>
      <c r="CO278" s="270">
        <f t="shared" si="1840"/>
        <v>0</v>
      </c>
      <c r="CP278" s="270">
        <f t="shared" si="1840"/>
        <v>0</v>
      </c>
      <c r="CQ278" s="215"/>
      <c r="CR278" s="270">
        <f t="shared" si="27"/>
        <v>-0.1</v>
      </c>
      <c r="CS278" s="215"/>
      <c r="CT278" s="270">
        <f t="shared" ref="CT278:DX278" si="1841">IF(AI277&gt;0,IF((AI277+BN278)&lt;E$10,AI277+BN278,E$10),0)</f>
        <v>0</v>
      </c>
      <c r="CU278" s="270">
        <f t="shared" si="1841"/>
        <v>0</v>
      </c>
      <c r="CV278" s="270">
        <f t="shared" si="1841"/>
        <v>0</v>
      </c>
      <c r="CW278" s="270">
        <f t="shared" si="1841"/>
        <v>0</v>
      </c>
      <c r="CX278" s="270">
        <f t="shared" si="1841"/>
        <v>0</v>
      </c>
      <c r="CY278" s="270">
        <f t="shared" si="1841"/>
        <v>0</v>
      </c>
      <c r="CZ278" s="270">
        <f t="shared" si="1841"/>
        <v>0</v>
      </c>
      <c r="DA278" s="270">
        <f t="shared" si="1841"/>
        <v>0</v>
      </c>
      <c r="DB278" s="270">
        <f t="shared" si="1841"/>
        <v>0</v>
      </c>
      <c r="DC278" s="270">
        <f t="shared" si="1841"/>
        <v>0</v>
      </c>
      <c r="DD278" s="270">
        <f t="shared" si="1841"/>
        <v>0</v>
      </c>
      <c r="DE278" s="270">
        <f t="shared" si="1841"/>
        <v>0</v>
      </c>
      <c r="DF278" s="270">
        <f t="shared" si="1841"/>
        <v>0</v>
      </c>
      <c r="DG278" s="270">
        <f t="shared" si="1841"/>
        <v>0</v>
      </c>
      <c r="DH278" s="270">
        <f t="shared" si="1841"/>
        <v>0</v>
      </c>
      <c r="DI278" s="270">
        <f t="shared" si="1841"/>
        <v>0</v>
      </c>
      <c r="DJ278" s="270">
        <f t="shared" si="1841"/>
        <v>0</v>
      </c>
      <c r="DK278" s="270">
        <f t="shared" si="1841"/>
        <v>0</v>
      </c>
      <c r="DL278" s="270">
        <f t="shared" si="1841"/>
        <v>0</v>
      </c>
      <c r="DM278" s="270">
        <f t="shared" si="1841"/>
        <v>0</v>
      </c>
      <c r="DN278" s="270">
        <f t="shared" si="1841"/>
        <v>0</v>
      </c>
      <c r="DO278" s="270">
        <f t="shared" si="1841"/>
        <v>0</v>
      </c>
      <c r="DP278" s="270">
        <f t="shared" si="1841"/>
        <v>0</v>
      </c>
      <c r="DQ278" s="270">
        <f t="shared" si="1841"/>
        <v>0</v>
      </c>
      <c r="DR278" s="270">
        <f t="shared" si="1841"/>
        <v>0</v>
      </c>
      <c r="DS278" s="270">
        <f t="shared" si="1841"/>
        <v>0</v>
      </c>
      <c r="DT278" s="270">
        <f t="shared" si="1841"/>
        <v>0</v>
      </c>
      <c r="DU278" s="270">
        <f t="shared" si="1841"/>
        <v>0</v>
      </c>
      <c r="DV278" s="270">
        <f t="shared" si="1841"/>
        <v>0</v>
      </c>
      <c r="DW278" s="270">
        <f t="shared" si="1841"/>
        <v>0</v>
      </c>
      <c r="DX278" s="270">
        <f t="shared" si="1841"/>
        <v>0</v>
      </c>
      <c r="DY278" s="270">
        <f t="shared" si="29"/>
        <v>0</v>
      </c>
      <c r="DZ278" s="274"/>
      <c r="EA278" s="275">
        <f t="shared" si="38"/>
        <v>0</v>
      </c>
      <c r="EB278" s="270">
        <f t="shared" ref="EB278:FC278" si="1842">IF(AJ276&lt;=0,0,IF($C277&lt;=SUM($EA278:EA278),0,IF(CU277+$C277-SUM($EA278:EA278)&gt;AJ276+BO277,AJ276+BO277-CU277,$C277-SUM($EA278:EA278))))</f>
        <v>0</v>
      </c>
      <c r="EC278" s="270">
        <f t="shared" si="1842"/>
        <v>0</v>
      </c>
      <c r="ED278" s="270">
        <f t="shared" si="1842"/>
        <v>0</v>
      </c>
      <c r="EE278" s="270">
        <f t="shared" si="1842"/>
        <v>0</v>
      </c>
      <c r="EF278" s="270">
        <f t="shared" si="1842"/>
        <v>0</v>
      </c>
      <c r="EG278" s="270">
        <f t="shared" si="1842"/>
        <v>0</v>
      </c>
      <c r="EH278" s="270">
        <f t="shared" si="1842"/>
        <v>0</v>
      </c>
      <c r="EI278" s="270">
        <f t="shared" si="1842"/>
        <v>0</v>
      </c>
      <c r="EJ278" s="270">
        <f t="shared" si="1842"/>
        <v>0</v>
      </c>
      <c r="EK278" s="270">
        <f t="shared" si="1842"/>
        <v>0</v>
      </c>
      <c r="EL278" s="270">
        <f t="shared" si="1842"/>
        <v>0</v>
      </c>
      <c r="EM278" s="270">
        <f t="shared" si="1842"/>
        <v>0</v>
      </c>
      <c r="EN278" s="270">
        <f t="shared" si="1842"/>
        <v>0</v>
      </c>
      <c r="EO278" s="270">
        <f t="shared" si="1842"/>
        <v>0</v>
      </c>
      <c r="EP278" s="270">
        <f t="shared" si="1842"/>
        <v>0</v>
      </c>
      <c r="EQ278" s="270">
        <f t="shared" si="1842"/>
        <v>0</v>
      </c>
      <c r="ER278" s="270">
        <f t="shared" si="1842"/>
        <v>0</v>
      </c>
      <c r="ES278" s="270">
        <f t="shared" si="1842"/>
        <v>0</v>
      </c>
      <c r="ET278" s="270">
        <f t="shared" si="1842"/>
        <v>0</v>
      </c>
      <c r="EU278" s="270">
        <f t="shared" si="1842"/>
        <v>0</v>
      </c>
      <c r="EV278" s="270">
        <f t="shared" si="1842"/>
        <v>0</v>
      </c>
      <c r="EW278" s="270">
        <f t="shared" si="1842"/>
        <v>0</v>
      </c>
      <c r="EX278" s="270">
        <f t="shared" si="1842"/>
        <v>0</v>
      </c>
      <c r="EY278" s="270">
        <f t="shared" si="1842"/>
        <v>0</v>
      </c>
      <c r="EZ278" s="270">
        <f t="shared" si="1842"/>
        <v>0</v>
      </c>
      <c r="FA278" s="270">
        <f t="shared" si="1842"/>
        <v>0</v>
      </c>
      <c r="FB278" s="270">
        <f t="shared" si="1842"/>
        <v>0</v>
      </c>
      <c r="FC278" s="270">
        <f t="shared" si="1842"/>
        <v>0</v>
      </c>
      <c r="FD278" s="271"/>
      <c r="FE278" s="271"/>
      <c r="FF278" s="271"/>
      <c r="FG278" s="215"/>
      <c r="FH278" s="215"/>
    </row>
    <row r="279" ht="11.25" customHeight="1">
      <c r="A279" s="215" t="str">
        <f t="shared" si="19"/>
        <v/>
      </c>
      <c r="B279" s="241" t="str">
        <f t="shared" si="600"/>
        <v>#N/A</v>
      </c>
      <c r="C279" s="271" t="str">
        <f>IF(A279="","",IF(Calculator!snowball,IF(($E$5-DY279)&lt;0,0,$E$5-DY279),0)+D279)</f>
        <v/>
      </c>
      <c r="D279" s="271"/>
      <c r="E279" s="270">
        <f t="shared" si="40"/>
        <v>0</v>
      </c>
      <c r="F279" s="270">
        <f t="shared" ref="F279:AG279" si="1843">CU279+EB280</f>
        <v>0</v>
      </c>
      <c r="G279" s="270">
        <f t="shared" si="1843"/>
        <v>0</v>
      </c>
      <c r="H279" s="270">
        <f t="shared" si="1843"/>
        <v>0</v>
      </c>
      <c r="I279" s="270">
        <f t="shared" si="1843"/>
        <v>0</v>
      </c>
      <c r="J279" s="270">
        <f t="shared" si="1843"/>
        <v>0</v>
      </c>
      <c r="K279" s="270">
        <f t="shared" si="1843"/>
        <v>0</v>
      </c>
      <c r="L279" s="270">
        <f t="shared" si="1843"/>
        <v>0</v>
      </c>
      <c r="M279" s="270">
        <f t="shared" si="1843"/>
        <v>0</v>
      </c>
      <c r="N279" s="270">
        <f t="shared" si="1843"/>
        <v>0</v>
      </c>
      <c r="O279" s="270">
        <f t="shared" si="1843"/>
        <v>0</v>
      </c>
      <c r="P279" s="272">
        <f t="shared" si="1843"/>
        <v>0</v>
      </c>
      <c r="Q279" s="272">
        <f t="shared" si="1843"/>
        <v>0</v>
      </c>
      <c r="R279" s="272">
        <f t="shared" si="1843"/>
        <v>0</v>
      </c>
      <c r="S279" s="272">
        <f t="shared" si="1843"/>
        <v>0</v>
      </c>
      <c r="T279" s="272">
        <f t="shared" si="1843"/>
        <v>0</v>
      </c>
      <c r="U279" s="270">
        <f t="shared" si="1843"/>
        <v>0</v>
      </c>
      <c r="V279" s="270">
        <f t="shared" si="1843"/>
        <v>0</v>
      </c>
      <c r="W279" s="270">
        <f t="shared" si="1843"/>
        <v>0</v>
      </c>
      <c r="X279" s="270">
        <f t="shared" si="1843"/>
        <v>0</v>
      </c>
      <c r="Y279" s="270">
        <f t="shared" si="1843"/>
        <v>0</v>
      </c>
      <c r="Z279" s="270">
        <f t="shared" si="1843"/>
        <v>0</v>
      </c>
      <c r="AA279" s="270">
        <f t="shared" si="1843"/>
        <v>0</v>
      </c>
      <c r="AB279" s="270">
        <f t="shared" si="1843"/>
        <v>0</v>
      </c>
      <c r="AC279" s="270">
        <f t="shared" si="1843"/>
        <v>0</v>
      </c>
      <c r="AD279" s="270">
        <f t="shared" si="1843"/>
        <v>0</v>
      </c>
      <c r="AE279" s="270">
        <f t="shared" si="1843"/>
        <v>0</v>
      </c>
      <c r="AF279" s="270">
        <f t="shared" si="1843"/>
        <v>0</v>
      </c>
      <c r="AG279" s="270">
        <f t="shared" si="1843"/>
        <v>0</v>
      </c>
      <c r="AH279" s="279">
        <f t="shared" si="602"/>
        <v>0</v>
      </c>
      <c r="AI279" s="270">
        <f t="shared" si="43"/>
        <v>0</v>
      </c>
      <c r="AJ279" s="270">
        <f t="shared" ref="AJ279:AO279" si="1844">IF(F$8=0,0,ROUND(AJ278-(F279-BO279),2))</f>
        <v>0</v>
      </c>
      <c r="AK279" s="270">
        <f t="shared" si="1844"/>
        <v>0</v>
      </c>
      <c r="AL279" s="270">
        <f t="shared" si="1844"/>
        <v>0</v>
      </c>
      <c r="AM279" s="270">
        <f t="shared" si="1844"/>
        <v>0</v>
      </c>
      <c r="AN279" s="270">
        <f t="shared" si="1844"/>
        <v>0</v>
      </c>
      <c r="AO279" s="270">
        <f t="shared" si="1844"/>
        <v>0</v>
      </c>
      <c r="AP279" s="270">
        <v>0.0</v>
      </c>
      <c r="AQ279" s="270">
        <f t="shared" ref="AQ279:AS279" si="1845">IF(M$8=0,0,ROUND(AQ278-(M279-BV279),2))</f>
        <v>0</v>
      </c>
      <c r="AR279" s="270">
        <f t="shared" si="1845"/>
        <v>0</v>
      </c>
      <c r="AS279" s="270">
        <f t="shared" si="1845"/>
        <v>0</v>
      </c>
      <c r="AT279" s="270">
        <f t="shared" si="605"/>
        <v>-6.22</v>
      </c>
      <c r="AU279" s="270">
        <f t="shared" ref="AU279:BK279" si="1846">IF(Q$8=0,0,ROUND(AU278-(Q279-BY279),2))</f>
        <v>-16.98</v>
      </c>
      <c r="AV279" s="270">
        <f t="shared" si="1846"/>
        <v>0</v>
      </c>
      <c r="AW279" s="270">
        <f t="shared" si="1846"/>
        <v>0</v>
      </c>
      <c r="AX279" s="270">
        <f t="shared" si="1846"/>
        <v>0</v>
      </c>
      <c r="AY279" s="270">
        <f t="shared" si="1846"/>
        <v>0</v>
      </c>
      <c r="AZ279" s="270">
        <f t="shared" si="1846"/>
        <v>0</v>
      </c>
      <c r="BA279" s="270">
        <f t="shared" si="1846"/>
        <v>0</v>
      </c>
      <c r="BB279" s="270">
        <f t="shared" si="1846"/>
        <v>0</v>
      </c>
      <c r="BC279" s="270">
        <f t="shared" si="1846"/>
        <v>0</v>
      </c>
      <c r="BD279" s="270">
        <f t="shared" si="1846"/>
        <v>0</v>
      </c>
      <c r="BE279" s="270">
        <f t="shared" si="1846"/>
        <v>0</v>
      </c>
      <c r="BF279" s="270">
        <f t="shared" si="1846"/>
        <v>0</v>
      </c>
      <c r="BG279" s="270">
        <f t="shared" si="1846"/>
        <v>0</v>
      </c>
      <c r="BH279" s="270">
        <f t="shared" si="1846"/>
        <v>0</v>
      </c>
      <c r="BI279" s="270">
        <f t="shared" si="1846"/>
        <v>0</v>
      </c>
      <c r="BJ279" s="270">
        <f t="shared" si="1846"/>
        <v>0</v>
      </c>
      <c r="BK279" s="270">
        <f t="shared" si="1846"/>
        <v>0</v>
      </c>
      <c r="BL279" s="265">
        <f t="shared" si="16"/>
        <v>-23.2</v>
      </c>
      <c r="BM279" s="215"/>
      <c r="BN279" s="270">
        <f t="shared" ref="BN279:CP279" si="1847">ROUND(AI278*E$9/12,2)</f>
        <v>0</v>
      </c>
      <c r="BO279" s="270">
        <f t="shared" si="1847"/>
        <v>0</v>
      </c>
      <c r="BP279" s="270">
        <f t="shared" si="1847"/>
        <v>0</v>
      </c>
      <c r="BQ279" s="270">
        <f t="shared" si="1847"/>
        <v>0</v>
      </c>
      <c r="BR279" s="270">
        <f t="shared" si="1847"/>
        <v>0</v>
      </c>
      <c r="BS279" s="270">
        <f t="shared" si="1847"/>
        <v>0</v>
      </c>
      <c r="BT279" s="270">
        <f t="shared" si="1847"/>
        <v>0</v>
      </c>
      <c r="BU279" s="270">
        <f t="shared" si="1847"/>
        <v>0</v>
      </c>
      <c r="BV279" s="270">
        <f t="shared" si="1847"/>
        <v>0</v>
      </c>
      <c r="BW279" s="270">
        <f t="shared" si="1847"/>
        <v>0</v>
      </c>
      <c r="BX279" s="270">
        <f t="shared" si="1847"/>
        <v>0</v>
      </c>
      <c r="BY279" s="270">
        <f t="shared" si="1847"/>
        <v>-0.05</v>
      </c>
      <c r="BZ279" s="270">
        <f t="shared" si="1847"/>
        <v>-0.05</v>
      </c>
      <c r="CA279" s="270">
        <f t="shared" si="1847"/>
        <v>0</v>
      </c>
      <c r="CB279" s="270">
        <f t="shared" si="1847"/>
        <v>0</v>
      </c>
      <c r="CC279" s="270">
        <f t="shared" si="1847"/>
        <v>0</v>
      </c>
      <c r="CD279" s="270">
        <f t="shared" si="1847"/>
        <v>0</v>
      </c>
      <c r="CE279" s="270">
        <f t="shared" si="1847"/>
        <v>0</v>
      </c>
      <c r="CF279" s="270">
        <f t="shared" si="1847"/>
        <v>0</v>
      </c>
      <c r="CG279" s="270">
        <f t="shared" si="1847"/>
        <v>0</v>
      </c>
      <c r="CH279" s="270">
        <f t="shared" si="1847"/>
        <v>0</v>
      </c>
      <c r="CI279" s="270">
        <f t="shared" si="1847"/>
        <v>0</v>
      </c>
      <c r="CJ279" s="270">
        <f t="shared" si="1847"/>
        <v>0</v>
      </c>
      <c r="CK279" s="270">
        <f t="shared" si="1847"/>
        <v>0</v>
      </c>
      <c r="CL279" s="270">
        <f t="shared" si="1847"/>
        <v>0</v>
      </c>
      <c r="CM279" s="270">
        <f t="shared" si="1847"/>
        <v>0</v>
      </c>
      <c r="CN279" s="270">
        <f t="shared" si="1847"/>
        <v>0</v>
      </c>
      <c r="CO279" s="270">
        <f t="shared" si="1847"/>
        <v>0</v>
      </c>
      <c r="CP279" s="270">
        <f t="shared" si="1847"/>
        <v>0</v>
      </c>
      <c r="CQ279" s="215"/>
      <c r="CR279" s="270">
        <f t="shared" si="27"/>
        <v>-0.1</v>
      </c>
      <c r="CS279" s="215"/>
      <c r="CT279" s="270">
        <f t="shared" ref="CT279:DX279" si="1848">IF(AI278&gt;0,IF((AI278+BN279)&lt;E$10,AI278+BN279,E$10),0)</f>
        <v>0</v>
      </c>
      <c r="CU279" s="270">
        <f t="shared" si="1848"/>
        <v>0</v>
      </c>
      <c r="CV279" s="270">
        <f t="shared" si="1848"/>
        <v>0</v>
      </c>
      <c r="CW279" s="270">
        <f t="shared" si="1848"/>
        <v>0</v>
      </c>
      <c r="CX279" s="270">
        <f t="shared" si="1848"/>
        <v>0</v>
      </c>
      <c r="CY279" s="270">
        <f t="shared" si="1848"/>
        <v>0</v>
      </c>
      <c r="CZ279" s="270">
        <f t="shared" si="1848"/>
        <v>0</v>
      </c>
      <c r="DA279" s="270">
        <f t="shared" si="1848"/>
        <v>0</v>
      </c>
      <c r="DB279" s="270">
        <f t="shared" si="1848"/>
        <v>0</v>
      </c>
      <c r="DC279" s="270">
        <f t="shared" si="1848"/>
        <v>0</v>
      </c>
      <c r="DD279" s="270">
        <f t="shared" si="1848"/>
        <v>0</v>
      </c>
      <c r="DE279" s="270">
        <f t="shared" si="1848"/>
        <v>0</v>
      </c>
      <c r="DF279" s="270">
        <f t="shared" si="1848"/>
        <v>0</v>
      </c>
      <c r="DG279" s="270">
        <f t="shared" si="1848"/>
        <v>0</v>
      </c>
      <c r="DH279" s="270">
        <f t="shared" si="1848"/>
        <v>0</v>
      </c>
      <c r="DI279" s="270">
        <f t="shared" si="1848"/>
        <v>0</v>
      </c>
      <c r="DJ279" s="270">
        <f t="shared" si="1848"/>
        <v>0</v>
      </c>
      <c r="DK279" s="270">
        <f t="shared" si="1848"/>
        <v>0</v>
      </c>
      <c r="DL279" s="270">
        <f t="shared" si="1848"/>
        <v>0</v>
      </c>
      <c r="DM279" s="270">
        <f t="shared" si="1848"/>
        <v>0</v>
      </c>
      <c r="DN279" s="270">
        <f t="shared" si="1848"/>
        <v>0</v>
      </c>
      <c r="DO279" s="270">
        <f t="shared" si="1848"/>
        <v>0</v>
      </c>
      <c r="DP279" s="270">
        <f t="shared" si="1848"/>
        <v>0</v>
      </c>
      <c r="DQ279" s="270">
        <f t="shared" si="1848"/>
        <v>0</v>
      </c>
      <c r="DR279" s="270">
        <f t="shared" si="1848"/>
        <v>0</v>
      </c>
      <c r="DS279" s="270">
        <f t="shared" si="1848"/>
        <v>0</v>
      </c>
      <c r="DT279" s="270">
        <f t="shared" si="1848"/>
        <v>0</v>
      </c>
      <c r="DU279" s="270">
        <f t="shared" si="1848"/>
        <v>0</v>
      </c>
      <c r="DV279" s="270">
        <f t="shared" si="1848"/>
        <v>0</v>
      </c>
      <c r="DW279" s="270">
        <f t="shared" si="1848"/>
        <v>0</v>
      </c>
      <c r="DX279" s="270">
        <f t="shared" si="1848"/>
        <v>0</v>
      </c>
      <c r="DY279" s="270">
        <f t="shared" si="29"/>
        <v>0</v>
      </c>
      <c r="DZ279" s="274"/>
      <c r="EA279" s="275">
        <f t="shared" si="38"/>
        <v>0</v>
      </c>
      <c r="EB279" s="270">
        <f t="shared" ref="EB279:FC279" si="1849">IF(AJ277&lt;=0,0,IF($C278&lt;=SUM($EA279:EA279),0,IF(CU278+$C278-SUM($EA279:EA279)&gt;AJ277+BO278,AJ277+BO278-CU278,$C278-SUM($EA279:EA279))))</f>
        <v>0</v>
      </c>
      <c r="EC279" s="270">
        <f t="shared" si="1849"/>
        <v>0</v>
      </c>
      <c r="ED279" s="270">
        <f t="shared" si="1849"/>
        <v>0</v>
      </c>
      <c r="EE279" s="270">
        <f t="shared" si="1849"/>
        <v>0</v>
      </c>
      <c r="EF279" s="270">
        <f t="shared" si="1849"/>
        <v>0</v>
      </c>
      <c r="EG279" s="270">
        <f t="shared" si="1849"/>
        <v>0</v>
      </c>
      <c r="EH279" s="270">
        <f t="shared" si="1849"/>
        <v>0</v>
      </c>
      <c r="EI279" s="270">
        <f t="shared" si="1849"/>
        <v>0</v>
      </c>
      <c r="EJ279" s="270">
        <f t="shared" si="1849"/>
        <v>0</v>
      </c>
      <c r="EK279" s="270">
        <f t="shared" si="1849"/>
        <v>0</v>
      </c>
      <c r="EL279" s="270">
        <f t="shared" si="1849"/>
        <v>0</v>
      </c>
      <c r="EM279" s="270">
        <f t="shared" si="1849"/>
        <v>0</v>
      </c>
      <c r="EN279" s="270">
        <f t="shared" si="1849"/>
        <v>0</v>
      </c>
      <c r="EO279" s="270">
        <f t="shared" si="1849"/>
        <v>0</v>
      </c>
      <c r="EP279" s="270">
        <f t="shared" si="1849"/>
        <v>0</v>
      </c>
      <c r="EQ279" s="270">
        <f t="shared" si="1849"/>
        <v>0</v>
      </c>
      <c r="ER279" s="270">
        <f t="shared" si="1849"/>
        <v>0</v>
      </c>
      <c r="ES279" s="270">
        <f t="shared" si="1849"/>
        <v>0</v>
      </c>
      <c r="ET279" s="270">
        <f t="shared" si="1849"/>
        <v>0</v>
      </c>
      <c r="EU279" s="270">
        <f t="shared" si="1849"/>
        <v>0</v>
      </c>
      <c r="EV279" s="270">
        <f t="shared" si="1849"/>
        <v>0</v>
      </c>
      <c r="EW279" s="270">
        <f t="shared" si="1849"/>
        <v>0</v>
      </c>
      <c r="EX279" s="270">
        <f t="shared" si="1849"/>
        <v>0</v>
      </c>
      <c r="EY279" s="270">
        <f t="shared" si="1849"/>
        <v>0</v>
      </c>
      <c r="EZ279" s="270">
        <f t="shared" si="1849"/>
        <v>0</v>
      </c>
      <c r="FA279" s="270">
        <f t="shared" si="1849"/>
        <v>0</v>
      </c>
      <c r="FB279" s="270">
        <f t="shared" si="1849"/>
        <v>0</v>
      </c>
      <c r="FC279" s="270">
        <f t="shared" si="1849"/>
        <v>0</v>
      </c>
      <c r="FD279" s="271"/>
      <c r="FE279" s="271"/>
      <c r="FF279" s="271"/>
      <c r="FG279" s="215"/>
      <c r="FH279" s="215"/>
    </row>
    <row r="280" ht="11.25" customHeight="1">
      <c r="A280" s="215" t="str">
        <f t="shared" si="19"/>
        <v/>
      </c>
      <c r="B280" s="241" t="str">
        <f t="shared" si="600"/>
        <v>#N/A</v>
      </c>
      <c r="C280" s="271" t="str">
        <f>IF(A280="","",IF(Calculator!snowball,IF(($E$5-DY280)&lt;0,0,$E$5-DY280),0)+D280)</f>
        <v/>
      </c>
      <c r="D280" s="271"/>
      <c r="E280" s="270">
        <f t="shared" si="40"/>
        <v>0</v>
      </c>
      <c r="F280" s="270">
        <f t="shared" ref="F280:AG280" si="1850">CU280+EB281</f>
        <v>0</v>
      </c>
      <c r="G280" s="270">
        <f t="shared" si="1850"/>
        <v>0</v>
      </c>
      <c r="H280" s="270">
        <f t="shared" si="1850"/>
        <v>0</v>
      </c>
      <c r="I280" s="270">
        <f t="shared" si="1850"/>
        <v>0</v>
      </c>
      <c r="J280" s="270">
        <f t="shared" si="1850"/>
        <v>0</v>
      </c>
      <c r="K280" s="270">
        <f t="shared" si="1850"/>
        <v>0</v>
      </c>
      <c r="L280" s="270">
        <f t="shared" si="1850"/>
        <v>0</v>
      </c>
      <c r="M280" s="270">
        <f t="shared" si="1850"/>
        <v>0</v>
      </c>
      <c r="N280" s="270">
        <f t="shared" si="1850"/>
        <v>0</v>
      </c>
      <c r="O280" s="270">
        <f t="shared" si="1850"/>
        <v>0</v>
      </c>
      <c r="P280" s="272">
        <f t="shared" si="1850"/>
        <v>0</v>
      </c>
      <c r="Q280" s="272">
        <f t="shared" si="1850"/>
        <v>0</v>
      </c>
      <c r="R280" s="272">
        <f t="shared" si="1850"/>
        <v>0</v>
      </c>
      <c r="S280" s="272">
        <f t="shared" si="1850"/>
        <v>0</v>
      </c>
      <c r="T280" s="272">
        <f t="shared" si="1850"/>
        <v>0</v>
      </c>
      <c r="U280" s="270">
        <f t="shared" si="1850"/>
        <v>0</v>
      </c>
      <c r="V280" s="270">
        <f t="shared" si="1850"/>
        <v>0</v>
      </c>
      <c r="W280" s="270">
        <f t="shared" si="1850"/>
        <v>0</v>
      </c>
      <c r="X280" s="270">
        <f t="shared" si="1850"/>
        <v>0</v>
      </c>
      <c r="Y280" s="270">
        <f t="shared" si="1850"/>
        <v>0</v>
      </c>
      <c r="Z280" s="270">
        <f t="shared" si="1850"/>
        <v>0</v>
      </c>
      <c r="AA280" s="270">
        <f t="shared" si="1850"/>
        <v>0</v>
      </c>
      <c r="AB280" s="270">
        <f t="shared" si="1850"/>
        <v>0</v>
      </c>
      <c r="AC280" s="270">
        <f t="shared" si="1850"/>
        <v>0</v>
      </c>
      <c r="AD280" s="270">
        <f t="shared" si="1850"/>
        <v>0</v>
      </c>
      <c r="AE280" s="270">
        <f t="shared" si="1850"/>
        <v>0</v>
      </c>
      <c r="AF280" s="270">
        <f t="shared" si="1850"/>
        <v>0</v>
      </c>
      <c r="AG280" s="270">
        <f t="shared" si="1850"/>
        <v>0</v>
      </c>
      <c r="AH280" s="279">
        <f t="shared" si="602"/>
        <v>0</v>
      </c>
      <c r="AI280" s="270">
        <f t="shared" si="43"/>
        <v>0</v>
      </c>
      <c r="AJ280" s="270">
        <f t="shared" ref="AJ280:AO280" si="1851">IF(F$8=0,0,ROUND(AJ279-(F280-BO280),2))</f>
        <v>0</v>
      </c>
      <c r="AK280" s="270">
        <f t="shared" si="1851"/>
        <v>0</v>
      </c>
      <c r="AL280" s="270">
        <f t="shared" si="1851"/>
        <v>0</v>
      </c>
      <c r="AM280" s="270">
        <f t="shared" si="1851"/>
        <v>0</v>
      </c>
      <c r="AN280" s="270">
        <f t="shared" si="1851"/>
        <v>0</v>
      </c>
      <c r="AO280" s="270">
        <f t="shared" si="1851"/>
        <v>0</v>
      </c>
      <c r="AP280" s="270">
        <v>0.0</v>
      </c>
      <c r="AQ280" s="270">
        <f t="shared" ref="AQ280:AS280" si="1852">IF(M$8=0,0,ROUND(AQ279-(M280-BV280),2))</f>
        <v>0</v>
      </c>
      <c r="AR280" s="270">
        <f t="shared" si="1852"/>
        <v>0</v>
      </c>
      <c r="AS280" s="270">
        <f t="shared" si="1852"/>
        <v>0</v>
      </c>
      <c r="AT280" s="270">
        <f t="shared" si="605"/>
        <v>-6.22</v>
      </c>
      <c r="AU280" s="270">
        <f t="shared" ref="AU280:BK280" si="1853">IF(Q$8=0,0,ROUND(AU279-(Q280-BY280),2))</f>
        <v>-17.03</v>
      </c>
      <c r="AV280" s="270">
        <f t="shared" si="1853"/>
        <v>0</v>
      </c>
      <c r="AW280" s="270">
        <f t="shared" si="1853"/>
        <v>0</v>
      </c>
      <c r="AX280" s="270">
        <f t="shared" si="1853"/>
        <v>0</v>
      </c>
      <c r="AY280" s="270">
        <f t="shared" si="1853"/>
        <v>0</v>
      </c>
      <c r="AZ280" s="270">
        <f t="shared" si="1853"/>
        <v>0</v>
      </c>
      <c r="BA280" s="270">
        <f t="shared" si="1853"/>
        <v>0</v>
      </c>
      <c r="BB280" s="270">
        <f t="shared" si="1853"/>
        <v>0</v>
      </c>
      <c r="BC280" s="270">
        <f t="shared" si="1853"/>
        <v>0</v>
      </c>
      <c r="BD280" s="270">
        <f t="shared" si="1853"/>
        <v>0</v>
      </c>
      <c r="BE280" s="270">
        <f t="shared" si="1853"/>
        <v>0</v>
      </c>
      <c r="BF280" s="270">
        <f t="shared" si="1853"/>
        <v>0</v>
      </c>
      <c r="BG280" s="270">
        <f t="shared" si="1853"/>
        <v>0</v>
      </c>
      <c r="BH280" s="270">
        <f t="shared" si="1853"/>
        <v>0</v>
      </c>
      <c r="BI280" s="270">
        <f t="shared" si="1853"/>
        <v>0</v>
      </c>
      <c r="BJ280" s="270">
        <f t="shared" si="1853"/>
        <v>0</v>
      </c>
      <c r="BK280" s="270">
        <f t="shared" si="1853"/>
        <v>0</v>
      </c>
      <c r="BL280" s="265">
        <f t="shared" si="16"/>
        <v>-23.25</v>
      </c>
      <c r="BM280" s="215"/>
      <c r="BN280" s="270">
        <f t="shared" ref="BN280:CP280" si="1854">ROUND(AI279*E$9/12,2)</f>
        <v>0</v>
      </c>
      <c r="BO280" s="270">
        <f t="shared" si="1854"/>
        <v>0</v>
      </c>
      <c r="BP280" s="270">
        <f t="shared" si="1854"/>
        <v>0</v>
      </c>
      <c r="BQ280" s="270">
        <f t="shared" si="1854"/>
        <v>0</v>
      </c>
      <c r="BR280" s="270">
        <f t="shared" si="1854"/>
        <v>0</v>
      </c>
      <c r="BS280" s="270">
        <f t="shared" si="1854"/>
        <v>0</v>
      </c>
      <c r="BT280" s="270">
        <f t="shared" si="1854"/>
        <v>0</v>
      </c>
      <c r="BU280" s="270">
        <f t="shared" si="1854"/>
        <v>0</v>
      </c>
      <c r="BV280" s="270">
        <f t="shared" si="1854"/>
        <v>0</v>
      </c>
      <c r="BW280" s="270">
        <f t="shared" si="1854"/>
        <v>0</v>
      </c>
      <c r="BX280" s="270">
        <f t="shared" si="1854"/>
        <v>0</v>
      </c>
      <c r="BY280" s="270">
        <f t="shared" si="1854"/>
        <v>-0.05</v>
      </c>
      <c r="BZ280" s="270">
        <f t="shared" si="1854"/>
        <v>-0.05</v>
      </c>
      <c r="CA280" s="270">
        <f t="shared" si="1854"/>
        <v>0</v>
      </c>
      <c r="CB280" s="270">
        <f t="shared" si="1854"/>
        <v>0</v>
      </c>
      <c r="CC280" s="270">
        <f t="shared" si="1854"/>
        <v>0</v>
      </c>
      <c r="CD280" s="270">
        <f t="shared" si="1854"/>
        <v>0</v>
      </c>
      <c r="CE280" s="270">
        <f t="shared" si="1854"/>
        <v>0</v>
      </c>
      <c r="CF280" s="270">
        <f t="shared" si="1854"/>
        <v>0</v>
      </c>
      <c r="CG280" s="270">
        <f t="shared" si="1854"/>
        <v>0</v>
      </c>
      <c r="CH280" s="270">
        <f t="shared" si="1854"/>
        <v>0</v>
      </c>
      <c r="CI280" s="270">
        <f t="shared" si="1854"/>
        <v>0</v>
      </c>
      <c r="CJ280" s="270">
        <f t="shared" si="1854"/>
        <v>0</v>
      </c>
      <c r="CK280" s="270">
        <f t="shared" si="1854"/>
        <v>0</v>
      </c>
      <c r="CL280" s="270">
        <f t="shared" si="1854"/>
        <v>0</v>
      </c>
      <c r="CM280" s="270">
        <f t="shared" si="1854"/>
        <v>0</v>
      </c>
      <c r="CN280" s="270">
        <f t="shared" si="1854"/>
        <v>0</v>
      </c>
      <c r="CO280" s="270">
        <f t="shared" si="1854"/>
        <v>0</v>
      </c>
      <c r="CP280" s="270">
        <f t="shared" si="1854"/>
        <v>0</v>
      </c>
      <c r="CQ280" s="215"/>
      <c r="CR280" s="270">
        <f t="shared" si="27"/>
        <v>-0.1</v>
      </c>
      <c r="CS280" s="215"/>
      <c r="CT280" s="270">
        <f t="shared" ref="CT280:DX280" si="1855">IF(AI279&gt;0,IF((AI279+BN280)&lt;E$10,AI279+BN280,E$10),0)</f>
        <v>0</v>
      </c>
      <c r="CU280" s="270">
        <f t="shared" si="1855"/>
        <v>0</v>
      </c>
      <c r="CV280" s="270">
        <f t="shared" si="1855"/>
        <v>0</v>
      </c>
      <c r="CW280" s="270">
        <f t="shared" si="1855"/>
        <v>0</v>
      </c>
      <c r="CX280" s="270">
        <f t="shared" si="1855"/>
        <v>0</v>
      </c>
      <c r="CY280" s="270">
        <f t="shared" si="1855"/>
        <v>0</v>
      </c>
      <c r="CZ280" s="270">
        <f t="shared" si="1855"/>
        <v>0</v>
      </c>
      <c r="DA280" s="270">
        <f t="shared" si="1855"/>
        <v>0</v>
      </c>
      <c r="DB280" s="270">
        <f t="shared" si="1855"/>
        <v>0</v>
      </c>
      <c r="DC280" s="270">
        <f t="shared" si="1855"/>
        <v>0</v>
      </c>
      <c r="DD280" s="270">
        <f t="shared" si="1855"/>
        <v>0</v>
      </c>
      <c r="DE280" s="270">
        <f t="shared" si="1855"/>
        <v>0</v>
      </c>
      <c r="DF280" s="270">
        <f t="shared" si="1855"/>
        <v>0</v>
      </c>
      <c r="DG280" s="270">
        <f t="shared" si="1855"/>
        <v>0</v>
      </c>
      <c r="DH280" s="270">
        <f t="shared" si="1855"/>
        <v>0</v>
      </c>
      <c r="DI280" s="270">
        <f t="shared" si="1855"/>
        <v>0</v>
      </c>
      <c r="DJ280" s="270">
        <f t="shared" si="1855"/>
        <v>0</v>
      </c>
      <c r="DK280" s="270">
        <f t="shared" si="1855"/>
        <v>0</v>
      </c>
      <c r="DL280" s="270">
        <f t="shared" si="1855"/>
        <v>0</v>
      </c>
      <c r="DM280" s="270">
        <f t="shared" si="1855"/>
        <v>0</v>
      </c>
      <c r="DN280" s="270">
        <f t="shared" si="1855"/>
        <v>0</v>
      </c>
      <c r="DO280" s="270">
        <f t="shared" si="1855"/>
        <v>0</v>
      </c>
      <c r="DP280" s="270">
        <f t="shared" si="1855"/>
        <v>0</v>
      </c>
      <c r="DQ280" s="270">
        <f t="shared" si="1855"/>
        <v>0</v>
      </c>
      <c r="DR280" s="270">
        <f t="shared" si="1855"/>
        <v>0</v>
      </c>
      <c r="DS280" s="270">
        <f t="shared" si="1855"/>
        <v>0</v>
      </c>
      <c r="DT280" s="270">
        <f t="shared" si="1855"/>
        <v>0</v>
      </c>
      <c r="DU280" s="270">
        <f t="shared" si="1855"/>
        <v>0</v>
      </c>
      <c r="DV280" s="270">
        <f t="shared" si="1855"/>
        <v>0</v>
      </c>
      <c r="DW280" s="270">
        <f t="shared" si="1855"/>
        <v>0</v>
      </c>
      <c r="DX280" s="270">
        <f t="shared" si="1855"/>
        <v>0</v>
      </c>
      <c r="DY280" s="270">
        <f t="shared" si="29"/>
        <v>0</v>
      </c>
      <c r="DZ280" s="274"/>
      <c r="EA280" s="275">
        <f t="shared" si="38"/>
        <v>0</v>
      </c>
      <c r="EB280" s="270">
        <f t="shared" ref="EB280:FC280" si="1856">IF(AJ278&lt;=0,0,IF($C279&lt;=SUM($EA280:EA280),0,IF(CU279+$C279-SUM($EA280:EA280)&gt;AJ278+BO279,AJ278+BO279-CU279,$C279-SUM($EA280:EA280))))</f>
        <v>0</v>
      </c>
      <c r="EC280" s="270">
        <f t="shared" si="1856"/>
        <v>0</v>
      </c>
      <c r="ED280" s="270">
        <f t="shared" si="1856"/>
        <v>0</v>
      </c>
      <c r="EE280" s="270">
        <f t="shared" si="1856"/>
        <v>0</v>
      </c>
      <c r="EF280" s="270">
        <f t="shared" si="1856"/>
        <v>0</v>
      </c>
      <c r="EG280" s="270">
        <f t="shared" si="1856"/>
        <v>0</v>
      </c>
      <c r="EH280" s="270">
        <f t="shared" si="1856"/>
        <v>0</v>
      </c>
      <c r="EI280" s="270">
        <f t="shared" si="1856"/>
        <v>0</v>
      </c>
      <c r="EJ280" s="270">
        <f t="shared" si="1856"/>
        <v>0</v>
      </c>
      <c r="EK280" s="270">
        <f t="shared" si="1856"/>
        <v>0</v>
      </c>
      <c r="EL280" s="270">
        <f t="shared" si="1856"/>
        <v>0</v>
      </c>
      <c r="EM280" s="270">
        <f t="shared" si="1856"/>
        <v>0</v>
      </c>
      <c r="EN280" s="270">
        <f t="shared" si="1856"/>
        <v>0</v>
      </c>
      <c r="EO280" s="270">
        <f t="shared" si="1856"/>
        <v>0</v>
      </c>
      <c r="EP280" s="270">
        <f t="shared" si="1856"/>
        <v>0</v>
      </c>
      <c r="EQ280" s="270">
        <f t="shared" si="1856"/>
        <v>0</v>
      </c>
      <c r="ER280" s="270">
        <f t="shared" si="1856"/>
        <v>0</v>
      </c>
      <c r="ES280" s="270">
        <f t="shared" si="1856"/>
        <v>0</v>
      </c>
      <c r="ET280" s="270">
        <f t="shared" si="1856"/>
        <v>0</v>
      </c>
      <c r="EU280" s="270">
        <f t="shared" si="1856"/>
        <v>0</v>
      </c>
      <c r="EV280" s="270">
        <f t="shared" si="1856"/>
        <v>0</v>
      </c>
      <c r="EW280" s="270">
        <f t="shared" si="1856"/>
        <v>0</v>
      </c>
      <c r="EX280" s="270">
        <f t="shared" si="1856"/>
        <v>0</v>
      </c>
      <c r="EY280" s="270">
        <f t="shared" si="1856"/>
        <v>0</v>
      </c>
      <c r="EZ280" s="270">
        <f t="shared" si="1856"/>
        <v>0</v>
      </c>
      <c r="FA280" s="270">
        <f t="shared" si="1856"/>
        <v>0</v>
      </c>
      <c r="FB280" s="270">
        <f t="shared" si="1856"/>
        <v>0</v>
      </c>
      <c r="FC280" s="270">
        <f t="shared" si="1856"/>
        <v>0</v>
      </c>
      <c r="FD280" s="271"/>
      <c r="FE280" s="271"/>
      <c r="FF280" s="271"/>
      <c r="FG280" s="215"/>
      <c r="FH280" s="215"/>
    </row>
    <row r="281" ht="11.25" customHeight="1">
      <c r="A281" s="215" t="str">
        <f t="shared" si="19"/>
        <v/>
      </c>
      <c r="B281" s="241" t="str">
        <f t="shared" si="600"/>
        <v>#N/A</v>
      </c>
      <c r="C281" s="271" t="str">
        <f>IF(A281="","",IF(Calculator!snowball,IF(($E$5-DY281)&lt;0,0,$E$5-DY281),0)+D281)</f>
        <v/>
      </c>
      <c r="D281" s="271"/>
      <c r="E281" s="270">
        <f t="shared" si="40"/>
        <v>0</v>
      </c>
      <c r="F281" s="270">
        <f t="shared" ref="F281:AG281" si="1857">CU281+EB282</f>
        <v>0</v>
      </c>
      <c r="G281" s="270">
        <f t="shared" si="1857"/>
        <v>0</v>
      </c>
      <c r="H281" s="270">
        <f t="shared" si="1857"/>
        <v>0</v>
      </c>
      <c r="I281" s="270">
        <f t="shared" si="1857"/>
        <v>0</v>
      </c>
      <c r="J281" s="270">
        <f t="shared" si="1857"/>
        <v>0</v>
      </c>
      <c r="K281" s="270">
        <f t="shared" si="1857"/>
        <v>0</v>
      </c>
      <c r="L281" s="270">
        <f t="shared" si="1857"/>
        <v>0</v>
      </c>
      <c r="M281" s="270">
        <f t="shared" si="1857"/>
        <v>0</v>
      </c>
      <c r="N281" s="270">
        <f t="shared" si="1857"/>
        <v>0</v>
      </c>
      <c r="O281" s="270">
        <f t="shared" si="1857"/>
        <v>0</v>
      </c>
      <c r="P281" s="272">
        <f t="shared" si="1857"/>
        <v>0</v>
      </c>
      <c r="Q281" s="272">
        <f t="shared" si="1857"/>
        <v>0</v>
      </c>
      <c r="R281" s="272">
        <f t="shared" si="1857"/>
        <v>0</v>
      </c>
      <c r="S281" s="272">
        <f t="shared" si="1857"/>
        <v>0</v>
      </c>
      <c r="T281" s="272">
        <f t="shared" si="1857"/>
        <v>0</v>
      </c>
      <c r="U281" s="270">
        <f t="shared" si="1857"/>
        <v>0</v>
      </c>
      <c r="V281" s="270">
        <f t="shared" si="1857"/>
        <v>0</v>
      </c>
      <c r="W281" s="270">
        <f t="shared" si="1857"/>
        <v>0</v>
      </c>
      <c r="X281" s="270">
        <f t="shared" si="1857"/>
        <v>0</v>
      </c>
      <c r="Y281" s="270">
        <f t="shared" si="1857"/>
        <v>0</v>
      </c>
      <c r="Z281" s="270">
        <f t="shared" si="1857"/>
        <v>0</v>
      </c>
      <c r="AA281" s="270">
        <f t="shared" si="1857"/>
        <v>0</v>
      </c>
      <c r="AB281" s="270">
        <f t="shared" si="1857"/>
        <v>0</v>
      </c>
      <c r="AC281" s="270">
        <f t="shared" si="1857"/>
        <v>0</v>
      </c>
      <c r="AD281" s="270">
        <f t="shared" si="1857"/>
        <v>0</v>
      </c>
      <c r="AE281" s="270">
        <f t="shared" si="1857"/>
        <v>0</v>
      </c>
      <c r="AF281" s="270">
        <f t="shared" si="1857"/>
        <v>0</v>
      </c>
      <c r="AG281" s="270">
        <f t="shared" si="1857"/>
        <v>0</v>
      </c>
      <c r="AH281" s="279">
        <f t="shared" si="602"/>
        <v>0</v>
      </c>
      <c r="AI281" s="270">
        <f t="shared" si="43"/>
        <v>0</v>
      </c>
      <c r="AJ281" s="270">
        <f t="shared" ref="AJ281:AO281" si="1858">IF(F$8=0,0,ROUND(AJ280-(F281-BO281),2))</f>
        <v>0</v>
      </c>
      <c r="AK281" s="270">
        <f t="shared" si="1858"/>
        <v>0</v>
      </c>
      <c r="AL281" s="270">
        <f t="shared" si="1858"/>
        <v>0</v>
      </c>
      <c r="AM281" s="270">
        <f t="shared" si="1858"/>
        <v>0</v>
      </c>
      <c r="AN281" s="270">
        <f t="shared" si="1858"/>
        <v>0</v>
      </c>
      <c r="AO281" s="270">
        <f t="shared" si="1858"/>
        <v>0</v>
      </c>
      <c r="AP281" s="270">
        <v>0.0</v>
      </c>
      <c r="AQ281" s="270">
        <f t="shared" ref="AQ281:AS281" si="1859">IF(M$8=0,0,ROUND(AQ280-(M281-BV281),2))</f>
        <v>0</v>
      </c>
      <c r="AR281" s="270">
        <f t="shared" si="1859"/>
        <v>0</v>
      </c>
      <c r="AS281" s="270">
        <f t="shared" si="1859"/>
        <v>0</v>
      </c>
      <c r="AT281" s="270">
        <f t="shared" si="605"/>
        <v>-6.22</v>
      </c>
      <c r="AU281" s="270">
        <f t="shared" ref="AU281:BK281" si="1860">IF(Q$8=0,0,ROUND(AU280-(Q281-BY281),2))</f>
        <v>-17.08</v>
      </c>
      <c r="AV281" s="270">
        <f t="shared" si="1860"/>
        <v>0</v>
      </c>
      <c r="AW281" s="270">
        <f t="shared" si="1860"/>
        <v>0</v>
      </c>
      <c r="AX281" s="270">
        <f t="shared" si="1860"/>
        <v>0</v>
      </c>
      <c r="AY281" s="270">
        <f t="shared" si="1860"/>
        <v>0</v>
      </c>
      <c r="AZ281" s="270">
        <f t="shared" si="1860"/>
        <v>0</v>
      </c>
      <c r="BA281" s="270">
        <f t="shared" si="1860"/>
        <v>0</v>
      </c>
      <c r="BB281" s="270">
        <f t="shared" si="1860"/>
        <v>0</v>
      </c>
      <c r="BC281" s="270">
        <f t="shared" si="1860"/>
        <v>0</v>
      </c>
      <c r="BD281" s="270">
        <f t="shared" si="1860"/>
        <v>0</v>
      </c>
      <c r="BE281" s="270">
        <f t="shared" si="1860"/>
        <v>0</v>
      </c>
      <c r="BF281" s="270">
        <f t="shared" si="1860"/>
        <v>0</v>
      </c>
      <c r="BG281" s="270">
        <f t="shared" si="1860"/>
        <v>0</v>
      </c>
      <c r="BH281" s="270">
        <f t="shared" si="1860"/>
        <v>0</v>
      </c>
      <c r="BI281" s="270">
        <f t="shared" si="1860"/>
        <v>0</v>
      </c>
      <c r="BJ281" s="270">
        <f t="shared" si="1860"/>
        <v>0</v>
      </c>
      <c r="BK281" s="270">
        <f t="shared" si="1860"/>
        <v>0</v>
      </c>
      <c r="BL281" s="265">
        <f t="shared" si="16"/>
        <v>-23.3</v>
      </c>
      <c r="BM281" s="215"/>
      <c r="BN281" s="270">
        <f t="shared" ref="BN281:CP281" si="1861">ROUND(AI280*E$9/12,2)</f>
        <v>0</v>
      </c>
      <c r="BO281" s="270">
        <f t="shared" si="1861"/>
        <v>0</v>
      </c>
      <c r="BP281" s="270">
        <f t="shared" si="1861"/>
        <v>0</v>
      </c>
      <c r="BQ281" s="270">
        <f t="shared" si="1861"/>
        <v>0</v>
      </c>
      <c r="BR281" s="270">
        <f t="shared" si="1861"/>
        <v>0</v>
      </c>
      <c r="BS281" s="270">
        <f t="shared" si="1861"/>
        <v>0</v>
      </c>
      <c r="BT281" s="270">
        <f t="shared" si="1861"/>
        <v>0</v>
      </c>
      <c r="BU281" s="270">
        <f t="shared" si="1861"/>
        <v>0</v>
      </c>
      <c r="BV281" s="270">
        <f t="shared" si="1861"/>
        <v>0</v>
      </c>
      <c r="BW281" s="270">
        <f t="shared" si="1861"/>
        <v>0</v>
      </c>
      <c r="BX281" s="270">
        <f t="shared" si="1861"/>
        <v>0</v>
      </c>
      <c r="BY281" s="270">
        <f t="shared" si="1861"/>
        <v>-0.05</v>
      </c>
      <c r="BZ281" s="270">
        <f t="shared" si="1861"/>
        <v>-0.05</v>
      </c>
      <c r="CA281" s="270">
        <f t="shared" si="1861"/>
        <v>0</v>
      </c>
      <c r="CB281" s="270">
        <f t="shared" si="1861"/>
        <v>0</v>
      </c>
      <c r="CC281" s="270">
        <f t="shared" si="1861"/>
        <v>0</v>
      </c>
      <c r="CD281" s="270">
        <f t="shared" si="1861"/>
        <v>0</v>
      </c>
      <c r="CE281" s="270">
        <f t="shared" si="1861"/>
        <v>0</v>
      </c>
      <c r="CF281" s="270">
        <f t="shared" si="1861"/>
        <v>0</v>
      </c>
      <c r="CG281" s="270">
        <f t="shared" si="1861"/>
        <v>0</v>
      </c>
      <c r="CH281" s="270">
        <f t="shared" si="1861"/>
        <v>0</v>
      </c>
      <c r="CI281" s="270">
        <f t="shared" si="1861"/>
        <v>0</v>
      </c>
      <c r="CJ281" s="270">
        <f t="shared" si="1861"/>
        <v>0</v>
      </c>
      <c r="CK281" s="270">
        <f t="shared" si="1861"/>
        <v>0</v>
      </c>
      <c r="CL281" s="270">
        <f t="shared" si="1861"/>
        <v>0</v>
      </c>
      <c r="CM281" s="270">
        <f t="shared" si="1861"/>
        <v>0</v>
      </c>
      <c r="CN281" s="270">
        <f t="shared" si="1861"/>
        <v>0</v>
      </c>
      <c r="CO281" s="270">
        <f t="shared" si="1861"/>
        <v>0</v>
      </c>
      <c r="CP281" s="270">
        <f t="shared" si="1861"/>
        <v>0</v>
      </c>
      <c r="CQ281" s="215"/>
      <c r="CR281" s="270">
        <f t="shared" si="27"/>
        <v>-0.1</v>
      </c>
      <c r="CS281" s="215"/>
      <c r="CT281" s="270">
        <f t="shared" ref="CT281:DX281" si="1862">IF(AI280&gt;0,IF((AI280+BN281)&lt;E$10,AI280+BN281,E$10),0)</f>
        <v>0</v>
      </c>
      <c r="CU281" s="270">
        <f t="shared" si="1862"/>
        <v>0</v>
      </c>
      <c r="CV281" s="270">
        <f t="shared" si="1862"/>
        <v>0</v>
      </c>
      <c r="CW281" s="270">
        <f t="shared" si="1862"/>
        <v>0</v>
      </c>
      <c r="CX281" s="270">
        <f t="shared" si="1862"/>
        <v>0</v>
      </c>
      <c r="CY281" s="270">
        <f t="shared" si="1862"/>
        <v>0</v>
      </c>
      <c r="CZ281" s="270">
        <f t="shared" si="1862"/>
        <v>0</v>
      </c>
      <c r="DA281" s="270">
        <f t="shared" si="1862"/>
        <v>0</v>
      </c>
      <c r="DB281" s="270">
        <f t="shared" si="1862"/>
        <v>0</v>
      </c>
      <c r="DC281" s="270">
        <f t="shared" si="1862"/>
        <v>0</v>
      </c>
      <c r="DD281" s="270">
        <f t="shared" si="1862"/>
        <v>0</v>
      </c>
      <c r="DE281" s="270">
        <f t="shared" si="1862"/>
        <v>0</v>
      </c>
      <c r="DF281" s="270">
        <f t="shared" si="1862"/>
        <v>0</v>
      </c>
      <c r="DG281" s="270">
        <f t="shared" si="1862"/>
        <v>0</v>
      </c>
      <c r="DH281" s="270">
        <f t="shared" si="1862"/>
        <v>0</v>
      </c>
      <c r="DI281" s="270">
        <f t="shared" si="1862"/>
        <v>0</v>
      </c>
      <c r="DJ281" s="270">
        <f t="shared" si="1862"/>
        <v>0</v>
      </c>
      <c r="DK281" s="270">
        <f t="shared" si="1862"/>
        <v>0</v>
      </c>
      <c r="DL281" s="270">
        <f t="shared" si="1862"/>
        <v>0</v>
      </c>
      <c r="DM281" s="270">
        <f t="shared" si="1862"/>
        <v>0</v>
      </c>
      <c r="DN281" s="270">
        <f t="shared" si="1862"/>
        <v>0</v>
      </c>
      <c r="DO281" s="270">
        <f t="shared" si="1862"/>
        <v>0</v>
      </c>
      <c r="DP281" s="270">
        <f t="shared" si="1862"/>
        <v>0</v>
      </c>
      <c r="DQ281" s="270">
        <f t="shared" si="1862"/>
        <v>0</v>
      </c>
      <c r="DR281" s="270">
        <f t="shared" si="1862"/>
        <v>0</v>
      </c>
      <c r="DS281" s="270">
        <f t="shared" si="1862"/>
        <v>0</v>
      </c>
      <c r="DT281" s="270">
        <f t="shared" si="1862"/>
        <v>0</v>
      </c>
      <c r="DU281" s="270">
        <f t="shared" si="1862"/>
        <v>0</v>
      </c>
      <c r="DV281" s="270">
        <f t="shared" si="1862"/>
        <v>0</v>
      </c>
      <c r="DW281" s="270">
        <f t="shared" si="1862"/>
        <v>0</v>
      </c>
      <c r="DX281" s="270">
        <f t="shared" si="1862"/>
        <v>0</v>
      </c>
      <c r="DY281" s="270">
        <f t="shared" si="29"/>
        <v>0</v>
      </c>
      <c r="DZ281" s="274"/>
      <c r="EA281" s="275">
        <f t="shared" si="38"/>
        <v>0</v>
      </c>
      <c r="EB281" s="270">
        <f t="shared" ref="EB281:FC281" si="1863">IF(AJ279&lt;=0,0,IF($C280&lt;=SUM($EA281:EA281),0,IF(CU280+$C280-SUM($EA281:EA281)&gt;AJ279+BO280,AJ279+BO280-CU280,$C280-SUM($EA281:EA281))))</f>
        <v>0</v>
      </c>
      <c r="EC281" s="270">
        <f t="shared" si="1863"/>
        <v>0</v>
      </c>
      <c r="ED281" s="270">
        <f t="shared" si="1863"/>
        <v>0</v>
      </c>
      <c r="EE281" s="270">
        <f t="shared" si="1863"/>
        <v>0</v>
      </c>
      <c r="EF281" s="270">
        <f t="shared" si="1863"/>
        <v>0</v>
      </c>
      <c r="EG281" s="270">
        <f t="shared" si="1863"/>
        <v>0</v>
      </c>
      <c r="EH281" s="270">
        <f t="shared" si="1863"/>
        <v>0</v>
      </c>
      <c r="EI281" s="270">
        <f t="shared" si="1863"/>
        <v>0</v>
      </c>
      <c r="EJ281" s="270">
        <f t="shared" si="1863"/>
        <v>0</v>
      </c>
      <c r="EK281" s="270">
        <f t="shared" si="1863"/>
        <v>0</v>
      </c>
      <c r="EL281" s="270">
        <f t="shared" si="1863"/>
        <v>0</v>
      </c>
      <c r="EM281" s="270">
        <f t="shared" si="1863"/>
        <v>0</v>
      </c>
      <c r="EN281" s="270">
        <f t="shared" si="1863"/>
        <v>0</v>
      </c>
      <c r="EO281" s="270">
        <f t="shared" si="1863"/>
        <v>0</v>
      </c>
      <c r="EP281" s="270">
        <f t="shared" si="1863"/>
        <v>0</v>
      </c>
      <c r="EQ281" s="270">
        <f t="shared" si="1863"/>
        <v>0</v>
      </c>
      <c r="ER281" s="270">
        <f t="shared" si="1863"/>
        <v>0</v>
      </c>
      <c r="ES281" s="270">
        <f t="shared" si="1863"/>
        <v>0</v>
      </c>
      <c r="ET281" s="270">
        <f t="shared" si="1863"/>
        <v>0</v>
      </c>
      <c r="EU281" s="270">
        <f t="shared" si="1863"/>
        <v>0</v>
      </c>
      <c r="EV281" s="270">
        <f t="shared" si="1863"/>
        <v>0</v>
      </c>
      <c r="EW281" s="270">
        <f t="shared" si="1863"/>
        <v>0</v>
      </c>
      <c r="EX281" s="270">
        <f t="shared" si="1863"/>
        <v>0</v>
      </c>
      <c r="EY281" s="270">
        <f t="shared" si="1863"/>
        <v>0</v>
      </c>
      <c r="EZ281" s="270">
        <f t="shared" si="1863"/>
        <v>0</v>
      </c>
      <c r="FA281" s="270">
        <f t="shared" si="1863"/>
        <v>0</v>
      </c>
      <c r="FB281" s="270">
        <f t="shared" si="1863"/>
        <v>0</v>
      </c>
      <c r="FC281" s="270">
        <f t="shared" si="1863"/>
        <v>0</v>
      </c>
      <c r="FD281" s="271"/>
      <c r="FE281" s="271"/>
      <c r="FF281" s="271"/>
      <c r="FG281" s="215"/>
      <c r="FH281" s="215"/>
    </row>
    <row r="282" ht="11.25" customHeight="1">
      <c r="A282" s="215" t="str">
        <f t="shared" si="19"/>
        <v/>
      </c>
      <c r="B282" s="241" t="str">
        <f t="shared" si="600"/>
        <v>#N/A</v>
      </c>
      <c r="C282" s="271" t="str">
        <f>IF(A282="","",IF(Calculator!snowball,IF(($E$5-DY282)&lt;0,0,$E$5-DY282),0)+D282)</f>
        <v/>
      </c>
      <c r="D282" s="271"/>
      <c r="E282" s="270">
        <f t="shared" si="40"/>
        <v>0</v>
      </c>
      <c r="F282" s="270">
        <f t="shared" ref="F282:AG282" si="1864">CU282+EB283</f>
        <v>0</v>
      </c>
      <c r="G282" s="270">
        <f t="shared" si="1864"/>
        <v>0</v>
      </c>
      <c r="H282" s="270">
        <f t="shared" si="1864"/>
        <v>0</v>
      </c>
      <c r="I282" s="270">
        <f t="shared" si="1864"/>
        <v>0</v>
      </c>
      <c r="J282" s="270">
        <f t="shared" si="1864"/>
        <v>0</v>
      </c>
      <c r="K282" s="270">
        <f t="shared" si="1864"/>
        <v>0</v>
      </c>
      <c r="L282" s="270">
        <f t="shared" si="1864"/>
        <v>0</v>
      </c>
      <c r="M282" s="270">
        <f t="shared" si="1864"/>
        <v>0</v>
      </c>
      <c r="N282" s="270">
        <f t="shared" si="1864"/>
        <v>0</v>
      </c>
      <c r="O282" s="270">
        <f t="shared" si="1864"/>
        <v>0</v>
      </c>
      <c r="P282" s="272">
        <f t="shared" si="1864"/>
        <v>0</v>
      </c>
      <c r="Q282" s="272">
        <f t="shared" si="1864"/>
        <v>0</v>
      </c>
      <c r="R282" s="272">
        <f t="shared" si="1864"/>
        <v>0</v>
      </c>
      <c r="S282" s="272">
        <f t="shared" si="1864"/>
        <v>0</v>
      </c>
      <c r="T282" s="272">
        <f t="shared" si="1864"/>
        <v>0</v>
      </c>
      <c r="U282" s="270">
        <f t="shared" si="1864"/>
        <v>0</v>
      </c>
      <c r="V282" s="270">
        <f t="shared" si="1864"/>
        <v>0</v>
      </c>
      <c r="W282" s="270">
        <f t="shared" si="1864"/>
        <v>0</v>
      </c>
      <c r="X282" s="270">
        <f t="shared" si="1864"/>
        <v>0</v>
      </c>
      <c r="Y282" s="270">
        <f t="shared" si="1864"/>
        <v>0</v>
      </c>
      <c r="Z282" s="270">
        <f t="shared" si="1864"/>
        <v>0</v>
      </c>
      <c r="AA282" s="270">
        <f t="shared" si="1864"/>
        <v>0</v>
      </c>
      <c r="AB282" s="270">
        <f t="shared" si="1864"/>
        <v>0</v>
      </c>
      <c r="AC282" s="270">
        <f t="shared" si="1864"/>
        <v>0</v>
      </c>
      <c r="AD282" s="270">
        <f t="shared" si="1864"/>
        <v>0</v>
      </c>
      <c r="AE282" s="270">
        <f t="shared" si="1864"/>
        <v>0</v>
      </c>
      <c r="AF282" s="270">
        <f t="shared" si="1864"/>
        <v>0</v>
      </c>
      <c r="AG282" s="270">
        <f t="shared" si="1864"/>
        <v>0</v>
      </c>
      <c r="AH282" s="279">
        <f t="shared" si="602"/>
        <v>0</v>
      </c>
      <c r="AI282" s="270">
        <f t="shared" si="43"/>
        <v>0</v>
      </c>
      <c r="AJ282" s="270">
        <f t="shared" ref="AJ282:AO282" si="1865">IF(F$8=0,0,ROUND(AJ281-(F282-BO282),2))</f>
        <v>0</v>
      </c>
      <c r="AK282" s="270">
        <f t="shared" si="1865"/>
        <v>0</v>
      </c>
      <c r="AL282" s="270">
        <f t="shared" si="1865"/>
        <v>0</v>
      </c>
      <c r="AM282" s="270">
        <f t="shared" si="1865"/>
        <v>0</v>
      </c>
      <c r="AN282" s="270">
        <f t="shared" si="1865"/>
        <v>0</v>
      </c>
      <c r="AO282" s="270">
        <f t="shared" si="1865"/>
        <v>0</v>
      </c>
      <c r="AP282" s="270">
        <v>0.0</v>
      </c>
      <c r="AQ282" s="270">
        <f t="shared" ref="AQ282:AS282" si="1866">IF(M$8=0,0,ROUND(AQ281-(M282-BV282),2))</f>
        <v>0</v>
      </c>
      <c r="AR282" s="270">
        <f t="shared" si="1866"/>
        <v>0</v>
      </c>
      <c r="AS282" s="270">
        <f t="shared" si="1866"/>
        <v>0</v>
      </c>
      <c r="AT282" s="270">
        <f t="shared" si="605"/>
        <v>-6.22</v>
      </c>
      <c r="AU282" s="270">
        <f t="shared" ref="AU282:BK282" si="1867">IF(Q$8=0,0,ROUND(AU281-(Q282-BY282),2))</f>
        <v>-17.13</v>
      </c>
      <c r="AV282" s="270">
        <f t="shared" si="1867"/>
        <v>0</v>
      </c>
      <c r="AW282" s="270">
        <f t="shared" si="1867"/>
        <v>0</v>
      </c>
      <c r="AX282" s="270">
        <f t="shared" si="1867"/>
        <v>0</v>
      </c>
      <c r="AY282" s="270">
        <f t="shared" si="1867"/>
        <v>0</v>
      </c>
      <c r="AZ282" s="270">
        <f t="shared" si="1867"/>
        <v>0</v>
      </c>
      <c r="BA282" s="270">
        <f t="shared" si="1867"/>
        <v>0</v>
      </c>
      <c r="BB282" s="270">
        <f t="shared" si="1867"/>
        <v>0</v>
      </c>
      <c r="BC282" s="270">
        <f t="shared" si="1867"/>
        <v>0</v>
      </c>
      <c r="BD282" s="270">
        <f t="shared" si="1867"/>
        <v>0</v>
      </c>
      <c r="BE282" s="270">
        <f t="shared" si="1867"/>
        <v>0</v>
      </c>
      <c r="BF282" s="270">
        <f t="shared" si="1867"/>
        <v>0</v>
      </c>
      <c r="BG282" s="270">
        <f t="shared" si="1867"/>
        <v>0</v>
      </c>
      <c r="BH282" s="270">
        <f t="shared" si="1867"/>
        <v>0</v>
      </c>
      <c r="BI282" s="270">
        <f t="shared" si="1867"/>
        <v>0</v>
      </c>
      <c r="BJ282" s="270">
        <f t="shared" si="1867"/>
        <v>0</v>
      </c>
      <c r="BK282" s="270">
        <f t="shared" si="1867"/>
        <v>0</v>
      </c>
      <c r="BL282" s="265">
        <f t="shared" si="16"/>
        <v>-23.35</v>
      </c>
      <c r="BM282" s="215"/>
      <c r="BN282" s="270">
        <f t="shared" ref="BN282:CP282" si="1868">ROUND(AI281*E$9/12,2)</f>
        <v>0</v>
      </c>
      <c r="BO282" s="270">
        <f t="shared" si="1868"/>
        <v>0</v>
      </c>
      <c r="BP282" s="270">
        <f t="shared" si="1868"/>
        <v>0</v>
      </c>
      <c r="BQ282" s="270">
        <f t="shared" si="1868"/>
        <v>0</v>
      </c>
      <c r="BR282" s="270">
        <f t="shared" si="1868"/>
        <v>0</v>
      </c>
      <c r="BS282" s="270">
        <f t="shared" si="1868"/>
        <v>0</v>
      </c>
      <c r="BT282" s="270">
        <f t="shared" si="1868"/>
        <v>0</v>
      </c>
      <c r="BU282" s="270">
        <f t="shared" si="1868"/>
        <v>0</v>
      </c>
      <c r="BV282" s="270">
        <f t="shared" si="1868"/>
        <v>0</v>
      </c>
      <c r="BW282" s="270">
        <f t="shared" si="1868"/>
        <v>0</v>
      </c>
      <c r="BX282" s="270">
        <f t="shared" si="1868"/>
        <v>0</v>
      </c>
      <c r="BY282" s="270">
        <f t="shared" si="1868"/>
        <v>-0.05</v>
      </c>
      <c r="BZ282" s="270">
        <f t="shared" si="1868"/>
        <v>-0.05</v>
      </c>
      <c r="CA282" s="270">
        <f t="shared" si="1868"/>
        <v>0</v>
      </c>
      <c r="CB282" s="270">
        <f t="shared" si="1868"/>
        <v>0</v>
      </c>
      <c r="CC282" s="270">
        <f t="shared" si="1868"/>
        <v>0</v>
      </c>
      <c r="CD282" s="270">
        <f t="shared" si="1868"/>
        <v>0</v>
      </c>
      <c r="CE282" s="270">
        <f t="shared" si="1868"/>
        <v>0</v>
      </c>
      <c r="CF282" s="270">
        <f t="shared" si="1868"/>
        <v>0</v>
      </c>
      <c r="CG282" s="270">
        <f t="shared" si="1868"/>
        <v>0</v>
      </c>
      <c r="CH282" s="270">
        <f t="shared" si="1868"/>
        <v>0</v>
      </c>
      <c r="CI282" s="270">
        <f t="shared" si="1868"/>
        <v>0</v>
      </c>
      <c r="CJ282" s="270">
        <f t="shared" si="1868"/>
        <v>0</v>
      </c>
      <c r="CK282" s="270">
        <f t="shared" si="1868"/>
        <v>0</v>
      </c>
      <c r="CL282" s="270">
        <f t="shared" si="1868"/>
        <v>0</v>
      </c>
      <c r="CM282" s="270">
        <f t="shared" si="1868"/>
        <v>0</v>
      </c>
      <c r="CN282" s="270">
        <f t="shared" si="1868"/>
        <v>0</v>
      </c>
      <c r="CO282" s="270">
        <f t="shared" si="1868"/>
        <v>0</v>
      </c>
      <c r="CP282" s="270">
        <f t="shared" si="1868"/>
        <v>0</v>
      </c>
      <c r="CQ282" s="215"/>
      <c r="CR282" s="270">
        <f t="shared" si="27"/>
        <v>-0.1</v>
      </c>
      <c r="CS282" s="215"/>
      <c r="CT282" s="270">
        <f t="shared" ref="CT282:DX282" si="1869">IF(AI281&gt;0,IF((AI281+BN282)&lt;E$10,AI281+BN282,E$10),0)</f>
        <v>0</v>
      </c>
      <c r="CU282" s="270">
        <f t="shared" si="1869"/>
        <v>0</v>
      </c>
      <c r="CV282" s="270">
        <f t="shared" si="1869"/>
        <v>0</v>
      </c>
      <c r="CW282" s="270">
        <f t="shared" si="1869"/>
        <v>0</v>
      </c>
      <c r="CX282" s="270">
        <f t="shared" si="1869"/>
        <v>0</v>
      </c>
      <c r="CY282" s="270">
        <f t="shared" si="1869"/>
        <v>0</v>
      </c>
      <c r="CZ282" s="270">
        <f t="shared" si="1869"/>
        <v>0</v>
      </c>
      <c r="DA282" s="270">
        <f t="shared" si="1869"/>
        <v>0</v>
      </c>
      <c r="DB282" s="270">
        <f t="shared" si="1869"/>
        <v>0</v>
      </c>
      <c r="DC282" s="270">
        <f t="shared" si="1869"/>
        <v>0</v>
      </c>
      <c r="DD282" s="270">
        <f t="shared" si="1869"/>
        <v>0</v>
      </c>
      <c r="DE282" s="270">
        <f t="shared" si="1869"/>
        <v>0</v>
      </c>
      <c r="DF282" s="270">
        <f t="shared" si="1869"/>
        <v>0</v>
      </c>
      <c r="DG282" s="270">
        <f t="shared" si="1869"/>
        <v>0</v>
      </c>
      <c r="DH282" s="270">
        <f t="shared" si="1869"/>
        <v>0</v>
      </c>
      <c r="DI282" s="270">
        <f t="shared" si="1869"/>
        <v>0</v>
      </c>
      <c r="DJ282" s="270">
        <f t="shared" si="1869"/>
        <v>0</v>
      </c>
      <c r="DK282" s="270">
        <f t="shared" si="1869"/>
        <v>0</v>
      </c>
      <c r="DL282" s="270">
        <f t="shared" si="1869"/>
        <v>0</v>
      </c>
      <c r="DM282" s="270">
        <f t="shared" si="1869"/>
        <v>0</v>
      </c>
      <c r="DN282" s="270">
        <f t="shared" si="1869"/>
        <v>0</v>
      </c>
      <c r="DO282" s="270">
        <f t="shared" si="1869"/>
        <v>0</v>
      </c>
      <c r="DP282" s="270">
        <f t="shared" si="1869"/>
        <v>0</v>
      </c>
      <c r="DQ282" s="270">
        <f t="shared" si="1869"/>
        <v>0</v>
      </c>
      <c r="DR282" s="270">
        <f t="shared" si="1869"/>
        <v>0</v>
      </c>
      <c r="DS282" s="270">
        <f t="shared" si="1869"/>
        <v>0</v>
      </c>
      <c r="DT282" s="270">
        <f t="shared" si="1869"/>
        <v>0</v>
      </c>
      <c r="DU282" s="270">
        <f t="shared" si="1869"/>
        <v>0</v>
      </c>
      <c r="DV282" s="270">
        <f t="shared" si="1869"/>
        <v>0</v>
      </c>
      <c r="DW282" s="270">
        <f t="shared" si="1869"/>
        <v>0</v>
      </c>
      <c r="DX282" s="270">
        <f t="shared" si="1869"/>
        <v>0</v>
      </c>
      <c r="DY282" s="270">
        <f t="shared" si="29"/>
        <v>0</v>
      </c>
      <c r="DZ282" s="274"/>
      <c r="EA282" s="275">
        <f t="shared" si="38"/>
        <v>0</v>
      </c>
      <c r="EB282" s="270">
        <f t="shared" ref="EB282:FC282" si="1870">IF(AJ280&lt;=0,0,IF($C281&lt;=SUM($EA282:EA282),0,IF(CU281+$C281-SUM($EA282:EA282)&gt;AJ280+BO281,AJ280+BO281-CU281,$C281-SUM($EA282:EA282))))</f>
        <v>0</v>
      </c>
      <c r="EC282" s="270">
        <f t="shared" si="1870"/>
        <v>0</v>
      </c>
      <c r="ED282" s="270">
        <f t="shared" si="1870"/>
        <v>0</v>
      </c>
      <c r="EE282" s="270">
        <f t="shared" si="1870"/>
        <v>0</v>
      </c>
      <c r="EF282" s="270">
        <f t="shared" si="1870"/>
        <v>0</v>
      </c>
      <c r="EG282" s="270">
        <f t="shared" si="1870"/>
        <v>0</v>
      </c>
      <c r="EH282" s="270">
        <f t="shared" si="1870"/>
        <v>0</v>
      </c>
      <c r="EI282" s="270">
        <f t="shared" si="1870"/>
        <v>0</v>
      </c>
      <c r="EJ282" s="270">
        <f t="shared" si="1870"/>
        <v>0</v>
      </c>
      <c r="EK282" s="270">
        <f t="shared" si="1870"/>
        <v>0</v>
      </c>
      <c r="EL282" s="270">
        <f t="shared" si="1870"/>
        <v>0</v>
      </c>
      <c r="EM282" s="270">
        <f t="shared" si="1870"/>
        <v>0</v>
      </c>
      <c r="EN282" s="270">
        <f t="shared" si="1870"/>
        <v>0</v>
      </c>
      <c r="EO282" s="270">
        <f t="shared" si="1870"/>
        <v>0</v>
      </c>
      <c r="EP282" s="270">
        <f t="shared" si="1870"/>
        <v>0</v>
      </c>
      <c r="EQ282" s="270">
        <f t="shared" si="1870"/>
        <v>0</v>
      </c>
      <c r="ER282" s="270">
        <f t="shared" si="1870"/>
        <v>0</v>
      </c>
      <c r="ES282" s="270">
        <f t="shared" si="1870"/>
        <v>0</v>
      </c>
      <c r="ET282" s="270">
        <f t="shared" si="1870"/>
        <v>0</v>
      </c>
      <c r="EU282" s="270">
        <f t="shared" si="1870"/>
        <v>0</v>
      </c>
      <c r="EV282" s="270">
        <f t="shared" si="1870"/>
        <v>0</v>
      </c>
      <c r="EW282" s="270">
        <f t="shared" si="1870"/>
        <v>0</v>
      </c>
      <c r="EX282" s="270">
        <f t="shared" si="1870"/>
        <v>0</v>
      </c>
      <c r="EY282" s="270">
        <f t="shared" si="1870"/>
        <v>0</v>
      </c>
      <c r="EZ282" s="270">
        <f t="shared" si="1870"/>
        <v>0</v>
      </c>
      <c r="FA282" s="270">
        <f t="shared" si="1870"/>
        <v>0</v>
      </c>
      <c r="FB282" s="270">
        <f t="shared" si="1870"/>
        <v>0</v>
      </c>
      <c r="FC282" s="270">
        <f t="shared" si="1870"/>
        <v>0</v>
      </c>
      <c r="FD282" s="271"/>
      <c r="FE282" s="271"/>
      <c r="FF282" s="271"/>
      <c r="FG282" s="215"/>
      <c r="FH282" s="215"/>
    </row>
    <row r="283" ht="11.25" customHeight="1">
      <c r="A283" s="215" t="str">
        <f t="shared" si="19"/>
        <v/>
      </c>
      <c r="B283" s="241" t="str">
        <f t="shared" si="600"/>
        <v>#N/A</v>
      </c>
      <c r="C283" s="271" t="str">
        <f>IF(A283="","",IF(Calculator!snowball,IF(($E$5-DY283)&lt;0,0,$E$5-DY283),0)+D283)</f>
        <v/>
      </c>
      <c r="D283" s="271"/>
      <c r="E283" s="270">
        <f t="shared" si="40"/>
        <v>0</v>
      </c>
      <c r="F283" s="270">
        <f t="shared" ref="F283:AG283" si="1871">CU283+EB284</f>
        <v>0</v>
      </c>
      <c r="G283" s="270">
        <f t="shared" si="1871"/>
        <v>0</v>
      </c>
      <c r="H283" s="270">
        <f t="shared" si="1871"/>
        <v>0</v>
      </c>
      <c r="I283" s="270">
        <f t="shared" si="1871"/>
        <v>0</v>
      </c>
      <c r="J283" s="270">
        <f t="shared" si="1871"/>
        <v>0</v>
      </c>
      <c r="K283" s="270">
        <f t="shared" si="1871"/>
        <v>0</v>
      </c>
      <c r="L283" s="270">
        <f t="shared" si="1871"/>
        <v>0</v>
      </c>
      <c r="M283" s="270">
        <f t="shared" si="1871"/>
        <v>0</v>
      </c>
      <c r="N283" s="270">
        <f t="shared" si="1871"/>
        <v>0</v>
      </c>
      <c r="O283" s="270">
        <f t="shared" si="1871"/>
        <v>0</v>
      </c>
      <c r="P283" s="272">
        <f t="shared" si="1871"/>
        <v>0</v>
      </c>
      <c r="Q283" s="272">
        <f t="shared" si="1871"/>
        <v>0</v>
      </c>
      <c r="R283" s="272">
        <f t="shared" si="1871"/>
        <v>0</v>
      </c>
      <c r="S283" s="272">
        <f t="shared" si="1871"/>
        <v>0</v>
      </c>
      <c r="T283" s="272">
        <f t="shared" si="1871"/>
        <v>0</v>
      </c>
      <c r="U283" s="270">
        <f t="shared" si="1871"/>
        <v>0</v>
      </c>
      <c r="V283" s="270">
        <f t="shared" si="1871"/>
        <v>0</v>
      </c>
      <c r="W283" s="270">
        <f t="shared" si="1871"/>
        <v>0</v>
      </c>
      <c r="X283" s="270">
        <f t="shared" si="1871"/>
        <v>0</v>
      </c>
      <c r="Y283" s="270">
        <f t="shared" si="1871"/>
        <v>0</v>
      </c>
      <c r="Z283" s="270">
        <f t="shared" si="1871"/>
        <v>0</v>
      </c>
      <c r="AA283" s="270">
        <f t="shared" si="1871"/>
        <v>0</v>
      </c>
      <c r="AB283" s="270">
        <f t="shared" si="1871"/>
        <v>0</v>
      </c>
      <c r="AC283" s="270">
        <f t="shared" si="1871"/>
        <v>0</v>
      </c>
      <c r="AD283" s="270">
        <f t="shared" si="1871"/>
        <v>0</v>
      </c>
      <c r="AE283" s="270">
        <f t="shared" si="1871"/>
        <v>0</v>
      </c>
      <c r="AF283" s="270">
        <f t="shared" si="1871"/>
        <v>0</v>
      </c>
      <c r="AG283" s="270">
        <f t="shared" si="1871"/>
        <v>0</v>
      </c>
      <c r="AH283" s="279">
        <f t="shared" si="602"/>
        <v>0</v>
      </c>
      <c r="AI283" s="270">
        <f t="shared" si="43"/>
        <v>0</v>
      </c>
      <c r="AJ283" s="270">
        <f t="shared" ref="AJ283:AO283" si="1872">IF(F$8=0,0,ROUND(AJ282-(F283-BO283),2))</f>
        <v>0</v>
      </c>
      <c r="AK283" s="270">
        <f t="shared" si="1872"/>
        <v>0</v>
      </c>
      <c r="AL283" s="270">
        <f t="shared" si="1872"/>
        <v>0</v>
      </c>
      <c r="AM283" s="270">
        <f t="shared" si="1872"/>
        <v>0</v>
      </c>
      <c r="AN283" s="270">
        <f t="shared" si="1872"/>
        <v>0</v>
      </c>
      <c r="AO283" s="270">
        <f t="shared" si="1872"/>
        <v>0</v>
      </c>
      <c r="AP283" s="270">
        <v>0.0</v>
      </c>
      <c r="AQ283" s="270">
        <f t="shared" ref="AQ283:AS283" si="1873">IF(M$8=0,0,ROUND(AQ282-(M283-BV283),2))</f>
        <v>0</v>
      </c>
      <c r="AR283" s="270">
        <f t="shared" si="1873"/>
        <v>0</v>
      </c>
      <c r="AS283" s="270">
        <f t="shared" si="1873"/>
        <v>0</v>
      </c>
      <c r="AT283" s="270">
        <f t="shared" si="605"/>
        <v>-6.22</v>
      </c>
      <c r="AU283" s="270">
        <f t="shared" ref="AU283:BK283" si="1874">IF(Q$8=0,0,ROUND(AU282-(Q283-BY283),2))</f>
        <v>-17.18</v>
      </c>
      <c r="AV283" s="270">
        <f t="shared" si="1874"/>
        <v>0</v>
      </c>
      <c r="AW283" s="270">
        <f t="shared" si="1874"/>
        <v>0</v>
      </c>
      <c r="AX283" s="270">
        <f t="shared" si="1874"/>
        <v>0</v>
      </c>
      <c r="AY283" s="270">
        <f t="shared" si="1874"/>
        <v>0</v>
      </c>
      <c r="AZ283" s="270">
        <f t="shared" si="1874"/>
        <v>0</v>
      </c>
      <c r="BA283" s="270">
        <f t="shared" si="1874"/>
        <v>0</v>
      </c>
      <c r="BB283" s="270">
        <f t="shared" si="1874"/>
        <v>0</v>
      </c>
      <c r="BC283" s="270">
        <f t="shared" si="1874"/>
        <v>0</v>
      </c>
      <c r="BD283" s="270">
        <f t="shared" si="1874"/>
        <v>0</v>
      </c>
      <c r="BE283" s="270">
        <f t="shared" si="1874"/>
        <v>0</v>
      </c>
      <c r="BF283" s="270">
        <f t="shared" si="1874"/>
        <v>0</v>
      </c>
      <c r="BG283" s="270">
        <f t="shared" si="1874"/>
        <v>0</v>
      </c>
      <c r="BH283" s="270">
        <f t="shared" si="1874"/>
        <v>0</v>
      </c>
      <c r="BI283" s="270">
        <f t="shared" si="1874"/>
        <v>0</v>
      </c>
      <c r="BJ283" s="270">
        <f t="shared" si="1874"/>
        <v>0</v>
      </c>
      <c r="BK283" s="270">
        <f t="shared" si="1874"/>
        <v>0</v>
      </c>
      <c r="BL283" s="265">
        <f t="shared" si="16"/>
        <v>-23.4</v>
      </c>
      <c r="BM283" s="215"/>
      <c r="BN283" s="270">
        <f t="shared" ref="BN283:CP283" si="1875">ROUND(AI282*E$9/12,2)</f>
        <v>0</v>
      </c>
      <c r="BO283" s="270">
        <f t="shared" si="1875"/>
        <v>0</v>
      </c>
      <c r="BP283" s="270">
        <f t="shared" si="1875"/>
        <v>0</v>
      </c>
      <c r="BQ283" s="270">
        <f t="shared" si="1875"/>
        <v>0</v>
      </c>
      <c r="BR283" s="270">
        <f t="shared" si="1875"/>
        <v>0</v>
      </c>
      <c r="BS283" s="270">
        <f t="shared" si="1875"/>
        <v>0</v>
      </c>
      <c r="BT283" s="270">
        <f t="shared" si="1875"/>
        <v>0</v>
      </c>
      <c r="BU283" s="270">
        <f t="shared" si="1875"/>
        <v>0</v>
      </c>
      <c r="BV283" s="270">
        <f t="shared" si="1875"/>
        <v>0</v>
      </c>
      <c r="BW283" s="270">
        <f t="shared" si="1875"/>
        <v>0</v>
      </c>
      <c r="BX283" s="270">
        <f t="shared" si="1875"/>
        <v>0</v>
      </c>
      <c r="BY283" s="270">
        <f t="shared" si="1875"/>
        <v>-0.05</v>
      </c>
      <c r="BZ283" s="270">
        <f t="shared" si="1875"/>
        <v>-0.05</v>
      </c>
      <c r="CA283" s="270">
        <f t="shared" si="1875"/>
        <v>0</v>
      </c>
      <c r="CB283" s="270">
        <f t="shared" si="1875"/>
        <v>0</v>
      </c>
      <c r="CC283" s="270">
        <f t="shared" si="1875"/>
        <v>0</v>
      </c>
      <c r="CD283" s="270">
        <f t="shared" si="1875"/>
        <v>0</v>
      </c>
      <c r="CE283" s="270">
        <f t="shared" si="1875"/>
        <v>0</v>
      </c>
      <c r="CF283" s="270">
        <f t="shared" si="1875"/>
        <v>0</v>
      </c>
      <c r="CG283" s="270">
        <f t="shared" si="1875"/>
        <v>0</v>
      </c>
      <c r="CH283" s="270">
        <f t="shared" si="1875"/>
        <v>0</v>
      </c>
      <c r="CI283" s="270">
        <f t="shared" si="1875"/>
        <v>0</v>
      </c>
      <c r="CJ283" s="270">
        <f t="shared" si="1875"/>
        <v>0</v>
      </c>
      <c r="CK283" s="270">
        <f t="shared" si="1875"/>
        <v>0</v>
      </c>
      <c r="CL283" s="270">
        <f t="shared" si="1875"/>
        <v>0</v>
      </c>
      <c r="CM283" s="270">
        <f t="shared" si="1875"/>
        <v>0</v>
      </c>
      <c r="CN283" s="270">
        <f t="shared" si="1875"/>
        <v>0</v>
      </c>
      <c r="CO283" s="270">
        <f t="shared" si="1875"/>
        <v>0</v>
      </c>
      <c r="CP283" s="270">
        <f t="shared" si="1875"/>
        <v>0</v>
      </c>
      <c r="CQ283" s="215"/>
      <c r="CR283" s="270">
        <f t="shared" si="27"/>
        <v>-0.1</v>
      </c>
      <c r="CS283" s="215"/>
      <c r="CT283" s="270">
        <f t="shared" ref="CT283:DX283" si="1876">IF(AI282&gt;0,IF((AI282+BN283)&lt;E$10,AI282+BN283,E$10),0)</f>
        <v>0</v>
      </c>
      <c r="CU283" s="270">
        <f t="shared" si="1876"/>
        <v>0</v>
      </c>
      <c r="CV283" s="270">
        <f t="shared" si="1876"/>
        <v>0</v>
      </c>
      <c r="CW283" s="270">
        <f t="shared" si="1876"/>
        <v>0</v>
      </c>
      <c r="CX283" s="270">
        <f t="shared" si="1876"/>
        <v>0</v>
      </c>
      <c r="CY283" s="270">
        <f t="shared" si="1876"/>
        <v>0</v>
      </c>
      <c r="CZ283" s="270">
        <f t="shared" si="1876"/>
        <v>0</v>
      </c>
      <c r="DA283" s="270">
        <f t="shared" si="1876"/>
        <v>0</v>
      </c>
      <c r="DB283" s="270">
        <f t="shared" si="1876"/>
        <v>0</v>
      </c>
      <c r="DC283" s="270">
        <f t="shared" si="1876"/>
        <v>0</v>
      </c>
      <c r="DD283" s="270">
        <f t="shared" si="1876"/>
        <v>0</v>
      </c>
      <c r="DE283" s="270">
        <f t="shared" si="1876"/>
        <v>0</v>
      </c>
      <c r="DF283" s="270">
        <f t="shared" si="1876"/>
        <v>0</v>
      </c>
      <c r="DG283" s="270">
        <f t="shared" si="1876"/>
        <v>0</v>
      </c>
      <c r="DH283" s="270">
        <f t="shared" si="1876"/>
        <v>0</v>
      </c>
      <c r="DI283" s="270">
        <f t="shared" si="1876"/>
        <v>0</v>
      </c>
      <c r="DJ283" s="270">
        <f t="shared" si="1876"/>
        <v>0</v>
      </c>
      <c r="DK283" s="270">
        <f t="shared" si="1876"/>
        <v>0</v>
      </c>
      <c r="DL283" s="270">
        <f t="shared" si="1876"/>
        <v>0</v>
      </c>
      <c r="DM283" s="270">
        <f t="shared" si="1876"/>
        <v>0</v>
      </c>
      <c r="DN283" s="270">
        <f t="shared" si="1876"/>
        <v>0</v>
      </c>
      <c r="DO283" s="270">
        <f t="shared" si="1876"/>
        <v>0</v>
      </c>
      <c r="DP283" s="270">
        <f t="shared" si="1876"/>
        <v>0</v>
      </c>
      <c r="DQ283" s="270">
        <f t="shared" si="1876"/>
        <v>0</v>
      </c>
      <c r="DR283" s="270">
        <f t="shared" si="1876"/>
        <v>0</v>
      </c>
      <c r="DS283" s="270">
        <f t="shared" si="1876"/>
        <v>0</v>
      </c>
      <c r="DT283" s="270">
        <f t="shared" si="1876"/>
        <v>0</v>
      </c>
      <c r="DU283" s="270">
        <f t="shared" si="1876"/>
        <v>0</v>
      </c>
      <c r="DV283" s="270">
        <f t="shared" si="1876"/>
        <v>0</v>
      </c>
      <c r="DW283" s="270">
        <f t="shared" si="1876"/>
        <v>0</v>
      </c>
      <c r="DX283" s="270">
        <f t="shared" si="1876"/>
        <v>0</v>
      </c>
      <c r="DY283" s="270">
        <f t="shared" si="29"/>
        <v>0</v>
      </c>
      <c r="DZ283" s="274"/>
      <c r="EA283" s="275">
        <f t="shared" si="38"/>
        <v>0</v>
      </c>
      <c r="EB283" s="270">
        <f t="shared" ref="EB283:FC283" si="1877">IF(AJ281&lt;=0,0,IF($C282&lt;=SUM($EA283:EA283),0,IF(CU282+$C282-SUM($EA283:EA283)&gt;AJ281+BO282,AJ281+BO282-CU282,$C282-SUM($EA283:EA283))))</f>
        <v>0</v>
      </c>
      <c r="EC283" s="270">
        <f t="shared" si="1877"/>
        <v>0</v>
      </c>
      <c r="ED283" s="270">
        <f t="shared" si="1877"/>
        <v>0</v>
      </c>
      <c r="EE283" s="270">
        <f t="shared" si="1877"/>
        <v>0</v>
      </c>
      <c r="EF283" s="270">
        <f t="shared" si="1877"/>
        <v>0</v>
      </c>
      <c r="EG283" s="270">
        <f t="shared" si="1877"/>
        <v>0</v>
      </c>
      <c r="EH283" s="270">
        <f t="shared" si="1877"/>
        <v>0</v>
      </c>
      <c r="EI283" s="270">
        <f t="shared" si="1877"/>
        <v>0</v>
      </c>
      <c r="EJ283" s="270">
        <f t="shared" si="1877"/>
        <v>0</v>
      </c>
      <c r="EK283" s="270">
        <f t="shared" si="1877"/>
        <v>0</v>
      </c>
      <c r="EL283" s="270">
        <f t="shared" si="1877"/>
        <v>0</v>
      </c>
      <c r="EM283" s="270">
        <f t="shared" si="1877"/>
        <v>0</v>
      </c>
      <c r="EN283" s="270">
        <f t="shared" si="1877"/>
        <v>0</v>
      </c>
      <c r="EO283" s="270">
        <f t="shared" si="1877"/>
        <v>0</v>
      </c>
      <c r="EP283" s="270">
        <f t="shared" si="1877"/>
        <v>0</v>
      </c>
      <c r="EQ283" s="270">
        <f t="shared" si="1877"/>
        <v>0</v>
      </c>
      <c r="ER283" s="270">
        <f t="shared" si="1877"/>
        <v>0</v>
      </c>
      <c r="ES283" s="270">
        <f t="shared" si="1877"/>
        <v>0</v>
      </c>
      <c r="ET283" s="270">
        <f t="shared" si="1877"/>
        <v>0</v>
      </c>
      <c r="EU283" s="270">
        <f t="shared" si="1877"/>
        <v>0</v>
      </c>
      <c r="EV283" s="270">
        <f t="shared" si="1877"/>
        <v>0</v>
      </c>
      <c r="EW283" s="270">
        <f t="shared" si="1877"/>
        <v>0</v>
      </c>
      <c r="EX283" s="270">
        <f t="shared" si="1877"/>
        <v>0</v>
      </c>
      <c r="EY283" s="270">
        <f t="shared" si="1877"/>
        <v>0</v>
      </c>
      <c r="EZ283" s="270">
        <f t="shared" si="1877"/>
        <v>0</v>
      </c>
      <c r="FA283" s="270">
        <f t="shared" si="1877"/>
        <v>0</v>
      </c>
      <c r="FB283" s="270">
        <f t="shared" si="1877"/>
        <v>0</v>
      </c>
      <c r="FC283" s="270">
        <f t="shared" si="1877"/>
        <v>0</v>
      </c>
      <c r="FD283" s="271"/>
      <c r="FE283" s="271"/>
      <c r="FF283" s="271"/>
      <c r="FG283" s="215"/>
      <c r="FH283" s="215"/>
    </row>
    <row r="284" ht="11.25" customHeight="1">
      <c r="A284" s="215" t="str">
        <f t="shared" si="19"/>
        <v/>
      </c>
      <c r="B284" s="241" t="str">
        <f t="shared" si="600"/>
        <v>#N/A</v>
      </c>
      <c r="C284" s="271" t="str">
        <f>IF(A284="","",IF(Calculator!snowball,IF(($E$5-DY284)&lt;0,0,$E$5-DY284),0)+D284)</f>
        <v/>
      </c>
      <c r="D284" s="271"/>
      <c r="E284" s="270">
        <f t="shared" si="40"/>
        <v>0</v>
      </c>
      <c r="F284" s="270">
        <f t="shared" ref="F284:AG284" si="1878">CU284+EB285</f>
        <v>0</v>
      </c>
      <c r="G284" s="270">
        <f t="shared" si="1878"/>
        <v>0</v>
      </c>
      <c r="H284" s="270">
        <f t="shared" si="1878"/>
        <v>0</v>
      </c>
      <c r="I284" s="270">
        <f t="shared" si="1878"/>
        <v>0</v>
      </c>
      <c r="J284" s="270">
        <f t="shared" si="1878"/>
        <v>0</v>
      </c>
      <c r="K284" s="270">
        <f t="shared" si="1878"/>
        <v>0</v>
      </c>
      <c r="L284" s="270">
        <f t="shared" si="1878"/>
        <v>0</v>
      </c>
      <c r="M284" s="270">
        <f t="shared" si="1878"/>
        <v>0</v>
      </c>
      <c r="N284" s="270">
        <f t="shared" si="1878"/>
        <v>0</v>
      </c>
      <c r="O284" s="270">
        <f t="shared" si="1878"/>
        <v>0</v>
      </c>
      <c r="P284" s="272">
        <f t="shared" si="1878"/>
        <v>0</v>
      </c>
      <c r="Q284" s="272">
        <f t="shared" si="1878"/>
        <v>0</v>
      </c>
      <c r="R284" s="272">
        <f t="shared" si="1878"/>
        <v>0</v>
      </c>
      <c r="S284" s="272">
        <f t="shared" si="1878"/>
        <v>0</v>
      </c>
      <c r="T284" s="272">
        <f t="shared" si="1878"/>
        <v>0</v>
      </c>
      <c r="U284" s="270">
        <f t="shared" si="1878"/>
        <v>0</v>
      </c>
      <c r="V284" s="270">
        <f t="shared" si="1878"/>
        <v>0</v>
      </c>
      <c r="W284" s="270">
        <f t="shared" si="1878"/>
        <v>0</v>
      </c>
      <c r="X284" s="270">
        <f t="shared" si="1878"/>
        <v>0</v>
      </c>
      <c r="Y284" s="270">
        <f t="shared" si="1878"/>
        <v>0</v>
      </c>
      <c r="Z284" s="270">
        <f t="shared" si="1878"/>
        <v>0</v>
      </c>
      <c r="AA284" s="270">
        <f t="shared" si="1878"/>
        <v>0</v>
      </c>
      <c r="AB284" s="270">
        <f t="shared" si="1878"/>
        <v>0</v>
      </c>
      <c r="AC284" s="270">
        <f t="shared" si="1878"/>
        <v>0</v>
      </c>
      <c r="AD284" s="270">
        <f t="shared" si="1878"/>
        <v>0</v>
      </c>
      <c r="AE284" s="270">
        <f t="shared" si="1878"/>
        <v>0</v>
      </c>
      <c r="AF284" s="270">
        <f t="shared" si="1878"/>
        <v>0</v>
      </c>
      <c r="AG284" s="270">
        <f t="shared" si="1878"/>
        <v>0</v>
      </c>
      <c r="AH284" s="279">
        <f t="shared" si="602"/>
        <v>0</v>
      </c>
      <c r="AI284" s="270">
        <f t="shared" si="43"/>
        <v>0</v>
      </c>
      <c r="AJ284" s="270">
        <f t="shared" ref="AJ284:AO284" si="1879">IF(F$8=0,0,ROUND(AJ283-(F284-BO284),2))</f>
        <v>0</v>
      </c>
      <c r="AK284" s="270">
        <f t="shared" si="1879"/>
        <v>0</v>
      </c>
      <c r="AL284" s="270">
        <f t="shared" si="1879"/>
        <v>0</v>
      </c>
      <c r="AM284" s="270">
        <f t="shared" si="1879"/>
        <v>0</v>
      </c>
      <c r="AN284" s="270">
        <f t="shared" si="1879"/>
        <v>0</v>
      </c>
      <c r="AO284" s="270">
        <f t="shared" si="1879"/>
        <v>0</v>
      </c>
      <c r="AP284" s="270">
        <v>0.0</v>
      </c>
      <c r="AQ284" s="270">
        <f t="shared" ref="AQ284:AS284" si="1880">IF(M$8=0,0,ROUND(AQ283-(M284-BV284),2))</f>
        <v>0</v>
      </c>
      <c r="AR284" s="270">
        <f t="shared" si="1880"/>
        <v>0</v>
      </c>
      <c r="AS284" s="270">
        <f t="shared" si="1880"/>
        <v>0</v>
      </c>
      <c r="AT284" s="270">
        <f t="shared" si="605"/>
        <v>-6.22</v>
      </c>
      <c r="AU284" s="270">
        <f t="shared" ref="AU284:BK284" si="1881">IF(Q$8=0,0,ROUND(AU283-(Q284-BY284),2))</f>
        <v>-17.23</v>
      </c>
      <c r="AV284" s="270">
        <f t="shared" si="1881"/>
        <v>0</v>
      </c>
      <c r="AW284" s="270">
        <f t="shared" si="1881"/>
        <v>0</v>
      </c>
      <c r="AX284" s="270">
        <f t="shared" si="1881"/>
        <v>0</v>
      </c>
      <c r="AY284" s="270">
        <f t="shared" si="1881"/>
        <v>0</v>
      </c>
      <c r="AZ284" s="270">
        <f t="shared" si="1881"/>
        <v>0</v>
      </c>
      <c r="BA284" s="270">
        <f t="shared" si="1881"/>
        <v>0</v>
      </c>
      <c r="BB284" s="270">
        <f t="shared" si="1881"/>
        <v>0</v>
      </c>
      <c r="BC284" s="270">
        <f t="shared" si="1881"/>
        <v>0</v>
      </c>
      <c r="BD284" s="270">
        <f t="shared" si="1881"/>
        <v>0</v>
      </c>
      <c r="BE284" s="270">
        <f t="shared" si="1881"/>
        <v>0</v>
      </c>
      <c r="BF284" s="270">
        <f t="shared" si="1881"/>
        <v>0</v>
      </c>
      <c r="BG284" s="270">
        <f t="shared" si="1881"/>
        <v>0</v>
      </c>
      <c r="BH284" s="270">
        <f t="shared" si="1881"/>
        <v>0</v>
      </c>
      <c r="BI284" s="270">
        <f t="shared" si="1881"/>
        <v>0</v>
      </c>
      <c r="BJ284" s="270">
        <f t="shared" si="1881"/>
        <v>0</v>
      </c>
      <c r="BK284" s="270">
        <f t="shared" si="1881"/>
        <v>0</v>
      </c>
      <c r="BL284" s="265">
        <f t="shared" si="16"/>
        <v>-23.45</v>
      </c>
      <c r="BM284" s="215"/>
      <c r="BN284" s="270">
        <f t="shared" ref="BN284:CP284" si="1882">ROUND(AI283*E$9/12,2)</f>
        <v>0</v>
      </c>
      <c r="BO284" s="270">
        <f t="shared" si="1882"/>
        <v>0</v>
      </c>
      <c r="BP284" s="270">
        <f t="shared" si="1882"/>
        <v>0</v>
      </c>
      <c r="BQ284" s="270">
        <f t="shared" si="1882"/>
        <v>0</v>
      </c>
      <c r="BR284" s="270">
        <f t="shared" si="1882"/>
        <v>0</v>
      </c>
      <c r="BS284" s="270">
        <f t="shared" si="1882"/>
        <v>0</v>
      </c>
      <c r="BT284" s="270">
        <f t="shared" si="1882"/>
        <v>0</v>
      </c>
      <c r="BU284" s="270">
        <f t="shared" si="1882"/>
        <v>0</v>
      </c>
      <c r="BV284" s="270">
        <f t="shared" si="1882"/>
        <v>0</v>
      </c>
      <c r="BW284" s="270">
        <f t="shared" si="1882"/>
        <v>0</v>
      </c>
      <c r="BX284" s="270">
        <f t="shared" si="1882"/>
        <v>0</v>
      </c>
      <c r="BY284" s="270">
        <f t="shared" si="1882"/>
        <v>-0.05</v>
      </c>
      <c r="BZ284" s="270">
        <f t="shared" si="1882"/>
        <v>-0.05</v>
      </c>
      <c r="CA284" s="270">
        <f t="shared" si="1882"/>
        <v>0</v>
      </c>
      <c r="CB284" s="270">
        <f t="shared" si="1882"/>
        <v>0</v>
      </c>
      <c r="CC284" s="270">
        <f t="shared" si="1882"/>
        <v>0</v>
      </c>
      <c r="CD284" s="270">
        <f t="shared" si="1882"/>
        <v>0</v>
      </c>
      <c r="CE284" s="270">
        <f t="shared" si="1882"/>
        <v>0</v>
      </c>
      <c r="CF284" s="270">
        <f t="shared" si="1882"/>
        <v>0</v>
      </c>
      <c r="CG284" s="270">
        <f t="shared" si="1882"/>
        <v>0</v>
      </c>
      <c r="CH284" s="270">
        <f t="shared" si="1882"/>
        <v>0</v>
      </c>
      <c r="CI284" s="270">
        <f t="shared" si="1882"/>
        <v>0</v>
      </c>
      <c r="CJ284" s="270">
        <f t="shared" si="1882"/>
        <v>0</v>
      </c>
      <c r="CK284" s="270">
        <f t="shared" si="1882"/>
        <v>0</v>
      </c>
      <c r="CL284" s="270">
        <f t="shared" si="1882"/>
        <v>0</v>
      </c>
      <c r="CM284" s="270">
        <f t="shared" si="1882"/>
        <v>0</v>
      </c>
      <c r="CN284" s="270">
        <f t="shared" si="1882"/>
        <v>0</v>
      </c>
      <c r="CO284" s="270">
        <f t="shared" si="1882"/>
        <v>0</v>
      </c>
      <c r="CP284" s="270">
        <f t="shared" si="1882"/>
        <v>0</v>
      </c>
      <c r="CQ284" s="215"/>
      <c r="CR284" s="270">
        <f t="shared" si="27"/>
        <v>-0.1</v>
      </c>
      <c r="CS284" s="215"/>
      <c r="CT284" s="270">
        <f t="shared" ref="CT284:DX284" si="1883">IF(AI283&gt;0,IF((AI283+BN284)&lt;E$10,AI283+BN284,E$10),0)</f>
        <v>0</v>
      </c>
      <c r="CU284" s="270">
        <f t="shared" si="1883"/>
        <v>0</v>
      </c>
      <c r="CV284" s="270">
        <f t="shared" si="1883"/>
        <v>0</v>
      </c>
      <c r="CW284" s="270">
        <f t="shared" si="1883"/>
        <v>0</v>
      </c>
      <c r="CX284" s="270">
        <f t="shared" si="1883"/>
        <v>0</v>
      </c>
      <c r="CY284" s="270">
        <f t="shared" si="1883"/>
        <v>0</v>
      </c>
      <c r="CZ284" s="270">
        <f t="shared" si="1883"/>
        <v>0</v>
      </c>
      <c r="DA284" s="270">
        <f t="shared" si="1883"/>
        <v>0</v>
      </c>
      <c r="DB284" s="270">
        <f t="shared" si="1883"/>
        <v>0</v>
      </c>
      <c r="DC284" s="270">
        <f t="shared" si="1883"/>
        <v>0</v>
      </c>
      <c r="DD284" s="270">
        <f t="shared" si="1883"/>
        <v>0</v>
      </c>
      <c r="DE284" s="270">
        <f t="shared" si="1883"/>
        <v>0</v>
      </c>
      <c r="DF284" s="270">
        <f t="shared" si="1883"/>
        <v>0</v>
      </c>
      <c r="DG284" s="270">
        <f t="shared" si="1883"/>
        <v>0</v>
      </c>
      <c r="DH284" s="270">
        <f t="shared" si="1883"/>
        <v>0</v>
      </c>
      <c r="DI284" s="270">
        <f t="shared" si="1883"/>
        <v>0</v>
      </c>
      <c r="DJ284" s="270">
        <f t="shared" si="1883"/>
        <v>0</v>
      </c>
      <c r="DK284" s="270">
        <f t="shared" si="1883"/>
        <v>0</v>
      </c>
      <c r="DL284" s="270">
        <f t="shared" si="1883"/>
        <v>0</v>
      </c>
      <c r="DM284" s="270">
        <f t="shared" si="1883"/>
        <v>0</v>
      </c>
      <c r="DN284" s="270">
        <f t="shared" si="1883"/>
        <v>0</v>
      </c>
      <c r="DO284" s="270">
        <f t="shared" si="1883"/>
        <v>0</v>
      </c>
      <c r="DP284" s="270">
        <f t="shared" si="1883"/>
        <v>0</v>
      </c>
      <c r="DQ284" s="270">
        <f t="shared" si="1883"/>
        <v>0</v>
      </c>
      <c r="DR284" s="270">
        <f t="shared" si="1883"/>
        <v>0</v>
      </c>
      <c r="DS284" s="270">
        <f t="shared" si="1883"/>
        <v>0</v>
      </c>
      <c r="DT284" s="270">
        <f t="shared" si="1883"/>
        <v>0</v>
      </c>
      <c r="DU284" s="270">
        <f t="shared" si="1883"/>
        <v>0</v>
      </c>
      <c r="DV284" s="270">
        <f t="shared" si="1883"/>
        <v>0</v>
      </c>
      <c r="DW284" s="270">
        <f t="shared" si="1883"/>
        <v>0</v>
      </c>
      <c r="DX284" s="270">
        <f t="shared" si="1883"/>
        <v>0</v>
      </c>
      <c r="DY284" s="270">
        <f t="shared" si="29"/>
        <v>0</v>
      </c>
      <c r="DZ284" s="274"/>
      <c r="EA284" s="275">
        <f t="shared" si="38"/>
        <v>0</v>
      </c>
      <c r="EB284" s="270">
        <f t="shared" ref="EB284:FC284" si="1884">IF(AJ282&lt;=0,0,IF($C283&lt;=SUM($EA284:EA284),0,IF(CU283+$C283-SUM($EA284:EA284)&gt;AJ282+BO283,AJ282+BO283-CU283,$C283-SUM($EA284:EA284))))</f>
        <v>0</v>
      </c>
      <c r="EC284" s="270">
        <f t="shared" si="1884"/>
        <v>0</v>
      </c>
      <c r="ED284" s="270">
        <f t="shared" si="1884"/>
        <v>0</v>
      </c>
      <c r="EE284" s="270">
        <f t="shared" si="1884"/>
        <v>0</v>
      </c>
      <c r="EF284" s="270">
        <f t="shared" si="1884"/>
        <v>0</v>
      </c>
      <c r="EG284" s="270">
        <f t="shared" si="1884"/>
        <v>0</v>
      </c>
      <c r="EH284" s="270">
        <f t="shared" si="1884"/>
        <v>0</v>
      </c>
      <c r="EI284" s="270">
        <f t="shared" si="1884"/>
        <v>0</v>
      </c>
      <c r="EJ284" s="270">
        <f t="shared" si="1884"/>
        <v>0</v>
      </c>
      <c r="EK284" s="270">
        <f t="shared" si="1884"/>
        <v>0</v>
      </c>
      <c r="EL284" s="270">
        <f t="shared" si="1884"/>
        <v>0</v>
      </c>
      <c r="EM284" s="270">
        <f t="shared" si="1884"/>
        <v>0</v>
      </c>
      <c r="EN284" s="270">
        <f t="shared" si="1884"/>
        <v>0</v>
      </c>
      <c r="EO284" s="270">
        <f t="shared" si="1884"/>
        <v>0</v>
      </c>
      <c r="EP284" s="270">
        <f t="shared" si="1884"/>
        <v>0</v>
      </c>
      <c r="EQ284" s="270">
        <f t="shared" si="1884"/>
        <v>0</v>
      </c>
      <c r="ER284" s="270">
        <f t="shared" si="1884"/>
        <v>0</v>
      </c>
      <c r="ES284" s="270">
        <f t="shared" si="1884"/>
        <v>0</v>
      </c>
      <c r="ET284" s="270">
        <f t="shared" si="1884"/>
        <v>0</v>
      </c>
      <c r="EU284" s="270">
        <f t="shared" si="1884"/>
        <v>0</v>
      </c>
      <c r="EV284" s="270">
        <f t="shared" si="1884"/>
        <v>0</v>
      </c>
      <c r="EW284" s="270">
        <f t="shared" si="1884"/>
        <v>0</v>
      </c>
      <c r="EX284" s="270">
        <f t="shared" si="1884"/>
        <v>0</v>
      </c>
      <c r="EY284" s="270">
        <f t="shared" si="1884"/>
        <v>0</v>
      </c>
      <c r="EZ284" s="270">
        <f t="shared" si="1884"/>
        <v>0</v>
      </c>
      <c r="FA284" s="270">
        <f t="shared" si="1884"/>
        <v>0</v>
      </c>
      <c r="FB284" s="270">
        <f t="shared" si="1884"/>
        <v>0</v>
      </c>
      <c r="FC284" s="270">
        <f t="shared" si="1884"/>
        <v>0</v>
      </c>
      <c r="FD284" s="271"/>
      <c r="FE284" s="271"/>
      <c r="FF284" s="271"/>
      <c r="FG284" s="215"/>
      <c r="FH284" s="215"/>
    </row>
    <row r="285" ht="11.25" customHeight="1">
      <c r="A285" s="215" t="str">
        <f t="shared" si="19"/>
        <v/>
      </c>
      <c r="B285" s="241" t="str">
        <f t="shared" si="600"/>
        <v>#N/A</v>
      </c>
      <c r="C285" s="271" t="str">
        <f>IF(A285="","",IF(Calculator!snowball,IF(($E$5-DY285)&lt;0,0,$E$5-DY285),0)+D285)</f>
        <v/>
      </c>
      <c r="D285" s="271"/>
      <c r="E285" s="270">
        <f t="shared" si="40"/>
        <v>0</v>
      </c>
      <c r="F285" s="270">
        <f t="shared" ref="F285:AG285" si="1885">CU285+EB286</f>
        <v>0</v>
      </c>
      <c r="G285" s="270">
        <f t="shared" si="1885"/>
        <v>0</v>
      </c>
      <c r="H285" s="270">
        <f t="shared" si="1885"/>
        <v>0</v>
      </c>
      <c r="I285" s="270">
        <f t="shared" si="1885"/>
        <v>0</v>
      </c>
      <c r="J285" s="270">
        <f t="shared" si="1885"/>
        <v>0</v>
      </c>
      <c r="K285" s="270">
        <f t="shared" si="1885"/>
        <v>0</v>
      </c>
      <c r="L285" s="270">
        <f t="shared" si="1885"/>
        <v>0</v>
      </c>
      <c r="M285" s="270">
        <f t="shared" si="1885"/>
        <v>0</v>
      </c>
      <c r="N285" s="270">
        <f t="shared" si="1885"/>
        <v>0</v>
      </c>
      <c r="O285" s="270">
        <f t="shared" si="1885"/>
        <v>0</v>
      </c>
      <c r="P285" s="272">
        <f t="shared" si="1885"/>
        <v>0</v>
      </c>
      <c r="Q285" s="272">
        <f t="shared" si="1885"/>
        <v>0</v>
      </c>
      <c r="R285" s="272">
        <f t="shared" si="1885"/>
        <v>0</v>
      </c>
      <c r="S285" s="272">
        <f t="shared" si="1885"/>
        <v>0</v>
      </c>
      <c r="T285" s="272">
        <f t="shared" si="1885"/>
        <v>0</v>
      </c>
      <c r="U285" s="270">
        <f t="shared" si="1885"/>
        <v>0</v>
      </c>
      <c r="V285" s="270">
        <f t="shared" si="1885"/>
        <v>0</v>
      </c>
      <c r="W285" s="270">
        <f t="shared" si="1885"/>
        <v>0</v>
      </c>
      <c r="X285" s="270">
        <f t="shared" si="1885"/>
        <v>0</v>
      </c>
      <c r="Y285" s="270">
        <f t="shared" si="1885"/>
        <v>0</v>
      </c>
      <c r="Z285" s="270">
        <f t="shared" si="1885"/>
        <v>0</v>
      </c>
      <c r="AA285" s="270">
        <f t="shared" si="1885"/>
        <v>0</v>
      </c>
      <c r="AB285" s="270">
        <f t="shared" si="1885"/>
        <v>0</v>
      </c>
      <c r="AC285" s="270">
        <f t="shared" si="1885"/>
        <v>0</v>
      </c>
      <c r="AD285" s="270">
        <f t="shared" si="1885"/>
        <v>0</v>
      </c>
      <c r="AE285" s="270">
        <f t="shared" si="1885"/>
        <v>0</v>
      </c>
      <c r="AF285" s="270">
        <f t="shared" si="1885"/>
        <v>0</v>
      </c>
      <c r="AG285" s="270">
        <f t="shared" si="1885"/>
        <v>0</v>
      </c>
      <c r="AH285" s="279">
        <f t="shared" si="602"/>
        <v>0</v>
      </c>
      <c r="AI285" s="270">
        <f t="shared" si="43"/>
        <v>0</v>
      </c>
      <c r="AJ285" s="270">
        <f t="shared" ref="AJ285:AO285" si="1886">IF(F$8=0,0,ROUND(AJ284-(F285-BO285),2))</f>
        <v>0</v>
      </c>
      <c r="AK285" s="270">
        <f t="shared" si="1886"/>
        <v>0</v>
      </c>
      <c r="AL285" s="270">
        <f t="shared" si="1886"/>
        <v>0</v>
      </c>
      <c r="AM285" s="270">
        <f t="shared" si="1886"/>
        <v>0</v>
      </c>
      <c r="AN285" s="270">
        <f t="shared" si="1886"/>
        <v>0</v>
      </c>
      <c r="AO285" s="270">
        <f t="shared" si="1886"/>
        <v>0</v>
      </c>
      <c r="AP285" s="270">
        <v>0.0</v>
      </c>
      <c r="AQ285" s="270">
        <f t="shared" ref="AQ285:AS285" si="1887">IF(M$8=0,0,ROUND(AQ284-(M285-BV285),2))</f>
        <v>0</v>
      </c>
      <c r="AR285" s="270">
        <f t="shared" si="1887"/>
        <v>0</v>
      </c>
      <c r="AS285" s="270">
        <f t="shared" si="1887"/>
        <v>0</v>
      </c>
      <c r="AT285" s="270">
        <f t="shared" si="605"/>
        <v>-6.22</v>
      </c>
      <c r="AU285" s="270">
        <f t="shared" ref="AU285:BK285" si="1888">IF(Q$8=0,0,ROUND(AU284-(Q285-BY285),2))</f>
        <v>-17.28</v>
      </c>
      <c r="AV285" s="270">
        <f t="shared" si="1888"/>
        <v>0</v>
      </c>
      <c r="AW285" s="270">
        <f t="shared" si="1888"/>
        <v>0</v>
      </c>
      <c r="AX285" s="270">
        <f t="shared" si="1888"/>
        <v>0</v>
      </c>
      <c r="AY285" s="270">
        <f t="shared" si="1888"/>
        <v>0</v>
      </c>
      <c r="AZ285" s="270">
        <f t="shared" si="1888"/>
        <v>0</v>
      </c>
      <c r="BA285" s="270">
        <f t="shared" si="1888"/>
        <v>0</v>
      </c>
      <c r="BB285" s="270">
        <f t="shared" si="1888"/>
        <v>0</v>
      </c>
      <c r="BC285" s="270">
        <f t="shared" si="1888"/>
        <v>0</v>
      </c>
      <c r="BD285" s="270">
        <f t="shared" si="1888"/>
        <v>0</v>
      </c>
      <c r="BE285" s="270">
        <f t="shared" si="1888"/>
        <v>0</v>
      </c>
      <c r="BF285" s="270">
        <f t="shared" si="1888"/>
        <v>0</v>
      </c>
      <c r="BG285" s="270">
        <f t="shared" si="1888"/>
        <v>0</v>
      </c>
      <c r="BH285" s="270">
        <f t="shared" si="1888"/>
        <v>0</v>
      </c>
      <c r="BI285" s="270">
        <f t="shared" si="1888"/>
        <v>0</v>
      </c>
      <c r="BJ285" s="270">
        <f t="shared" si="1888"/>
        <v>0</v>
      </c>
      <c r="BK285" s="270">
        <f t="shared" si="1888"/>
        <v>0</v>
      </c>
      <c r="BL285" s="265">
        <f t="shared" si="16"/>
        <v>-23.5</v>
      </c>
      <c r="BM285" s="215"/>
      <c r="BN285" s="270">
        <f t="shared" ref="BN285:CP285" si="1889">ROUND(AI284*E$9/12,2)</f>
        <v>0</v>
      </c>
      <c r="BO285" s="270">
        <f t="shared" si="1889"/>
        <v>0</v>
      </c>
      <c r="BP285" s="270">
        <f t="shared" si="1889"/>
        <v>0</v>
      </c>
      <c r="BQ285" s="270">
        <f t="shared" si="1889"/>
        <v>0</v>
      </c>
      <c r="BR285" s="270">
        <f t="shared" si="1889"/>
        <v>0</v>
      </c>
      <c r="BS285" s="270">
        <f t="shared" si="1889"/>
        <v>0</v>
      </c>
      <c r="BT285" s="270">
        <f t="shared" si="1889"/>
        <v>0</v>
      </c>
      <c r="BU285" s="270">
        <f t="shared" si="1889"/>
        <v>0</v>
      </c>
      <c r="BV285" s="270">
        <f t="shared" si="1889"/>
        <v>0</v>
      </c>
      <c r="BW285" s="270">
        <f t="shared" si="1889"/>
        <v>0</v>
      </c>
      <c r="BX285" s="270">
        <f t="shared" si="1889"/>
        <v>0</v>
      </c>
      <c r="BY285" s="270">
        <f t="shared" si="1889"/>
        <v>-0.05</v>
      </c>
      <c r="BZ285" s="270">
        <f t="shared" si="1889"/>
        <v>-0.05</v>
      </c>
      <c r="CA285" s="270">
        <f t="shared" si="1889"/>
        <v>0</v>
      </c>
      <c r="CB285" s="270">
        <f t="shared" si="1889"/>
        <v>0</v>
      </c>
      <c r="CC285" s="270">
        <f t="shared" si="1889"/>
        <v>0</v>
      </c>
      <c r="CD285" s="270">
        <f t="shared" si="1889"/>
        <v>0</v>
      </c>
      <c r="CE285" s="270">
        <f t="shared" si="1889"/>
        <v>0</v>
      </c>
      <c r="CF285" s="270">
        <f t="shared" si="1889"/>
        <v>0</v>
      </c>
      <c r="CG285" s="270">
        <f t="shared" si="1889"/>
        <v>0</v>
      </c>
      <c r="CH285" s="270">
        <f t="shared" si="1889"/>
        <v>0</v>
      </c>
      <c r="CI285" s="270">
        <f t="shared" si="1889"/>
        <v>0</v>
      </c>
      <c r="CJ285" s="270">
        <f t="shared" si="1889"/>
        <v>0</v>
      </c>
      <c r="CK285" s="270">
        <f t="shared" si="1889"/>
        <v>0</v>
      </c>
      <c r="CL285" s="270">
        <f t="shared" si="1889"/>
        <v>0</v>
      </c>
      <c r="CM285" s="270">
        <f t="shared" si="1889"/>
        <v>0</v>
      </c>
      <c r="CN285" s="270">
        <f t="shared" si="1889"/>
        <v>0</v>
      </c>
      <c r="CO285" s="270">
        <f t="shared" si="1889"/>
        <v>0</v>
      </c>
      <c r="CP285" s="270">
        <f t="shared" si="1889"/>
        <v>0</v>
      </c>
      <c r="CQ285" s="215"/>
      <c r="CR285" s="270">
        <f t="shared" si="27"/>
        <v>-0.1</v>
      </c>
      <c r="CS285" s="215"/>
      <c r="CT285" s="270">
        <f t="shared" ref="CT285:DX285" si="1890">IF(AI284&gt;0,IF((AI284+BN285)&lt;E$10,AI284+BN285,E$10),0)</f>
        <v>0</v>
      </c>
      <c r="CU285" s="270">
        <f t="shared" si="1890"/>
        <v>0</v>
      </c>
      <c r="CV285" s="270">
        <f t="shared" si="1890"/>
        <v>0</v>
      </c>
      <c r="CW285" s="270">
        <f t="shared" si="1890"/>
        <v>0</v>
      </c>
      <c r="CX285" s="270">
        <f t="shared" si="1890"/>
        <v>0</v>
      </c>
      <c r="CY285" s="270">
        <f t="shared" si="1890"/>
        <v>0</v>
      </c>
      <c r="CZ285" s="270">
        <f t="shared" si="1890"/>
        <v>0</v>
      </c>
      <c r="DA285" s="270">
        <f t="shared" si="1890"/>
        <v>0</v>
      </c>
      <c r="DB285" s="270">
        <f t="shared" si="1890"/>
        <v>0</v>
      </c>
      <c r="DC285" s="270">
        <f t="shared" si="1890"/>
        <v>0</v>
      </c>
      <c r="DD285" s="270">
        <f t="shared" si="1890"/>
        <v>0</v>
      </c>
      <c r="DE285" s="270">
        <f t="shared" si="1890"/>
        <v>0</v>
      </c>
      <c r="DF285" s="270">
        <f t="shared" si="1890"/>
        <v>0</v>
      </c>
      <c r="DG285" s="270">
        <f t="shared" si="1890"/>
        <v>0</v>
      </c>
      <c r="DH285" s="270">
        <f t="shared" si="1890"/>
        <v>0</v>
      </c>
      <c r="DI285" s="270">
        <f t="shared" si="1890"/>
        <v>0</v>
      </c>
      <c r="DJ285" s="270">
        <f t="shared" si="1890"/>
        <v>0</v>
      </c>
      <c r="DK285" s="270">
        <f t="shared" si="1890"/>
        <v>0</v>
      </c>
      <c r="DL285" s="270">
        <f t="shared" si="1890"/>
        <v>0</v>
      </c>
      <c r="DM285" s="270">
        <f t="shared" si="1890"/>
        <v>0</v>
      </c>
      <c r="DN285" s="270">
        <f t="shared" si="1890"/>
        <v>0</v>
      </c>
      <c r="DO285" s="270">
        <f t="shared" si="1890"/>
        <v>0</v>
      </c>
      <c r="DP285" s="270">
        <f t="shared" si="1890"/>
        <v>0</v>
      </c>
      <c r="DQ285" s="270">
        <f t="shared" si="1890"/>
        <v>0</v>
      </c>
      <c r="DR285" s="270">
        <f t="shared" si="1890"/>
        <v>0</v>
      </c>
      <c r="DS285" s="270">
        <f t="shared" si="1890"/>
        <v>0</v>
      </c>
      <c r="DT285" s="270">
        <f t="shared" si="1890"/>
        <v>0</v>
      </c>
      <c r="DU285" s="270">
        <f t="shared" si="1890"/>
        <v>0</v>
      </c>
      <c r="DV285" s="270">
        <f t="shared" si="1890"/>
        <v>0</v>
      </c>
      <c r="DW285" s="270">
        <f t="shared" si="1890"/>
        <v>0</v>
      </c>
      <c r="DX285" s="270">
        <f t="shared" si="1890"/>
        <v>0</v>
      </c>
      <c r="DY285" s="270">
        <f t="shared" si="29"/>
        <v>0</v>
      </c>
      <c r="DZ285" s="274"/>
      <c r="EA285" s="275">
        <f t="shared" si="38"/>
        <v>0</v>
      </c>
      <c r="EB285" s="270">
        <f t="shared" ref="EB285:FC285" si="1891">IF(AJ283&lt;=0,0,IF($C284&lt;=SUM($EA285:EA285),0,IF(CU284+$C284-SUM($EA285:EA285)&gt;AJ283+BO284,AJ283+BO284-CU284,$C284-SUM($EA285:EA285))))</f>
        <v>0</v>
      </c>
      <c r="EC285" s="270">
        <f t="shared" si="1891"/>
        <v>0</v>
      </c>
      <c r="ED285" s="270">
        <f t="shared" si="1891"/>
        <v>0</v>
      </c>
      <c r="EE285" s="270">
        <f t="shared" si="1891"/>
        <v>0</v>
      </c>
      <c r="EF285" s="270">
        <f t="shared" si="1891"/>
        <v>0</v>
      </c>
      <c r="EG285" s="270">
        <f t="shared" si="1891"/>
        <v>0</v>
      </c>
      <c r="EH285" s="270">
        <f t="shared" si="1891"/>
        <v>0</v>
      </c>
      <c r="EI285" s="270">
        <f t="shared" si="1891"/>
        <v>0</v>
      </c>
      <c r="EJ285" s="270">
        <f t="shared" si="1891"/>
        <v>0</v>
      </c>
      <c r="EK285" s="270">
        <f t="shared" si="1891"/>
        <v>0</v>
      </c>
      <c r="EL285" s="270">
        <f t="shared" si="1891"/>
        <v>0</v>
      </c>
      <c r="EM285" s="270">
        <f t="shared" si="1891"/>
        <v>0</v>
      </c>
      <c r="EN285" s="270">
        <f t="shared" si="1891"/>
        <v>0</v>
      </c>
      <c r="EO285" s="270">
        <f t="shared" si="1891"/>
        <v>0</v>
      </c>
      <c r="EP285" s="270">
        <f t="shared" si="1891"/>
        <v>0</v>
      </c>
      <c r="EQ285" s="270">
        <f t="shared" si="1891"/>
        <v>0</v>
      </c>
      <c r="ER285" s="270">
        <f t="shared" si="1891"/>
        <v>0</v>
      </c>
      <c r="ES285" s="270">
        <f t="shared" si="1891"/>
        <v>0</v>
      </c>
      <c r="ET285" s="270">
        <f t="shared" si="1891"/>
        <v>0</v>
      </c>
      <c r="EU285" s="270">
        <f t="shared" si="1891"/>
        <v>0</v>
      </c>
      <c r="EV285" s="270">
        <f t="shared" si="1891"/>
        <v>0</v>
      </c>
      <c r="EW285" s="270">
        <f t="shared" si="1891"/>
        <v>0</v>
      </c>
      <c r="EX285" s="270">
        <f t="shared" si="1891"/>
        <v>0</v>
      </c>
      <c r="EY285" s="270">
        <f t="shared" si="1891"/>
        <v>0</v>
      </c>
      <c r="EZ285" s="270">
        <f t="shared" si="1891"/>
        <v>0</v>
      </c>
      <c r="FA285" s="270">
        <f t="shared" si="1891"/>
        <v>0</v>
      </c>
      <c r="FB285" s="270">
        <f t="shared" si="1891"/>
        <v>0</v>
      </c>
      <c r="FC285" s="270">
        <f t="shared" si="1891"/>
        <v>0</v>
      </c>
      <c r="FD285" s="271"/>
      <c r="FE285" s="271"/>
      <c r="FF285" s="271"/>
      <c r="FG285" s="215"/>
      <c r="FH285" s="215"/>
    </row>
    <row r="286" ht="11.25" customHeight="1">
      <c r="A286" s="215" t="str">
        <f t="shared" si="19"/>
        <v/>
      </c>
      <c r="B286" s="241" t="str">
        <f t="shared" si="600"/>
        <v>#N/A</v>
      </c>
      <c r="C286" s="271" t="str">
        <f>IF(A286="","",IF(Calculator!snowball,IF(($E$5-DY286)&lt;0,0,$E$5-DY286),0)+D286)</f>
        <v/>
      </c>
      <c r="D286" s="271"/>
      <c r="E286" s="270">
        <f t="shared" si="40"/>
        <v>0</v>
      </c>
      <c r="F286" s="270">
        <f t="shared" ref="F286:AG286" si="1892">CU286+EB287</f>
        <v>0</v>
      </c>
      <c r="G286" s="270">
        <f t="shared" si="1892"/>
        <v>0</v>
      </c>
      <c r="H286" s="270">
        <f t="shared" si="1892"/>
        <v>0</v>
      </c>
      <c r="I286" s="270">
        <f t="shared" si="1892"/>
        <v>0</v>
      </c>
      <c r="J286" s="270">
        <f t="shared" si="1892"/>
        <v>0</v>
      </c>
      <c r="K286" s="270">
        <f t="shared" si="1892"/>
        <v>0</v>
      </c>
      <c r="L286" s="270">
        <f t="shared" si="1892"/>
        <v>0</v>
      </c>
      <c r="M286" s="270">
        <f t="shared" si="1892"/>
        <v>0</v>
      </c>
      <c r="N286" s="270">
        <f t="shared" si="1892"/>
        <v>0</v>
      </c>
      <c r="O286" s="270">
        <f t="shared" si="1892"/>
        <v>0</v>
      </c>
      <c r="P286" s="272">
        <f t="shared" si="1892"/>
        <v>0</v>
      </c>
      <c r="Q286" s="272">
        <f t="shared" si="1892"/>
        <v>0</v>
      </c>
      <c r="R286" s="272">
        <f t="shared" si="1892"/>
        <v>0</v>
      </c>
      <c r="S286" s="272">
        <f t="shared" si="1892"/>
        <v>0</v>
      </c>
      <c r="T286" s="272">
        <f t="shared" si="1892"/>
        <v>0</v>
      </c>
      <c r="U286" s="270">
        <f t="shared" si="1892"/>
        <v>0</v>
      </c>
      <c r="V286" s="270">
        <f t="shared" si="1892"/>
        <v>0</v>
      </c>
      <c r="W286" s="270">
        <f t="shared" si="1892"/>
        <v>0</v>
      </c>
      <c r="X286" s="270">
        <f t="shared" si="1892"/>
        <v>0</v>
      </c>
      <c r="Y286" s="270">
        <f t="shared" si="1892"/>
        <v>0</v>
      </c>
      <c r="Z286" s="270">
        <f t="shared" si="1892"/>
        <v>0</v>
      </c>
      <c r="AA286" s="270">
        <f t="shared" si="1892"/>
        <v>0</v>
      </c>
      <c r="AB286" s="270">
        <f t="shared" si="1892"/>
        <v>0</v>
      </c>
      <c r="AC286" s="270">
        <f t="shared" si="1892"/>
        <v>0</v>
      </c>
      <c r="AD286" s="270">
        <f t="shared" si="1892"/>
        <v>0</v>
      </c>
      <c r="AE286" s="270">
        <f t="shared" si="1892"/>
        <v>0</v>
      </c>
      <c r="AF286" s="270">
        <f t="shared" si="1892"/>
        <v>0</v>
      </c>
      <c r="AG286" s="270">
        <f t="shared" si="1892"/>
        <v>0</v>
      </c>
      <c r="AH286" s="279">
        <f t="shared" si="602"/>
        <v>0</v>
      </c>
      <c r="AI286" s="270">
        <f t="shared" si="43"/>
        <v>0</v>
      </c>
      <c r="AJ286" s="270">
        <f t="shared" ref="AJ286:AO286" si="1893">IF(F$8=0,0,ROUND(AJ285-(F286-BO286),2))</f>
        <v>0</v>
      </c>
      <c r="AK286" s="270">
        <f t="shared" si="1893"/>
        <v>0</v>
      </c>
      <c r="AL286" s="270">
        <f t="shared" si="1893"/>
        <v>0</v>
      </c>
      <c r="AM286" s="270">
        <f t="shared" si="1893"/>
        <v>0</v>
      </c>
      <c r="AN286" s="270">
        <f t="shared" si="1893"/>
        <v>0</v>
      </c>
      <c r="AO286" s="270">
        <f t="shared" si="1893"/>
        <v>0</v>
      </c>
      <c r="AP286" s="270">
        <v>0.0</v>
      </c>
      <c r="AQ286" s="270">
        <f t="shared" ref="AQ286:AR286" si="1894">IF(M$8=0,0,ROUND(AQ285-(M286-BV286),2))</f>
        <v>0</v>
      </c>
      <c r="AR286" s="270">
        <f t="shared" si="1894"/>
        <v>0</v>
      </c>
      <c r="AS286" s="270">
        <f t="shared" ref="AS286:AS356" si="1902">IF(O$8=0,0,ROUND(AS285-(O286-CR286),2))</f>
        <v>-0.1</v>
      </c>
      <c r="AT286" s="270">
        <f t="shared" si="605"/>
        <v>-6.22</v>
      </c>
      <c r="AU286" s="270">
        <f t="shared" ref="AU286:BK286" si="1895">IF(Q$8=0,0,ROUND(AU285-(Q286-BY286),2))</f>
        <v>-17.33</v>
      </c>
      <c r="AV286" s="270">
        <f t="shared" si="1895"/>
        <v>0</v>
      </c>
      <c r="AW286" s="270">
        <f t="shared" si="1895"/>
        <v>0</v>
      </c>
      <c r="AX286" s="270">
        <f t="shared" si="1895"/>
        <v>0</v>
      </c>
      <c r="AY286" s="270">
        <f t="shared" si="1895"/>
        <v>0</v>
      </c>
      <c r="AZ286" s="270">
        <f t="shared" si="1895"/>
        <v>0</v>
      </c>
      <c r="BA286" s="270">
        <f t="shared" si="1895"/>
        <v>0</v>
      </c>
      <c r="BB286" s="270">
        <f t="shared" si="1895"/>
        <v>0</v>
      </c>
      <c r="BC286" s="270">
        <f t="shared" si="1895"/>
        <v>0</v>
      </c>
      <c r="BD286" s="270">
        <f t="shared" si="1895"/>
        <v>0</v>
      </c>
      <c r="BE286" s="270">
        <f t="shared" si="1895"/>
        <v>0</v>
      </c>
      <c r="BF286" s="270">
        <f t="shared" si="1895"/>
        <v>0</v>
      </c>
      <c r="BG286" s="270">
        <f t="shared" si="1895"/>
        <v>0</v>
      </c>
      <c r="BH286" s="270">
        <f t="shared" si="1895"/>
        <v>0</v>
      </c>
      <c r="BI286" s="270">
        <f t="shared" si="1895"/>
        <v>0</v>
      </c>
      <c r="BJ286" s="270">
        <f t="shared" si="1895"/>
        <v>0</v>
      </c>
      <c r="BK286" s="270">
        <f t="shared" si="1895"/>
        <v>0</v>
      </c>
      <c r="BL286" s="265">
        <f t="shared" si="16"/>
        <v>-23.65</v>
      </c>
      <c r="BM286" s="215"/>
      <c r="BN286" s="270">
        <f t="shared" ref="BN286:CP286" si="1896">ROUND(AI285*E$9/12,2)</f>
        <v>0</v>
      </c>
      <c r="BO286" s="270">
        <f t="shared" si="1896"/>
        <v>0</v>
      </c>
      <c r="BP286" s="270">
        <f t="shared" si="1896"/>
        <v>0</v>
      </c>
      <c r="BQ286" s="270">
        <f t="shared" si="1896"/>
        <v>0</v>
      </c>
      <c r="BR286" s="270">
        <f t="shared" si="1896"/>
        <v>0</v>
      </c>
      <c r="BS286" s="270">
        <f t="shared" si="1896"/>
        <v>0</v>
      </c>
      <c r="BT286" s="270">
        <f t="shared" si="1896"/>
        <v>0</v>
      </c>
      <c r="BU286" s="270">
        <f t="shared" si="1896"/>
        <v>0</v>
      </c>
      <c r="BV286" s="270">
        <f t="shared" si="1896"/>
        <v>0</v>
      </c>
      <c r="BW286" s="270">
        <f t="shared" si="1896"/>
        <v>0</v>
      </c>
      <c r="BX286" s="270">
        <f t="shared" si="1896"/>
        <v>0</v>
      </c>
      <c r="BY286" s="270">
        <f t="shared" si="1896"/>
        <v>-0.05</v>
      </c>
      <c r="BZ286" s="270">
        <f t="shared" si="1896"/>
        <v>-0.05</v>
      </c>
      <c r="CA286" s="270">
        <f t="shared" si="1896"/>
        <v>0</v>
      </c>
      <c r="CB286" s="270">
        <f t="shared" si="1896"/>
        <v>0</v>
      </c>
      <c r="CC286" s="270">
        <f t="shared" si="1896"/>
        <v>0</v>
      </c>
      <c r="CD286" s="270">
        <f t="shared" si="1896"/>
        <v>0</v>
      </c>
      <c r="CE286" s="270">
        <f t="shared" si="1896"/>
        <v>0</v>
      </c>
      <c r="CF286" s="270">
        <f t="shared" si="1896"/>
        <v>0</v>
      </c>
      <c r="CG286" s="270">
        <f t="shared" si="1896"/>
        <v>0</v>
      </c>
      <c r="CH286" s="270">
        <f t="shared" si="1896"/>
        <v>0</v>
      </c>
      <c r="CI286" s="270">
        <f t="shared" si="1896"/>
        <v>0</v>
      </c>
      <c r="CJ286" s="270">
        <f t="shared" si="1896"/>
        <v>0</v>
      </c>
      <c r="CK286" s="270">
        <f t="shared" si="1896"/>
        <v>0</v>
      </c>
      <c r="CL286" s="270">
        <f t="shared" si="1896"/>
        <v>0</v>
      </c>
      <c r="CM286" s="270">
        <f t="shared" si="1896"/>
        <v>0</v>
      </c>
      <c r="CN286" s="270">
        <f t="shared" si="1896"/>
        <v>0</v>
      </c>
      <c r="CO286" s="270">
        <f t="shared" si="1896"/>
        <v>0</v>
      </c>
      <c r="CP286" s="270">
        <f t="shared" si="1896"/>
        <v>0</v>
      </c>
      <c r="CQ286" s="215"/>
      <c r="CR286" s="270">
        <f t="shared" si="27"/>
        <v>-0.1</v>
      </c>
      <c r="CS286" s="215"/>
      <c r="CT286" s="270">
        <f t="shared" ref="CT286:DX286" si="1897">IF(AI285&gt;0,IF((AI285+BN286)&lt;E$10,AI285+BN286,E$10),0)</f>
        <v>0</v>
      </c>
      <c r="CU286" s="270">
        <f t="shared" si="1897"/>
        <v>0</v>
      </c>
      <c r="CV286" s="270">
        <f t="shared" si="1897"/>
        <v>0</v>
      </c>
      <c r="CW286" s="270">
        <f t="shared" si="1897"/>
        <v>0</v>
      </c>
      <c r="CX286" s="270">
        <f t="shared" si="1897"/>
        <v>0</v>
      </c>
      <c r="CY286" s="270">
        <f t="shared" si="1897"/>
        <v>0</v>
      </c>
      <c r="CZ286" s="270">
        <f t="shared" si="1897"/>
        <v>0</v>
      </c>
      <c r="DA286" s="270">
        <f t="shared" si="1897"/>
        <v>0</v>
      </c>
      <c r="DB286" s="270">
        <f t="shared" si="1897"/>
        <v>0</v>
      </c>
      <c r="DC286" s="270">
        <f t="shared" si="1897"/>
        <v>0</v>
      </c>
      <c r="DD286" s="270">
        <f t="shared" si="1897"/>
        <v>0</v>
      </c>
      <c r="DE286" s="270">
        <f t="shared" si="1897"/>
        <v>0</v>
      </c>
      <c r="DF286" s="270">
        <f t="shared" si="1897"/>
        <v>0</v>
      </c>
      <c r="DG286" s="270">
        <f t="shared" si="1897"/>
        <v>0</v>
      </c>
      <c r="DH286" s="270">
        <f t="shared" si="1897"/>
        <v>0</v>
      </c>
      <c r="DI286" s="270">
        <f t="shared" si="1897"/>
        <v>0</v>
      </c>
      <c r="DJ286" s="270">
        <f t="shared" si="1897"/>
        <v>0</v>
      </c>
      <c r="DK286" s="270">
        <f t="shared" si="1897"/>
        <v>0</v>
      </c>
      <c r="DL286" s="270">
        <f t="shared" si="1897"/>
        <v>0</v>
      </c>
      <c r="DM286" s="270">
        <f t="shared" si="1897"/>
        <v>0</v>
      </c>
      <c r="DN286" s="270">
        <f t="shared" si="1897"/>
        <v>0</v>
      </c>
      <c r="DO286" s="270">
        <f t="shared" si="1897"/>
        <v>0</v>
      </c>
      <c r="DP286" s="270">
        <f t="shared" si="1897"/>
        <v>0</v>
      </c>
      <c r="DQ286" s="270">
        <f t="shared" si="1897"/>
        <v>0</v>
      </c>
      <c r="DR286" s="270">
        <f t="shared" si="1897"/>
        <v>0</v>
      </c>
      <c r="DS286" s="270">
        <f t="shared" si="1897"/>
        <v>0</v>
      </c>
      <c r="DT286" s="270">
        <f t="shared" si="1897"/>
        <v>0</v>
      </c>
      <c r="DU286" s="270">
        <f t="shared" si="1897"/>
        <v>0</v>
      </c>
      <c r="DV286" s="270">
        <f t="shared" si="1897"/>
        <v>0</v>
      </c>
      <c r="DW286" s="270">
        <f t="shared" si="1897"/>
        <v>0</v>
      </c>
      <c r="DX286" s="270">
        <f t="shared" si="1897"/>
        <v>0</v>
      </c>
      <c r="DY286" s="270">
        <f t="shared" si="29"/>
        <v>0</v>
      </c>
      <c r="DZ286" s="274"/>
      <c r="EA286" s="275">
        <f t="shared" si="38"/>
        <v>0</v>
      </c>
      <c r="EB286" s="270">
        <f t="shared" ref="EB286:FC286" si="1898">IF(AJ284&lt;=0,0,IF($C285&lt;=SUM($EA286:EA286),0,IF(CU285+$C285-SUM($EA286:EA286)&gt;AJ284+BO285,AJ284+BO285-CU285,$C285-SUM($EA286:EA286))))</f>
        <v>0</v>
      </c>
      <c r="EC286" s="270">
        <f t="shared" si="1898"/>
        <v>0</v>
      </c>
      <c r="ED286" s="270">
        <f t="shared" si="1898"/>
        <v>0</v>
      </c>
      <c r="EE286" s="270">
        <f t="shared" si="1898"/>
        <v>0</v>
      </c>
      <c r="EF286" s="270">
        <f t="shared" si="1898"/>
        <v>0</v>
      </c>
      <c r="EG286" s="270">
        <f t="shared" si="1898"/>
        <v>0</v>
      </c>
      <c r="EH286" s="270">
        <f t="shared" si="1898"/>
        <v>0</v>
      </c>
      <c r="EI286" s="270">
        <f t="shared" si="1898"/>
        <v>0</v>
      </c>
      <c r="EJ286" s="270">
        <f t="shared" si="1898"/>
        <v>0</v>
      </c>
      <c r="EK286" s="270">
        <f t="shared" si="1898"/>
        <v>0</v>
      </c>
      <c r="EL286" s="270">
        <f t="shared" si="1898"/>
        <v>0</v>
      </c>
      <c r="EM286" s="270">
        <f t="shared" si="1898"/>
        <v>0</v>
      </c>
      <c r="EN286" s="270">
        <f t="shared" si="1898"/>
        <v>0</v>
      </c>
      <c r="EO286" s="270">
        <f t="shared" si="1898"/>
        <v>0</v>
      </c>
      <c r="EP286" s="270">
        <f t="shared" si="1898"/>
        <v>0</v>
      </c>
      <c r="EQ286" s="270">
        <f t="shared" si="1898"/>
        <v>0</v>
      </c>
      <c r="ER286" s="270">
        <f t="shared" si="1898"/>
        <v>0</v>
      </c>
      <c r="ES286" s="270">
        <f t="shared" si="1898"/>
        <v>0</v>
      </c>
      <c r="ET286" s="270">
        <f t="shared" si="1898"/>
        <v>0</v>
      </c>
      <c r="EU286" s="270">
        <f t="shared" si="1898"/>
        <v>0</v>
      </c>
      <c r="EV286" s="270">
        <f t="shared" si="1898"/>
        <v>0</v>
      </c>
      <c r="EW286" s="270">
        <f t="shared" si="1898"/>
        <v>0</v>
      </c>
      <c r="EX286" s="270">
        <f t="shared" si="1898"/>
        <v>0</v>
      </c>
      <c r="EY286" s="270">
        <f t="shared" si="1898"/>
        <v>0</v>
      </c>
      <c r="EZ286" s="270">
        <f t="shared" si="1898"/>
        <v>0</v>
      </c>
      <c r="FA286" s="270">
        <f t="shared" si="1898"/>
        <v>0</v>
      </c>
      <c r="FB286" s="270">
        <f t="shared" si="1898"/>
        <v>0</v>
      </c>
      <c r="FC286" s="270">
        <f t="shared" si="1898"/>
        <v>0</v>
      </c>
      <c r="FD286" s="271"/>
      <c r="FE286" s="271"/>
      <c r="FF286" s="271"/>
      <c r="FG286" s="215"/>
      <c r="FH286" s="215"/>
    </row>
    <row r="287" ht="11.25" customHeight="1">
      <c r="A287" s="215" t="str">
        <f t="shared" si="19"/>
        <v/>
      </c>
      <c r="B287" s="241" t="str">
        <f t="shared" si="600"/>
        <v>#N/A</v>
      </c>
      <c r="C287" s="271" t="str">
        <f>IF(A287="","",IF(Calculator!snowball,IF(($E$5-DY287)&lt;0,0,$E$5-DY287),0)+D287)</f>
        <v/>
      </c>
      <c r="D287" s="271"/>
      <c r="E287" s="270">
        <f t="shared" si="40"/>
        <v>0</v>
      </c>
      <c r="F287" s="270">
        <f t="shared" ref="F287:AG287" si="1899">CU287+EB288</f>
        <v>0</v>
      </c>
      <c r="G287" s="270">
        <f t="shared" si="1899"/>
        <v>0</v>
      </c>
      <c r="H287" s="270">
        <f t="shared" si="1899"/>
        <v>0</v>
      </c>
      <c r="I287" s="270">
        <f t="shared" si="1899"/>
        <v>0</v>
      </c>
      <c r="J287" s="270">
        <f t="shared" si="1899"/>
        <v>0</v>
      </c>
      <c r="K287" s="270">
        <f t="shared" si="1899"/>
        <v>0</v>
      </c>
      <c r="L287" s="270">
        <f t="shared" si="1899"/>
        <v>0</v>
      </c>
      <c r="M287" s="270">
        <f t="shared" si="1899"/>
        <v>0</v>
      </c>
      <c r="N287" s="270">
        <f t="shared" si="1899"/>
        <v>0</v>
      </c>
      <c r="O287" s="270">
        <f t="shared" si="1899"/>
        <v>0</v>
      </c>
      <c r="P287" s="272">
        <f t="shared" si="1899"/>
        <v>0</v>
      </c>
      <c r="Q287" s="272">
        <f t="shared" si="1899"/>
        <v>0</v>
      </c>
      <c r="R287" s="272">
        <f t="shared" si="1899"/>
        <v>0</v>
      </c>
      <c r="S287" s="272">
        <f t="shared" si="1899"/>
        <v>0</v>
      </c>
      <c r="T287" s="272">
        <f t="shared" si="1899"/>
        <v>0</v>
      </c>
      <c r="U287" s="270">
        <f t="shared" si="1899"/>
        <v>0</v>
      </c>
      <c r="V287" s="270">
        <f t="shared" si="1899"/>
        <v>0</v>
      </c>
      <c r="W287" s="270">
        <f t="shared" si="1899"/>
        <v>0</v>
      </c>
      <c r="X287" s="270">
        <f t="shared" si="1899"/>
        <v>0</v>
      </c>
      <c r="Y287" s="270">
        <f t="shared" si="1899"/>
        <v>0</v>
      </c>
      <c r="Z287" s="270">
        <f t="shared" si="1899"/>
        <v>0</v>
      </c>
      <c r="AA287" s="270">
        <f t="shared" si="1899"/>
        <v>0</v>
      </c>
      <c r="AB287" s="270">
        <f t="shared" si="1899"/>
        <v>0</v>
      </c>
      <c r="AC287" s="270">
        <f t="shared" si="1899"/>
        <v>0</v>
      </c>
      <c r="AD287" s="270">
        <f t="shared" si="1899"/>
        <v>0</v>
      </c>
      <c r="AE287" s="270">
        <f t="shared" si="1899"/>
        <v>0</v>
      </c>
      <c r="AF287" s="270">
        <f t="shared" si="1899"/>
        <v>0</v>
      </c>
      <c r="AG287" s="270">
        <f t="shared" si="1899"/>
        <v>0</v>
      </c>
      <c r="AH287" s="279">
        <f t="shared" si="602"/>
        <v>0</v>
      </c>
      <c r="AI287" s="270">
        <f t="shared" si="43"/>
        <v>0</v>
      </c>
      <c r="AJ287" s="270">
        <f t="shared" ref="AJ287:AO287" si="1900">IF(F$8=0,0,ROUND(AJ286-(F287-BO287),2))</f>
        <v>0</v>
      </c>
      <c r="AK287" s="270">
        <f t="shared" si="1900"/>
        <v>0</v>
      </c>
      <c r="AL287" s="270">
        <f t="shared" si="1900"/>
        <v>0</v>
      </c>
      <c r="AM287" s="270">
        <f t="shared" si="1900"/>
        <v>0</v>
      </c>
      <c r="AN287" s="270">
        <f t="shared" si="1900"/>
        <v>0</v>
      </c>
      <c r="AO287" s="270">
        <f t="shared" si="1900"/>
        <v>0</v>
      </c>
      <c r="AP287" s="270">
        <v>0.0</v>
      </c>
      <c r="AQ287" s="270">
        <f t="shared" ref="AQ287:AR287" si="1901">IF(M$8=0,0,ROUND(AQ286-(M287-BV287),2))</f>
        <v>0</v>
      </c>
      <c r="AR287" s="270">
        <f t="shared" si="1901"/>
        <v>0</v>
      </c>
      <c r="AS287" s="270">
        <f t="shared" si="1902"/>
        <v>-0.2</v>
      </c>
      <c r="AT287" s="270">
        <f t="shared" si="605"/>
        <v>-6.22</v>
      </c>
      <c r="AU287" s="270">
        <f t="shared" ref="AU287:BK287" si="1903">IF(Q$8=0,0,ROUND(AU286-(Q287-BY287),2))</f>
        <v>-17.38</v>
      </c>
      <c r="AV287" s="270">
        <f t="shared" si="1903"/>
        <v>0</v>
      </c>
      <c r="AW287" s="270">
        <f t="shared" si="1903"/>
        <v>0</v>
      </c>
      <c r="AX287" s="270">
        <f t="shared" si="1903"/>
        <v>0</v>
      </c>
      <c r="AY287" s="270">
        <f t="shared" si="1903"/>
        <v>0</v>
      </c>
      <c r="AZ287" s="270">
        <f t="shared" si="1903"/>
        <v>0</v>
      </c>
      <c r="BA287" s="270">
        <f t="shared" si="1903"/>
        <v>0</v>
      </c>
      <c r="BB287" s="270">
        <f t="shared" si="1903"/>
        <v>0</v>
      </c>
      <c r="BC287" s="270">
        <f t="shared" si="1903"/>
        <v>0</v>
      </c>
      <c r="BD287" s="270">
        <f t="shared" si="1903"/>
        <v>0</v>
      </c>
      <c r="BE287" s="270">
        <f t="shared" si="1903"/>
        <v>0</v>
      </c>
      <c r="BF287" s="270">
        <f t="shared" si="1903"/>
        <v>0</v>
      </c>
      <c r="BG287" s="270">
        <f t="shared" si="1903"/>
        <v>0</v>
      </c>
      <c r="BH287" s="270">
        <f t="shared" si="1903"/>
        <v>0</v>
      </c>
      <c r="BI287" s="270">
        <f t="shared" si="1903"/>
        <v>0</v>
      </c>
      <c r="BJ287" s="270">
        <f t="shared" si="1903"/>
        <v>0</v>
      </c>
      <c r="BK287" s="270">
        <f t="shared" si="1903"/>
        <v>0</v>
      </c>
      <c r="BL287" s="265">
        <f t="shared" si="16"/>
        <v>-23.8</v>
      </c>
      <c r="BM287" s="215"/>
      <c r="BN287" s="270">
        <f t="shared" ref="BN287:CP287" si="1904">ROUND(AI286*E$9/12,2)</f>
        <v>0</v>
      </c>
      <c r="BO287" s="270">
        <f t="shared" si="1904"/>
        <v>0</v>
      </c>
      <c r="BP287" s="270">
        <f t="shared" si="1904"/>
        <v>0</v>
      </c>
      <c r="BQ287" s="270">
        <f t="shared" si="1904"/>
        <v>0</v>
      </c>
      <c r="BR287" s="270">
        <f t="shared" si="1904"/>
        <v>0</v>
      </c>
      <c r="BS287" s="270">
        <f t="shared" si="1904"/>
        <v>0</v>
      </c>
      <c r="BT287" s="270">
        <f t="shared" si="1904"/>
        <v>0</v>
      </c>
      <c r="BU287" s="270">
        <f t="shared" si="1904"/>
        <v>0</v>
      </c>
      <c r="BV287" s="270">
        <f t="shared" si="1904"/>
        <v>0</v>
      </c>
      <c r="BW287" s="270">
        <f t="shared" si="1904"/>
        <v>0</v>
      </c>
      <c r="BX287" s="270">
        <f t="shared" si="1904"/>
        <v>0</v>
      </c>
      <c r="BY287" s="270">
        <f t="shared" si="1904"/>
        <v>-0.05</v>
      </c>
      <c r="BZ287" s="270">
        <f t="shared" si="1904"/>
        <v>-0.05</v>
      </c>
      <c r="CA287" s="270">
        <f t="shared" si="1904"/>
        <v>0</v>
      </c>
      <c r="CB287" s="270">
        <f t="shared" si="1904"/>
        <v>0</v>
      </c>
      <c r="CC287" s="270">
        <f t="shared" si="1904"/>
        <v>0</v>
      </c>
      <c r="CD287" s="270">
        <f t="shared" si="1904"/>
        <v>0</v>
      </c>
      <c r="CE287" s="270">
        <f t="shared" si="1904"/>
        <v>0</v>
      </c>
      <c r="CF287" s="270">
        <f t="shared" si="1904"/>
        <v>0</v>
      </c>
      <c r="CG287" s="270">
        <f t="shared" si="1904"/>
        <v>0</v>
      </c>
      <c r="CH287" s="270">
        <f t="shared" si="1904"/>
        <v>0</v>
      </c>
      <c r="CI287" s="270">
        <f t="shared" si="1904"/>
        <v>0</v>
      </c>
      <c r="CJ287" s="270">
        <f t="shared" si="1904"/>
        <v>0</v>
      </c>
      <c r="CK287" s="270">
        <f t="shared" si="1904"/>
        <v>0</v>
      </c>
      <c r="CL287" s="270">
        <f t="shared" si="1904"/>
        <v>0</v>
      </c>
      <c r="CM287" s="270">
        <f t="shared" si="1904"/>
        <v>0</v>
      </c>
      <c r="CN287" s="270">
        <f t="shared" si="1904"/>
        <v>0</v>
      </c>
      <c r="CO287" s="270">
        <f t="shared" si="1904"/>
        <v>0</v>
      </c>
      <c r="CP287" s="270">
        <f t="shared" si="1904"/>
        <v>0</v>
      </c>
      <c r="CQ287" s="215"/>
      <c r="CR287" s="270">
        <f t="shared" si="27"/>
        <v>-0.1</v>
      </c>
      <c r="CS287" s="215"/>
      <c r="CT287" s="270">
        <f t="shared" ref="CT287:DX287" si="1905">IF(AI286&gt;0,IF((AI286+BN287)&lt;E$10,AI286+BN287,E$10),0)</f>
        <v>0</v>
      </c>
      <c r="CU287" s="270">
        <f t="shared" si="1905"/>
        <v>0</v>
      </c>
      <c r="CV287" s="270">
        <f t="shared" si="1905"/>
        <v>0</v>
      </c>
      <c r="CW287" s="270">
        <f t="shared" si="1905"/>
        <v>0</v>
      </c>
      <c r="CX287" s="270">
        <f t="shared" si="1905"/>
        <v>0</v>
      </c>
      <c r="CY287" s="270">
        <f t="shared" si="1905"/>
        <v>0</v>
      </c>
      <c r="CZ287" s="270">
        <f t="shared" si="1905"/>
        <v>0</v>
      </c>
      <c r="DA287" s="270">
        <f t="shared" si="1905"/>
        <v>0</v>
      </c>
      <c r="DB287" s="270">
        <f t="shared" si="1905"/>
        <v>0</v>
      </c>
      <c r="DC287" s="270">
        <f t="shared" si="1905"/>
        <v>0</v>
      </c>
      <c r="DD287" s="270">
        <f t="shared" si="1905"/>
        <v>0</v>
      </c>
      <c r="DE287" s="270">
        <f t="shared" si="1905"/>
        <v>0</v>
      </c>
      <c r="DF287" s="270">
        <f t="shared" si="1905"/>
        <v>0</v>
      </c>
      <c r="DG287" s="270">
        <f t="shared" si="1905"/>
        <v>0</v>
      </c>
      <c r="DH287" s="270">
        <f t="shared" si="1905"/>
        <v>0</v>
      </c>
      <c r="DI287" s="270">
        <f t="shared" si="1905"/>
        <v>0</v>
      </c>
      <c r="DJ287" s="270">
        <f t="shared" si="1905"/>
        <v>0</v>
      </c>
      <c r="DK287" s="270">
        <f t="shared" si="1905"/>
        <v>0</v>
      </c>
      <c r="DL287" s="270">
        <f t="shared" si="1905"/>
        <v>0</v>
      </c>
      <c r="DM287" s="270">
        <f t="shared" si="1905"/>
        <v>0</v>
      </c>
      <c r="DN287" s="270">
        <f t="shared" si="1905"/>
        <v>0</v>
      </c>
      <c r="DO287" s="270">
        <f t="shared" si="1905"/>
        <v>0</v>
      </c>
      <c r="DP287" s="270">
        <f t="shared" si="1905"/>
        <v>0</v>
      </c>
      <c r="DQ287" s="270">
        <f t="shared" si="1905"/>
        <v>0</v>
      </c>
      <c r="DR287" s="270">
        <f t="shared" si="1905"/>
        <v>0</v>
      </c>
      <c r="DS287" s="270">
        <f t="shared" si="1905"/>
        <v>0</v>
      </c>
      <c r="DT287" s="270">
        <f t="shared" si="1905"/>
        <v>0</v>
      </c>
      <c r="DU287" s="270">
        <f t="shared" si="1905"/>
        <v>0</v>
      </c>
      <c r="DV287" s="270">
        <f t="shared" si="1905"/>
        <v>0</v>
      </c>
      <c r="DW287" s="270">
        <f t="shared" si="1905"/>
        <v>0</v>
      </c>
      <c r="DX287" s="270">
        <f t="shared" si="1905"/>
        <v>0</v>
      </c>
      <c r="DY287" s="270">
        <f t="shared" si="29"/>
        <v>0</v>
      </c>
      <c r="DZ287" s="274"/>
      <c r="EA287" s="275">
        <f t="shared" si="38"/>
        <v>0</v>
      </c>
      <c r="EB287" s="270">
        <f t="shared" ref="EB287:FC287" si="1906">IF(AJ285&lt;=0,0,IF($C286&lt;=SUM($EA287:EA287),0,IF(CU286+$C286-SUM($EA287:EA287)&gt;AJ285+BO286,AJ285+BO286-CU286,$C286-SUM($EA287:EA287))))</f>
        <v>0</v>
      </c>
      <c r="EC287" s="270">
        <f t="shared" si="1906"/>
        <v>0</v>
      </c>
      <c r="ED287" s="270">
        <f t="shared" si="1906"/>
        <v>0</v>
      </c>
      <c r="EE287" s="270">
        <f t="shared" si="1906"/>
        <v>0</v>
      </c>
      <c r="EF287" s="270">
        <f t="shared" si="1906"/>
        <v>0</v>
      </c>
      <c r="EG287" s="270">
        <f t="shared" si="1906"/>
        <v>0</v>
      </c>
      <c r="EH287" s="270">
        <f t="shared" si="1906"/>
        <v>0</v>
      </c>
      <c r="EI287" s="270">
        <f t="shared" si="1906"/>
        <v>0</v>
      </c>
      <c r="EJ287" s="270">
        <f t="shared" si="1906"/>
        <v>0</v>
      </c>
      <c r="EK287" s="270">
        <f t="shared" si="1906"/>
        <v>0</v>
      </c>
      <c r="EL287" s="270">
        <f t="shared" si="1906"/>
        <v>0</v>
      </c>
      <c r="EM287" s="270">
        <f t="shared" si="1906"/>
        <v>0</v>
      </c>
      <c r="EN287" s="270">
        <f t="shared" si="1906"/>
        <v>0</v>
      </c>
      <c r="EO287" s="270">
        <f t="shared" si="1906"/>
        <v>0</v>
      </c>
      <c r="EP287" s="270">
        <f t="shared" si="1906"/>
        <v>0</v>
      </c>
      <c r="EQ287" s="270">
        <f t="shared" si="1906"/>
        <v>0</v>
      </c>
      <c r="ER287" s="270">
        <f t="shared" si="1906"/>
        <v>0</v>
      </c>
      <c r="ES287" s="270">
        <f t="shared" si="1906"/>
        <v>0</v>
      </c>
      <c r="ET287" s="270">
        <f t="shared" si="1906"/>
        <v>0</v>
      </c>
      <c r="EU287" s="270">
        <f t="shared" si="1906"/>
        <v>0</v>
      </c>
      <c r="EV287" s="270">
        <f t="shared" si="1906"/>
        <v>0</v>
      </c>
      <c r="EW287" s="270">
        <f t="shared" si="1906"/>
        <v>0</v>
      </c>
      <c r="EX287" s="270">
        <f t="shared" si="1906"/>
        <v>0</v>
      </c>
      <c r="EY287" s="270">
        <f t="shared" si="1906"/>
        <v>0</v>
      </c>
      <c r="EZ287" s="270">
        <f t="shared" si="1906"/>
        <v>0</v>
      </c>
      <c r="FA287" s="270">
        <f t="shared" si="1906"/>
        <v>0</v>
      </c>
      <c r="FB287" s="270">
        <f t="shared" si="1906"/>
        <v>0</v>
      </c>
      <c r="FC287" s="270">
        <f t="shared" si="1906"/>
        <v>0</v>
      </c>
      <c r="FD287" s="271"/>
      <c r="FE287" s="271"/>
      <c r="FF287" s="271"/>
      <c r="FG287" s="215"/>
      <c r="FH287" s="215"/>
    </row>
    <row r="288" ht="11.25" customHeight="1">
      <c r="A288" s="215" t="str">
        <f t="shared" si="19"/>
        <v/>
      </c>
      <c r="B288" s="241" t="str">
        <f t="shared" si="600"/>
        <v>#N/A</v>
      </c>
      <c r="C288" s="271" t="str">
        <f>IF(A288="","",IF(Calculator!snowball,IF(($E$5-DY288)&lt;0,0,$E$5-DY288),0)+D288)</f>
        <v/>
      </c>
      <c r="D288" s="271"/>
      <c r="E288" s="270">
        <f t="shared" si="40"/>
        <v>0</v>
      </c>
      <c r="F288" s="270">
        <f t="shared" ref="F288:AG288" si="1907">CU288+EB289</f>
        <v>0</v>
      </c>
      <c r="G288" s="270">
        <f t="shared" si="1907"/>
        <v>0</v>
      </c>
      <c r="H288" s="270">
        <f t="shared" si="1907"/>
        <v>0</v>
      </c>
      <c r="I288" s="270">
        <f t="shared" si="1907"/>
        <v>0</v>
      </c>
      <c r="J288" s="270">
        <f t="shared" si="1907"/>
        <v>0</v>
      </c>
      <c r="K288" s="270">
        <f t="shared" si="1907"/>
        <v>0</v>
      </c>
      <c r="L288" s="270">
        <f t="shared" si="1907"/>
        <v>0</v>
      </c>
      <c r="M288" s="270">
        <f t="shared" si="1907"/>
        <v>0</v>
      </c>
      <c r="N288" s="270">
        <f t="shared" si="1907"/>
        <v>0</v>
      </c>
      <c r="O288" s="270">
        <f t="shared" si="1907"/>
        <v>0</v>
      </c>
      <c r="P288" s="272">
        <f t="shared" si="1907"/>
        <v>0</v>
      </c>
      <c r="Q288" s="272">
        <f t="shared" si="1907"/>
        <v>0</v>
      </c>
      <c r="R288" s="272">
        <f t="shared" si="1907"/>
        <v>0</v>
      </c>
      <c r="S288" s="272">
        <f t="shared" si="1907"/>
        <v>0</v>
      </c>
      <c r="T288" s="272">
        <f t="shared" si="1907"/>
        <v>0</v>
      </c>
      <c r="U288" s="270">
        <f t="shared" si="1907"/>
        <v>0</v>
      </c>
      <c r="V288" s="270">
        <f t="shared" si="1907"/>
        <v>0</v>
      </c>
      <c r="W288" s="270">
        <f t="shared" si="1907"/>
        <v>0</v>
      </c>
      <c r="X288" s="270">
        <f t="shared" si="1907"/>
        <v>0</v>
      </c>
      <c r="Y288" s="270">
        <f t="shared" si="1907"/>
        <v>0</v>
      </c>
      <c r="Z288" s="270">
        <f t="shared" si="1907"/>
        <v>0</v>
      </c>
      <c r="AA288" s="270">
        <f t="shared" si="1907"/>
        <v>0</v>
      </c>
      <c r="AB288" s="270">
        <f t="shared" si="1907"/>
        <v>0</v>
      </c>
      <c r="AC288" s="270">
        <f t="shared" si="1907"/>
        <v>0</v>
      </c>
      <c r="AD288" s="270">
        <f t="shared" si="1907"/>
        <v>0</v>
      </c>
      <c r="AE288" s="270">
        <f t="shared" si="1907"/>
        <v>0</v>
      </c>
      <c r="AF288" s="270">
        <f t="shared" si="1907"/>
        <v>0</v>
      </c>
      <c r="AG288" s="270">
        <f t="shared" si="1907"/>
        <v>0</v>
      </c>
      <c r="AH288" s="279">
        <f t="shared" si="602"/>
        <v>0</v>
      </c>
      <c r="AI288" s="270">
        <f t="shared" si="43"/>
        <v>0</v>
      </c>
      <c r="AJ288" s="270">
        <f t="shared" ref="AJ288:AO288" si="1908">IF(F$8=0,0,ROUND(AJ287-(F288-BO288),2))</f>
        <v>0</v>
      </c>
      <c r="AK288" s="270">
        <f t="shared" si="1908"/>
        <v>0</v>
      </c>
      <c r="AL288" s="270">
        <f t="shared" si="1908"/>
        <v>0</v>
      </c>
      <c r="AM288" s="270">
        <f t="shared" si="1908"/>
        <v>0</v>
      </c>
      <c r="AN288" s="270">
        <f t="shared" si="1908"/>
        <v>0</v>
      </c>
      <c r="AO288" s="270">
        <f t="shared" si="1908"/>
        <v>0</v>
      </c>
      <c r="AP288" s="270">
        <v>0.0</v>
      </c>
      <c r="AQ288" s="270">
        <f t="shared" ref="AQ288:AR288" si="1909">IF(M$8=0,0,ROUND(AQ287-(M288-BV288),2))</f>
        <v>0</v>
      </c>
      <c r="AR288" s="270">
        <f t="shared" si="1909"/>
        <v>0</v>
      </c>
      <c r="AS288" s="270">
        <f t="shared" si="1902"/>
        <v>-0.3</v>
      </c>
      <c r="AT288" s="270">
        <f t="shared" si="605"/>
        <v>-6.22</v>
      </c>
      <c r="AU288" s="270">
        <f t="shared" ref="AU288:BK288" si="1910">IF(Q$8=0,0,ROUND(AU287-(Q288-BY288),2))</f>
        <v>-17.43</v>
      </c>
      <c r="AV288" s="270">
        <f t="shared" si="1910"/>
        <v>0</v>
      </c>
      <c r="AW288" s="270">
        <f t="shared" si="1910"/>
        <v>0</v>
      </c>
      <c r="AX288" s="270">
        <f t="shared" si="1910"/>
        <v>0</v>
      </c>
      <c r="AY288" s="270">
        <f t="shared" si="1910"/>
        <v>0</v>
      </c>
      <c r="AZ288" s="270">
        <f t="shared" si="1910"/>
        <v>0</v>
      </c>
      <c r="BA288" s="270">
        <f t="shared" si="1910"/>
        <v>0</v>
      </c>
      <c r="BB288" s="270">
        <f t="shared" si="1910"/>
        <v>0</v>
      </c>
      <c r="BC288" s="270">
        <f t="shared" si="1910"/>
        <v>0</v>
      </c>
      <c r="BD288" s="270">
        <f t="shared" si="1910"/>
        <v>0</v>
      </c>
      <c r="BE288" s="270">
        <f t="shared" si="1910"/>
        <v>0</v>
      </c>
      <c r="BF288" s="270">
        <f t="shared" si="1910"/>
        <v>0</v>
      </c>
      <c r="BG288" s="270">
        <f t="shared" si="1910"/>
        <v>0</v>
      </c>
      <c r="BH288" s="270">
        <f t="shared" si="1910"/>
        <v>0</v>
      </c>
      <c r="BI288" s="270">
        <f t="shared" si="1910"/>
        <v>0</v>
      </c>
      <c r="BJ288" s="270">
        <f t="shared" si="1910"/>
        <v>0</v>
      </c>
      <c r="BK288" s="270">
        <f t="shared" si="1910"/>
        <v>0</v>
      </c>
      <c r="BL288" s="265">
        <f t="shared" si="16"/>
        <v>-23.95</v>
      </c>
      <c r="BM288" s="215"/>
      <c r="BN288" s="270">
        <f t="shared" ref="BN288:CP288" si="1911">ROUND(AI287*E$9/12,2)</f>
        <v>0</v>
      </c>
      <c r="BO288" s="270">
        <f t="shared" si="1911"/>
        <v>0</v>
      </c>
      <c r="BP288" s="270">
        <f t="shared" si="1911"/>
        <v>0</v>
      </c>
      <c r="BQ288" s="270">
        <f t="shared" si="1911"/>
        <v>0</v>
      </c>
      <c r="BR288" s="270">
        <f t="shared" si="1911"/>
        <v>0</v>
      </c>
      <c r="BS288" s="270">
        <f t="shared" si="1911"/>
        <v>0</v>
      </c>
      <c r="BT288" s="270">
        <f t="shared" si="1911"/>
        <v>0</v>
      </c>
      <c r="BU288" s="270">
        <f t="shared" si="1911"/>
        <v>0</v>
      </c>
      <c r="BV288" s="270">
        <f t="shared" si="1911"/>
        <v>0</v>
      </c>
      <c r="BW288" s="270">
        <f t="shared" si="1911"/>
        <v>0</v>
      </c>
      <c r="BX288" s="270">
        <f t="shared" si="1911"/>
        <v>0</v>
      </c>
      <c r="BY288" s="270">
        <f t="shared" si="1911"/>
        <v>-0.05</v>
      </c>
      <c r="BZ288" s="270">
        <f t="shared" si="1911"/>
        <v>-0.05</v>
      </c>
      <c r="CA288" s="270">
        <f t="shared" si="1911"/>
        <v>0</v>
      </c>
      <c r="CB288" s="270">
        <f t="shared" si="1911"/>
        <v>0</v>
      </c>
      <c r="CC288" s="270">
        <f t="shared" si="1911"/>
        <v>0</v>
      </c>
      <c r="CD288" s="270">
        <f t="shared" si="1911"/>
        <v>0</v>
      </c>
      <c r="CE288" s="270">
        <f t="shared" si="1911"/>
        <v>0</v>
      </c>
      <c r="CF288" s="270">
        <f t="shared" si="1911"/>
        <v>0</v>
      </c>
      <c r="CG288" s="270">
        <f t="shared" si="1911"/>
        <v>0</v>
      </c>
      <c r="CH288" s="270">
        <f t="shared" si="1911"/>
        <v>0</v>
      </c>
      <c r="CI288" s="270">
        <f t="shared" si="1911"/>
        <v>0</v>
      </c>
      <c r="CJ288" s="270">
        <f t="shared" si="1911"/>
        <v>0</v>
      </c>
      <c r="CK288" s="270">
        <f t="shared" si="1911"/>
        <v>0</v>
      </c>
      <c r="CL288" s="270">
        <f t="shared" si="1911"/>
        <v>0</v>
      </c>
      <c r="CM288" s="270">
        <f t="shared" si="1911"/>
        <v>0</v>
      </c>
      <c r="CN288" s="270">
        <f t="shared" si="1911"/>
        <v>0</v>
      </c>
      <c r="CO288" s="270">
        <f t="shared" si="1911"/>
        <v>0</v>
      </c>
      <c r="CP288" s="270">
        <f t="shared" si="1911"/>
        <v>0</v>
      </c>
      <c r="CQ288" s="215"/>
      <c r="CR288" s="270">
        <f t="shared" si="27"/>
        <v>-0.1</v>
      </c>
      <c r="CS288" s="215"/>
      <c r="CT288" s="270">
        <f t="shared" ref="CT288:DX288" si="1912">IF(AI287&gt;0,IF((AI287+BN288)&lt;E$10,AI287+BN288,E$10),0)</f>
        <v>0</v>
      </c>
      <c r="CU288" s="270">
        <f t="shared" si="1912"/>
        <v>0</v>
      </c>
      <c r="CV288" s="270">
        <f t="shared" si="1912"/>
        <v>0</v>
      </c>
      <c r="CW288" s="270">
        <f t="shared" si="1912"/>
        <v>0</v>
      </c>
      <c r="CX288" s="270">
        <f t="shared" si="1912"/>
        <v>0</v>
      </c>
      <c r="CY288" s="270">
        <f t="shared" si="1912"/>
        <v>0</v>
      </c>
      <c r="CZ288" s="270">
        <f t="shared" si="1912"/>
        <v>0</v>
      </c>
      <c r="DA288" s="270">
        <f t="shared" si="1912"/>
        <v>0</v>
      </c>
      <c r="DB288" s="270">
        <f t="shared" si="1912"/>
        <v>0</v>
      </c>
      <c r="DC288" s="270">
        <f t="shared" si="1912"/>
        <v>0</v>
      </c>
      <c r="DD288" s="270">
        <f t="shared" si="1912"/>
        <v>0</v>
      </c>
      <c r="DE288" s="270">
        <f t="shared" si="1912"/>
        <v>0</v>
      </c>
      <c r="DF288" s="270">
        <f t="shared" si="1912"/>
        <v>0</v>
      </c>
      <c r="DG288" s="270">
        <f t="shared" si="1912"/>
        <v>0</v>
      </c>
      <c r="DH288" s="270">
        <f t="shared" si="1912"/>
        <v>0</v>
      </c>
      <c r="DI288" s="270">
        <f t="shared" si="1912"/>
        <v>0</v>
      </c>
      <c r="DJ288" s="270">
        <f t="shared" si="1912"/>
        <v>0</v>
      </c>
      <c r="DK288" s="270">
        <f t="shared" si="1912"/>
        <v>0</v>
      </c>
      <c r="DL288" s="270">
        <f t="shared" si="1912"/>
        <v>0</v>
      </c>
      <c r="DM288" s="270">
        <f t="shared" si="1912"/>
        <v>0</v>
      </c>
      <c r="DN288" s="270">
        <f t="shared" si="1912"/>
        <v>0</v>
      </c>
      <c r="DO288" s="270">
        <f t="shared" si="1912"/>
        <v>0</v>
      </c>
      <c r="DP288" s="270">
        <f t="shared" si="1912"/>
        <v>0</v>
      </c>
      <c r="DQ288" s="270">
        <f t="shared" si="1912"/>
        <v>0</v>
      </c>
      <c r="DR288" s="270">
        <f t="shared" si="1912"/>
        <v>0</v>
      </c>
      <c r="DS288" s="270">
        <f t="shared" si="1912"/>
        <v>0</v>
      </c>
      <c r="DT288" s="270">
        <f t="shared" si="1912"/>
        <v>0</v>
      </c>
      <c r="DU288" s="270">
        <f t="shared" si="1912"/>
        <v>0</v>
      </c>
      <c r="DV288" s="270">
        <f t="shared" si="1912"/>
        <v>0</v>
      </c>
      <c r="DW288" s="270">
        <f t="shared" si="1912"/>
        <v>0</v>
      </c>
      <c r="DX288" s="270">
        <f t="shared" si="1912"/>
        <v>0</v>
      </c>
      <c r="DY288" s="270">
        <f t="shared" si="29"/>
        <v>0</v>
      </c>
      <c r="DZ288" s="274"/>
      <c r="EA288" s="275">
        <f t="shared" si="38"/>
        <v>0</v>
      </c>
      <c r="EB288" s="270">
        <f t="shared" ref="EB288:FC288" si="1913">IF(AJ286&lt;=0,0,IF($C287&lt;=SUM($EA288:EA288),0,IF(CU287+$C287-SUM($EA288:EA288)&gt;AJ286+BO287,AJ286+BO287-CU287,$C287-SUM($EA288:EA288))))</f>
        <v>0</v>
      </c>
      <c r="EC288" s="270">
        <f t="shared" si="1913"/>
        <v>0</v>
      </c>
      <c r="ED288" s="270">
        <f t="shared" si="1913"/>
        <v>0</v>
      </c>
      <c r="EE288" s="270">
        <f t="shared" si="1913"/>
        <v>0</v>
      </c>
      <c r="EF288" s="270">
        <f t="shared" si="1913"/>
        <v>0</v>
      </c>
      <c r="EG288" s="270">
        <f t="shared" si="1913"/>
        <v>0</v>
      </c>
      <c r="EH288" s="270">
        <f t="shared" si="1913"/>
        <v>0</v>
      </c>
      <c r="EI288" s="270">
        <f t="shared" si="1913"/>
        <v>0</v>
      </c>
      <c r="EJ288" s="270">
        <f t="shared" si="1913"/>
        <v>0</v>
      </c>
      <c r="EK288" s="270">
        <f t="shared" si="1913"/>
        <v>0</v>
      </c>
      <c r="EL288" s="270">
        <f t="shared" si="1913"/>
        <v>0</v>
      </c>
      <c r="EM288" s="270">
        <f t="shared" si="1913"/>
        <v>0</v>
      </c>
      <c r="EN288" s="270">
        <f t="shared" si="1913"/>
        <v>0</v>
      </c>
      <c r="EO288" s="270">
        <f t="shared" si="1913"/>
        <v>0</v>
      </c>
      <c r="EP288" s="270">
        <f t="shared" si="1913"/>
        <v>0</v>
      </c>
      <c r="EQ288" s="270">
        <f t="shared" si="1913"/>
        <v>0</v>
      </c>
      <c r="ER288" s="270">
        <f t="shared" si="1913"/>
        <v>0</v>
      </c>
      <c r="ES288" s="270">
        <f t="shared" si="1913"/>
        <v>0</v>
      </c>
      <c r="ET288" s="270">
        <f t="shared" si="1913"/>
        <v>0</v>
      </c>
      <c r="EU288" s="270">
        <f t="shared" si="1913"/>
        <v>0</v>
      </c>
      <c r="EV288" s="270">
        <f t="shared" si="1913"/>
        <v>0</v>
      </c>
      <c r="EW288" s="270">
        <f t="shared" si="1913"/>
        <v>0</v>
      </c>
      <c r="EX288" s="270">
        <f t="shared" si="1913"/>
        <v>0</v>
      </c>
      <c r="EY288" s="270">
        <f t="shared" si="1913"/>
        <v>0</v>
      </c>
      <c r="EZ288" s="270">
        <f t="shared" si="1913"/>
        <v>0</v>
      </c>
      <c r="FA288" s="270">
        <f t="shared" si="1913"/>
        <v>0</v>
      </c>
      <c r="FB288" s="270">
        <f t="shared" si="1913"/>
        <v>0</v>
      </c>
      <c r="FC288" s="270">
        <f t="shared" si="1913"/>
        <v>0</v>
      </c>
      <c r="FD288" s="271"/>
      <c r="FE288" s="271"/>
      <c r="FF288" s="271"/>
      <c r="FG288" s="215"/>
      <c r="FH288" s="215"/>
    </row>
    <row r="289" ht="11.25" customHeight="1">
      <c r="A289" s="215" t="str">
        <f t="shared" si="19"/>
        <v/>
      </c>
      <c r="B289" s="241" t="str">
        <f t="shared" si="600"/>
        <v>#N/A</v>
      </c>
      <c r="C289" s="271" t="str">
        <f>IF(A289="","",IF(Calculator!snowball,IF(($E$5-DY289)&lt;0,0,$E$5-DY289),0)+D289)</f>
        <v/>
      </c>
      <c r="D289" s="271"/>
      <c r="E289" s="270">
        <f t="shared" si="40"/>
        <v>0</v>
      </c>
      <c r="F289" s="270">
        <f t="shared" ref="F289:AG289" si="1914">CU289+EB290</f>
        <v>0</v>
      </c>
      <c r="G289" s="270">
        <f t="shared" si="1914"/>
        <v>0</v>
      </c>
      <c r="H289" s="270">
        <f t="shared" si="1914"/>
        <v>0</v>
      </c>
      <c r="I289" s="270">
        <f t="shared" si="1914"/>
        <v>0</v>
      </c>
      <c r="J289" s="270">
        <f t="shared" si="1914"/>
        <v>0</v>
      </c>
      <c r="K289" s="270">
        <f t="shared" si="1914"/>
        <v>0</v>
      </c>
      <c r="L289" s="270">
        <f t="shared" si="1914"/>
        <v>0</v>
      </c>
      <c r="M289" s="270">
        <f t="shared" si="1914"/>
        <v>0</v>
      </c>
      <c r="N289" s="270">
        <f t="shared" si="1914"/>
        <v>0</v>
      </c>
      <c r="O289" s="270">
        <f t="shared" si="1914"/>
        <v>0</v>
      </c>
      <c r="P289" s="272">
        <f t="shared" si="1914"/>
        <v>0</v>
      </c>
      <c r="Q289" s="272">
        <f t="shared" si="1914"/>
        <v>0</v>
      </c>
      <c r="R289" s="272">
        <f t="shared" si="1914"/>
        <v>0</v>
      </c>
      <c r="S289" s="272">
        <f t="shared" si="1914"/>
        <v>0</v>
      </c>
      <c r="T289" s="272">
        <f t="shared" si="1914"/>
        <v>0</v>
      </c>
      <c r="U289" s="270">
        <f t="shared" si="1914"/>
        <v>0</v>
      </c>
      <c r="V289" s="270">
        <f t="shared" si="1914"/>
        <v>0</v>
      </c>
      <c r="W289" s="270">
        <f t="shared" si="1914"/>
        <v>0</v>
      </c>
      <c r="X289" s="270">
        <f t="shared" si="1914"/>
        <v>0</v>
      </c>
      <c r="Y289" s="270">
        <f t="shared" si="1914"/>
        <v>0</v>
      </c>
      <c r="Z289" s="270">
        <f t="shared" si="1914"/>
        <v>0</v>
      </c>
      <c r="AA289" s="270">
        <f t="shared" si="1914"/>
        <v>0</v>
      </c>
      <c r="AB289" s="270">
        <f t="shared" si="1914"/>
        <v>0</v>
      </c>
      <c r="AC289" s="270">
        <f t="shared" si="1914"/>
        <v>0</v>
      </c>
      <c r="AD289" s="270">
        <f t="shared" si="1914"/>
        <v>0</v>
      </c>
      <c r="AE289" s="270">
        <f t="shared" si="1914"/>
        <v>0</v>
      </c>
      <c r="AF289" s="270">
        <f t="shared" si="1914"/>
        <v>0</v>
      </c>
      <c r="AG289" s="270">
        <f t="shared" si="1914"/>
        <v>0</v>
      </c>
      <c r="AH289" s="279">
        <f t="shared" si="602"/>
        <v>0</v>
      </c>
      <c r="AI289" s="270">
        <f t="shared" si="43"/>
        <v>0</v>
      </c>
      <c r="AJ289" s="270">
        <f t="shared" ref="AJ289:AO289" si="1915">IF(F$8=0,0,ROUND(AJ288-(F289-BO289),2))</f>
        <v>0</v>
      </c>
      <c r="AK289" s="270">
        <f t="shared" si="1915"/>
        <v>0</v>
      </c>
      <c r="AL289" s="270">
        <f t="shared" si="1915"/>
        <v>0</v>
      </c>
      <c r="AM289" s="270">
        <f t="shared" si="1915"/>
        <v>0</v>
      </c>
      <c r="AN289" s="270">
        <f t="shared" si="1915"/>
        <v>0</v>
      </c>
      <c r="AO289" s="270">
        <f t="shared" si="1915"/>
        <v>0</v>
      </c>
      <c r="AP289" s="270">
        <v>0.0</v>
      </c>
      <c r="AQ289" s="270">
        <f t="shared" ref="AQ289:AR289" si="1916">IF(M$8=0,0,ROUND(AQ288-(M289-BV289),2))</f>
        <v>0</v>
      </c>
      <c r="AR289" s="270">
        <f t="shared" si="1916"/>
        <v>0</v>
      </c>
      <c r="AS289" s="270">
        <f t="shared" si="1902"/>
        <v>-0.4</v>
      </c>
      <c r="AT289" s="270">
        <f t="shared" si="605"/>
        <v>-6.22</v>
      </c>
      <c r="AU289" s="270">
        <f t="shared" ref="AU289:BK289" si="1917">IF(Q$8=0,0,ROUND(AU288-(Q289-BY289),2))</f>
        <v>-17.48</v>
      </c>
      <c r="AV289" s="270">
        <f t="shared" si="1917"/>
        <v>0</v>
      </c>
      <c r="AW289" s="270">
        <f t="shared" si="1917"/>
        <v>0</v>
      </c>
      <c r="AX289" s="270">
        <f t="shared" si="1917"/>
        <v>0</v>
      </c>
      <c r="AY289" s="270">
        <f t="shared" si="1917"/>
        <v>0</v>
      </c>
      <c r="AZ289" s="270">
        <f t="shared" si="1917"/>
        <v>0</v>
      </c>
      <c r="BA289" s="270">
        <f t="shared" si="1917"/>
        <v>0</v>
      </c>
      <c r="BB289" s="270">
        <f t="shared" si="1917"/>
        <v>0</v>
      </c>
      <c r="BC289" s="270">
        <f t="shared" si="1917"/>
        <v>0</v>
      </c>
      <c r="BD289" s="270">
        <f t="shared" si="1917"/>
        <v>0</v>
      </c>
      <c r="BE289" s="270">
        <f t="shared" si="1917"/>
        <v>0</v>
      </c>
      <c r="BF289" s="270">
        <f t="shared" si="1917"/>
        <v>0</v>
      </c>
      <c r="BG289" s="270">
        <f t="shared" si="1917"/>
        <v>0</v>
      </c>
      <c r="BH289" s="270">
        <f t="shared" si="1917"/>
        <v>0</v>
      </c>
      <c r="BI289" s="270">
        <f t="shared" si="1917"/>
        <v>0</v>
      </c>
      <c r="BJ289" s="270">
        <f t="shared" si="1917"/>
        <v>0</v>
      </c>
      <c r="BK289" s="270">
        <f t="shared" si="1917"/>
        <v>0</v>
      </c>
      <c r="BL289" s="265">
        <f t="shared" si="16"/>
        <v>-24.1</v>
      </c>
      <c r="BM289" s="215"/>
      <c r="BN289" s="270">
        <f t="shared" ref="BN289:CP289" si="1918">ROUND(AI288*E$9/12,2)</f>
        <v>0</v>
      </c>
      <c r="BO289" s="270">
        <f t="shared" si="1918"/>
        <v>0</v>
      </c>
      <c r="BP289" s="270">
        <f t="shared" si="1918"/>
        <v>0</v>
      </c>
      <c r="BQ289" s="270">
        <f t="shared" si="1918"/>
        <v>0</v>
      </c>
      <c r="BR289" s="270">
        <f t="shared" si="1918"/>
        <v>0</v>
      </c>
      <c r="BS289" s="270">
        <f t="shared" si="1918"/>
        <v>0</v>
      </c>
      <c r="BT289" s="270">
        <f t="shared" si="1918"/>
        <v>0</v>
      </c>
      <c r="BU289" s="270">
        <f t="shared" si="1918"/>
        <v>0</v>
      </c>
      <c r="BV289" s="270">
        <f t="shared" si="1918"/>
        <v>0</v>
      </c>
      <c r="BW289" s="270">
        <f t="shared" si="1918"/>
        <v>0</v>
      </c>
      <c r="BX289" s="270">
        <f t="shared" si="1918"/>
        <v>0</v>
      </c>
      <c r="BY289" s="270">
        <f t="shared" si="1918"/>
        <v>-0.05</v>
      </c>
      <c r="BZ289" s="270">
        <f t="shared" si="1918"/>
        <v>-0.05</v>
      </c>
      <c r="CA289" s="270">
        <f t="shared" si="1918"/>
        <v>0</v>
      </c>
      <c r="CB289" s="270">
        <f t="shared" si="1918"/>
        <v>0</v>
      </c>
      <c r="CC289" s="270">
        <f t="shared" si="1918"/>
        <v>0</v>
      </c>
      <c r="CD289" s="270">
        <f t="shared" si="1918"/>
        <v>0</v>
      </c>
      <c r="CE289" s="270">
        <f t="shared" si="1918"/>
        <v>0</v>
      </c>
      <c r="CF289" s="270">
        <f t="shared" si="1918"/>
        <v>0</v>
      </c>
      <c r="CG289" s="270">
        <f t="shared" si="1918"/>
        <v>0</v>
      </c>
      <c r="CH289" s="270">
        <f t="shared" si="1918"/>
        <v>0</v>
      </c>
      <c r="CI289" s="270">
        <f t="shared" si="1918"/>
        <v>0</v>
      </c>
      <c r="CJ289" s="270">
        <f t="shared" si="1918"/>
        <v>0</v>
      </c>
      <c r="CK289" s="270">
        <f t="shared" si="1918"/>
        <v>0</v>
      </c>
      <c r="CL289" s="270">
        <f t="shared" si="1918"/>
        <v>0</v>
      </c>
      <c r="CM289" s="270">
        <f t="shared" si="1918"/>
        <v>0</v>
      </c>
      <c r="CN289" s="270">
        <f t="shared" si="1918"/>
        <v>0</v>
      </c>
      <c r="CO289" s="270">
        <f t="shared" si="1918"/>
        <v>0</v>
      </c>
      <c r="CP289" s="270">
        <f t="shared" si="1918"/>
        <v>0</v>
      </c>
      <c r="CQ289" s="215"/>
      <c r="CR289" s="270">
        <f t="shared" si="27"/>
        <v>-0.1</v>
      </c>
      <c r="CS289" s="215"/>
      <c r="CT289" s="270">
        <f t="shared" ref="CT289:DX289" si="1919">IF(AI288&gt;0,IF((AI288+BN289)&lt;E$10,AI288+BN289,E$10),0)</f>
        <v>0</v>
      </c>
      <c r="CU289" s="270">
        <f t="shared" si="1919"/>
        <v>0</v>
      </c>
      <c r="CV289" s="270">
        <f t="shared" si="1919"/>
        <v>0</v>
      </c>
      <c r="CW289" s="270">
        <f t="shared" si="1919"/>
        <v>0</v>
      </c>
      <c r="CX289" s="270">
        <f t="shared" si="1919"/>
        <v>0</v>
      </c>
      <c r="CY289" s="270">
        <f t="shared" si="1919"/>
        <v>0</v>
      </c>
      <c r="CZ289" s="270">
        <f t="shared" si="1919"/>
        <v>0</v>
      </c>
      <c r="DA289" s="270">
        <f t="shared" si="1919"/>
        <v>0</v>
      </c>
      <c r="DB289" s="270">
        <f t="shared" si="1919"/>
        <v>0</v>
      </c>
      <c r="DC289" s="270">
        <f t="shared" si="1919"/>
        <v>0</v>
      </c>
      <c r="DD289" s="270">
        <f t="shared" si="1919"/>
        <v>0</v>
      </c>
      <c r="DE289" s="270">
        <f t="shared" si="1919"/>
        <v>0</v>
      </c>
      <c r="DF289" s="270">
        <f t="shared" si="1919"/>
        <v>0</v>
      </c>
      <c r="DG289" s="270">
        <f t="shared" si="1919"/>
        <v>0</v>
      </c>
      <c r="DH289" s="270">
        <f t="shared" si="1919"/>
        <v>0</v>
      </c>
      <c r="DI289" s="270">
        <f t="shared" si="1919"/>
        <v>0</v>
      </c>
      <c r="DJ289" s="270">
        <f t="shared" si="1919"/>
        <v>0</v>
      </c>
      <c r="DK289" s="270">
        <f t="shared" si="1919"/>
        <v>0</v>
      </c>
      <c r="DL289" s="270">
        <f t="shared" si="1919"/>
        <v>0</v>
      </c>
      <c r="DM289" s="270">
        <f t="shared" si="1919"/>
        <v>0</v>
      </c>
      <c r="DN289" s="270">
        <f t="shared" si="1919"/>
        <v>0</v>
      </c>
      <c r="DO289" s="270">
        <f t="shared" si="1919"/>
        <v>0</v>
      </c>
      <c r="DP289" s="270">
        <f t="shared" si="1919"/>
        <v>0</v>
      </c>
      <c r="DQ289" s="270">
        <f t="shared" si="1919"/>
        <v>0</v>
      </c>
      <c r="DR289" s="270">
        <f t="shared" si="1919"/>
        <v>0</v>
      </c>
      <c r="DS289" s="270">
        <f t="shared" si="1919"/>
        <v>0</v>
      </c>
      <c r="DT289" s="270">
        <f t="shared" si="1919"/>
        <v>0</v>
      </c>
      <c r="DU289" s="270">
        <f t="shared" si="1919"/>
        <v>0</v>
      </c>
      <c r="DV289" s="270">
        <f t="shared" si="1919"/>
        <v>0</v>
      </c>
      <c r="DW289" s="270">
        <f t="shared" si="1919"/>
        <v>0</v>
      </c>
      <c r="DX289" s="270">
        <f t="shared" si="1919"/>
        <v>0</v>
      </c>
      <c r="DY289" s="270">
        <f t="shared" si="29"/>
        <v>0</v>
      </c>
      <c r="DZ289" s="274"/>
      <c r="EA289" s="275">
        <f t="shared" si="38"/>
        <v>0</v>
      </c>
      <c r="EB289" s="270">
        <f t="shared" ref="EB289:FC289" si="1920">IF(AJ287&lt;=0,0,IF($C288&lt;=SUM($EA289:EA289),0,IF(CU288+$C288-SUM($EA289:EA289)&gt;AJ287+BO288,AJ287+BO288-CU288,$C288-SUM($EA289:EA289))))</f>
        <v>0</v>
      </c>
      <c r="EC289" s="270">
        <f t="shared" si="1920"/>
        <v>0</v>
      </c>
      <c r="ED289" s="270">
        <f t="shared" si="1920"/>
        <v>0</v>
      </c>
      <c r="EE289" s="270">
        <f t="shared" si="1920"/>
        <v>0</v>
      </c>
      <c r="EF289" s="270">
        <f t="shared" si="1920"/>
        <v>0</v>
      </c>
      <c r="EG289" s="270">
        <f t="shared" si="1920"/>
        <v>0</v>
      </c>
      <c r="EH289" s="270">
        <f t="shared" si="1920"/>
        <v>0</v>
      </c>
      <c r="EI289" s="270">
        <f t="shared" si="1920"/>
        <v>0</v>
      </c>
      <c r="EJ289" s="270">
        <f t="shared" si="1920"/>
        <v>0</v>
      </c>
      <c r="EK289" s="270">
        <f t="shared" si="1920"/>
        <v>0</v>
      </c>
      <c r="EL289" s="270">
        <f t="shared" si="1920"/>
        <v>0</v>
      </c>
      <c r="EM289" s="270">
        <f t="shared" si="1920"/>
        <v>0</v>
      </c>
      <c r="EN289" s="270">
        <f t="shared" si="1920"/>
        <v>0</v>
      </c>
      <c r="EO289" s="270">
        <f t="shared" si="1920"/>
        <v>0</v>
      </c>
      <c r="EP289" s="270">
        <f t="shared" si="1920"/>
        <v>0</v>
      </c>
      <c r="EQ289" s="270">
        <f t="shared" si="1920"/>
        <v>0</v>
      </c>
      <c r="ER289" s="270">
        <f t="shared" si="1920"/>
        <v>0</v>
      </c>
      <c r="ES289" s="270">
        <f t="shared" si="1920"/>
        <v>0</v>
      </c>
      <c r="ET289" s="270">
        <f t="shared" si="1920"/>
        <v>0</v>
      </c>
      <c r="EU289" s="270">
        <f t="shared" si="1920"/>
        <v>0</v>
      </c>
      <c r="EV289" s="270">
        <f t="shared" si="1920"/>
        <v>0</v>
      </c>
      <c r="EW289" s="270">
        <f t="shared" si="1920"/>
        <v>0</v>
      </c>
      <c r="EX289" s="270">
        <f t="shared" si="1920"/>
        <v>0</v>
      </c>
      <c r="EY289" s="270">
        <f t="shared" si="1920"/>
        <v>0</v>
      </c>
      <c r="EZ289" s="270">
        <f t="shared" si="1920"/>
        <v>0</v>
      </c>
      <c r="FA289" s="270">
        <f t="shared" si="1920"/>
        <v>0</v>
      </c>
      <c r="FB289" s="270">
        <f t="shared" si="1920"/>
        <v>0</v>
      </c>
      <c r="FC289" s="270">
        <f t="shared" si="1920"/>
        <v>0</v>
      </c>
      <c r="FD289" s="271"/>
      <c r="FE289" s="271"/>
      <c r="FF289" s="271"/>
      <c r="FG289" s="215"/>
      <c r="FH289" s="215"/>
    </row>
    <row r="290" ht="11.25" customHeight="1">
      <c r="A290" s="215" t="str">
        <f t="shared" si="19"/>
        <v/>
      </c>
      <c r="B290" s="241" t="str">
        <f t="shared" si="600"/>
        <v>#N/A</v>
      </c>
      <c r="C290" s="271" t="str">
        <f>IF(A290="","",IF(Calculator!snowball,IF(($E$5-DY290)&lt;0,0,$E$5-DY290),0)+D290)</f>
        <v/>
      </c>
      <c r="D290" s="271"/>
      <c r="E290" s="270">
        <f t="shared" si="40"/>
        <v>0</v>
      </c>
      <c r="F290" s="270">
        <f t="shared" ref="F290:AG290" si="1921">CU290+EB291</f>
        <v>0</v>
      </c>
      <c r="G290" s="270">
        <f t="shared" si="1921"/>
        <v>0</v>
      </c>
      <c r="H290" s="270">
        <f t="shared" si="1921"/>
        <v>0</v>
      </c>
      <c r="I290" s="270">
        <f t="shared" si="1921"/>
        <v>0</v>
      </c>
      <c r="J290" s="270">
        <f t="shared" si="1921"/>
        <v>0</v>
      </c>
      <c r="K290" s="270">
        <f t="shared" si="1921"/>
        <v>0</v>
      </c>
      <c r="L290" s="270">
        <f t="shared" si="1921"/>
        <v>0</v>
      </c>
      <c r="M290" s="270">
        <f t="shared" si="1921"/>
        <v>0</v>
      </c>
      <c r="N290" s="270">
        <f t="shared" si="1921"/>
        <v>0</v>
      </c>
      <c r="O290" s="270">
        <f t="shared" si="1921"/>
        <v>0</v>
      </c>
      <c r="P290" s="272">
        <f t="shared" si="1921"/>
        <v>0</v>
      </c>
      <c r="Q290" s="272">
        <f t="shared" si="1921"/>
        <v>0</v>
      </c>
      <c r="R290" s="272">
        <f t="shared" si="1921"/>
        <v>0</v>
      </c>
      <c r="S290" s="272">
        <f t="shared" si="1921"/>
        <v>0</v>
      </c>
      <c r="T290" s="272">
        <f t="shared" si="1921"/>
        <v>0</v>
      </c>
      <c r="U290" s="270">
        <f t="shared" si="1921"/>
        <v>0</v>
      </c>
      <c r="V290" s="270">
        <f t="shared" si="1921"/>
        <v>0</v>
      </c>
      <c r="W290" s="270">
        <f t="shared" si="1921"/>
        <v>0</v>
      </c>
      <c r="X290" s="270">
        <f t="shared" si="1921"/>
        <v>0</v>
      </c>
      <c r="Y290" s="270">
        <f t="shared" si="1921"/>
        <v>0</v>
      </c>
      <c r="Z290" s="270">
        <f t="shared" si="1921"/>
        <v>0</v>
      </c>
      <c r="AA290" s="270">
        <f t="shared" si="1921"/>
        <v>0</v>
      </c>
      <c r="AB290" s="270">
        <f t="shared" si="1921"/>
        <v>0</v>
      </c>
      <c r="AC290" s="270">
        <f t="shared" si="1921"/>
        <v>0</v>
      </c>
      <c r="AD290" s="270">
        <f t="shared" si="1921"/>
        <v>0</v>
      </c>
      <c r="AE290" s="270">
        <f t="shared" si="1921"/>
        <v>0</v>
      </c>
      <c r="AF290" s="270">
        <f t="shared" si="1921"/>
        <v>0</v>
      </c>
      <c r="AG290" s="270">
        <f t="shared" si="1921"/>
        <v>0</v>
      </c>
      <c r="AH290" s="279">
        <f t="shared" si="602"/>
        <v>0</v>
      </c>
      <c r="AI290" s="270">
        <f t="shared" si="43"/>
        <v>0</v>
      </c>
      <c r="AJ290" s="270">
        <f t="shared" ref="AJ290:AO290" si="1922">IF(F$8=0,0,ROUND(AJ289-(F290-BO290),2))</f>
        <v>0</v>
      </c>
      <c r="AK290" s="270">
        <f t="shared" si="1922"/>
        <v>0</v>
      </c>
      <c r="AL290" s="270">
        <f t="shared" si="1922"/>
        <v>0</v>
      </c>
      <c r="AM290" s="270">
        <f t="shared" si="1922"/>
        <v>0</v>
      </c>
      <c r="AN290" s="270">
        <f t="shared" si="1922"/>
        <v>0</v>
      </c>
      <c r="AO290" s="270">
        <f t="shared" si="1922"/>
        <v>0</v>
      </c>
      <c r="AP290" s="270">
        <v>0.0</v>
      </c>
      <c r="AQ290" s="270">
        <f t="shared" ref="AQ290:AR290" si="1923">IF(M$8=0,0,ROUND(AQ289-(M290-BV290),2))</f>
        <v>0</v>
      </c>
      <c r="AR290" s="270">
        <f t="shared" si="1923"/>
        <v>0</v>
      </c>
      <c r="AS290" s="270">
        <f t="shared" si="1902"/>
        <v>-0.5</v>
      </c>
      <c r="AT290" s="270">
        <f t="shared" si="605"/>
        <v>-6.22</v>
      </c>
      <c r="AU290" s="270">
        <f t="shared" ref="AU290:BK290" si="1924">IF(Q$8=0,0,ROUND(AU289-(Q290-BY290),2))</f>
        <v>-17.53</v>
      </c>
      <c r="AV290" s="270">
        <f t="shared" si="1924"/>
        <v>0</v>
      </c>
      <c r="AW290" s="270">
        <f t="shared" si="1924"/>
        <v>0</v>
      </c>
      <c r="AX290" s="270">
        <f t="shared" si="1924"/>
        <v>0</v>
      </c>
      <c r="AY290" s="270">
        <f t="shared" si="1924"/>
        <v>0</v>
      </c>
      <c r="AZ290" s="270">
        <f t="shared" si="1924"/>
        <v>0</v>
      </c>
      <c r="BA290" s="270">
        <f t="shared" si="1924"/>
        <v>0</v>
      </c>
      <c r="BB290" s="270">
        <f t="shared" si="1924"/>
        <v>0</v>
      </c>
      <c r="BC290" s="270">
        <f t="shared" si="1924"/>
        <v>0</v>
      </c>
      <c r="BD290" s="270">
        <f t="shared" si="1924"/>
        <v>0</v>
      </c>
      <c r="BE290" s="270">
        <f t="shared" si="1924"/>
        <v>0</v>
      </c>
      <c r="BF290" s="270">
        <f t="shared" si="1924"/>
        <v>0</v>
      </c>
      <c r="BG290" s="270">
        <f t="shared" si="1924"/>
        <v>0</v>
      </c>
      <c r="BH290" s="270">
        <f t="shared" si="1924"/>
        <v>0</v>
      </c>
      <c r="BI290" s="270">
        <f t="shared" si="1924"/>
        <v>0</v>
      </c>
      <c r="BJ290" s="270">
        <f t="shared" si="1924"/>
        <v>0</v>
      </c>
      <c r="BK290" s="270">
        <f t="shared" si="1924"/>
        <v>0</v>
      </c>
      <c r="BL290" s="265">
        <f t="shared" si="16"/>
        <v>-24.25</v>
      </c>
      <c r="BM290" s="215"/>
      <c r="BN290" s="270">
        <f t="shared" ref="BN290:CP290" si="1925">ROUND(AI289*E$9/12,2)</f>
        <v>0</v>
      </c>
      <c r="BO290" s="270">
        <f t="shared" si="1925"/>
        <v>0</v>
      </c>
      <c r="BP290" s="270">
        <f t="shared" si="1925"/>
        <v>0</v>
      </c>
      <c r="BQ290" s="270">
        <f t="shared" si="1925"/>
        <v>0</v>
      </c>
      <c r="BR290" s="270">
        <f t="shared" si="1925"/>
        <v>0</v>
      </c>
      <c r="BS290" s="270">
        <f t="shared" si="1925"/>
        <v>0</v>
      </c>
      <c r="BT290" s="270">
        <f t="shared" si="1925"/>
        <v>0</v>
      </c>
      <c r="BU290" s="270">
        <f t="shared" si="1925"/>
        <v>0</v>
      </c>
      <c r="BV290" s="270">
        <f t="shared" si="1925"/>
        <v>0</v>
      </c>
      <c r="BW290" s="270">
        <f t="shared" si="1925"/>
        <v>0</v>
      </c>
      <c r="BX290" s="270">
        <f t="shared" si="1925"/>
        <v>0</v>
      </c>
      <c r="BY290" s="270">
        <f t="shared" si="1925"/>
        <v>-0.05</v>
      </c>
      <c r="BZ290" s="270">
        <f t="shared" si="1925"/>
        <v>-0.05</v>
      </c>
      <c r="CA290" s="270">
        <f t="shared" si="1925"/>
        <v>0</v>
      </c>
      <c r="CB290" s="270">
        <f t="shared" si="1925"/>
        <v>0</v>
      </c>
      <c r="CC290" s="270">
        <f t="shared" si="1925"/>
        <v>0</v>
      </c>
      <c r="CD290" s="270">
        <f t="shared" si="1925"/>
        <v>0</v>
      </c>
      <c r="CE290" s="270">
        <f t="shared" si="1925"/>
        <v>0</v>
      </c>
      <c r="CF290" s="270">
        <f t="shared" si="1925"/>
        <v>0</v>
      </c>
      <c r="CG290" s="270">
        <f t="shared" si="1925"/>
        <v>0</v>
      </c>
      <c r="CH290" s="270">
        <f t="shared" si="1925"/>
        <v>0</v>
      </c>
      <c r="CI290" s="270">
        <f t="shared" si="1925"/>
        <v>0</v>
      </c>
      <c r="CJ290" s="270">
        <f t="shared" si="1925"/>
        <v>0</v>
      </c>
      <c r="CK290" s="270">
        <f t="shared" si="1925"/>
        <v>0</v>
      </c>
      <c r="CL290" s="270">
        <f t="shared" si="1925"/>
        <v>0</v>
      </c>
      <c r="CM290" s="270">
        <f t="shared" si="1925"/>
        <v>0</v>
      </c>
      <c r="CN290" s="270">
        <f t="shared" si="1925"/>
        <v>0</v>
      </c>
      <c r="CO290" s="270">
        <f t="shared" si="1925"/>
        <v>0</v>
      </c>
      <c r="CP290" s="270">
        <f t="shared" si="1925"/>
        <v>0</v>
      </c>
      <c r="CQ290" s="215"/>
      <c r="CR290" s="270">
        <f t="shared" si="27"/>
        <v>-0.1</v>
      </c>
      <c r="CS290" s="215"/>
      <c r="CT290" s="270">
        <f t="shared" ref="CT290:DX290" si="1926">IF(AI289&gt;0,IF((AI289+BN290)&lt;E$10,AI289+BN290,E$10),0)</f>
        <v>0</v>
      </c>
      <c r="CU290" s="270">
        <f t="shared" si="1926"/>
        <v>0</v>
      </c>
      <c r="CV290" s="270">
        <f t="shared" si="1926"/>
        <v>0</v>
      </c>
      <c r="CW290" s="270">
        <f t="shared" si="1926"/>
        <v>0</v>
      </c>
      <c r="CX290" s="270">
        <f t="shared" si="1926"/>
        <v>0</v>
      </c>
      <c r="CY290" s="270">
        <f t="shared" si="1926"/>
        <v>0</v>
      </c>
      <c r="CZ290" s="270">
        <f t="shared" si="1926"/>
        <v>0</v>
      </c>
      <c r="DA290" s="270">
        <f t="shared" si="1926"/>
        <v>0</v>
      </c>
      <c r="DB290" s="270">
        <f t="shared" si="1926"/>
        <v>0</v>
      </c>
      <c r="DC290" s="270">
        <f t="shared" si="1926"/>
        <v>0</v>
      </c>
      <c r="DD290" s="270">
        <f t="shared" si="1926"/>
        <v>0</v>
      </c>
      <c r="DE290" s="270">
        <f t="shared" si="1926"/>
        <v>0</v>
      </c>
      <c r="DF290" s="270">
        <f t="shared" si="1926"/>
        <v>0</v>
      </c>
      <c r="DG290" s="270">
        <f t="shared" si="1926"/>
        <v>0</v>
      </c>
      <c r="DH290" s="270">
        <f t="shared" si="1926"/>
        <v>0</v>
      </c>
      <c r="DI290" s="270">
        <f t="shared" si="1926"/>
        <v>0</v>
      </c>
      <c r="DJ290" s="270">
        <f t="shared" si="1926"/>
        <v>0</v>
      </c>
      <c r="DK290" s="270">
        <f t="shared" si="1926"/>
        <v>0</v>
      </c>
      <c r="DL290" s="270">
        <f t="shared" si="1926"/>
        <v>0</v>
      </c>
      <c r="DM290" s="270">
        <f t="shared" si="1926"/>
        <v>0</v>
      </c>
      <c r="DN290" s="270">
        <f t="shared" si="1926"/>
        <v>0</v>
      </c>
      <c r="DO290" s="270">
        <f t="shared" si="1926"/>
        <v>0</v>
      </c>
      <c r="DP290" s="270">
        <f t="shared" si="1926"/>
        <v>0</v>
      </c>
      <c r="DQ290" s="270">
        <f t="shared" si="1926"/>
        <v>0</v>
      </c>
      <c r="DR290" s="270">
        <f t="shared" si="1926"/>
        <v>0</v>
      </c>
      <c r="DS290" s="270">
        <f t="shared" si="1926"/>
        <v>0</v>
      </c>
      <c r="DT290" s="270">
        <f t="shared" si="1926"/>
        <v>0</v>
      </c>
      <c r="DU290" s="270">
        <f t="shared" si="1926"/>
        <v>0</v>
      </c>
      <c r="DV290" s="270">
        <f t="shared" si="1926"/>
        <v>0</v>
      </c>
      <c r="DW290" s="270">
        <f t="shared" si="1926"/>
        <v>0</v>
      </c>
      <c r="DX290" s="270">
        <f t="shared" si="1926"/>
        <v>0</v>
      </c>
      <c r="DY290" s="270">
        <f t="shared" si="29"/>
        <v>0</v>
      </c>
      <c r="DZ290" s="274"/>
      <c r="EA290" s="275">
        <f t="shared" si="38"/>
        <v>0</v>
      </c>
      <c r="EB290" s="270">
        <f t="shared" ref="EB290:FC290" si="1927">IF(AJ288&lt;=0,0,IF($C289&lt;=SUM($EA290:EA290),0,IF(CU289+$C289-SUM($EA290:EA290)&gt;AJ288+BO289,AJ288+BO289-CU289,$C289-SUM($EA290:EA290))))</f>
        <v>0</v>
      </c>
      <c r="EC290" s="270">
        <f t="shared" si="1927"/>
        <v>0</v>
      </c>
      <c r="ED290" s="270">
        <f t="shared" si="1927"/>
        <v>0</v>
      </c>
      <c r="EE290" s="270">
        <f t="shared" si="1927"/>
        <v>0</v>
      </c>
      <c r="EF290" s="270">
        <f t="shared" si="1927"/>
        <v>0</v>
      </c>
      <c r="EG290" s="270">
        <f t="shared" si="1927"/>
        <v>0</v>
      </c>
      <c r="EH290" s="270">
        <f t="shared" si="1927"/>
        <v>0</v>
      </c>
      <c r="EI290" s="270">
        <f t="shared" si="1927"/>
        <v>0</v>
      </c>
      <c r="EJ290" s="270">
        <f t="shared" si="1927"/>
        <v>0</v>
      </c>
      <c r="EK290" s="270">
        <f t="shared" si="1927"/>
        <v>0</v>
      </c>
      <c r="EL290" s="270">
        <f t="shared" si="1927"/>
        <v>0</v>
      </c>
      <c r="EM290" s="270">
        <f t="shared" si="1927"/>
        <v>0</v>
      </c>
      <c r="EN290" s="270">
        <f t="shared" si="1927"/>
        <v>0</v>
      </c>
      <c r="EO290" s="270">
        <f t="shared" si="1927"/>
        <v>0</v>
      </c>
      <c r="EP290" s="270">
        <f t="shared" si="1927"/>
        <v>0</v>
      </c>
      <c r="EQ290" s="270">
        <f t="shared" si="1927"/>
        <v>0</v>
      </c>
      <c r="ER290" s="270">
        <f t="shared" si="1927"/>
        <v>0</v>
      </c>
      <c r="ES290" s="270">
        <f t="shared" si="1927"/>
        <v>0</v>
      </c>
      <c r="ET290" s="270">
        <f t="shared" si="1927"/>
        <v>0</v>
      </c>
      <c r="EU290" s="270">
        <f t="shared" si="1927"/>
        <v>0</v>
      </c>
      <c r="EV290" s="270">
        <f t="shared" si="1927"/>
        <v>0</v>
      </c>
      <c r="EW290" s="270">
        <f t="shared" si="1927"/>
        <v>0</v>
      </c>
      <c r="EX290" s="270">
        <f t="shared" si="1927"/>
        <v>0</v>
      </c>
      <c r="EY290" s="270">
        <f t="shared" si="1927"/>
        <v>0</v>
      </c>
      <c r="EZ290" s="270">
        <f t="shared" si="1927"/>
        <v>0</v>
      </c>
      <c r="FA290" s="270">
        <f t="shared" si="1927"/>
        <v>0</v>
      </c>
      <c r="FB290" s="270">
        <f t="shared" si="1927"/>
        <v>0</v>
      </c>
      <c r="FC290" s="270">
        <f t="shared" si="1927"/>
        <v>0</v>
      </c>
      <c r="FD290" s="271"/>
      <c r="FE290" s="271"/>
      <c r="FF290" s="271"/>
      <c r="FG290" s="215"/>
      <c r="FH290" s="215"/>
    </row>
    <row r="291" ht="11.25" customHeight="1">
      <c r="A291" s="215" t="str">
        <f t="shared" si="19"/>
        <v/>
      </c>
      <c r="B291" s="241" t="str">
        <f t="shared" si="600"/>
        <v>#N/A</v>
      </c>
      <c r="C291" s="271" t="str">
        <f>IF(A291="","",IF(Calculator!snowball,IF(($E$5-DY291)&lt;0,0,$E$5-DY291),0)+D291)</f>
        <v/>
      </c>
      <c r="D291" s="271"/>
      <c r="E291" s="270">
        <f t="shared" si="40"/>
        <v>0</v>
      </c>
      <c r="F291" s="270">
        <f t="shared" ref="F291:AG291" si="1928">CU291+EB292</f>
        <v>0</v>
      </c>
      <c r="G291" s="270">
        <f t="shared" si="1928"/>
        <v>0</v>
      </c>
      <c r="H291" s="270">
        <f t="shared" si="1928"/>
        <v>0</v>
      </c>
      <c r="I291" s="270">
        <f t="shared" si="1928"/>
        <v>0</v>
      </c>
      <c r="J291" s="270">
        <f t="shared" si="1928"/>
        <v>0</v>
      </c>
      <c r="K291" s="270">
        <f t="shared" si="1928"/>
        <v>0</v>
      </c>
      <c r="L291" s="270">
        <f t="shared" si="1928"/>
        <v>0</v>
      </c>
      <c r="M291" s="270">
        <f t="shared" si="1928"/>
        <v>0</v>
      </c>
      <c r="N291" s="270">
        <f t="shared" si="1928"/>
        <v>0</v>
      </c>
      <c r="O291" s="270">
        <f t="shared" si="1928"/>
        <v>0</v>
      </c>
      <c r="P291" s="272">
        <f t="shared" si="1928"/>
        <v>0</v>
      </c>
      <c r="Q291" s="272">
        <f t="shared" si="1928"/>
        <v>0</v>
      </c>
      <c r="R291" s="272">
        <f t="shared" si="1928"/>
        <v>0</v>
      </c>
      <c r="S291" s="272">
        <f t="shared" si="1928"/>
        <v>0</v>
      </c>
      <c r="T291" s="272">
        <f t="shared" si="1928"/>
        <v>0</v>
      </c>
      <c r="U291" s="270">
        <f t="shared" si="1928"/>
        <v>0</v>
      </c>
      <c r="V291" s="270">
        <f t="shared" si="1928"/>
        <v>0</v>
      </c>
      <c r="W291" s="270">
        <f t="shared" si="1928"/>
        <v>0</v>
      </c>
      <c r="X291" s="270">
        <f t="shared" si="1928"/>
        <v>0</v>
      </c>
      <c r="Y291" s="270">
        <f t="shared" si="1928"/>
        <v>0</v>
      </c>
      <c r="Z291" s="270">
        <f t="shared" si="1928"/>
        <v>0</v>
      </c>
      <c r="AA291" s="270">
        <f t="shared" si="1928"/>
        <v>0</v>
      </c>
      <c r="AB291" s="270">
        <f t="shared" si="1928"/>
        <v>0</v>
      </c>
      <c r="AC291" s="270">
        <f t="shared" si="1928"/>
        <v>0</v>
      </c>
      <c r="AD291" s="270">
        <f t="shared" si="1928"/>
        <v>0</v>
      </c>
      <c r="AE291" s="270">
        <f t="shared" si="1928"/>
        <v>0</v>
      </c>
      <c r="AF291" s="270">
        <f t="shared" si="1928"/>
        <v>0</v>
      </c>
      <c r="AG291" s="270">
        <f t="shared" si="1928"/>
        <v>0</v>
      </c>
      <c r="AH291" s="279">
        <f t="shared" si="602"/>
        <v>0</v>
      </c>
      <c r="AI291" s="270">
        <f t="shared" si="43"/>
        <v>0</v>
      </c>
      <c r="AJ291" s="270">
        <f t="shared" ref="AJ291:AO291" si="1929">IF(F$8=0,0,ROUND(AJ290-(F291-BO291),2))</f>
        <v>0</v>
      </c>
      <c r="AK291" s="270">
        <f t="shared" si="1929"/>
        <v>0</v>
      </c>
      <c r="AL291" s="270">
        <f t="shared" si="1929"/>
        <v>0</v>
      </c>
      <c r="AM291" s="270">
        <f t="shared" si="1929"/>
        <v>0</v>
      </c>
      <c r="AN291" s="270">
        <f t="shared" si="1929"/>
        <v>0</v>
      </c>
      <c r="AO291" s="270">
        <f t="shared" si="1929"/>
        <v>0</v>
      </c>
      <c r="AP291" s="270">
        <v>0.0</v>
      </c>
      <c r="AQ291" s="270">
        <f t="shared" ref="AQ291:AR291" si="1930">IF(M$8=0,0,ROUND(AQ290-(M291-BV291),2))</f>
        <v>0</v>
      </c>
      <c r="AR291" s="270">
        <f t="shared" si="1930"/>
        <v>0</v>
      </c>
      <c r="AS291" s="270">
        <f t="shared" si="1902"/>
        <v>-0.6</v>
      </c>
      <c r="AT291" s="270">
        <f t="shared" si="605"/>
        <v>-6.22</v>
      </c>
      <c r="AU291" s="270">
        <f t="shared" ref="AU291:BK291" si="1931">IF(Q$8=0,0,ROUND(AU290-(Q291-BY291),2))</f>
        <v>-17.58</v>
      </c>
      <c r="AV291" s="270">
        <f t="shared" si="1931"/>
        <v>0</v>
      </c>
      <c r="AW291" s="270">
        <f t="shared" si="1931"/>
        <v>0</v>
      </c>
      <c r="AX291" s="270">
        <f t="shared" si="1931"/>
        <v>0</v>
      </c>
      <c r="AY291" s="270">
        <f t="shared" si="1931"/>
        <v>0</v>
      </c>
      <c r="AZ291" s="270">
        <f t="shared" si="1931"/>
        <v>0</v>
      </c>
      <c r="BA291" s="270">
        <f t="shared" si="1931"/>
        <v>0</v>
      </c>
      <c r="BB291" s="270">
        <f t="shared" si="1931"/>
        <v>0</v>
      </c>
      <c r="BC291" s="270">
        <f t="shared" si="1931"/>
        <v>0</v>
      </c>
      <c r="BD291" s="270">
        <f t="shared" si="1931"/>
        <v>0</v>
      </c>
      <c r="BE291" s="270">
        <f t="shared" si="1931"/>
        <v>0</v>
      </c>
      <c r="BF291" s="270">
        <f t="shared" si="1931"/>
        <v>0</v>
      </c>
      <c r="BG291" s="270">
        <f t="shared" si="1931"/>
        <v>0</v>
      </c>
      <c r="BH291" s="270">
        <f t="shared" si="1931"/>
        <v>0</v>
      </c>
      <c r="BI291" s="270">
        <f t="shared" si="1931"/>
        <v>0</v>
      </c>
      <c r="BJ291" s="270">
        <f t="shared" si="1931"/>
        <v>0</v>
      </c>
      <c r="BK291" s="270">
        <f t="shared" si="1931"/>
        <v>0</v>
      </c>
      <c r="BL291" s="265">
        <f t="shared" si="16"/>
        <v>-24.4</v>
      </c>
      <c r="BM291" s="215"/>
      <c r="BN291" s="270">
        <f t="shared" ref="BN291:CP291" si="1932">ROUND(AI290*E$9/12,2)</f>
        <v>0</v>
      </c>
      <c r="BO291" s="270">
        <f t="shared" si="1932"/>
        <v>0</v>
      </c>
      <c r="BP291" s="270">
        <f t="shared" si="1932"/>
        <v>0</v>
      </c>
      <c r="BQ291" s="270">
        <f t="shared" si="1932"/>
        <v>0</v>
      </c>
      <c r="BR291" s="270">
        <f t="shared" si="1932"/>
        <v>0</v>
      </c>
      <c r="BS291" s="270">
        <f t="shared" si="1932"/>
        <v>0</v>
      </c>
      <c r="BT291" s="270">
        <f t="shared" si="1932"/>
        <v>0</v>
      </c>
      <c r="BU291" s="270">
        <f t="shared" si="1932"/>
        <v>0</v>
      </c>
      <c r="BV291" s="270">
        <f t="shared" si="1932"/>
        <v>0</v>
      </c>
      <c r="BW291" s="270">
        <f t="shared" si="1932"/>
        <v>0</v>
      </c>
      <c r="BX291" s="270">
        <f t="shared" si="1932"/>
        <v>0</v>
      </c>
      <c r="BY291" s="270">
        <f t="shared" si="1932"/>
        <v>-0.05</v>
      </c>
      <c r="BZ291" s="270">
        <f t="shared" si="1932"/>
        <v>-0.05</v>
      </c>
      <c r="CA291" s="270">
        <f t="shared" si="1932"/>
        <v>0</v>
      </c>
      <c r="CB291" s="270">
        <f t="shared" si="1932"/>
        <v>0</v>
      </c>
      <c r="CC291" s="270">
        <f t="shared" si="1932"/>
        <v>0</v>
      </c>
      <c r="CD291" s="270">
        <f t="shared" si="1932"/>
        <v>0</v>
      </c>
      <c r="CE291" s="270">
        <f t="shared" si="1932"/>
        <v>0</v>
      </c>
      <c r="CF291" s="270">
        <f t="shared" si="1932"/>
        <v>0</v>
      </c>
      <c r="CG291" s="270">
        <f t="shared" si="1932"/>
        <v>0</v>
      </c>
      <c r="CH291" s="270">
        <f t="shared" si="1932"/>
        <v>0</v>
      </c>
      <c r="CI291" s="270">
        <f t="shared" si="1932"/>
        <v>0</v>
      </c>
      <c r="CJ291" s="270">
        <f t="shared" si="1932"/>
        <v>0</v>
      </c>
      <c r="CK291" s="270">
        <f t="shared" si="1932"/>
        <v>0</v>
      </c>
      <c r="CL291" s="270">
        <f t="shared" si="1932"/>
        <v>0</v>
      </c>
      <c r="CM291" s="270">
        <f t="shared" si="1932"/>
        <v>0</v>
      </c>
      <c r="CN291" s="270">
        <f t="shared" si="1932"/>
        <v>0</v>
      </c>
      <c r="CO291" s="270">
        <f t="shared" si="1932"/>
        <v>0</v>
      </c>
      <c r="CP291" s="270">
        <f t="shared" si="1932"/>
        <v>0</v>
      </c>
      <c r="CQ291" s="215"/>
      <c r="CR291" s="270">
        <f t="shared" si="27"/>
        <v>-0.1</v>
      </c>
      <c r="CS291" s="215"/>
      <c r="CT291" s="270">
        <f t="shared" ref="CT291:DX291" si="1933">IF(AI290&gt;0,IF((AI290+BN291)&lt;E$10,AI290+BN291,E$10),0)</f>
        <v>0</v>
      </c>
      <c r="CU291" s="270">
        <f t="shared" si="1933"/>
        <v>0</v>
      </c>
      <c r="CV291" s="270">
        <f t="shared" si="1933"/>
        <v>0</v>
      </c>
      <c r="CW291" s="270">
        <f t="shared" si="1933"/>
        <v>0</v>
      </c>
      <c r="CX291" s="270">
        <f t="shared" si="1933"/>
        <v>0</v>
      </c>
      <c r="CY291" s="270">
        <f t="shared" si="1933"/>
        <v>0</v>
      </c>
      <c r="CZ291" s="270">
        <f t="shared" si="1933"/>
        <v>0</v>
      </c>
      <c r="DA291" s="270">
        <f t="shared" si="1933"/>
        <v>0</v>
      </c>
      <c r="DB291" s="270">
        <f t="shared" si="1933"/>
        <v>0</v>
      </c>
      <c r="DC291" s="270">
        <f t="shared" si="1933"/>
        <v>0</v>
      </c>
      <c r="DD291" s="270">
        <f t="shared" si="1933"/>
        <v>0</v>
      </c>
      <c r="DE291" s="270">
        <f t="shared" si="1933"/>
        <v>0</v>
      </c>
      <c r="DF291" s="270">
        <f t="shared" si="1933"/>
        <v>0</v>
      </c>
      <c r="DG291" s="270">
        <f t="shared" si="1933"/>
        <v>0</v>
      </c>
      <c r="DH291" s="270">
        <f t="shared" si="1933"/>
        <v>0</v>
      </c>
      <c r="DI291" s="270">
        <f t="shared" si="1933"/>
        <v>0</v>
      </c>
      <c r="DJ291" s="270">
        <f t="shared" si="1933"/>
        <v>0</v>
      </c>
      <c r="DK291" s="270">
        <f t="shared" si="1933"/>
        <v>0</v>
      </c>
      <c r="DL291" s="270">
        <f t="shared" si="1933"/>
        <v>0</v>
      </c>
      <c r="DM291" s="270">
        <f t="shared" si="1933"/>
        <v>0</v>
      </c>
      <c r="DN291" s="270">
        <f t="shared" si="1933"/>
        <v>0</v>
      </c>
      <c r="DO291" s="270">
        <f t="shared" si="1933"/>
        <v>0</v>
      </c>
      <c r="DP291" s="270">
        <f t="shared" si="1933"/>
        <v>0</v>
      </c>
      <c r="DQ291" s="270">
        <f t="shared" si="1933"/>
        <v>0</v>
      </c>
      <c r="DR291" s="270">
        <f t="shared" si="1933"/>
        <v>0</v>
      </c>
      <c r="DS291" s="270">
        <f t="shared" si="1933"/>
        <v>0</v>
      </c>
      <c r="DT291" s="270">
        <f t="shared" si="1933"/>
        <v>0</v>
      </c>
      <c r="DU291" s="270">
        <f t="shared" si="1933"/>
        <v>0</v>
      </c>
      <c r="DV291" s="270">
        <f t="shared" si="1933"/>
        <v>0</v>
      </c>
      <c r="DW291" s="270">
        <f t="shared" si="1933"/>
        <v>0</v>
      </c>
      <c r="DX291" s="270">
        <f t="shared" si="1933"/>
        <v>0</v>
      </c>
      <c r="DY291" s="270">
        <f t="shared" si="29"/>
        <v>0</v>
      </c>
      <c r="DZ291" s="274"/>
      <c r="EA291" s="275">
        <f t="shared" si="38"/>
        <v>0</v>
      </c>
      <c r="EB291" s="270">
        <f t="shared" ref="EB291:FC291" si="1934">IF(AJ289&lt;=0,0,IF($C290&lt;=SUM($EA291:EA291),0,IF(CU290+$C290-SUM($EA291:EA291)&gt;AJ289+BO290,AJ289+BO290-CU290,$C290-SUM($EA291:EA291))))</f>
        <v>0</v>
      </c>
      <c r="EC291" s="270">
        <f t="shared" si="1934"/>
        <v>0</v>
      </c>
      <c r="ED291" s="270">
        <f t="shared" si="1934"/>
        <v>0</v>
      </c>
      <c r="EE291" s="270">
        <f t="shared" si="1934"/>
        <v>0</v>
      </c>
      <c r="EF291" s="270">
        <f t="shared" si="1934"/>
        <v>0</v>
      </c>
      <c r="EG291" s="270">
        <f t="shared" si="1934"/>
        <v>0</v>
      </c>
      <c r="EH291" s="270">
        <f t="shared" si="1934"/>
        <v>0</v>
      </c>
      <c r="EI291" s="270">
        <f t="shared" si="1934"/>
        <v>0</v>
      </c>
      <c r="EJ291" s="270">
        <f t="shared" si="1934"/>
        <v>0</v>
      </c>
      <c r="EK291" s="270">
        <f t="shared" si="1934"/>
        <v>0</v>
      </c>
      <c r="EL291" s="270">
        <f t="shared" si="1934"/>
        <v>0</v>
      </c>
      <c r="EM291" s="270">
        <f t="shared" si="1934"/>
        <v>0</v>
      </c>
      <c r="EN291" s="270">
        <f t="shared" si="1934"/>
        <v>0</v>
      </c>
      <c r="EO291" s="270">
        <f t="shared" si="1934"/>
        <v>0</v>
      </c>
      <c r="EP291" s="270">
        <f t="shared" si="1934"/>
        <v>0</v>
      </c>
      <c r="EQ291" s="270">
        <f t="shared" si="1934"/>
        <v>0</v>
      </c>
      <c r="ER291" s="270">
        <f t="shared" si="1934"/>
        <v>0</v>
      </c>
      <c r="ES291" s="270">
        <f t="shared" si="1934"/>
        <v>0</v>
      </c>
      <c r="ET291" s="270">
        <f t="shared" si="1934"/>
        <v>0</v>
      </c>
      <c r="EU291" s="270">
        <f t="shared" si="1934"/>
        <v>0</v>
      </c>
      <c r="EV291" s="270">
        <f t="shared" si="1934"/>
        <v>0</v>
      </c>
      <c r="EW291" s="270">
        <f t="shared" si="1934"/>
        <v>0</v>
      </c>
      <c r="EX291" s="270">
        <f t="shared" si="1934"/>
        <v>0</v>
      </c>
      <c r="EY291" s="270">
        <f t="shared" si="1934"/>
        <v>0</v>
      </c>
      <c r="EZ291" s="270">
        <f t="shared" si="1934"/>
        <v>0</v>
      </c>
      <c r="FA291" s="270">
        <f t="shared" si="1934"/>
        <v>0</v>
      </c>
      <c r="FB291" s="270">
        <f t="shared" si="1934"/>
        <v>0</v>
      </c>
      <c r="FC291" s="270">
        <f t="shared" si="1934"/>
        <v>0</v>
      </c>
      <c r="FD291" s="271"/>
      <c r="FE291" s="271"/>
      <c r="FF291" s="271"/>
      <c r="FG291" s="215"/>
      <c r="FH291" s="215"/>
    </row>
    <row r="292" ht="11.25" customHeight="1">
      <c r="A292" s="215" t="str">
        <f t="shared" si="19"/>
        <v/>
      </c>
      <c r="B292" s="241" t="str">
        <f t="shared" si="600"/>
        <v>#N/A</v>
      </c>
      <c r="C292" s="271" t="str">
        <f>IF(A292="","",IF(Calculator!snowball,IF(($E$5-DY292)&lt;0,0,$E$5-DY292),0)+D292)</f>
        <v/>
      </c>
      <c r="D292" s="271"/>
      <c r="E292" s="270">
        <f t="shared" si="40"/>
        <v>0</v>
      </c>
      <c r="F292" s="270">
        <f t="shared" ref="F292:AG292" si="1935">CU292+EB293</f>
        <v>0</v>
      </c>
      <c r="G292" s="270">
        <f t="shared" si="1935"/>
        <v>0</v>
      </c>
      <c r="H292" s="270">
        <f t="shared" si="1935"/>
        <v>0</v>
      </c>
      <c r="I292" s="270">
        <f t="shared" si="1935"/>
        <v>0</v>
      </c>
      <c r="J292" s="270">
        <f t="shared" si="1935"/>
        <v>0</v>
      </c>
      <c r="K292" s="270">
        <f t="shared" si="1935"/>
        <v>0</v>
      </c>
      <c r="L292" s="270">
        <f t="shared" si="1935"/>
        <v>0</v>
      </c>
      <c r="M292" s="270">
        <f t="shared" si="1935"/>
        <v>0</v>
      </c>
      <c r="N292" s="270">
        <f t="shared" si="1935"/>
        <v>0</v>
      </c>
      <c r="O292" s="270">
        <f t="shared" si="1935"/>
        <v>0</v>
      </c>
      <c r="P292" s="272">
        <f t="shared" si="1935"/>
        <v>0</v>
      </c>
      <c r="Q292" s="272">
        <f t="shared" si="1935"/>
        <v>0</v>
      </c>
      <c r="R292" s="272">
        <f t="shared" si="1935"/>
        <v>0</v>
      </c>
      <c r="S292" s="272">
        <f t="shared" si="1935"/>
        <v>0</v>
      </c>
      <c r="T292" s="272">
        <f t="shared" si="1935"/>
        <v>0</v>
      </c>
      <c r="U292" s="270">
        <f t="shared" si="1935"/>
        <v>0</v>
      </c>
      <c r="V292" s="270">
        <f t="shared" si="1935"/>
        <v>0</v>
      </c>
      <c r="W292" s="270">
        <f t="shared" si="1935"/>
        <v>0</v>
      </c>
      <c r="X292" s="270">
        <f t="shared" si="1935"/>
        <v>0</v>
      </c>
      <c r="Y292" s="270">
        <f t="shared" si="1935"/>
        <v>0</v>
      </c>
      <c r="Z292" s="270">
        <f t="shared" si="1935"/>
        <v>0</v>
      </c>
      <c r="AA292" s="270">
        <f t="shared" si="1935"/>
        <v>0</v>
      </c>
      <c r="AB292" s="270">
        <f t="shared" si="1935"/>
        <v>0</v>
      </c>
      <c r="AC292" s="270">
        <f t="shared" si="1935"/>
        <v>0</v>
      </c>
      <c r="AD292" s="270">
        <f t="shared" si="1935"/>
        <v>0</v>
      </c>
      <c r="AE292" s="270">
        <f t="shared" si="1935"/>
        <v>0</v>
      </c>
      <c r="AF292" s="270">
        <f t="shared" si="1935"/>
        <v>0</v>
      </c>
      <c r="AG292" s="270">
        <f t="shared" si="1935"/>
        <v>0</v>
      </c>
      <c r="AH292" s="279">
        <f t="shared" si="602"/>
        <v>0</v>
      </c>
      <c r="AI292" s="270">
        <f t="shared" si="43"/>
        <v>0</v>
      </c>
      <c r="AJ292" s="270">
        <f t="shared" ref="AJ292:AO292" si="1936">IF(F$8=0,0,ROUND(AJ291-(F292-BO292),2))</f>
        <v>0</v>
      </c>
      <c r="AK292" s="270">
        <f t="shared" si="1936"/>
        <v>0</v>
      </c>
      <c r="AL292" s="270">
        <f t="shared" si="1936"/>
        <v>0</v>
      </c>
      <c r="AM292" s="270">
        <f t="shared" si="1936"/>
        <v>0</v>
      </c>
      <c r="AN292" s="270">
        <f t="shared" si="1936"/>
        <v>0</v>
      </c>
      <c r="AO292" s="270">
        <f t="shared" si="1936"/>
        <v>0</v>
      </c>
      <c r="AP292" s="270">
        <v>0.0</v>
      </c>
      <c r="AQ292" s="270">
        <f t="shared" ref="AQ292:AR292" si="1937">IF(M$8=0,0,ROUND(AQ291-(M292-BV292),2))</f>
        <v>0</v>
      </c>
      <c r="AR292" s="270">
        <f t="shared" si="1937"/>
        <v>0</v>
      </c>
      <c r="AS292" s="270">
        <f t="shared" si="1902"/>
        <v>-0.71</v>
      </c>
      <c r="AT292" s="270">
        <f t="shared" si="605"/>
        <v>-6.23</v>
      </c>
      <c r="AU292" s="270">
        <f t="shared" ref="AU292:BK292" si="1938">IF(Q$8=0,0,ROUND(AU291-(Q292-BY292),2))</f>
        <v>-17.63</v>
      </c>
      <c r="AV292" s="270">
        <f t="shared" si="1938"/>
        <v>0</v>
      </c>
      <c r="AW292" s="270">
        <f t="shared" si="1938"/>
        <v>0</v>
      </c>
      <c r="AX292" s="270">
        <f t="shared" si="1938"/>
        <v>0</v>
      </c>
      <c r="AY292" s="270">
        <f t="shared" si="1938"/>
        <v>0</v>
      </c>
      <c r="AZ292" s="270">
        <f t="shared" si="1938"/>
        <v>0</v>
      </c>
      <c r="BA292" s="270">
        <f t="shared" si="1938"/>
        <v>0</v>
      </c>
      <c r="BB292" s="270">
        <f t="shared" si="1938"/>
        <v>0</v>
      </c>
      <c r="BC292" s="270">
        <f t="shared" si="1938"/>
        <v>0</v>
      </c>
      <c r="BD292" s="270">
        <f t="shared" si="1938"/>
        <v>0</v>
      </c>
      <c r="BE292" s="270">
        <f t="shared" si="1938"/>
        <v>0</v>
      </c>
      <c r="BF292" s="270">
        <f t="shared" si="1938"/>
        <v>0</v>
      </c>
      <c r="BG292" s="270">
        <f t="shared" si="1938"/>
        <v>0</v>
      </c>
      <c r="BH292" s="270">
        <f t="shared" si="1938"/>
        <v>0</v>
      </c>
      <c r="BI292" s="270">
        <f t="shared" si="1938"/>
        <v>0</v>
      </c>
      <c r="BJ292" s="270">
        <f t="shared" si="1938"/>
        <v>0</v>
      </c>
      <c r="BK292" s="270">
        <f t="shared" si="1938"/>
        <v>0</v>
      </c>
      <c r="BL292" s="265">
        <f t="shared" si="16"/>
        <v>-24.57</v>
      </c>
      <c r="BM292" s="215"/>
      <c r="BN292" s="270">
        <f t="shared" ref="BN292:CP292" si="1939">ROUND(AI291*E$9/12,2)</f>
        <v>0</v>
      </c>
      <c r="BO292" s="270">
        <f t="shared" si="1939"/>
        <v>0</v>
      </c>
      <c r="BP292" s="270">
        <f t="shared" si="1939"/>
        <v>0</v>
      </c>
      <c r="BQ292" s="270">
        <f t="shared" si="1939"/>
        <v>0</v>
      </c>
      <c r="BR292" s="270">
        <f t="shared" si="1939"/>
        <v>0</v>
      </c>
      <c r="BS292" s="270">
        <f t="shared" si="1939"/>
        <v>0</v>
      </c>
      <c r="BT292" s="270">
        <f t="shared" si="1939"/>
        <v>0</v>
      </c>
      <c r="BU292" s="270">
        <f t="shared" si="1939"/>
        <v>0</v>
      </c>
      <c r="BV292" s="270">
        <f t="shared" si="1939"/>
        <v>0</v>
      </c>
      <c r="BW292" s="270">
        <f t="shared" si="1939"/>
        <v>0</v>
      </c>
      <c r="BX292" s="270">
        <f t="shared" si="1939"/>
        <v>-0.01</v>
      </c>
      <c r="BY292" s="270">
        <f t="shared" si="1939"/>
        <v>-0.05</v>
      </c>
      <c r="BZ292" s="270">
        <f t="shared" si="1939"/>
        <v>-0.05</v>
      </c>
      <c r="CA292" s="270">
        <f t="shared" si="1939"/>
        <v>0</v>
      </c>
      <c r="CB292" s="270">
        <f t="shared" si="1939"/>
        <v>0</v>
      </c>
      <c r="CC292" s="270">
        <f t="shared" si="1939"/>
        <v>0</v>
      </c>
      <c r="CD292" s="270">
        <f t="shared" si="1939"/>
        <v>0</v>
      </c>
      <c r="CE292" s="270">
        <f t="shared" si="1939"/>
        <v>0</v>
      </c>
      <c r="CF292" s="270">
        <f t="shared" si="1939"/>
        <v>0</v>
      </c>
      <c r="CG292" s="270">
        <f t="shared" si="1939"/>
        <v>0</v>
      </c>
      <c r="CH292" s="270">
        <f t="shared" si="1939"/>
        <v>0</v>
      </c>
      <c r="CI292" s="270">
        <f t="shared" si="1939"/>
        <v>0</v>
      </c>
      <c r="CJ292" s="270">
        <f t="shared" si="1939"/>
        <v>0</v>
      </c>
      <c r="CK292" s="270">
        <f t="shared" si="1939"/>
        <v>0</v>
      </c>
      <c r="CL292" s="270">
        <f t="shared" si="1939"/>
        <v>0</v>
      </c>
      <c r="CM292" s="270">
        <f t="shared" si="1939"/>
        <v>0</v>
      </c>
      <c r="CN292" s="270">
        <f t="shared" si="1939"/>
        <v>0</v>
      </c>
      <c r="CO292" s="270">
        <f t="shared" si="1939"/>
        <v>0</v>
      </c>
      <c r="CP292" s="270">
        <f t="shared" si="1939"/>
        <v>0</v>
      </c>
      <c r="CQ292" s="215"/>
      <c r="CR292" s="270">
        <f t="shared" si="27"/>
        <v>-0.11</v>
      </c>
      <c r="CS292" s="215"/>
      <c r="CT292" s="270">
        <f t="shared" ref="CT292:DX292" si="1940">IF(AI291&gt;0,IF((AI291+BN292)&lt;E$10,AI291+BN292,E$10),0)</f>
        <v>0</v>
      </c>
      <c r="CU292" s="270">
        <f t="shared" si="1940"/>
        <v>0</v>
      </c>
      <c r="CV292" s="270">
        <f t="shared" si="1940"/>
        <v>0</v>
      </c>
      <c r="CW292" s="270">
        <f t="shared" si="1940"/>
        <v>0</v>
      </c>
      <c r="CX292" s="270">
        <f t="shared" si="1940"/>
        <v>0</v>
      </c>
      <c r="CY292" s="270">
        <f t="shared" si="1940"/>
        <v>0</v>
      </c>
      <c r="CZ292" s="270">
        <f t="shared" si="1940"/>
        <v>0</v>
      </c>
      <c r="DA292" s="270">
        <f t="shared" si="1940"/>
        <v>0</v>
      </c>
      <c r="DB292" s="270">
        <f t="shared" si="1940"/>
        <v>0</v>
      </c>
      <c r="DC292" s="270">
        <f t="shared" si="1940"/>
        <v>0</v>
      </c>
      <c r="DD292" s="270">
        <f t="shared" si="1940"/>
        <v>0</v>
      </c>
      <c r="DE292" s="270">
        <f t="shared" si="1940"/>
        <v>0</v>
      </c>
      <c r="DF292" s="270">
        <f t="shared" si="1940"/>
        <v>0</v>
      </c>
      <c r="DG292" s="270">
        <f t="shared" si="1940"/>
        <v>0</v>
      </c>
      <c r="DH292" s="270">
        <f t="shared" si="1940"/>
        <v>0</v>
      </c>
      <c r="DI292" s="270">
        <f t="shared" si="1940"/>
        <v>0</v>
      </c>
      <c r="DJ292" s="270">
        <f t="shared" si="1940"/>
        <v>0</v>
      </c>
      <c r="DK292" s="270">
        <f t="shared" si="1940"/>
        <v>0</v>
      </c>
      <c r="DL292" s="270">
        <f t="shared" si="1940"/>
        <v>0</v>
      </c>
      <c r="DM292" s="270">
        <f t="shared" si="1940"/>
        <v>0</v>
      </c>
      <c r="DN292" s="270">
        <f t="shared" si="1940"/>
        <v>0</v>
      </c>
      <c r="DO292" s="270">
        <f t="shared" si="1940"/>
        <v>0</v>
      </c>
      <c r="DP292" s="270">
        <f t="shared" si="1940"/>
        <v>0</v>
      </c>
      <c r="DQ292" s="270">
        <f t="shared" si="1940"/>
        <v>0</v>
      </c>
      <c r="DR292" s="270">
        <f t="shared" si="1940"/>
        <v>0</v>
      </c>
      <c r="DS292" s="270">
        <f t="shared" si="1940"/>
        <v>0</v>
      </c>
      <c r="DT292" s="270">
        <f t="shared" si="1940"/>
        <v>0</v>
      </c>
      <c r="DU292" s="270">
        <f t="shared" si="1940"/>
        <v>0</v>
      </c>
      <c r="DV292" s="270">
        <f t="shared" si="1940"/>
        <v>0</v>
      </c>
      <c r="DW292" s="270">
        <f t="shared" si="1940"/>
        <v>0</v>
      </c>
      <c r="DX292" s="270">
        <f t="shared" si="1940"/>
        <v>0</v>
      </c>
      <c r="DY292" s="270">
        <f t="shared" si="29"/>
        <v>0</v>
      </c>
      <c r="DZ292" s="274"/>
      <c r="EA292" s="275">
        <f t="shared" si="38"/>
        <v>0</v>
      </c>
      <c r="EB292" s="270">
        <f t="shared" ref="EB292:FC292" si="1941">IF(AJ290&lt;=0,0,IF($C291&lt;=SUM($EA292:EA292),0,IF(CU291+$C291-SUM($EA292:EA292)&gt;AJ290+BO291,AJ290+BO291-CU291,$C291-SUM($EA292:EA292))))</f>
        <v>0</v>
      </c>
      <c r="EC292" s="270">
        <f t="shared" si="1941"/>
        <v>0</v>
      </c>
      <c r="ED292" s="270">
        <f t="shared" si="1941"/>
        <v>0</v>
      </c>
      <c r="EE292" s="270">
        <f t="shared" si="1941"/>
        <v>0</v>
      </c>
      <c r="EF292" s="270">
        <f t="shared" si="1941"/>
        <v>0</v>
      </c>
      <c r="EG292" s="270">
        <f t="shared" si="1941"/>
        <v>0</v>
      </c>
      <c r="EH292" s="270">
        <f t="shared" si="1941"/>
        <v>0</v>
      </c>
      <c r="EI292" s="270">
        <f t="shared" si="1941"/>
        <v>0</v>
      </c>
      <c r="EJ292" s="270">
        <f t="shared" si="1941"/>
        <v>0</v>
      </c>
      <c r="EK292" s="270">
        <f t="shared" si="1941"/>
        <v>0</v>
      </c>
      <c r="EL292" s="270">
        <f t="shared" si="1941"/>
        <v>0</v>
      </c>
      <c r="EM292" s="270">
        <f t="shared" si="1941"/>
        <v>0</v>
      </c>
      <c r="EN292" s="270">
        <f t="shared" si="1941"/>
        <v>0</v>
      </c>
      <c r="EO292" s="270">
        <f t="shared" si="1941"/>
        <v>0</v>
      </c>
      <c r="EP292" s="270">
        <f t="shared" si="1941"/>
        <v>0</v>
      </c>
      <c r="EQ292" s="270">
        <f t="shared" si="1941"/>
        <v>0</v>
      </c>
      <c r="ER292" s="270">
        <f t="shared" si="1941"/>
        <v>0</v>
      </c>
      <c r="ES292" s="270">
        <f t="shared" si="1941"/>
        <v>0</v>
      </c>
      <c r="ET292" s="270">
        <f t="shared" si="1941"/>
        <v>0</v>
      </c>
      <c r="EU292" s="270">
        <f t="shared" si="1941"/>
        <v>0</v>
      </c>
      <c r="EV292" s="270">
        <f t="shared" si="1941"/>
        <v>0</v>
      </c>
      <c r="EW292" s="270">
        <f t="shared" si="1941"/>
        <v>0</v>
      </c>
      <c r="EX292" s="270">
        <f t="shared" si="1941"/>
        <v>0</v>
      </c>
      <c r="EY292" s="270">
        <f t="shared" si="1941"/>
        <v>0</v>
      </c>
      <c r="EZ292" s="270">
        <f t="shared" si="1941"/>
        <v>0</v>
      </c>
      <c r="FA292" s="270">
        <f t="shared" si="1941"/>
        <v>0</v>
      </c>
      <c r="FB292" s="270">
        <f t="shared" si="1941"/>
        <v>0</v>
      </c>
      <c r="FC292" s="270">
        <f t="shared" si="1941"/>
        <v>0</v>
      </c>
      <c r="FD292" s="271"/>
      <c r="FE292" s="271"/>
      <c r="FF292" s="271"/>
      <c r="FG292" s="215"/>
      <c r="FH292" s="215"/>
    </row>
    <row r="293" ht="11.25" customHeight="1">
      <c r="A293" s="215" t="str">
        <f t="shared" si="19"/>
        <v/>
      </c>
      <c r="B293" s="241" t="str">
        <f t="shared" si="600"/>
        <v>#N/A</v>
      </c>
      <c r="C293" s="271" t="str">
        <f>IF(A293="","",IF(Calculator!snowball,IF(($E$5-DY293)&lt;0,0,$E$5-DY293),0)+D293)</f>
        <v/>
      </c>
      <c r="D293" s="271"/>
      <c r="E293" s="270">
        <f t="shared" si="40"/>
        <v>0</v>
      </c>
      <c r="F293" s="270">
        <f t="shared" ref="F293:AG293" si="1942">CU293+EB294</f>
        <v>0</v>
      </c>
      <c r="G293" s="270">
        <f t="shared" si="1942"/>
        <v>0</v>
      </c>
      <c r="H293" s="270">
        <f t="shared" si="1942"/>
        <v>0</v>
      </c>
      <c r="I293" s="270">
        <f t="shared" si="1942"/>
        <v>0</v>
      </c>
      <c r="J293" s="270">
        <f t="shared" si="1942"/>
        <v>0</v>
      </c>
      <c r="K293" s="270">
        <f t="shared" si="1942"/>
        <v>0</v>
      </c>
      <c r="L293" s="270">
        <f t="shared" si="1942"/>
        <v>0</v>
      </c>
      <c r="M293" s="270">
        <f t="shared" si="1942"/>
        <v>0</v>
      </c>
      <c r="N293" s="270">
        <f t="shared" si="1942"/>
        <v>0</v>
      </c>
      <c r="O293" s="270">
        <f t="shared" si="1942"/>
        <v>0</v>
      </c>
      <c r="P293" s="272">
        <f t="shared" si="1942"/>
        <v>0</v>
      </c>
      <c r="Q293" s="272">
        <f t="shared" si="1942"/>
        <v>0</v>
      </c>
      <c r="R293" s="272">
        <f t="shared" si="1942"/>
        <v>0</v>
      </c>
      <c r="S293" s="272">
        <f t="shared" si="1942"/>
        <v>0</v>
      </c>
      <c r="T293" s="272">
        <f t="shared" si="1942"/>
        <v>0</v>
      </c>
      <c r="U293" s="270">
        <f t="shared" si="1942"/>
        <v>0</v>
      </c>
      <c r="V293" s="270">
        <f t="shared" si="1942"/>
        <v>0</v>
      </c>
      <c r="W293" s="270">
        <f t="shared" si="1942"/>
        <v>0</v>
      </c>
      <c r="X293" s="270">
        <f t="shared" si="1942"/>
        <v>0</v>
      </c>
      <c r="Y293" s="270">
        <f t="shared" si="1942"/>
        <v>0</v>
      </c>
      <c r="Z293" s="270">
        <f t="shared" si="1942"/>
        <v>0</v>
      </c>
      <c r="AA293" s="270">
        <f t="shared" si="1942"/>
        <v>0</v>
      </c>
      <c r="AB293" s="270">
        <f t="shared" si="1942"/>
        <v>0</v>
      </c>
      <c r="AC293" s="270">
        <f t="shared" si="1942"/>
        <v>0</v>
      </c>
      <c r="AD293" s="270">
        <f t="shared" si="1942"/>
        <v>0</v>
      </c>
      <c r="AE293" s="270">
        <f t="shared" si="1942"/>
        <v>0</v>
      </c>
      <c r="AF293" s="270">
        <f t="shared" si="1942"/>
        <v>0</v>
      </c>
      <c r="AG293" s="270">
        <f t="shared" si="1942"/>
        <v>0</v>
      </c>
      <c r="AH293" s="279">
        <f t="shared" si="602"/>
        <v>0</v>
      </c>
      <c r="AI293" s="270">
        <f t="shared" si="43"/>
        <v>0</v>
      </c>
      <c r="AJ293" s="270">
        <f t="shared" ref="AJ293:AO293" si="1943">IF(F$8=0,0,ROUND(AJ292-(F293-BO293),2))</f>
        <v>0</v>
      </c>
      <c r="AK293" s="270">
        <f t="shared" si="1943"/>
        <v>0</v>
      </c>
      <c r="AL293" s="270">
        <f t="shared" si="1943"/>
        <v>0</v>
      </c>
      <c r="AM293" s="270">
        <f t="shared" si="1943"/>
        <v>0</v>
      </c>
      <c r="AN293" s="270">
        <f t="shared" si="1943"/>
        <v>0</v>
      </c>
      <c r="AO293" s="270">
        <f t="shared" si="1943"/>
        <v>0</v>
      </c>
      <c r="AP293" s="270">
        <v>0.0</v>
      </c>
      <c r="AQ293" s="270">
        <f t="shared" ref="AQ293:AR293" si="1944">IF(M$8=0,0,ROUND(AQ292-(M293-BV293),2))</f>
        <v>0</v>
      </c>
      <c r="AR293" s="270">
        <f t="shared" si="1944"/>
        <v>0</v>
      </c>
      <c r="AS293" s="270">
        <f t="shared" si="1902"/>
        <v>-0.83</v>
      </c>
      <c r="AT293" s="270">
        <f t="shared" si="605"/>
        <v>-6.24</v>
      </c>
      <c r="AU293" s="270">
        <f t="shared" ref="AU293:BK293" si="1945">IF(Q$8=0,0,ROUND(AU292-(Q293-BY293),2))</f>
        <v>-17.68</v>
      </c>
      <c r="AV293" s="270">
        <f t="shared" si="1945"/>
        <v>0</v>
      </c>
      <c r="AW293" s="270">
        <f t="shared" si="1945"/>
        <v>0</v>
      </c>
      <c r="AX293" s="270">
        <f t="shared" si="1945"/>
        <v>0</v>
      </c>
      <c r="AY293" s="270">
        <f t="shared" si="1945"/>
        <v>0</v>
      </c>
      <c r="AZ293" s="270">
        <f t="shared" si="1945"/>
        <v>0</v>
      </c>
      <c r="BA293" s="270">
        <f t="shared" si="1945"/>
        <v>0</v>
      </c>
      <c r="BB293" s="270">
        <f t="shared" si="1945"/>
        <v>0</v>
      </c>
      <c r="BC293" s="270">
        <f t="shared" si="1945"/>
        <v>0</v>
      </c>
      <c r="BD293" s="270">
        <f t="shared" si="1945"/>
        <v>0</v>
      </c>
      <c r="BE293" s="270">
        <f t="shared" si="1945"/>
        <v>0</v>
      </c>
      <c r="BF293" s="270">
        <f t="shared" si="1945"/>
        <v>0</v>
      </c>
      <c r="BG293" s="270">
        <f t="shared" si="1945"/>
        <v>0</v>
      </c>
      <c r="BH293" s="270">
        <f t="shared" si="1945"/>
        <v>0</v>
      </c>
      <c r="BI293" s="270">
        <f t="shared" si="1945"/>
        <v>0</v>
      </c>
      <c r="BJ293" s="270">
        <f t="shared" si="1945"/>
        <v>0</v>
      </c>
      <c r="BK293" s="270">
        <f t="shared" si="1945"/>
        <v>0</v>
      </c>
      <c r="BL293" s="265">
        <f t="shared" si="16"/>
        <v>-24.75</v>
      </c>
      <c r="BM293" s="215"/>
      <c r="BN293" s="270">
        <f t="shared" ref="BN293:CP293" si="1946">ROUND(AI292*E$9/12,2)</f>
        <v>0</v>
      </c>
      <c r="BO293" s="270">
        <f t="shared" si="1946"/>
        <v>0</v>
      </c>
      <c r="BP293" s="270">
        <f t="shared" si="1946"/>
        <v>0</v>
      </c>
      <c r="BQ293" s="270">
        <f t="shared" si="1946"/>
        <v>0</v>
      </c>
      <c r="BR293" s="270">
        <f t="shared" si="1946"/>
        <v>0</v>
      </c>
      <c r="BS293" s="270">
        <f t="shared" si="1946"/>
        <v>0</v>
      </c>
      <c r="BT293" s="270">
        <f t="shared" si="1946"/>
        <v>0</v>
      </c>
      <c r="BU293" s="270">
        <f t="shared" si="1946"/>
        <v>0</v>
      </c>
      <c r="BV293" s="270">
        <f t="shared" si="1946"/>
        <v>0</v>
      </c>
      <c r="BW293" s="270">
        <f t="shared" si="1946"/>
        <v>0</v>
      </c>
      <c r="BX293" s="270">
        <f t="shared" si="1946"/>
        <v>-0.01</v>
      </c>
      <c r="BY293" s="270">
        <f t="shared" si="1946"/>
        <v>-0.05</v>
      </c>
      <c r="BZ293" s="270">
        <f t="shared" si="1946"/>
        <v>-0.06</v>
      </c>
      <c r="CA293" s="270">
        <f t="shared" si="1946"/>
        <v>0</v>
      </c>
      <c r="CB293" s="270">
        <f t="shared" si="1946"/>
        <v>0</v>
      </c>
      <c r="CC293" s="270">
        <f t="shared" si="1946"/>
        <v>0</v>
      </c>
      <c r="CD293" s="270">
        <f t="shared" si="1946"/>
        <v>0</v>
      </c>
      <c r="CE293" s="270">
        <f t="shared" si="1946"/>
        <v>0</v>
      </c>
      <c r="CF293" s="270">
        <f t="shared" si="1946"/>
        <v>0</v>
      </c>
      <c r="CG293" s="270">
        <f t="shared" si="1946"/>
        <v>0</v>
      </c>
      <c r="CH293" s="270">
        <f t="shared" si="1946"/>
        <v>0</v>
      </c>
      <c r="CI293" s="270">
        <f t="shared" si="1946"/>
        <v>0</v>
      </c>
      <c r="CJ293" s="270">
        <f t="shared" si="1946"/>
        <v>0</v>
      </c>
      <c r="CK293" s="270">
        <f t="shared" si="1946"/>
        <v>0</v>
      </c>
      <c r="CL293" s="270">
        <f t="shared" si="1946"/>
        <v>0</v>
      </c>
      <c r="CM293" s="270">
        <f t="shared" si="1946"/>
        <v>0</v>
      </c>
      <c r="CN293" s="270">
        <f t="shared" si="1946"/>
        <v>0</v>
      </c>
      <c r="CO293" s="270">
        <f t="shared" si="1946"/>
        <v>0</v>
      </c>
      <c r="CP293" s="270">
        <f t="shared" si="1946"/>
        <v>0</v>
      </c>
      <c r="CQ293" s="215"/>
      <c r="CR293" s="270">
        <f t="shared" si="27"/>
        <v>-0.12</v>
      </c>
      <c r="CS293" s="215"/>
      <c r="CT293" s="270">
        <f t="shared" ref="CT293:DX293" si="1947">IF(AI292&gt;0,IF((AI292+BN293)&lt;E$10,AI292+BN293,E$10),0)</f>
        <v>0</v>
      </c>
      <c r="CU293" s="270">
        <f t="shared" si="1947"/>
        <v>0</v>
      </c>
      <c r="CV293" s="270">
        <f t="shared" si="1947"/>
        <v>0</v>
      </c>
      <c r="CW293" s="270">
        <f t="shared" si="1947"/>
        <v>0</v>
      </c>
      <c r="CX293" s="270">
        <f t="shared" si="1947"/>
        <v>0</v>
      </c>
      <c r="CY293" s="270">
        <f t="shared" si="1947"/>
        <v>0</v>
      </c>
      <c r="CZ293" s="270">
        <f t="shared" si="1947"/>
        <v>0</v>
      </c>
      <c r="DA293" s="270">
        <f t="shared" si="1947"/>
        <v>0</v>
      </c>
      <c r="DB293" s="270">
        <f t="shared" si="1947"/>
        <v>0</v>
      </c>
      <c r="DC293" s="270">
        <f t="shared" si="1947"/>
        <v>0</v>
      </c>
      <c r="DD293" s="270">
        <f t="shared" si="1947"/>
        <v>0</v>
      </c>
      <c r="DE293" s="270">
        <f t="shared" si="1947"/>
        <v>0</v>
      </c>
      <c r="DF293" s="270">
        <f t="shared" si="1947"/>
        <v>0</v>
      </c>
      <c r="DG293" s="270">
        <f t="shared" si="1947"/>
        <v>0</v>
      </c>
      <c r="DH293" s="270">
        <f t="shared" si="1947"/>
        <v>0</v>
      </c>
      <c r="DI293" s="270">
        <f t="shared" si="1947"/>
        <v>0</v>
      </c>
      <c r="DJ293" s="270">
        <f t="shared" si="1947"/>
        <v>0</v>
      </c>
      <c r="DK293" s="270">
        <f t="shared" si="1947"/>
        <v>0</v>
      </c>
      <c r="DL293" s="270">
        <f t="shared" si="1947"/>
        <v>0</v>
      </c>
      <c r="DM293" s="270">
        <f t="shared" si="1947"/>
        <v>0</v>
      </c>
      <c r="DN293" s="270">
        <f t="shared" si="1947"/>
        <v>0</v>
      </c>
      <c r="DO293" s="270">
        <f t="shared" si="1947"/>
        <v>0</v>
      </c>
      <c r="DP293" s="270">
        <f t="shared" si="1947"/>
        <v>0</v>
      </c>
      <c r="DQ293" s="270">
        <f t="shared" si="1947"/>
        <v>0</v>
      </c>
      <c r="DR293" s="270">
        <f t="shared" si="1947"/>
        <v>0</v>
      </c>
      <c r="DS293" s="270">
        <f t="shared" si="1947"/>
        <v>0</v>
      </c>
      <c r="DT293" s="270">
        <f t="shared" si="1947"/>
        <v>0</v>
      </c>
      <c r="DU293" s="270">
        <f t="shared" si="1947"/>
        <v>0</v>
      </c>
      <c r="DV293" s="270">
        <f t="shared" si="1947"/>
        <v>0</v>
      </c>
      <c r="DW293" s="270">
        <f t="shared" si="1947"/>
        <v>0</v>
      </c>
      <c r="DX293" s="270">
        <f t="shared" si="1947"/>
        <v>0</v>
      </c>
      <c r="DY293" s="270">
        <f t="shared" si="29"/>
        <v>0</v>
      </c>
      <c r="DZ293" s="274"/>
      <c r="EA293" s="275">
        <f t="shared" si="38"/>
        <v>0</v>
      </c>
      <c r="EB293" s="270">
        <f t="shared" ref="EB293:FC293" si="1948">IF(AJ291&lt;=0,0,IF($C292&lt;=SUM($EA293:EA293),0,IF(CU292+$C292-SUM($EA293:EA293)&gt;AJ291+BO292,AJ291+BO292-CU292,$C292-SUM($EA293:EA293))))</f>
        <v>0</v>
      </c>
      <c r="EC293" s="270">
        <f t="shared" si="1948"/>
        <v>0</v>
      </c>
      <c r="ED293" s="270">
        <f t="shared" si="1948"/>
        <v>0</v>
      </c>
      <c r="EE293" s="270">
        <f t="shared" si="1948"/>
        <v>0</v>
      </c>
      <c r="EF293" s="270">
        <f t="shared" si="1948"/>
        <v>0</v>
      </c>
      <c r="EG293" s="270">
        <f t="shared" si="1948"/>
        <v>0</v>
      </c>
      <c r="EH293" s="270">
        <f t="shared" si="1948"/>
        <v>0</v>
      </c>
      <c r="EI293" s="270">
        <f t="shared" si="1948"/>
        <v>0</v>
      </c>
      <c r="EJ293" s="270">
        <f t="shared" si="1948"/>
        <v>0</v>
      </c>
      <c r="EK293" s="270">
        <f t="shared" si="1948"/>
        <v>0</v>
      </c>
      <c r="EL293" s="270">
        <f t="shared" si="1948"/>
        <v>0</v>
      </c>
      <c r="EM293" s="270">
        <f t="shared" si="1948"/>
        <v>0</v>
      </c>
      <c r="EN293" s="270">
        <f t="shared" si="1948"/>
        <v>0</v>
      </c>
      <c r="EO293" s="270">
        <f t="shared" si="1948"/>
        <v>0</v>
      </c>
      <c r="EP293" s="270">
        <f t="shared" si="1948"/>
        <v>0</v>
      </c>
      <c r="EQ293" s="270">
        <f t="shared" si="1948"/>
        <v>0</v>
      </c>
      <c r="ER293" s="270">
        <f t="shared" si="1948"/>
        <v>0</v>
      </c>
      <c r="ES293" s="270">
        <f t="shared" si="1948"/>
        <v>0</v>
      </c>
      <c r="ET293" s="270">
        <f t="shared" si="1948"/>
        <v>0</v>
      </c>
      <c r="EU293" s="270">
        <f t="shared" si="1948"/>
        <v>0</v>
      </c>
      <c r="EV293" s="270">
        <f t="shared" si="1948"/>
        <v>0</v>
      </c>
      <c r="EW293" s="270">
        <f t="shared" si="1948"/>
        <v>0</v>
      </c>
      <c r="EX293" s="270">
        <f t="shared" si="1948"/>
        <v>0</v>
      </c>
      <c r="EY293" s="270">
        <f t="shared" si="1948"/>
        <v>0</v>
      </c>
      <c r="EZ293" s="270">
        <f t="shared" si="1948"/>
        <v>0</v>
      </c>
      <c r="FA293" s="270">
        <f t="shared" si="1948"/>
        <v>0</v>
      </c>
      <c r="FB293" s="270">
        <f t="shared" si="1948"/>
        <v>0</v>
      </c>
      <c r="FC293" s="270">
        <f t="shared" si="1948"/>
        <v>0</v>
      </c>
      <c r="FD293" s="271"/>
      <c r="FE293" s="271"/>
      <c r="FF293" s="271"/>
      <c r="FG293" s="215"/>
      <c r="FH293" s="215"/>
    </row>
    <row r="294" ht="11.25" customHeight="1">
      <c r="A294" s="215" t="str">
        <f t="shared" si="19"/>
        <v/>
      </c>
      <c r="B294" s="241" t="str">
        <f t="shared" si="600"/>
        <v>#N/A</v>
      </c>
      <c r="C294" s="271" t="str">
        <f>IF(A294="","",IF(Calculator!snowball,IF(($E$5-DY294)&lt;0,0,$E$5-DY294),0)+D294)</f>
        <v/>
      </c>
      <c r="D294" s="271"/>
      <c r="E294" s="270">
        <f t="shared" si="40"/>
        <v>0</v>
      </c>
      <c r="F294" s="270">
        <f t="shared" ref="F294:AG294" si="1949">CU294+EB295</f>
        <v>0</v>
      </c>
      <c r="G294" s="270">
        <f t="shared" si="1949"/>
        <v>0</v>
      </c>
      <c r="H294" s="270">
        <f t="shared" si="1949"/>
        <v>0</v>
      </c>
      <c r="I294" s="270">
        <f t="shared" si="1949"/>
        <v>0</v>
      </c>
      <c r="J294" s="270">
        <f t="shared" si="1949"/>
        <v>0</v>
      </c>
      <c r="K294" s="270">
        <f t="shared" si="1949"/>
        <v>0</v>
      </c>
      <c r="L294" s="270">
        <f t="shared" si="1949"/>
        <v>0</v>
      </c>
      <c r="M294" s="270">
        <f t="shared" si="1949"/>
        <v>0</v>
      </c>
      <c r="N294" s="270">
        <f t="shared" si="1949"/>
        <v>0</v>
      </c>
      <c r="O294" s="270">
        <f t="shared" si="1949"/>
        <v>0</v>
      </c>
      <c r="P294" s="272">
        <f t="shared" si="1949"/>
        <v>0</v>
      </c>
      <c r="Q294" s="272">
        <f t="shared" si="1949"/>
        <v>0</v>
      </c>
      <c r="R294" s="272">
        <f t="shared" si="1949"/>
        <v>0</v>
      </c>
      <c r="S294" s="272">
        <f t="shared" si="1949"/>
        <v>0</v>
      </c>
      <c r="T294" s="272">
        <f t="shared" si="1949"/>
        <v>0</v>
      </c>
      <c r="U294" s="270">
        <f t="shared" si="1949"/>
        <v>0</v>
      </c>
      <c r="V294" s="270">
        <f t="shared" si="1949"/>
        <v>0</v>
      </c>
      <c r="W294" s="270">
        <f t="shared" si="1949"/>
        <v>0</v>
      </c>
      <c r="X294" s="270">
        <f t="shared" si="1949"/>
        <v>0</v>
      </c>
      <c r="Y294" s="270">
        <f t="shared" si="1949"/>
        <v>0</v>
      </c>
      <c r="Z294" s="270">
        <f t="shared" si="1949"/>
        <v>0</v>
      </c>
      <c r="AA294" s="270">
        <f t="shared" si="1949"/>
        <v>0</v>
      </c>
      <c r="AB294" s="270">
        <f t="shared" si="1949"/>
        <v>0</v>
      </c>
      <c r="AC294" s="270">
        <f t="shared" si="1949"/>
        <v>0</v>
      </c>
      <c r="AD294" s="270">
        <f t="shared" si="1949"/>
        <v>0</v>
      </c>
      <c r="AE294" s="270">
        <f t="shared" si="1949"/>
        <v>0</v>
      </c>
      <c r="AF294" s="270">
        <f t="shared" si="1949"/>
        <v>0</v>
      </c>
      <c r="AG294" s="270">
        <f t="shared" si="1949"/>
        <v>0</v>
      </c>
      <c r="AH294" s="279">
        <f t="shared" si="602"/>
        <v>0</v>
      </c>
      <c r="AI294" s="270">
        <f t="shared" si="43"/>
        <v>0</v>
      </c>
      <c r="AJ294" s="270">
        <f t="shared" ref="AJ294:AO294" si="1950">IF(F$8=0,0,ROUND(AJ293-(F294-BO294),2))</f>
        <v>0</v>
      </c>
      <c r="AK294" s="270">
        <f t="shared" si="1950"/>
        <v>0</v>
      </c>
      <c r="AL294" s="270">
        <f t="shared" si="1950"/>
        <v>0</v>
      </c>
      <c r="AM294" s="270">
        <f t="shared" si="1950"/>
        <v>0</v>
      </c>
      <c r="AN294" s="270">
        <f t="shared" si="1950"/>
        <v>0</v>
      </c>
      <c r="AO294" s="270">
        <f t="shared" si="1950"/>
        <v>0</v>
      </c>
      <c r="AP294" s="270">
        <v>0.0</v>
      </c>
      <c r="AQ294" s="270">
        <f t="shared" ref="AQ294:AR294" si="1951">IF(M$8=0,0,ROUND(AQ293-(M294-BV294),2))</f>
        <v>0</v>
      </c>
      <c r="AR294" s="270">
        <f t="shared" si="1951"/>
        <v>0</v>
      </c>
      <c r="AS294" s="270">
        <f t="shared" si="1902"/>
        <v>-0.95</v>
      </c>
      <c r="AT294" s="270">
        <f t="shared" si="605"/>
        <v>-6.25</v>
      </c>
      <c r="AU294" s="270">
        <f t="shared" ref="AU294:BK294" si="1952">IF(Q$8=0,0,ROUND(AU293-(Q294-BY294),2))</f>
        <v>-17.73</v>
      </c>
      <c r="AV294" s="270">
        <f t="shared" si="1952"/>
        <v>0</v>
      </c>
      <c r="AW294" s="270">
        <f t="shared" si="1952"/>
        <v>0</v>
      </c>
      <c r="AX294" s="270">
        <f t="shared" si="1952"/>
        <v>0</v>
      </c>
      <c r="AY294" s="270">
        <f t="shared" si="1952"/>
        <v>0</v>
      </c>
      <c r="AZ294" s="270">
        <f t="shared" si="1952"/>
        <v>0</v>
      </c>
      <c r="BA294" s="270">
        <f t="shared" si="1952"/>
        <v>0</v>
      </c>
      <c r="BB294" s="270">
        <f t="shared" si="1952"/>
        <v>0</v>
      </c>
      <c r="BC294" s="270">
        <f t="shared" si="1952"/>
        <v>0</v>
      </c>
      <c r="BD294" s="270">
        <f t="shared" si="1952"/>
        <v>0</v>
      </c>
      <c r="BE294" s="270">
        <f t="shared" si="1952"/>
        <v>0</v>
      </c>
      <c r="BF294" s="270">
        <f t="shared" si="1952"/>
        <v>0</v>
      </c>
      <c r="BG294" s="270">
        <f t="shared" si="1952"/>
        <v>0</v>
      </c>
      <c r="BH294" s="270">
        <f t="shared" si="1952"/>
        <v>0</v>
      </c>
      <c r="BI294" s="270">
        <f t="shared" si="1952"/>
        <v>0</v>
      </c>
      <c r="BJ294" s="270">
        <f t="shared" si="1952"/>
        <v>0</v>
      </c>
      <c r="BK294" s="270">
        <f t="shared" si="1952"/>
        <v>0</v>
      </c>
      <c r="BL294" s="265">
        <f t="shared" si="16"/>
        <v>-24.93</v>
      </c>
      <c r="BM294" s="215"/>
      <c r="BN294" s="270">
        <f t="shared" ref="BN294:CP294" si="1953">ROUND(AI293*E$9/12,2)</f>
        <v>0</v>
      </c>
      <c r="BO294" s="270">
        <f t="shared" si="1953"/>
        <v>0</v>
      </c>
      <c r="BP294" s="270">
        <f t="shared" si="1953"/>
        <v>0</v>
      </c>
      <c r="BQ294" s="270">
        <f t="shared" si="1953"/>
        <v>0</v>
      </c>
      <c r="BR294" s="270">
        <f t="shared" si="1953"/>
        <v>0</v>
      </c>
      <c r="BS294" s="270">
        <f t="shared" si="1953"/>
        <v>0</v>
      </c>
      <c r="BT294" s="270">
        <f t="shared" si="1953"/>
        <v>0</v>
      </c>
      <c r="BU294" s="270">
        <f t="shared" si="1953"/>
        <v>0</v>
      </c>
      <c r="BV294" s="270">
        <f t="shared" si="1953"/>
        <v>0</v>
      </c>
      <c r="BW294" s="270">
        <f t="shared" si="1953"/>
        <v>0</v>
      </c>
      <c r="BX294" s="270">
        <f t="shared" si="1953"/>
        <v>-0.01</v>
      </c>
      <c r="BY294" s="270">
        <f t="shared" si="1953"/>
        <v>-0.05</v>
      </c>
      <c r="BZ294" s="270">
        <f t="shared" si="1953"/>
        <v>-0.06</v>
      </c>
      <c r="CA294" s="270">
        <f t="shared" si="1953"/>
        <v>0</v>
      </c>
      <c r="CB294" s="270">
        <f t="shared" si="1953"/>
        <v>0</v>
      </c>
      <c r="CC294" s="270">
        <f t="shared" si="1953"/>
        <v>0</v>
      </c>
      <c r="CD294" s="270">
        <f t="shared" si="1953"/>
        <v>0</v>
      </c>
      <c r="CE294" s="270">
        <f t="shared" si="1953"/>
        <v>0</v>
      </c>
      <c r="CF294" s="270">
        <f t="shared" si="1953"/>
        <v>0</v>
      </c>
      <c r="CG294" s="270">
        <f t="shared" si="1953"/>
        <v>0</v>
      </c>
      <c r="CH294" s="270">
        <f t="shared" si="1953"/>
        <v>0</v>
      </c>
      <c r="CI294" s="270">
        <f t="shared" si="1953"/>
        <v>0</v>
      </c>
      <c r="CJ294" s="270">
        <f t="shared" si="1953"/>
        <v>0</v>
      </c>
      <c r="CK294" s="270">
        <f t="shared" si="1953"/>
        <v>0</v>
      </c>
      <c r="CL294" s="270">
        <f t="shared" si="1953"/>
        <v>0</v>
      </c>
      <c r="CM294" s="270">
        <f t="shared" si="1953"/>
        <v>0</v>
      </c>
      <c r="CN294" s="270">
        <f t="shared" si="1953"/>
        <v>0</v>
      </c>
      <c r="CO294" s="270">
        <f t="shared" si="1953"/>
        <v>0</v>
      </c>
      <c r="CP294" s="270">
        <f t="shared" si="1953"/>
        <v>0</v>
      </c>
      <c r="CQ294" s="215"/>
      <c r="CR294" s="270">
        <f t="shared" si="27"/>
        <v>-0.12</v>
      </c>
      <c r="CS294" s="215"/>
      <c r="CT294" s="270">
        <f t="shared" ref="CT294:DX294" si="1954">IF(AI293&gt;0,IF((AI293+BN294)&lt;E$10,AI293+BN294,E$10),0)</f>
        <v>0</v>
      </c>
      <c r="CU294" s="270">
        <f t="shared" si="1954"/>
        <v>0</v>
      </c>
      <c r="CV294" s="270">
        <f t="shared" si="1954"/>
        <v>0</v>
      </c>
      <c r="CW294" s="270">
        <f t="shared" si="1954"/>
        <v>0</v>
      </c>
      <c r="CX294" s="270">
        <f t="shared" si="1954"/>
        <v>0</v>
      </c>
      <c r="CY294" s="270">
        <f t="shared" si="1954"/>
        <v>0</v>
      </c>
      <c r="CZ294" s="270">
        <f t="shared" si="1954"/>
        <v>0</v>
      </c>
      <c r="DA294" s="270">
        <f t="shared" si="1954"/>
        <v>0</v>
      </c>
      <c r="DB294" s="270">
        <f t="shared" si="1954"/>
        <v>0</v>
      </c>
      <c r="DC294" s="270">
        <f t="shared" si="1954"/>
        <v>0</v>
      </c>
      <c r="DD294" s="270">
        <f t="shared" si="1954"/>
        <v>0</v>
      </c>
      <c r="DE294" s="270">
        <f t="shared" si="1954"/>
        <v>0</v>
      </c>
      <c r="DF294" s="270">
        <f t="shared" si="1954"/>
        <v>0</v>
      </c>
      <c r="DG294" s="270">
        <f t="shared" si="1954"/>
        <v>0</v>
      </c>
      <c r="DH294" s="270">
        <f t="shared" si="1954"/>
        <v>0</v>
      </c>
      <c r="DI294" s="270">
        <f t="shared" si="1954"/>
        <v>0</v>
      </c>
      <c r="DJ294" s="270">
        <f t="shared" si="1954"/>
        <v>0</v>
      </c>
      <c r="DK294" s="270">
        <f t="shared" si="1954"/>
        <v>0</v>
      </c>
      <c r="DL294" s="270">
        <f t="shared" si="1954"/>
        <v>0</v>
      </c>
      <c r="DM294" s="270">
        <f t="shared" si="1954"/>
        <v>0</v>
      </c>
      <c r="DN294" s="270">
        <f t="shared" si="1954"/>
        <v>0</v>
      </c>
      <c r="DO294" s="270">
        <f t="shared" si="1954"/>
        <v>0</v>
      </c>
      <c r="DP294" s="270">
        <f t="shared" si="1954"/>
        <v>0</v>
      </c>
      <c r="DQ294" s="270">
        <f t="shared" si="1954"/>
        <v>0</v>
      </c>
      <c r="DR294" s="270">
        <f t="shared" si="1954"/>
        <v>0</v>
      </c>
      <c r="DS294" s="270">
        <f t="shared" si="1954"/>
        <v>0</v>
      </c>
      <c r="DT294" s="270">
        <f t="shared" si="1954"/>
        <v>0</v>
      </c>
      <c r="DU294" s="270">
        <f t="shared" si="1954"/>
        <v>0</v>
      </c>
      <c r="DV294" s="270">
        <f t="shared" si="1954"/>
        <v>0</v>
      </c>
      <c r="DW294" s="270">
        <f t="shared" si="1954"/>
        <v>0</v>
      </c>
      <c r="DX294" s="270">
        <f t="shared" si="1954"/>
        <v>0</v>
      </c>
      <c r="DY294" s="270">
        <f t="shared" si="29"/>
        <v>0</v>
      </c>
      <c r="DZ294" s="274"/>
      <c r="EA294" s="275">
        <f t="shared" si="38"/>
        <v>0</v>
      </c>
      <c r="EB294" s="270">
        <f t="shared" ref="EB294:FC294" si="1955">IF(AJ292&lt;=0,0,IF($C293&lt;=SUM($EA294:EA294),0,IF(CU293+$C293-SUM($EA294:EA294)&gt;AJ292+BO293,AJ292+BO293-CU293,$C293-SUM($EA294:EA294))))</f>
        <v>0</v>
      </c>
      <c r="EC294" s="270">
        <f t="shared" si="1955"/>
        <v>0</v>
      </c>
      <c r="ED294" s="270">
        <f t="shared" si="1955"/>
        <v>0</v>
      </c>
      <c r="EE294" s="270">
        <f t="shared" si="1955"/>
        <v>0</v>
      </c>
      <c r="EF294" s="270">
        <f t="shared" si="1955"/>
        <v>0</v>
      </c>
      <c r="EG294" s="270">
        <f t="shared" si="1955"/>
        <v>0</v>
      </c>
      <c r="EH294" s="270">
        <f t="shared" si="1955"/>
        <v>0</v>
      </c>
      <c r="EI294" s="270">
        <f t="shared" si="1955"/>
        <v>0</v>
      </c>
      <c r="EJ294" s="270">
        <f t="shared" si="1955"/>
        <v>0</v>
      </c>
      <c r="EK294" s="270">
        <f t="shared" si="1955"/>
        <v>0</v>
      </c>
      <c r="EL294" s="270">
        <f t="shared" si="1955"/>
        <v>0</v>
      </c>
      <c r="EM294" s="270">
        <f t="shared" si="1955"/>
        <v>0</v>
      </c>
      <c r="EN294" s="270">
        <f t="shared" si="1955"/>
        <v>0</v>
      </c>
      <c r="EO294" s="270">
        <f t="shared" si="1955"/>
        <v>0</v>
      </c>
      <c r="EP294" s="270">
        <f t="shared" si="1955"/>
        <v>0</v>
      </c>
      <c r="EQ294" s="270">
        <f t="shared" si="1955"/>
        <v>0</v>
      </c>
      <c r="ER294" s="270">
        <f t="shared" si="1955"/>
        <v>0</v>
      </c>
      <c r="ES294" s="270">
        <f t="shared" si="1955"/>
        <v>0</v>
      </c>
      <c r="ET294" s="270">
        <f t="shared" si="1955"/>
        <v>0</v>
      </c>
      <c r="EU294" s="270">
        <f t="shared" si="1955"/>
        <v>0</v>
      </c>
      <c r="EV294" s="270">
        <f t="shared" si="1955"/>
        <v>0</v>
      </c>
      <c r="EW294" s="270">
        <f t="shared" si="1955"/>
        <v>0</v>
      </c>
      <c r="EX294" s="270">
        <f t="shared" si="1955"/>
        <v>0</v>
      </c>
      <c r="EY294" s="270">
        <f t="shared" si="1955"/>
        <v>0</v>
      </c>
      <c r="EZ294" s="270">
        <f t="shared" si="1955"/>
        <v>0</v>
      </c>
      <c r="FA294" s="270">
        <f t="shared" si="1955"/>
        <v>0</v>
      </c>
      <c r="FB294" s="270">
        <f t="shared" si="1955"/>
        <v>0</v>
      </c>
      <c r="FC294" s="270">
        <f t="shared" si="1955"/>
        <v>0</v>
      </c>
      <c r="FD294" s="271"/>
      <c r="FE294" s="271"/>
      <c r="FF294" s="271"/>
      <c r="FG294" s="215"/>
      <c r="FH294" s="215"/>
    </row>
    <row r="295" ht="11.25" customHeight="1">
      <c r="A295" s="215" t="str">
        <f t="shared" si="19"/>
        <v/>
      </c>
      <c r="B295" s="241" t="str">
        <f t="shared" si="600"/>
        <v>#N/A</v>
      </c>
      <c r="C295" s="271" t="str">
        <f>IF(A295="","",IF(Calculator!snowball,IF(($E$5-DY295)&lt;0,0,$E$5-DY295),0)+D295)</f>
        <v/>
      </c>
      <c r="D295" s="271"/>
      <c r="E295" s="270">
        <f t="shared" si="40"/>
        <v>0</v>
      </c>
      <c r="F295" s="270">
        <f t="shared" ref="F295:AG295" si="1956">CU295+EB296</f>
        <v>0</v>
      </c>
      <c r="G295" s="270">
        <f t="shared" si="1956"/>
        <v>0</v>
      </c>
      <c r="H295" s="270">
        <f t="shared" si="1956"/>
        <v>0</v>
      </c>
      <c r="I295" s="270">
        <f t="shared" si="1956"/>
        <v>0</v>
      </c>
      <c r="J295" s="270">
        <f t="shared" si="1956"/>
        <v>0</v>
      </c>
      <c r="K295" s="270">
        <f t="shared" si="1956"/>
        <v>0</v>
      </c>
      <c r="L295" s="270">
        <f t="shared" si="1956"/>
        <v>0</v>
      </c>
      <c r="M295" s="270">
        <f t="shared" si="1956"/>
        <v>0</v>
      </c>
      <c r="N295" s="270">
        <f t="shared" si="1956"/>
        <v>0</v>
      </c>
      <c r="O295" s="270">
        <f t="shared" si="1956"/>
        <v>0</v>
      </c>
      <c r="P295" s="272">
        <f t="shared" si="1956"/>
        <v>0</v>
      </c>
      <c r="Q295" s="272">
        <f t="shared" si="1956"/>
        <v>0</v>
      </c>
      <c r="R295" s="272">
        <f t="shared" si="1956"/>
        <v>0</v>
      </c>
      <c r="S295" s="272">
        <f t="shared" si="1956"/>
        <v>0</v>
      </c>
      <c r="T295" s="272">
        <f t="shared" si="1956"/>
        <v>0</v>
      </c>
      <c r="U295" s="270">
        <f t="shared" si="1956"/>
        <v>0</v>
      </c>
      <c r="V295" s="270">
        <f t="shared" si="1956"/>
        <v>0</v>
      </c>
      <c r="W295" s="270">
        <f t="shared" si="1956"/>
        <v>0</v>
      </c>
      <c r="X295" s="270">
        <f t="shared" si="1956"/>
        <v>0</v>
      </c>
      <c r="Y295" s="270">
        <f t="shared" si="1956"/>
        <v>0</v>
      </c>
      <c r="Z295" s="270">
        <f t="shared" si="1956"/>
        <v>0</v>
      </c>
      <c r="AA295" s="270">
        <f t="shared" si="1956"/>
        <v>0</v>
      </c>
      <c r="AB295" s="270">
        <f t="shared" si="1956"/>
        <v>0</v>
      </c>
      <c r="AC295" s="270">
        <f t="shared" si="1956"/>
        <v>0</v>
      </c>
      <c r="AD295" s="270">
        <f t="shared" si="1956"/>
        <v>0</v>
      </c>
      <c r="AE295" s="270">
        <f t="shared" si="1956"/>
        <v>0</v>
      </c>
      <c r="AF295" s="270">
        <f t="shared" si="1956"/>
        <v>0</v>
      </c>
      <c r="AG295" s="270">
        <f t="shared" si="1956"/>
        <v>0</v>
      </c>
      <c r="AH295" s="279">
        <f t="shared" si="602"/>
        <v>0</v>
      </c>
      <c r="AI295" s="270">
        <f t="shared" si="43"/>
        <v>0</v>
      </c>
      <c r="AJ295" s="270">
        <f t="shared" ref="AJ295:AO295" si="1957">IF(F$8=0,0,ROUND(AJ294-(F295-BO295),2))</f>
        <v>0</v>
      </c>
      <c r="AK295" s="270">
        <f t="shared" si="1957"/>
        <v>0</v>
      </c>
      <c r="AL295" s="270">
        <f t="shared" si="1957"/>
        <v>0</v>
      </c>
      <c r="AM295" s="270">
        <f t="shared" si="1957"/>
        <v>0</v>
      </c>
      <c r="AN295" s="270">
        <f t="shared" si="1957"/>
        <v>0</v>
      </c>
      <c r="AO295" s="270">
        <f t="shared" si="1957"/>
        <v>0</v>
      </c>
      <c r="AP295" s="270">
        <v>0.0</v>
      </c>
      <c r="AQ295" s="270">
        <f t="shared" ref="AQ295:AR295" si="1958">IF(M$8=0,0,ROUND(AQ294-(M295-BV295),2))</f>
        <v>0</v>
      </c>
      <c r="AR295" s="270">
        <f t="shared" si="1958"/>
        <v>0</v>
      </c>
      <c r="AS295" s="270">
        <f t="shared" si="1902"/>
        <v>-1.07</v>
      </c>
      <c r="AT295" s="270">
        <f t="shared" si="605"/>
        <v>-6.26</v>
      </c>
      <c r="AU295" s="270">
        <f t="shared" ref="AU295:BK295" si="1959">IF(Q$8=0,0,ROUND(AU294-(Q295-BY295),2))</f>
        <v>-17.78</v>
      </c>
      <c r="AV295" s="270">
        <f t="shared" si="1959"/>
        <v>0</v>
      </c>
      <c r="AW295" s="270">
        <f t="shared" si="1959"/>
        <v>0</v>
      </c>
      <c r="AX295" s="270">
        <f t="shared" si="1959"/>
        <v>0</v>
      </c>
      <c r="AY295" s="270">
        <f t="shared" si="1959"/>
        <v>0</v>
      </c>
      <c r="AZ295" s="270">
        <f t="shared" si="1959"/>
        <v>0</v>
      </c>
      <c r="BA295" s="270">
        <f t="shared" si="1959"/>
        <v>0</v>
      </c>
      <c r="BB295" s="270">
        <f t="shared" si="1959"/>
        <v>0</v>
      </c>
      <c r="BC295" s="270">
        <f t="shared" si="1959"/>
        <v>0</v>
      </c>
      <c r="BD295" s="270">
        <f t="shared" si="1959"/>
        <v>0</v>
      </c>
      <c r="BE295" s="270">
        <f t="shared" si="1959"/>
        <v>0</v>
      </c>
      <c r="BF295" s="270">
        <f t="shared" si="1959"/>
        <v>0</v>
      </c>
      <c r="BG295" s="270">
        <f t="shared" si="1959"/>
        <v>0</v>
      </c>
      <c r="BH295" s="270">
        <f t="shared" si="1959"/>
        <v>0</v>
      </c>
      <c r="BI295" s="270">
        <f t="shared" si="1959"/>
        <v>0</v>
      </c>
      <c r="BJ295" s="270">
        <f t="shared" si="1959"/>
        <v>0</v>
      </c>
      <c r="BK295" s="270">
        <f t="shared" si="1959"/>
        <v>0</v>
      </c>
      <c r="BL295" s="265">
        <f t="shared" si="16"/>
        <v>-25.11</v>
      </c>
      <c r="BM295" s="215"/>
      <c r="BN295" s="270">
        <f t="shared" ref="BN295:CP295" si="1960">ROUND(AI294*E$9/12,2)</f>
        <v>0</v>
      </c>
      <c r="BO295" s="270">
        <f t="shared" si="1960"/>
        <v>0</v>
      </c>
      <c r="BP295" s="270">
        <f t="shared" si="1960"/>
        <v>0</v>
      </c>
      <c r="BQ295" s="270">
        <f t="shared" si="1960"/>
        <v>0</v>
      </c>
      <c r="BR295" s="270">
        <f t="shared" si="1960"/>
        <v>0</v>
      </c>
      <c r="BS295" s="270">
        <f t="shared" si="1960"/>
        <v>0</v>
      </c>
      <c r="BT295" s="270">
        <f t="shared" si="1960"/>
        <v>0</v>
      </c>
      <c r="BU295" s="270">
        <f t="shared" si="1960"/>
        <v>0</v>
      </c>
      <c r="BV295" s="270">
        <f t="shared" si="1960"/>
        <v>0</v>
      </c>
      <c r="BW295" s="270">
        <f t="shared" si="1960"/>
        <v>0</v>
      </c>
      <c r="BX295" s="270">
        <f t="shared" si="1960"/>
        <v>-0.01</v>
      </c>
      <c r="BY295" s="270">
        <f t="shared" si="1960"/>
        <v>-0.05</v>
      </c>
      <c r="BZ295" s="270">
        <f t="shared" si="1960"/>
        <v>-0.06</v>
      </c>
      <c r="CA295" s="270">
        <f t="shared" si="1960"/>
        <v>0</v>
      </c>
      <c r="CB295" s="270">
        <f t="shared" si="1960"/>
        <v>0</v>
      </c>
      <c r="CC295" s="270">
        <f t="shared" si="1960"/>
        <v>0</v>
      </c>
      <c r="CD295" s="270">
        <f t="shared" si="1960"/>
        <v>0</v>
      </c>
      <c r="CE295" s="270">
        <f t="shared" si="1960"/>
        <v>0</v>
      </c>
      <c r="CF295" s="270">
        <f t="shared" si="1960"/>
        <v>0</v>
      </c>
      <c r="CG295" s="270">
        <f t="shared" si="1960"/>
        <v>0</v>
      </c>
      <c r="CH295" s="270">
        <f t="shared" si="1960"/>
        <v>0</v>
      </c>
      <c r="CI295" s="270">
        <f t="shared" si="1960"/>
        <v>0</v>
      </c>
      <c r="CJ295" s="270">
        <f t="shared" si="1960"/>
        <v>0</v>
      </c>
      <c r="CK295" s="270">
        <f t="shared" si="1960"/>
        <v>0</v>
      </c>
      <c r="CL295" s="270">
        <f t="shared" si="1960"/>
        <v>0</v>
      </c>
      <c r="CM295" s="270">
        <f t="shared" si="1960"/>
        <v>0</v>
      </c>
      <c r="CN295" s="270">
        <f t="shared" si="1960"/>
        <v>0</v>
      </c>
      <c r="CO295" s="270">
        <f t="shared" si="1960"/>
        <v>0</v>
      </c>
      <c r="CP295" s="270">
        <f t="shared" si="1960"/>
        <v>0</v>
      </c>
      <c r="CQ295" s="215"/>
      <c r="CR295" s="270">
        <f t="shared" si="27"/>
        <v>-0.12</v>
      </c>
      <c r="CS295" s="215"/>
      <c r="CT295" s="270">
        <f t="shared" ref="CT295:DX295" si="1961">IF(AI294&gt;0,IF((AI294+BN295)&lt;E$10,AI294+BN295,E$10),0)</f>
        <v>0</v>
      </c>
      <c r="CU295" s="270">
        <f t="shared" si="1961"/>
        <v>0</v>
      </c>
      <c r="CV295" s="270">
        <f t="shared" si="1961"/>
        <v>0</v>
      </c>
      <c r="CW295" s="270">
        <f t="shared" si="1961"/>
        <v>0</v>
      </c>
      <c r="CX295" s="270">
        <f t="shared" si="1961"/>
        <v>0</v>
      </c>
      <c r="CY295" s="270">
        <f t="shared" si="1961"/>
        <v>0</v>
      </c>
      <c r="CZ295" s="270">
        <f t="shared" si="1961"/>
        <v>0</v>
      </c>
      <c r="DA295" s="270">
        <f t="shared" si="1961"/>
        <v>0</v>
      </c>
      <c r="DB295" s="270">
        <f t="shared" si="1961"/>
        <v>0</v>
      </c>
      <c r="DC295" s="270">
        <f t="shared" si="1961"/>
        <v>0</v>
      </c>
      <c r="DD295" s="270">
        <f t="shared" si="1961"/>
        <v>0</v>
      </c>
      <c r="DE295" s="270">
        <f t="shared" si="1961"/>
        <v>0</v>
      </c>
      <c r="DF295" s="270">
        <f t="shared" si="1961"/>
        <v>0</v>
      </c>
      <c r="DG295" s="270">
        <f t="shared" si="1961"/>
        <v>0</v>
      </c>
      <c r="DH295" s="270">
        <f t="shared" si="1961"/>
        <v>0</v>
      </c>
      <c r="DI295" s="270">
        <f t="shared" si="1961"/>
        <v>0</v>
      </c>
      <c r="DJ295" s="270">
        <f t="shared" si="1961"/>
        <v>0</v>
      </c>
      <c r="DK295" s="270">
        <f t="shared" si="1961"/>
        <v>0</v>
      </c>
      <c r="DL295" s="270">
        <f t="shared" si="1961"/>
        <v>0</v>
      </c>
      <c r="DM295" s="270">
        <f t="shared" si="1961"/>
        <v>0</v>
      </c>
      <c r="DN295" s="270">
        <f t="shared" si="1961"/>
        <v>0</v>
      </c>
      <c r="DO295" s="270">
        <f t="shared" si="1961"/>
        <v>0</v>
      </c>
      <c r="DP295" s="270">
        <f t="shared" si="1961"/>
        <v>0</v>
      </c>
      <c r="DQ295" s="270">
        <f t="shared" si="1961"/>
        <v>0</v>
      </c>
      <c r="DR295" s="270">
        <f t="shared" si="1961"/>
        <v>0</v>
      </c>
      <c r="DS295" s="270">
        <f t="shared" si="1961"/>
        <v>0</v>
      </c>
      <c r="DT295" s="270">
        <f t="shared" si="1961"/>
        <v>0</v>
      </c>
      <c r="DU295" s="270">
        <f t="shared" si="1961"/>
        <v>0</v>
      </c>
      <c r="DV295" s="270">
        <f t="shared" si="1961"/>
        <v>0</v>
      </c>
      <c r="DW295" s="270">
        <f t="shared" si="1961"/>
        <v>0</v>
      </c>
      <c r="DX295" s="270">
        <f t="shared" si="1961"/>
        <v>0</v>
      </c>
      <c r="DY295" s="270">
        <f t="shared" si="29"/>
        <v>0</v>
      </c>
      <c r="DZ295" s="274"/>
      <c r="EA295" s="275">
        <f t="shared" si="38"/>
        <v>0</v>
      </c>
      <c r="EB295" s="270">
        <f t="shared" ref="EB295:FC295" si="1962">IF(AJ293&lt;=0,0,IF($C294&lt;=SUM($EA295:EA295),0,IF(CU294+$C294-SUM($EA295:EA295)&gt;AJ293+BO294,AJ293+BO294-CU294,$C294-SUM($EA295:EA295))))</f>
        <v>0</v>
      </c>
      <c r="EC295" s="270">
        <f t="shared" si="1962"/>
        <v>0</v>
      </c>
      <c r="ED295" s="270">
        <f t="shared" si="1962"/>
        <v>0</v>
      </c>
      <c r="EE295" s="270">
        <f t="shared" si="1962"/>
        <v>0</v>
      </c>
      <c r="EF295" s="270">
        <f t="shared" si="1962"/>
        <v>0</v>
      </c>
      <c r="EG295" s="270">
        <f t="shared" si="1962"/>
        <v>0</v>
      </c>
      <c r="EH295" s="270">
        <f t="shared" si="1962"/>
        <v>0</v>
      </c>
      <c r="EI295" s="270">
        <f t="shared" si="1962"/>
        <v>0</v>
      </c>
      <c r="EJ295" s="270">
        <f t="shared" si="1962"/>
        <v>0</v>
      </c>
      <c r="EK295" s="270">
        <f t="shared" si="1962"/>
        <v>0</v>
      </c>
      <c r="EL295" s="270">
        <f t="shared" si="1962"/>
        <v>0</v>
      </c>
      <c r="EM295" s="270">
        <f t="shared" si="1962"/>
        <v>0</v>
      </c>
      <c r="EN295" s="270">
        <f t="shared" si="1962"/>
        <v>0</v>
      </c>
      <c r="EO295" s="270">
        <f t="shared" si="1962"/>
        <v>0</v>
      </c>
      <c r="EP295" s="270">
        <f t="shared" si="1962"/>
        <v>0</v>
      </c>
      <c r="EQ295" s="270">
        <f t="shared" si="1962"/>
        <v>0</v>
      </c>
      <c r="ER295" s="270">
        <f t="shared" si="1962"/>
        <v>0</v>
      </c>
      <c r="ES295" s="270">
        <f t="shared" si="1962"/>
        <v>0</v>
      </c>
      <c r="ET295" s="270">
        <f t="shared" si="1962"/>
        <v>0</v>
      </c>
      <c r="EU295" s="270">
        <f t="shared" si="1962"/>
        <v>0</v>
      </c>
      <c r="EV295" s="270">
        <f t="shared" si="1962"/>
        <v>0</v>
      </c>
      <c r="EW295" s="270">
        <f t="shared" si="1962"/>
        <v>0</v>
      </c>
      <c r="EX295" s="270">
        <f t="shared" si="1962"/>
        <v>0</v>
      </c>
      <c r="EY295" s="270">
        <f t="shared" si="1962"/>
        <v>0</v>
      </c>
      <c r="EZ295" s="270">
        <f t="shared" si="1962"/>
        <v>0</v>
      </c>
      <c r="FA295" s="270">
        <f t="shared" si="1962"/>
        <v>0</v>
      </c>
      <c r="FB295" s="270">
        <f t="shared" si="1962"/>
        <v>0</v>
      </c>
      <c r="FC295" s="270">
        <f t="shared" si="1962"/>
        <v>0</v>
      </c>
      <c r="FD295" s="271"/>
      <c r="FE295" s="271"/>
      <c r="FF295" s="271"/>
      <c r="FG295" s="215"/>
      <c r="FH295" s="215"/>
    </row>
    <row r="296" ht="11.25" customHeight="1">
      <c r="A296" s="215" t="str">
        <f t="shared" si="19"/>
        <v/>
      </c>
      <c r="B296" s="241" t="str">
        <f t="shared" si="600"/>
        <v>#N/A</v>
      </c>
      <c r="C296" s="271" t="str">
        <f>IF(A296="","",IF(Calculator!snowball,IF(($E$5-DY296)&lt;0,0,$E$5-DY296),0)+D296)</f>
        <v/>
      </c>
      <c r="D296" s="271"/>
      <c r="E296" s="270">
        <f t="shared" si="40"/>
        <v>0</v>
      </c>
      <c r="F296" s="270">
        <f t="shared" ref="F296:AG296" si="1963">CU296+EB297</f>
        <v>0</v>
      </c>
      <c r="G296" s="270">
        <f t="shared" si="1963"/>
        <v>0</v>
      </c>
      <c r="H296" s="270">
        <f t="shared" si="1963"/>
        <v>0</v>
      </c>
      <c r="I296" s="270">
        <f t="shared" si="1963"/>
        <v>0</v>
      </c>
      <c r="J296" s="270">
        <f t="shared" si="1963"/>
        <v>0</v>
      </c>
      <c r="K296" s="270">
        <f t="shared" si="1963"/>
        <v>0</v>
      </c>
      <c r="L296" s="270">
        <f t="shared" si="1963"/>
        <v>0</v>
      </c>
      <c r="M296" s="270">
        <f t="shared" si="1963"/>
        <v>0</v>
      </c>
      <c r="N296" s="270">
        <f t="shared" si="1963"/>
        <v>0</v>
      </c>
      <c r="O296" s="270">
        <f t="shared" si="1963"/>
        <v>0</v>
      </c>
      <c r="P296" s="272">
        <f t="shared" si="1963"/>
        <v>0</v>
      </c>
      <c r="Q296" s="272">
        <f t="shared" si="1963"/>
        <v>0</v>
      </c>
      <c r="R296" s="272">
        <f t="shared" si="1963"/>
        <v>0</v>
      </c>
      <c r="S296" s="272">
        <f t="shared" si="1963"/>
        <v>0</v>
      </c>
      <c r="T296" s="272">
        <f t="shared" si="1963"/>
        <v>0</v>
      </c>
      <c r="U296" s="270">
        <f t="shared" si="1963"/>
        <v>0</v>
      </c>
      <c r="V296" s="270">
        <f t="shared" si="1963"/>
        <v>0</v>
      </c>
      <c r="W296" s="270">
        <f t="shared" si="1963"/>
        <v>0</v>
      </c>
      <c r="X296" s="270">
        <f t="shared" si="1963"/>
        <v>0</v>
      </c>
      <c r="Y296" s="270">
        <f t="shared" si="1963"/>
        <v>0</v>
      </c>
      <c r="Z296" s="270">
        <f t="shared" si="1963"/>
        <v>0</v>
      </c>
      <c r="AA296" s="270">
        <f t="shared" si="1963"/>
        <v>0</v>
      </c>
      <c r="AB296" s="270">
        <f t="shared" si="1963"/>
        <v>0</v>
      </c>
      <c r="AC296" s="270">
        <f t="shared" si="1963"/>
        <v>0</v>
      </c>
      <c r="AD296" s="270">
        <f t="shared" si="1963"/>
        <v>0</v>
      </c>
      <c r="AE296" s="270">
        <f t="shared" si="1963"/>
        <v>0</v>
      </c>
      <c r="AF296" s="270">
        <f t="shared" si="1963"/>
        <v>0</v>
      </c>
      <c r="AG296" s="270">
        <f t="shared" si="1963"/>
        <v>0</v>
      </c>
      <c r="AH296" s="279">
        <f t="shared" si="602"/>
        <v>0</v>
      </c>
      <c r="AI296" s="270">
        <f t="shared" si="43"/>
        <v>0</v>
      </c>
      <c r="AJ296" s="270">
        <f t="shared" ref="AJ296:AO296" si="1964">IF(F$8=0,0,ROUND(AJ295-(F296-BO296),2))</f>
        <v>0</v>
      </c>
      <c r="AK296" s="270">
        <f t="shared" si="1964"/>
        <v>0</v>
      </c>
      <c r="AL296" s="270">
        <f t="shared" si="1964"/>
        <v>0</v>
      </c>
      <c r="AM296" s="270">
        <f t="shared" si="1964"/>
        <v>0</v>
      </c>
      <c r="AN296" s="270">
        <f t="shared" si="1964"/>
        <v>0</v>
      </c>
      <c r="AO296" s="270">
        <f t="shared" si="1964"/>
        <v>0</v>
      </c>
      <c r="AP296" s="270">
        <v>0.0</v>
      </c>
      <c r="AQ296" s="270">
        <f t="shared" ref="AQ296:AR296" si="1965">IF(M$8=0,0,ROUND(AQ295-(M296-BV296),2))</f>
        <v>0</v>
      </c>
      <c r="AR296" s="270">
        <f t="shared" si="1965"/>
        <v>0</v>
      </c>
      <c r="AS296" s="270">
        <f t="shared" si="1902"/>
        <v>-1.19</v>
      </c>
      <c r="AT296" s="270">
        <f t="shared" si="605"/>
        <v>-6.27</v>
      </c>
      <c r="AU296" s="270">
        <f t="shared" ref="AU296:BK296" si="1966">IF(Q$8=0,0,ROUND(AU295-(Q296-BY296),2))</f>
        <v>-17.83</v>
      </c>
      <c r="AV296" s="270">
        <f t="shared" si="1966"/>
        <v>0</v>
      </c>
      <c r="AW296" s="270">
        <f t="shared" si="1966"/>
        <v>0</v>
      </c>
      <c r="AX296" s="270">
        <f t="shared" si="1966"/>
        <v>0</v>
      </c>
      <c r="AY296" s="270">
        <f t="shared" si="1966"/>
        <v>0</v>
      </c>
      <c r="AZ296" s="270">
        <f t="shared" si="1966"/>
        <v>0</v>
      </c>
      <c r="BA296" s="270">
        <f t="shared" si="1966"/>
        <v>0</v>
      </c>
      <c r="BB296" s="270">
        <f t="shared" si="1966"/>
        <v>0</v>
      </c>
      <c r="BC296" s="270">
        <f t="shared" si="1966"/>
        <v>0</v>
      </c>
      <c r="BD296" s="270">
        <f t="shared" si="1966"/>
        <v>0</v>
      </c>
      <c r="BE296" s="270">
        <f t="shared" si="1966"/>
        <v>0</v>
      </c>
      <c r="BF296" s="270">
        <f t="shared" si="1966"/>
        <v>0</v>
      </c>
      <c r="BG296" s="270">
        <f t="shared" si="1966"/>
        <v>0</v>
      </c>
      <c r="BH296" s="270">
        <f t="shared" si="1966"/>
        <v>0</v>
      </c>
      <c r="BI296" s="270">
        <f t="shared" si="1966"/>
        <v>0</v>
      </c>
      <c r="BJ296" s="270">
        <f t="shared" si="1966"/>
        <v>0</v>
      </c>
      <c r="BK296" s="270">
        <f t="shared" si="1966"/>
        <v>0</v>
      </c>
      <c r="BL296" s="265">
        <f t="shared" si="16"/>
        <v>-25.29</v>
      </c>
      <c r="BM296" s="215"/>
      <c r="BN296" s="270">
        <f t="shared" ref="BN296:CP296" si="1967">ROUND(AI295*E$9/12,2)</f>
        <v>0</v>
      </c>
      <c r="BO296" s="270">
        <f t="shared" si="1967"/>
        <v>0</v>
      </c>
      <c r="BP296" s="270">
        <f t="shared" si="1967"/>
        <v>0</v>
      </c>
      <c r="BQ296" s="270">
        <f t="shared" si="1967"/>
        <v>0</v>
      </c>
      <c r="BR296" s="270">
        <f t="shared" si="1967"/>
        <v>0</v>
      </c>
      <c r="BS296" s="270">
        <f t="shared" si="1967"/>
        <v>0</v>
      </c>
      <c r="BT296" s="270">
        <f t="shared" si="1967"/>
        <v>0</v>
      </c>
      <c r="BU296" s="270">
        <f t="shared" si="1967"/>
        <v>0</v>
      </c>
      <c r="BV296" s="270">
        <f t="shared" si="1967"/>
        <v>0</v>
      </c>
      <c r="BW296" s="270">
        <f t="shared" si="1967"/>
        <v>0</v>
      </c>
      <c r="BX296" s="270">
        <f t="shared" si="1967"/>
        <v>-0.01</v>
      </c>
      <c r="BY296" s="270">
        <f t="shared" si="1967"/>
        <v>-0.05</v>
      </c>
      <c r="BZ296" s="270">
        <f t="shared" si="1967"/>
        <v>-0.06</v>
      </c>
      <c r="CA296" s="270">
        <f t="shared" si="1967"/>
        <v>0</v>
      </c>
      <c r="CB296" s="270">
        <f t="shared" si="1967"/>
        <v>0</v>
      </c>
      <c r="CC296" s="270">
        <f t="shared" si="1967"/>
        <v>0</v>
      </c>
      <c r="CD296" s="270">
        <f t="shared" si="1967"/>
        <v>0</v>
      </c>
      <c r="CE296" s="270">
        <f t="shared" si="1967"/>
        <v>0</v>
      </c>
      <c r="CF296" s="270">
        <f t="shared" si="1967"/>
        <v>0</v>
      </c>
      <c r="CG296" s="270">
        <f t="shared" si="1967"/>
        <v>0</v>
      </c>
      <c r="CH296" s="270">
        <f t="shared" si="1967"/>
        <v>0</v>
      </c>
      <c r="CI296" s="270">
        <f t="shared" si="1967"/>
        <v>0</v>
      </c>
      <c r="CJ296" s="270">
        <f t="shared" si="1967"/>
        <v>0</v>
      </c>
      <c r="CK296" s="270">
        <f t="shared" si="1967"/>
        <v>0</v>
      </c>
      <c r="CL296" s="270">
        <f t="shared" si="1967"/>
        <v>0</v>
      </c>
      <c r="CM296" s="270">
        <f t="shared" si="1967"/>
        <v>0</v>
      </c>
      <c r="CN296" s="270">
        <f t="shared" si="1967"/>
        <v>0</v>
      </c>
      <c r="CO296" s="270">
        <f t="shared" si="1967"/>
        <v>0</v>
      </c>
      <c r="CP296" s="270">
        <f t="shared" si="1967"/>
        <v>0</v>
      </c>
      <c r="CQ296" s="215"/>
      <c r="CR296" s="270">
        <f t="shared" si="27"/>
        <v>-0.12</v>
      </c>
      <c r="CS296" s="215"/>
      <c r="CT296" s="270">
        <f t="shared" ref="CT296:DX296" si="1968">IF(AI295&gt;0,IF((AI295+BN296)&lt;E$10,AI295+BN296,E$10),0)</f>
        <v>0</v>
      </c>
      <c r="CU296" s="270">
        <f t="shared" si="1968"/>
        <v>0</v>
      </c>
      <c r="CV296" s="270">
        <f t="shared" si="1968"/>
        <v>0</v>
      </c>
      <c r="CW296" s="270">
        <f t="shared" si="1968"/>
        <v>0</v>
      </c>
      <c r="CX296" s="270">
        <f t="shared" si="1968"/>
        <v>0</v>
      </c>
      <c r="CY296" s="270">
        <f t="shared" si="1968"/>
        <v>0</v>
      </c>
      <c r="CZ296" s="270">
        <f t="shared" si="1968"/>
        <v>0</v>
      </c>
      <c r="DA296" s="270">
        <f t="shared" si="1968"/>
        <v>0</v>
      </c>
      <c r="DB296" s="270">
        <f t="shared" si="1968"/>
        <v>0</v>
      </c>
      <c r="DC296" s="270">
        <f t="shared" si="1968"/>
        <v>0</v>
      </c>
      <c r="DD296" s="270">
        <f t="shared" si="1968"/>
        <v>0</v>
      </c>
      <c r="DE296" s="270">
        <f t="shared" si="1968"/>
        <v>0</v>
      </c>
      <c r="DF296" s="270">
        <f t="shared" si="1968"/>
        <v>0</v>
      </c>
      <c r="DG296" s="270">
        <f t="shared" si="1968"/>
        <v>0</v>
      </c>
      <c r="DH296" s="270">
        <f t="shared" si="1968"/>
        <v>0</v>
      </c>
      <c r="DI296" s="270">
        <f t="shared" si="1968"/>
        <v>0</v>
      </c>
      <c r="DJ296" s="270">
        <f t="shared" si="1968"/>
        <v>0</v>
      </c>
      <c r="DK296" s="270">
        <f t="shared" si="1968"/>
        <v>0</v>
      </c>
      <c r="DL296" s="270">
        <f t="shared" si="1968"/>
        <v>0</v>
      </c>
      <c r="DM296" s="270">
        <f t="shared" si="1968"/>
        <v>0</v>
      </c>
      <c r="DN296" s="270">
        <f t="shared" si="1968"/>
        <v>0</v>
      </c>
      <c r="DO296" s="270">
        <f t="shared" si="1968"/>
        <v>0</v>
      </c>
      <c r="DP296" s="270">
        <f t="shared" si="1968"/>
        <v>0</v>
      </c>
      <c r="DQ296" s="270">
        <f t="shared" si="1968"/>
        <v>0</v>
      </c>
      <c r="DR296" s="270">
        <f t="shared" si="1968"/>
        <v>0</v>
      </c>
      <c r="DS296" s="270">
        <f t="shared" si="1968"/>
        <v>0</v>
      </c>
      <c r="DT296" s="270">
        <f t="shared" si="1968"/>
        <v>0</v>
      </c>
      <c r="DU296" s="270">
        <f t="shared" si="1968"/>
        <v>0</v>
      </c>
      <c r="DV296" s="270">
        <f t="shared" si="1968"/>
        <v>0</v>
      </c>
      <c r="DW296" s="270">
        <f t="shared" si="1968"/>
        <v>0</v>
      </c>
      <c r="DX296" s="270">
        <f t="shared" si="1968"/>
        <v>0</v>
      </c>
      <c r="DY296" s="270">
        <f t="shared" si="29"/>
        <v>0</v>
      </c>
      <c r="DZ296" s="274"/>
      <c r="EA296" s="275">
        <f t="shared" si="38"/>
        <v>0</v>
      </c>
      <c r="EB296" s="270">
        <f t="shared" ref="EB296:FC296" si="1969">IF(AJ294&lt;=0,0,IF($C295&lt;=SUM($EA296:EA296),0,IF(CU295+$C295-SUM($EA296:EA296)&gt;AJ294+BO295,AJ294+BO295-CU295,$C295-SUM($EA296:EA296))))</f>
        <v>0</v>
      </c>
      <c r="EC296" s="270">
        <f t="shared" si="1969"/>
        <v>0</v>
      </c>
      <c r="ED296" s="270">
        <f t="shared" si="1969"/>
        <v>0</v>
      </c>
      <c r="EE296" s="270">
        <f t="shared" si="1969"/>
        <v>0</v>
      </c>
      <c r="EF296" s="270">
        <f t="shared" si="1969"/>
        <v>0</v>
      </c>
      <c r="EG296" s="270">
        <f t="shared" si="1969"/>
        <v>0</v>
      </c>
      <c r="EH296" s="270">
        <f t="shared" si="1969"/>
        <v>0</v>
      </c>
      <c r="EI296" s="270">
        <f t="shared" si="1969"/>
        <v>0</v>
      </c>
      <c r="EJ296" s="270">
        <f t="shared" si="1969"/>
        <v>0</v>
      </c>
      <c r="EK296" s="270">
        <f t="shared" si="1969"/>
        <v>0</v>
      </c>
      <c r="EL296" s="270">
        <f t="shared" si="1969"/>
        <v>0</v>
      </c>
      <c r="EM296" s="270">
        <f t="shared" si="1969"/>
        <v>0</v>
      </c>
      <c r="EN296" s="270">
        <f t="shared" si="1969"/>
        <v>0</v>
      </c>
      <c r="EO296" s="270">
        <f t="shared" si="1969"/>
        <v>0</v>
      </c>
      <c r="EP296" s="270">
        <f t="shared" si="1969"/>
        <v>0</v>
      </c>
      <c r="EQ296" s="270">
        <f t="shared" si="1969"/>
        <v>0</v>
      </c>
      <c r="ER296" s="270">
        <f t="shared" si="1969"/>
        <v>0</v>
      </c>
      <c r="ES296" s="270">
        <f t="shared" si="1969"/>
        <v>0</v>
      </c>
      <c r="ET296" s="270">
        <f t="shared" si="1969"/>
        <v>0</v>
      </c>
      <c r="EU296" s="270">
        <f t="shared" si="1969"/>
        <v>0</v>
      </c>
      <c r="EV296" s="270">
        <f t="shared" si="1969"/>
        <v>0</v>
      </c>
      <c r="EW296" s="270">
        <f t="shared" si="1969"/>
        <v>0</v>
      </c>
      <c r="EX296" s="270">
        <f t="shared" si="1969"/>
        <v>0</v>
      </c>
      <c r="EY296" s="270">
        <f t="shared" si="1969"/>
        <v>0</v>
      </c>
      <c r="EZ296" s="270">
        <f t="shared" si="1969"/>
        <v>0</v>
      </c>
      <c r="FA296" s="270">
        <f t="shared" si="1969"/>
        <v>0</v>
      </c>
      <c r="FB296" s="270">
        <f t="shared" si="1969"/>
        <v>0</v>
      </c>
      <c r="FC296" s="270">
        <f t="shared" si="1969"/>
        <v>0</v>
      </c>
      <c r="FD296" s="271"/>
      <c r="FE296" s="271"/>
      <c r="FF296" s="271"/>
      <c r="FG296" s="215"/>
      <c r="FH296" s="215"/>
    </row>
    <row r="297" ht="11.25" customHeight="1">
      <c r="A297" s="215" t="str">
        <f t="shared" si="19"/>
        <v/>
      </c>
      <c r="B297" s="241" t="str">
        <f t="shared" si="600"/>
        <v>#N/A</v>
      </c>
      <c r="C297" s="271" t="str">
        <f>IF(A297="","",IF(Calculator!snowball,IF(($E$5-DY297)&lt;0,0,$E$5-DY297),0)+D297)</f>
        <v/>
      </c>
      <c r="D297" s="271"/>
      <c r="E297" s="270">
        <f t="shared" si="40"/>
        <v>0</v>
      </c>
      <c r="F297" s="270">
        <f t="shared" ref="F297:AG297" si="1970">CU297+EB298</f>
        <v>0</v>
      </c>
      <c r="G297" s="270">
        <f t="shared" si="1970"/>
        <v>0</v>
      </c>
      <c r="H297" s="270">
        <f t="shared" si="1970"/>
        <v>0</v>
      </c>
      <c r="I297" s="270">
        <f t="shared" si="1970"/>
        <v>0</v>
      </c>
      <c r="J297" s="270">
        <f t="shared" si="1970"/>
        <v>0</v>
      </c>
      <c r="K297" s="270">
        <f t="shared" si="1970"/>
        <v>0</v>
      </c>
      <c r="L297" s="270">
        <f t="shared" si="1970"/>
        <v>0</v>
      </c>
      <c r="M297" s="270">
        <f t="shared" si="1970"/>
        <v>0</v>
      </c>
      <c r="N297" s="270">
        <f t="shared" si="1970"/>
        <v>0</v>
      </c>
      <c r="O297" s="270">
        <f t="shared" si="1970"/>
        <v>0</v>
      </c>
      <c r="P297" s="272">
        <f t="shared" si="1970"/>
        <v>0</v>
      </c>
      <c r="Q297" s="272">
        <f t="shared" si="1970"/>
        <v>0</v>
      </c>
      <c r="R297" s="272">
        <f t="shared" si="1970"/>
        <v>0</v>
      </c>
      <c r="S297" s="272">
        <f t="shared" si="1970"/>
        <v>0</v>
      </c>
      <c r="T297" s="272">
        <f t="shared" si="1970"/>
        <v>0</v>
      </c>
      <c r="U297" s="270">
        <f t="shared" si="1970"/>
        <v>0</v>
      </c>
      <c r="V297" s="270">
        <f t="shared" si="1970"/>
        <v>0</v>
      </c>
      <c r="W297" s="270">
        <f t="shared" si="1970"/>
        <v>0</v>
      </c>
      <c r="X297" s="270">
        <f t="shared" si="1970"/>
        <v>0</v>
      </c>
      <c r="Y297" s="270">
        <f t="shared" si="1970"/>
        <v>0</v>
      </c>
      <c r="Z297" s="270">
        <f t="shared" si="1970"/>
        <v>0</v>
      </c>
      <c r="AA297" s="270">
        <f t="shared" si="1970"/>
        <v>0</v>
      </c>
      <c r="AB297" s="270">
        <f t="shared" si="1970"/>
        <v>0</v>
      </c>
      <c r="AC297" s="270">
        <f t="shared" si="1970"/>
        <v>0</v>
      </c>
      <c r="AD297" s="270">
        <f t="shared" si="1970"/>
        <v>0</v>
      </c>
      <c r="AE297" s="270">
        <f t="shared" si="1970"/>
        <v>0</v>
      </c>
      <c r="AF297" s="270">
        <f t="shared" si="1970"/>
        <v>0</v>
      </c>
      <c r="AG297" s="270">
        <f t="shared" si="1970"/>
        <v>0</v>
      </c>
      <c r="AH297" s="279">
        <f t="shared" si="602"/>
        <v>0</v>
      </c>
      <c r="AI297" s="270">
        <f t="shared" si="43"/>
        <v>0</v>
      </c>
      <c r="AJ297" s="270">
        <f t="shared" ref="AJ297:AO297" si="1971">IF(F$8=0,0,ROUND(AJ296-(F297-BO297),2))</f>
        <v>0</v>
      </c>
      <c r="AK297" s="270">
        <f t="shared" si="1971"/>
        <v>0</v>
      </c>
      <c r="AL297" s="270">
        <f t="shared" si="1971"/>
        <v>0</v>
      </c>
      <c r="AM297" s="270">
        <f t="shared" si="1971"/>
        <v>0</v>
      </c>
      <c r="AN297" s="270">
        <f t="shared" si="1971"/>
        <v>0</v>
      </c>
      <c r="AO297" s="270">
        <f t="shared" si="1971"/>
        <v>0</v>
      </c>
      <c r="AP297" s="270">
        <v>0.0</v>
      </c>
      <c r="AQ297" s="270">
        <f t="shared" ref="AQ297:AR297" si="1972">IF(M$8=0,0,ROUND(AQ296-(M297-BV297),2))</f>
        <v>0</v>
      </c>
      <c r="AR297" s="270">
        <f t="shared" si="1972"/>
        <v>0</v>
      </c>
      <c r="AS297" s="270">
        <f t="shared" si="1902"/>
        <v>-1.31</v>
      </c>
      <c r="AT297" s="270">
        <f t="shared" si="605"/>
        <v>-6.28</v>
      </c>
      <c r="AU297" s="270">
        <f t="shared" ref="AU297:BK297" si="1973">IF(Q$8=0,0,ROUND(AU296-(Q297-BY297),2))</f>
        <v>-17.88</v>
      </c>
      <c r="AV297" s="270">
        <f t="shared" si="1973"/>
        <v>0</v>
      </c>
      <c r="AW297" s="270">
        <f t="shared" si="1973"/>
        <v>0</v>
      </c>
      <c r="AX297" s="270">
        <f t="shared" si="1973"/>
        <v>0</v>
      </c>
      <c r="AY297" s="270">
        <f t="shared" si="1973"/>
        <v>0</v>
      </c>
      <c r="AZ297" s="270">
        <f t="shared" si="1973"/>
        <v>0</v>
      </c>
      <c r="BA297" s="270">
        <f t="shared" si="1973"/>
        <v>0</v>
      </c>
      <c r="BB297" s="270">
        <f t="shared" si="1973"/>
        <v>0</v>
      </c>
      <c r="BC297" s="270">
        <f t="shared" si="1973"/>
        <v>0</v>
      </c>
      <c r="BD297" s="270">
        <f t="shared" si="1973"/>
        <v>0</v>
      </c>
      <c r="BE297" s="270">
        <f t="shared" si="1973"/>
        <v>0</v>
      </c>
      <c r="BF297" s="270">
        <f t="shared" si="1973"/>
        <v>0</v>
      </c>
      <c r="BG297" s="270">
        <f t="shared" si="1973"/>
        <v>0</v>
      </c>
      <c r="BH297" s="270">
        <f t="shared" si="1973"/>
        <v>0</v>
      </c>
      <c r="BI297" s="270">
        <f t="shared" si="1973"/>
        <v>0</v>
      </c>
      <c r="BJ297" s="270">
        <f t="shared" si="1973"/>
        <v>0</v>
      </c>
      <c r="BK297" s="270">
        <f t="shared" si="1973"/>
        <v>0</v>
      </c>
      <c r="BL297" s="265">
        <f t="shared" si="16"/>
        <v>-25.47</v>
      </c>
      <c r="BM297" s="215"/>
      <c r="BN297" s="270">
        <f t="shared" ref="BN297:CP297" si="1974">ROUND(AI296*E$9/12,2)</f>
        <v>0</v>
      </c>
      <c r="BO297" s="270">
        <f t="shared" si="1974"/>
        <v>0</v>
      </c>
      <c r="BP297" s="270">
        <f t="shared" si="1974"/>
        <v>0</v>
      </c>
      <c r="BQ297" s="270">
        <f t="shared" si="1974"/>
        <v>0</v>
      </c>
      <c r="BR297" s="270">
        <f t="shared" si="1974"/>
        <v>0</v>
      </c>
      <c r="BS297" s="270">
        <f t="shared" si="1974"/>
        <v>0</v>
      </c>
      <c r="BT297" s="270">
        <f t="shared" si="1974"/>
        <v>0</v>
      </c>
      <c r="BU297" s="270">
        <f t="shared" si="1974"/>
        <v>0</v>
      </c>
      <c r="BV297" s="270">
        <f t="shared" si="1974"/>
        <v>0</v>
      </c>
      <c r="BW297" s="270">
        <f t="shared" si="1974"/>
        <v>0</v>
      </c>
      <c r="BX297" s="270">
        <f t="shared" si="1974"/>
        <v>-0.01</v>
      </c>
      <c r="BY297" s="270">
        <f t="shared" si="1974"/>
        <v>-0.05</v>
      </c>
      <c r="BZ297" s="270">
        <f t="shared" si="1974"/>
        <v>-0.06</v>
      </c>
      <c r="CA297" s="270">
        <f t="shared" si="1974"/>
        <v>0</v>
      </c>
      <c r="CB297" s="270">
        <f t="shared" si="1974"/>
        <v>0</v>
      </c>
      <c r="CC297" s="270">
        <f t="shared" si="1974"/>
        <v>0</v>
      </c>
      <c r="CD297" s="270">
        <f t="shared" si="1974"/>
        <v>0</v>
      </c>
      <c r="CE297" s="270">
        <f t="shared" si="1974"/>
        <v>0</v>
      </c>
      <c r="CF297" s="270">
        <f t="shared" si="1974"/>
        <v>0</v>
      </c>
      <c r="CG297" s="270">
        <f t="shared" si="1974"/>
        <v>0</v>
      </c>
      <c r="CH297" s="270">
        <f t="shared" si="1974"/>
        <v>0</v>
      </c>
      <c r="CI297" s="270">
        <f t="shared" si="1974"/>
        <v>0</v>
      </c>
      <c r="CJ297" s="270">
        <f t="shared" si="1974"/>
        <v>0</v>
      </c>
      <c r="CK297" s="270">
        <f t="shared" si="1974"/>
        <v>0</v>
      </c>
      <c r="CL297" s="270">
        <f t="shared" si="1974"/>
        <v>0</v>
      </c>
      <c r="CM297" s="270">
        <f t="shared" si="1974"/>
        <v>0</v>
      </c>
      <c r="CN297" s="270">
        <f t="shared" si="1974"/>
        <v>0</v>
      </c>
      <c r="CO297" s="270">
        <f t="shared" si="1974"/>
        <v>0</v>
      </c>
      <c r="CP297" s="270">
        <f t="shared" si="1974"/>
        <v>0</v>
      </c>
      <c r="CQ297" s="215"/>
      <c r="CR297" s="270">
        <f t="shared" si="27"/>
        <v>-0.12</v>
      </c>
      <c r="CS297" s="215"/>
      <c r="CT297" s="270">
        <f t="shared" ref="CT297:DX297" si="1975">IF(AI296&gt;0,IF((AI296+BN297)&lt;E$10,AI296+BN297,E$10),0)</f>
        <v>0</v>
      </c>
      <c r="CU297" s="270">
        <f t="shared" si="1975"/>
        <v>0</v>
      </c>
      <c r="CV297" s="270">
        <f t="shared" si="1975"/>
        <v>0</v>
      </c>
      <c r="CW297" s="270">
        <f t="shared" si="1975"/>
        <v>0</v>
      </c>
      <c r="CX297" s="270">
        <f t="shared" si="1975"/>
        <v>0</v>
      </c>
      <c r="CY297" s="270">
        <f t="shared" si="1975"/>
        <v>0</v>
      </c>
      <c r="CZ297" s="270">
        <f t="shared" si="1975"/>
        <v>0</v>
      </c>
      <c r="DA297" s="270">
        <f t="shared" si="1975"/>
        <v>0</v>
      </c>
      <c r="DB297" s="270">
        <f t="shared" si="1975"/>
        <v>0</v>
      </c>
      <c r="DC297" s="270">
        <f t="shared" si="1975"/>
        <v>0</v>
      </c>
      <c r="DD297" s="270">
        <f t="shared" si="1975"/>
        <v>0</v>
      </c>
      <c r="DE297" s="270">
        <f t="shared" si="1975"/>
        <v>0</v>
      </c>
      <c r="DF297" s="270">
        <f t="shared" si="1975"/>
        <v>0</v>
      </c>
      <c r="DG297" s="270">
        <f t="shared" si="1975"/>
        <v>0</v>
      </c>
      <c r="DH297" s="270">
        <f t="shared" si="1975"/>
        <v>0</v>
      </c>
      <c r="DI297" s="270">
        <f t="shared" si="1975"/>
        <v>0</v>
      </c>
      <c r="DJ297" s="270">
        <f t="shared" si="1975"/>
        <v>0</v>
      </c>
      <c r="DK297" s="270">
        <f t="shared" si="1975"/>
        <v>0</v>
      </c>
      <c r="DL297" s="270">
        <f t="shared" si="1975"/>
        <v>0</v>
      </c>
      <c r="DM297" s="270">
        <f t="shared" si="1975"/>
        <v>0</v>
      </c>
      <c r="DN297" s="270">
        <f t="shared" si="1975"/>
        <v>0</v>
      </c>
      <c r="DO297" s="270">
        <f t="shared" si="1975"/>
        <v>0</v>
      </c>
      <c r="DP297" s="270">
        <f t="shared" si="1975"/>
        <v>0</v>
      </c>
      <c r="DQ297" s="270">
        <f t="shared" si="1975"/>
        <v>0</v>
      </c>
      <c r="DR297" s="270">
        <f t="shared" si="1975"/>
        <v>0</v>
      </c>
      <c r="DS297" s="270">
        <f t="shared" si="1975"/>
        <v>0</v>
      </c>
      <c r="DT297" s="270">
        <f t="shared" si="1975"/>
        <v>0</v>
      </c>
      <c r="DU297" s="270">
        <f t="shared" si="1975"/>
        <v>0</v>
      </c>
      <c r="DV297" s="270">
        <f t="shared" si="1975"/>
        <v>0</v>
      </c>
      <c r="DW297" s="270">
        <f t="shared" si="1975"/>
        <v>0</v>
      </c>
      <c r="DX297" s="270">
        <f t="shared" si="1975"/>
        <v>0</v>
      </c>
      <c r="DY297" s="270">
        <f t="shared" si="29"/>
        <v>0</v>
      </c>
      <c r="DZ297" s="274"/>
      <c r="EA297" s="275">
        <f t="shared" si="38"/>
        <v>0</v>
      </c>
      <c r="EB297" s="270">
        <f t="shared" ref="EB297:FC297" si="1976">IF(AJ295&lt;=0,0,IF($C296&lt;=SUM($EA297:EA297),0,IF(CU296+$C296-SUM($EA297:EA297)&gt;AJ295+BO296,AJ295+BO296-CU296,$C296-SUM($EA297:EA297))))</f>
        <v>0</v>
      </c>
      <c r="EC297" s="270">
        <f t="shared" si="1976"/>
        <v>0</v>
      </c>
      <c r="ED297" s="270">
        <f t="shared" si="1976"/>
        <v>0</v>
      </c>
      <c r="EE297" s="270">
        <f t="shared" si="1976"/>
        <v>0</v>
      </c>
      <c r="EF297" s="270">
        <f t="shared" si="1976"/>
        <v>0</v>
      </c>
      <c r="EG297" s="270">
        <f t="shared" si="1976"/>
        <v>0</v>
      </c>
      <c r="EH297" s="270">
        <f t="shared" si="1976"/>
        <v>0</v>
      </c>
      <c r="EI297" s="270">
        <f t="shared" si="1976"/>
        <v>0</v>
      </c>
      <c r="EJ297" s="270">
        <f t="shared" si="1976"/>
        <v>0</v>
      </c>
      <c r="EK297" s="270">
        <f t="shared" si="1976"/>
        <v>0</v>
      </c>
      <c r="EL297" s="270">
        <f t="shared" si="1976"/>
        <v>0</v>
      </c>
      <c r="EM297" s="270">
        <f t="shared" si="1976"/>
        <v>0</v>
      </c>
      <c r="EN297" s="270">
        <f t="shared" si="1976"/>
        <v>0</v>
      </c>
      <c r="EO297" s="270">
        <f t="shared" si="1976"/>
        <v>0</v>
      </c>
      <c r="EP297" s="270">
        <f t="shared" si="1976"/>
        <v>0</v>
      </c>
      <c r="EQ297" s="270">
        <f t="shared" si="1976"/>
        <v>0</v>
      </c>
      <c r="ER297" s="270">
        <f t="shared" si="1976"/>
        <v>0</v>
      </c>
      <c r="ES297" s="270">
        <f t="shared" si="1976"/>
        <v>0</v>
      </c>
      <c r="ET297" s="270">
        <f t="shared" si="1976"/>
        <v>0</v>
      </c>
      <c r="EU297" s="270">
        <f t="shared" si="1976"/>
        <v>0</v>
      </c>
      <c r="EV297" s="270">
        <f t="shared" si="1976"/>
        <v>0</v>
      </c>
      <c r="EW297" s="270">
        <f t="shared" si="1976"/>
        <v>0</v>
      </c>
      <c r="EX297" s="270">
        <f t="shared" si="1976"/>
        <v>0</v>
      </c>
      <c r="EY297" s="270">
        <f t="shared" si="1976"/>
        <v>0</v>
      </c>
      <c r="EZ297" s="270">
        <f t="shared" si="1976"/>
        <v>0</v>
      </c>
      <c r="FA297" s="270">
        <f t="shared" si="1976"/>
        <v>0</v>
      </c>
      <c r="FB297" s="270">
        <f t="shared" si="1976"/>
        <v>0</v>
      </c>
      <c r="FC297" s="270">
        <f t="shared" si="1976"/>
        <v>0</v>
      </c>
      <c r="FD297" s="271"/>
      <c r="FE297" s="271"/>
      <c r="FF297" s="271"/>
      <c r="FG297" s="215"/>
      <c r="FH297" s="215"/>
    </row>
    <row r="298" ht="11.25" customHeight="1">
      <c r="A298" s="215" t="str">
        <f t="shared" si="19"/>
        <v/>
      </c>
      <c r="B298" s="241" t="str">
        <f t="shared" si="600"/>
        <v>#N/A</v>
      </c>
      <c r="C298" s="271" t="str">
        <f>IF(A298="","",IF(Calculator!snowball,IF(($E$5-DY298)&lt;0,0,$E$5-DY298),0)+D298)</f>
        <v/>
      </c>
      <c r="D298" s="271"/>
      <c r="E298" s="270">
        <f t="shared" si="40"/>
        <v>0</v>
      </c>
      <c r="F298" s="270">
        <f t="shared" ref="F298:AG298" si="1977">CU298+EB299</f>
        <v>0</v>
      </c>
      <c r="G298" s="270">
        <f t="shared" si="1977"/>
        <v>0</v>
      </c>
      <c r="H298" s="270">
        <f t="shared" si="1977"/>
        <v>0</v>
      </c>
      <c r="I298" s="270">
        <f t="shared" si="1977"/>
        <v>0</v>
      </c>
      <c r="J298" s="270">
        <f t="shared" si="1977"/>
        <v>0</v>
      </c>
      <c r="K298" s="270">
        <f t="shared" si="1977"/>
        <v>0</v>
      </c>
      <c r="L298" s="270">
        <f t="shared" si="1977"/>
        <v>0</v>
      </c>
      <c r="M298" s="270">
        <f t="shared" si="1977"/>
        <v>0</v>
      </c>
      <c r="N298" s="270">
        <f t="shared" si="1977"/>
        <v>0</v>
      </c>
      <c r="O298" s="270">
        <f t="shared" si="1977"/>
        <v>0</v>
      </c>
      <c r="P298" s="272">
        <f t="shared" si="1977"/>
        <v>0</v>
      </c>
      <c r="Q298" s="272">
        <f t="shared" si="1977"/>
        <v>0</v>
      </c>
      <c r="R298" s="272">
        <f t="shared" si="1977"/>
        <v>0</v>
      </c>
      <c r="S298" s="272">
        <f t="shared" si="1977"/>
        <v>0</v>
      </c>
      <c r="T298" s="272">
        <f t="shared" si="1977"/>
        <v>0</v>
      </c>
      <c r="U298" s="270">
        <f t="shared" si="1977"/>
        <v>0</v>
      </c>
      <c r="V298" s="270">
        <f t="shared" si="1977"/>
        <v>0</v>
      </c>
      <c r="W298" s="270">
        <f t="shared" si="1977"/>
        <v>0</v>
      </c>
      <c r="X298" s="270">
        <f t="shared" si="1977"/>
        <v>0</v>
      </c>
      <c r="Y298" s="270">
        <f t="shared" si="1977"/>
        <v>0</v>
      </c>
      <c r="Z298" s="270">
        <f t="shared" si="1977"/>
        <v>0</v>
      </c>
      <c r="AA298" s="270">
        <f t="shared" si="1977"/>
        <v>0</v>
      </c>
      <c r="AB298" s="270">
        <f t="shared" si="1977"/>
        <v>0</v>
      </c>
      <c r="AC298" s="270">
        <f t="shared" si="1977"/>
        <v>0</v>
      </c>
      <c r="AD298" s="270">
        <f t="shared" si="1977"/>
        <v>0</v>
      </c>
      <c r="AE298" s="270">
        <f t="shared" si="1977"/>
        <v>0</v>
      </c>
      <c r="AF298" s="270">
        <f t="shared" si="1977"/>
        <v>0</v>
      </c>
      <c r="AG298" s="270">
        <f t="shared" si="1977"/>
        <v>0</v>
      </c>
      <c r="AH298" s="279">
        <f t="shared" si="602"/>
        <v>0</v>
      </c>
      <c r="AI298" s="270">
        <f t="shared" si="43"/>
        <v>0</v>
      </c>
      <c r="AJ298" s="270">
        <f t="shared" ref="AJ298:AO298" si="1978">IF(F$8=0,0,ROUND(AJ297-(F298-BO298),2))</f>
        <v>0</v>
      </c>
      <c r="AK298" s="270">
        <f t="shared" si="1978"/>
        <v>0</v>
      </c>
      <c r="AL298" s="270">
        <f t="shared" si="1978"/>
        <v>0</v>
      </c>
      <c r="AM298" s="270">
        <f t="shared" si="1978"/>
        <v>0</v>
      </c>
      <c r="AN298" s="270">
        <f t="shared" si="1978"/>
        <v>0</v>
      </c>
      <c r="AO298" s="270">
        <f t="shared" si="1978"/>
        <v>0</v>
      </c>
      <c r="AP298" s="270">
        <v>0.0</v>
      </c>
      <c r="AQ298" s="270">
        <f t="shared" ref="AQ298:AR298" si="1979">IF(M$8=0,0,ROUND(AQ297-(M298-BV298),2))</f>
        <v>0</v>
      </c>
      <c r="AR298" s="270">
        <f t="shared" si="1979"/>
        <v>0</v>
      </c>
      <c r="AS298" s="270">
        <f t="shared" si="1902"/>
        <v>-1.43</v>
      </c>
      <c r="AT298" s="270">
        <f t="shared" si="605"/>
        <v>-6.29</v>
      </c>
      <c r="AU298" s="270">
        <f t="shared" ref="AU298:BK298" si="1980">IF(Q$8=0,0,ROUND(AU297-(Q298-BY298),2))</f>
        <v>-17.93</v>
      </c>
      <c r="AV298" s="270">
        <f t="shared" si="1980"/>
        <v>0</v>
      </c>
      <c r="AW298" s="270">
        <f t="shared" si="1980"/>
        <v>0</v>
      </c>
      <c r="AX298" s="270">
        <f t="shared" si="1980"/>
        <v>0</v>
      </c>
      <c r="AY298" s="270">
        <f t="shared" si="1980"/>
        <v>0</v>
      </c>
      <c r="AZ298" s="270">
        <f t="shared" si="1980"/>
        <v>0</v>
      </c>
      <c r="BA298" s="270">
        <f t="shared" si="1980"/>
        <v>0</v>
      </c>
      <c r="BB298" s="270">
        <f t="shared" si="1980"/>
        <v>0</v>
      </c>
      <c r="BC298" s="270">
        <f t="shared" si="1980"/>
        <v>0</v>
      </c>
      <c r="BD298" s="270">
        <f t="shared" si="1980"/>
        <v>0</v>
      </c>
      <c r="BE298" s="270">
        <f t="shared" si="1980"/>
        <v>0</v>
      </c>
      <c r="BF298" s="270">
        <f t="shared" si="1980"/>
        <v>0</v>
      </c>
      <c r="BG298" s="270">
        <f t="shared" si="1980"/>
        <v>0</v>
      </c>
      <c r="BH298" s="270">
        <f t="shared" si="1980"/>
        <v>0</v>
      </c>
      <c r="BI298" s="270">
        <f t="shared" si="1980"/>
        <v>0</v>
      </c>
      <c r="BJ298" s="270">
        <f t="shared" si="1980"/>
        <v>0</v>
      </c>
      <c r="BK298" s="270">
        <f t="shared" si="1980"/>
        <v>0</v>
      </c>
      <c r="BL298" s="265">
        <f t="shared" si="16"/>
        <v>-25.65</v>
      </c>
      <c r="BM298" s="215"/>
      <c r="BN298" s="270">
        <f t="shared" ref="BN298:CP298" si="1981">ROUND(AI297*E$9/12,2)</f>
        <v>0</v>
      </c>
      <c r="BO298" s="270">
        <f t="shared" si="1981"/>
        <v>0</v>
      </c>
      <c r="BP298" s="270">
        <f t="shared" si="1981"/>
        <v>0</v>
      </c>
      <c r="BQ298" s="270">
        <f t="shared" si="1981"/>
        <v>0</v>
      </c>
      <c r="BR298" s="270">
        <f t="shared" si="1981"/>
        <v>0</v>
      </c>
      <c r="BS298" s="270">
        <f t="shared" si="1981"/>
        <v>0</v>
      </c>
      <c r="BT298" s="270">
        <f t="shared" si="1981"/>
        <v>0</v>
      </c>
      <c r="BU298" s="270">
        <f t="shared" si="1981"/>
        <v>0</v>
      </c>
      <c r="BV298" s="270">
        <f t="shared" si="1981"/>
        <v>0</v>
      </c>
      <c r="BW298" s="270">
        <f t="shared" si="1981"/>
        <v>0</v>
      </c>
      <c r="BX298" s="270">
        <f t="shared" si="1981"/>
        <v>-0.01</v>
      </c>
      <c r="BY298" s="270">
        <f t="shared" si="1981"/>
        <v>-0.05</v>
      </c>
      <c r="BZ298" s="270">
        <f t="shared" si="1981"/>
        <v>-0.06</v>
      </c>
      <c r="CA298" s="270">
        <f t="shared" si="1981"/>
        <v>0</v>
      </c>
      <c r="CB298" s="270">
        <f t="shared" si="1981"/>
        <v>0</v>
      </c>
      <c r="CC298" s="270">
        <f t="shared" si="1981"/>
        <v>0</v>
      </c>
      <c r="CD298" s="270">
        <f t="shared" si="1981"/>
        <v>0</v>
      </c>
      <c r="CE298" s="270">
        <f t="shared" si="1981"/>
        <v>0</v>
      </c>
      <c r="CF298" s="270">
        <f t="shared" si="1981"/>
        <v>0</v>
      </c>
      <c r="CG298" s="270">
        <f t="shared" si="1981"/>
        <v>0</v>
      </c>
      <c r="CH298" s="270">
        <f t="shared" si="1981"/>
        <v>0</v>
      </c>
      <c r="CI298" s="270">
        <f t="shared" si="1981"/>
        <v>0</v>
      </c>
      <c r="CJ298" s="270">
        <f t="shared" si="1981"/>
        <v>0</v>
      </c>
      <c r="CK298" s="270">
        <f t="shared" si="1981"/>
        <v>0</v>
      </c>
      <c r="CL298" s="270">
        <f t="shared" si="1981"/>
        <v>0</v>
      </c>
      <c r="CM298" s="270">
        <f t="shared" si="1981"/>
        <v>0</v>
      </c>
      <c r="CN298" s="270">
        <f t="shared" si="1981"/>
        <v>0</v>
      </c>
      <c r="CO298" s="270">
        <f t="shared" si="1981"/>
        <v>0</v>
      </c>
      <c r="CP298" s="270">
        <f t="shared" si="1981"/>
        <v>0</v>
      </c>
      <c r="CQ298" s="215"/>
      <c r="CR298" s="270">
        <f t="shared" si="27"/>
        <v>-0.12</v>
      </c>
      <c r="CS298" s="215"/>
      <c r="CT298" s="270">
        <f t="shared" ref="CT298:DX298" si="1982">IF(AI297&gt;0,IF((AI297+BN298)&lt;E$10,AI297+BN298,E$10),0)</f>
        <v>0</v>
      </c>
      <c r="CU298" s="270">
        <f t="shared" si="1982"/>
        <v>0</v>
      </c>
      <c r="CV298" s="270">
        <f t="shared" si="1982"/>
        <v>0</v>
      </c>
      <c r="CW298" s="270">
        <f t="shared" si="1982"/>
        <v>0</v>
      </c>
      <c r="CX298" s="270">
        <f t="shared" si="1982"/>
        <v>0</v>
      </c>
      <c r="CY298" s="270">
        <f t="shared" si="1982"/>
        <v>0</v>
      </c>
      <c r="CZ298" s="270">
        <f t="shared" si="1982"/>
        <v>0</v>
      </c>
      <c r="DA298" s="270">
        <f t="shared" si="1982"/>
        <v>0</v>
      </c>
      <c r="DB298" s="270">
        <f t="shared" si="1982"/>
        <v>0</v>
      </c>
      <c r="DC298" s="270">
        <f t="shared" si="1982"/>
        <v>0</v>
      </c>
      <c r="DD298" s="270">
        <f t="shared" si="1982"/>
        <v>0</v>
      </c>
      <c r="DE298" s="270">
        <f t="shared" si="1982"/>
        <v>0</v>
      </c>
      <c r="DF298" s="270">
        <f t="shared" si="1982"/>
        <v>0</v>
      </c>
      <c r="DG298" s="270">
        <f t="shared" si="1982"/>
        <v>0</v>
      </c>
      <c r="DH298" s="270">
        <f t="shared" si="1982"/>
        <v>0</v>
      </c>
      <c r="DI298" s="270">
        <f t="shared" si="1982"/>
        <v>0</v>
      </c>
      <c r="DJ298" s="270">
        <f t="shared" si="1982"/>
        <v>0</v>
      </c>
      <c r="DK298" s="270">
        <f t="shared" si="1982"/>
        <v>0</v>
      </c>
      <c r="DL298" s="270">
        <f t="shared" si="1982"/>
        <v>0</v>
      </c>
      <c r="DM298" s="270">
        <f t="shared" si="1982"/>
        <v>0</v>
      </c>
      <c r="DN298" s="270">
        <f t="shared" si="1982"/>
        <v>0</v>
      </c>
      <c r="DO298" s="270">
        <f t="shared" si="1982"/>
        <v>0</v>
      </c>
      <c r="DP298" s="270">
        <f t="shared" si="1982"/>
        <v>0</v>
      </c>
      <c r="DQ298" s="270">
        <f t="shared" si="1982"/>
        <v>0</v>
      </c>
      <c r="DR298" s="270">
        <f t="shared" si="1982"/>
        <v>0</v>
      </c>
      <c r="DS298" s="270">
        <f t="shared" si="1982"/>
        <v>0</v>
      </c>
      <c r="DT298" s="270">
        <f t="shared" si="1982"/>
        <v>0</v>
      </c>
      <c r="DU298" s="270">
        <f t="shared" si="1982"/>
        <v>0</v>
      </c>
      <c r="DV298" s="270">
        <f t="shared" si="1982"/>
        <v>0</v>
      </c>
      <c r="DW298" s="270">
        <f t="shared" si="1982"/>
        <v>0</v>
      </c>
      <c r="DX298" s="270">
        <f t="shared" si="1982"/>
        <v>0</v>
      </c>
      <c r="DY298" s="270">
        <f t="shared" si="29"/>
        <v>0</v>
      </c>
      <c r="DZ298" s="274"/>
      <c r="EA298" s="275">
        <f t="shared" si="38"/>
        <v>0</v>
      </c>
      <c r="EB298" s="270">
        <f t="shared" ref="EB298:FC298" si="1983">IF(AJ296&lt;=0,0,IF($C297&lt;=SUM($EA298:EA298),0,IF(CU297+$C297-SUM($EA298:EA298)&gt;AJ296+BO297,AJ296+BO297-CU297,$C297-SUM($EA298:EA298))))</f>
        <v>0</v>
      </c>
      <c r="EC298" s="270">
        <f t="shared" si="1983"/>
        <v>0</v>
      </c>
      <c r="ED298" s="270">
        <f t="shared" si="1983"/>
        <v>0</v>
      </c>
      <c r="EE298" s="270">
        <f t="shared" si="1983"/>
        <v>0</v>
      </c>
      <c r="EF298" s="270">
        <f t="shared" si="1983"/>
        <v>0</v>
      </c>
      <c r="EG298" s="270">
        <f t="shared" si="1983"/>
        <v>0</v>
      </c>
      <c r="EH298" s="270">
        <f t="shared" si="1983"/>
        <v>0</v>
      </c>
      <c r="EI298" s="270">
        <f t="shared" si="1983"/>
        <v>0</v>
      </c>
      <c r="EJ298" s="270">
        <f t="shared" si="1983"/>
        <v>0</v>
      </c>
      <c r="EK298" s="270">
        <f t="shared" si="1983"/>
        <v>0</v>
      </c>
      <c r="EL298" s="270">
        <f t="shared" si="1983"/>
        <v>0</v>
      </c>
      <c r="EM298" s="270">
        <f t="shared" si="1983"/>
        <v>0</v>
      </c>
      <c r="EN298" s="270">
        <f t="shared" si="1983"/>
        <v>0</v>
      </c>
      <c r="EO298" s="270">
        <f t="shared" si="1983"/>
        <v>0</v>
      </c>
      <c r="EP298" s="270">
        <f t="shared" si="1983"/>
        <v>0</v>
      </c>
      <c r="EQ298" s="270">
        <f t="shared" si="1983"/>
        <v>0</v>
      </c>
      <c r="ER298" s="270">
        <f t="shared" si="1983"/>
        <v>0</v>
      </c>
      <c r="ES298" s="270">
        <f t="shared" si="1983"/>
        <v>0</v>
      </c>
      <c r="ET298" s="270">
        <f t="shared" si="1983"/>
        <v>0</v>
      </c>
      <c r="EU298" s="270">
        <f t="shared" si="1983"/>
        <v>0</v>
      </c>
      <c r="EV298" s="270">
        <f t="shared" si="1983"/>
        <v>0</v>
      </c>
      <c r="EW298" s="270">
        <f t="shared" si="1983"/>
        <v>0</v>
      </c>
      <c r="EX298" s="270">
        <f t="shared" si="1983"/>
        <v>0</v>
      </c>
      <c r="EY298" s="270">
        <f t="shared" si="1983"/>
        <v>0</v>
      </c>
      <c r="EZ298" s="270">
        <f t="shared" si="1983"/>
        <v>0</v>
      </c>
      <c r="FA298" s="270">
        <f t="shared" si="1983"/>
        <v>0</v>
      </c>
      <c r="FB298" s="270">
        <f t="shared" si="1983"/>
        <v>0</v>
      </c>
      <c r="FC298" s="270">
        <f t="shared" si="1983"/>
        <v>0</v>
      </c>
      <c r="FD298" s="271"/>
      <c r="FE298" s="271"/>
      <c r="FF298" s="271"/>
      <c r="FG298" s="215"/>
      <c r="FH298" s="215"/>
    </row>
    <row r="299" ht="11.25" customHeight="1">
      <c r="A299" s="215" t="str">
        <f t="shared" si="19"/>
        <v/>
      </c>
      <c r="B299" s="241" t="str">
        <f t="shared" si="600"/>
        <v>#N/A</v>
      </c>
      <c r="C299" s="271" t="str">
        <f>IF(A299="","",IF(Calculator!snowball,IF(($E$5-DY299)&lt;0,0,$E$5-DY299),0)+D299)</f>
        <v/>
      </c>
      <c r="D299" s="271"/>
      <c r="E299" s="270">
        <f t="shared" si="40"/>
        <v>0</v>
      </c>
      <c r="F299" s="270">
        <f t="shared" ref="F299:AG299" si="1984">CU299+EB300</f>
        <v>0</v>
      </c>
      <c r="G299" s="270">
        <f t="shared" si="1984"/>
        <v>0</v>
      </c>
      <c r="H299" s="270">
        <f t="shared" si="1984"/>
        <v>0</v>
      </c>
      <c r="I299" s="270">
        <f t="shared" si="1984"/>
        <v>0</v>
      </c>
      <c r="J299" s="270">
        <f t="shared" si="1984"/>
        <v>0</v>
      </c>
      <c r="K299" s="270">
        <f t="shared" si="1984"/>
        <v>0</v>
      </c>
      <c r="L299" s="270">
        <f t="shared" si="1984"/>
        <v>0</v>
      </c>
      <c r="M299" s="270">
        <f t="shared" si="1984"/>
        <v>0</v>
      </c>
      <c r="N299" s="270">
        <f t="shared" si="1984"/>
        <v>0</v>
      </c>
      <c r="O299" s="270">
        <f t="shared" si="1984"/>
        <v>0</v>
      </c>
      <c r="P299" s="272">
        <f t="shared" si="1984"/>
        <v>0</v>
      </c>
      <c r="Q299" s="272">
        <f t="shared" si="1984"/>
        <v>0</v>
      </c>
      <c r="R299" s="272">
        <f t="shared" si="1984"/>
        <v>0</v>
      </c>
      <c r="S299" s="272">
        <f t="shared" si="1984"/>
        <v>0</v>
      </c>
      <c r="T299" s="272">
        <f t="shared" si="1984"/>
        <v>0</v>
      </c>
      <c r="U299" s="270">
        <f t="shared" si="1984"/>
        <v>0</v>
      </c>
      <c r="V299" s="270">
        <f t="shared" si="1984"/>
        <v>0</v>
      </c>
      <c r="W299" s="270">
        <f t="shared" si="1984"/>
        <v>0</v>
      </c>
      <c r="X299" s="270">
        <f t="shared" si="1984"/>
        <v>0</v>
      </c>
      <c r="Y299" s="270">
        <f t="shared" si="1984"/>
        <v>0</v>
      </c>
      <c r="Z299" s="270">
        <f t="shared" si="1984"/>
        <v>0</v>
      </c>
      <c r="AA299" s="270">
        <f t="shared" si="1984"/>
        <v>0</v>
      </c>
      <c r="AB299" s="270">
        <f t="shared" si="1984"/>
        <v>0</v>
      </c>
      <c r="AC299" s="270">
        <f t="shared" si="1984"/>
        <v>0</v>
      </c>
      <c r="AD299" s="270">
        <f t="shared" si="1984"/>
        <v>0</v>
      </c>
      <c r="AE299" s="270">
        <f t="shared" si="1984"/>
        <v>0</v>
      </c>
      <c r="AF299" s="270">
        <f t="shared" si="1984"/>
        <v>0</v>
      </c>
      <c r="AG299" s="270">
        <f t="shared" si="1984"/>
        <v>0</v>
      </c>
      <c r="AH299" s="279">
        <f t="shared" si="602"/>
        <v>0</v>
      </c>
      <c r="AI299" s="270">
        <f t="shared" si="43"/>
        <v>0</v>
      </c>
      <c r="AJ299" s="270">
        <f t="shared" ref="AJ299:AO299" si="1985">IF(F$8=0,0,ROUND(AJ298-(F299-BO299),2))</f>
        <v>0</v>
      </c>
      <c r="AK299" s="270">
        <f t="shared" si="1985"/>
        <v>0</v>
      </c>
      <c r="AL299" s="270">
        <f t="shared" si="1985"/>
        <v>0</v>
      </c>
      <c r="AM299" s="270">
        <f t="shared" si="1985"/>
        <v>0</v>
      </c>
      <c r="AN299" s="270">
        <f t="shared" si="1985"/>
        <v>0</v>
      </c>
      <c r="AO299" s="270">
        <f t="shared" si="1985"/>
        <v>0</v>
      </c>
      <c r="AP299" s="270">
        <v>0.0</v>
      </c>
      <c r="AQ299" s="270">
        <f t="shared" ref="AQ299:AR299" si="1986">IF(M$8=0,0,ROUND(AQ298-(M299-BV299),2))</f>
        <v>0</v>
      </c>
      <c r="AR299" s="270">
        <f t="shared" si="1986"/>
        <v>0</v>
      </c>
      <c r="AS299" s="270">
        <f t="shared" si="1902"/>
        <v>-1.55</v>
      </c>
      <c r="AT299" s="270">
        <f t="shared" si="605"/>
        <v>-6.3</v>
      </c>
      <c r="AU299" s="270">
        <f t="shared" ref="AU299:BK299" si="1987">IF(Q$8=0,0,ROUND(AU298-(Q299-BY299),2))</f>
        <v>-17.98</v>
      </c>
      <c r="AV299" s="270">
        <f t="shared" si="1987"/>
        <v>0</v>
      </c>
      <c r="AW299" s="270">
        <f t="shared" si="1987"/>
        <v>0</v>
      </c>
      <c r="AX299" s="270">
        <f t="shared" si="1987"/>
        <v>0</v>
      </c>
      <c r="AY299" s="270">
        <f t="shared" si="1987"/>
        <v>0</v>
      </c>
      <c r="AZ299" s="270">
        <f t="shared" si="1987"/>
        <v>0</v>
      </c>
      <c r="BA299" s="270">
        <f t="shared" si="1987"/>
        <v>0</v>
      </c>
      <c r="BB299" s="270">
        <f t="shared" si="1987"/>
        <v>0</v>
      </c>
      <c r="BC299" s="270">
        <f t="shared" si="1987"/>
        <v>0</v>
      </c>
      <c r="BD299" s="270">
        <f t="shared" si="1987"/>
        <v>0</v>
      </c>
      <c r="BE299" s="270">
        <f t="shared" si="1987"/>
        <v>0</v>
      </c>
      <c r="BF299" s="270">
        <f t="shared" si="1987"/>
        <v>0</v>
      </c>
      <c r="BG299" s="270">
        <f t="shared" si="1987"/>
        <v>0</v>
      </c>
      <c r="BH299" s="270">
        <f t="shared" si="1987"/>
        <v>0</v>
      </c>
      <c r="BI299" s="270">
        <f t="shared" si="1987"/>
        <v>0</v>
      </c>
      <c r="BJ299" s="270">
        <f t="shared" si="1987"/>
        <v>0</v>
      </c>
      <c r="BK299" s="270">
        <f t="shared" si="1987"/>
        <v>0</v>
      </c>
      <c r="BL299" s="265">
        <f t="shared" si="16"/>
        <v>-25.83</v>
      </c>
      <c r="BM299" s="215"/>
      <c r="BN299" s="270">
        <f t="shared" ref="BN299:CP299" si="1988">ROUND(AI298*E$9/12,2)</f>
        <v>0</v>
      </c>
      <c r="BO299" s="270">
        <f t="shared" si="1988"/>
        <v>0</v>
      </c>
      <c r="BP299" s="270">
        <f t="shared" si="1988"/>
        <v>0</v>
      </c>
      <c r="BQ299" s="270">
        <f t="shared" si="1988"/>
        <v>0</v>
      </c>
      <c r="BR299" s="270">
        <f t="shared" si="1988"/>
        <v>0</v>
      </c>
      <c r="BS299" s="270">
        <f t="shared" si="1988"/>
        <v>0</v>
      </c>
      <c r="BT299" s="270">
        <f t="shared" si="1988"/>
        <v>0</v>
      </c>
      <c r="BU299" s="270">
        <f t="shared" si="1988"/>
        <v>0</v>
      </c>
      <c r="BV299" s="270">
        <f t="shared" si="1988"/>
        <v>0</v>
      </c>
      <c r="BW299" s="270">
        <f t="shared" si="1988"/>
        <v>0</v>
      </c>
      <c r="BX299" s="270">
        <f t="shared" si="1988"/>
        <v>-0.01</v>
      </c>
      <c r="BY299" s="270">
        <f t="shared" si="1988"/>
        <v>-0.05</v>
      </c>
      <c r="BZ299" s="270">
        <f t="shared" si="1988"/>
        <v>-0.06</v>
      </c>
      <c r="CA299" s="270">
        <f t="shared" si="1988"/>
        <v>0</v>
      </c>
      <c r="CB299" s="270">
        <f t="shared" si="1988"/>
        <v>0</v>
      </c>
      <c r="CC299" s="270">
        <f t="shared" si="1988"/>
        <v>0</v>
      </c>
      <c r="CD299" s="270">
        <f t="shared" si="1988"/>
        <v>0</v>
      </c>
      <c r="CE299" s="270">
        <f t="shared" si="1988"/>
        <v>0</v>
      </c>
      <c r="CF299" s="270">
        <f t="shared" si="1988"/>
        <v>0</v>
      </c>
      <c r="CG299" s="270">
        <f t="shared" si="1988"/>
        <v>0</v>
      </c>
      <c r="CH299" s="270">
        <f t="shared" si="1988"/>
        <v>0</v>
      </c>
      <c r="CI299" s="270">
        <f t="shared" si="1988"/>
        <v>0</v>
      </c>
      <c r="CJ299" s="270">
        <f t="shared" si="1988"/>
        <v>0</v>
      </c>
      <c r="CK299" s="270">
        <f t="shared" si="1988"/>
        <v>0</v>
      </c>
      <c r="CL299" s="270">
        <f t="shared" si="1988"/>
        <v>0</v>
      </c>
      <c r="CM299" s="270">
        <f t="shared" si="1988"/>
        <v>0</v>
      </c>
      <c r="CN299" s="270">
        <f t="shared" si="1988"/>
        <v>0</v>
      </c>
      <c r="CO299" s="270">
        <f t="shared" si="1988"/>
        <v>0</v>
      </c>
      <c r="CP299" s="270">
        <f t="shared" si="1988"/>
        <v>0</v>
      </c>
      <c r="CQ299" s="215"/>
      <c r="CR299" s="270">
        <f t="shared" si="27"/>
        <v>-0.12</v>
      </c>
      <c r="CS299" s="215"/>
      <c r="CT299" s="270">
        <f t="shared" ref="CT299:DX299" si="1989">IF(AI298&gt;0,IF((AI298+BN299)&lt;E$10,AI298+BN299,E$10),0)</f>
        <v>0</v>
      </c>
      <c r="CU299" s="270">
        <f t="shared" si="1989"/>
        <v>0</v>
      </c>
      <c r="CV299" s="270">
        <f t="shared" si="1989"/>
        <v>0</v>
      </c>
      <c r="CW299" s="270">
        <f t="shared" si="1989"/>
        <v>0</v>
      </c>
      <c r="CX299" s="270">
        <f t="shared" si="1989"/>
        <v>0</v>
      </c>
      <c r="CY299" s="270">
        <f t="shared" si="1989"/>
        <v>0</v>
      </c>
      <c r="CZ299" s="270">
        <f t="shared" si="1989"/>
        <v>0</v>
      </c>
      <c r="DA299" s="270">
        <f t="shared" si="1989"/>
        <v>0</v>
      </c>
      <c r="DB299" s="270">
        <f t="shared" si="1989"/>
        <v>0</v>
      </c>
      <c r="DC299" s="270">
        <f t="shared" si="1989"/>
        <v>0</v>
      </c>
      <c r="DD299" s="270">
        <f t="shared" si="1989"/>
        <v>0</v>
      </c>
      <c r="DE299" s="270">
        <f t="shared" si="1989"/>
        <v>0</v>
      </c>
      <c r="DF299" s="270">
        <f t="shared" si="1989"/>
        <v>0</v>
      </c>
      <c r="DG299" s="270">
        <f t="shared" si="1989"/>
        <v>0</v>
      </c>
      <c r="DH299" s="270">
        <f t="shared" si="1989"/>
        <v>0</v>
      </c>
      <c r="DI299" s="270">
        <f t="shared" si="1989"/>
        <v>0</v>
      </c>
      <c r="DJ299" s="270">
        <f t="shared" si="1989"/>
        <v>0</v>
      </c>
      <c r="DK299" s="270">
        <f t="shared" si="1989"/>
        <v>0</v>
      </c>
      <c r="DL299" s="270">
        <f t="shared" si="1989"/>
        <v>0</v>
      </c>
      <c r="DM299" s="270">
        <f t="shared" si="1989"/>
        <v>0</v>
      </c>
      <c r="DN299" s="270">
        <f t="shared" si="1989"/>
        <v>0</v>
      </c>
      <c r="DO299" s="270">
        <f t="shared" si="1989"/>
        <v>0</v>
      </c>
      <c r="DP299" s="270">
        <f t="shared" si="1989"/>
        <v>0</v>
      </c>
      <c r="DQ299" s="270">
        <f t="shared" si="1989"/>
        <v>0</v>
      </c>
      <c r="DR299" s="270">
        <f t="shared" si="1989"/>
        <v>0</v>
      </c>
      <c r="DS299" s="270">
        <f t="shared" si="1989"/>
        <v>0</v>
      </c>
      <c r="DT299" s="270">
        <f t="shared" si="1989"/>
        <v>0</v>
      </c>
      <c r="DU299" s="270">
        <f t="shared" si="1989"/>
        <v>0</v>
      </c>
      <c r="DV299" s="270">
        <f t="shared" si="1989"/>
        <v>0</v>
      </c>
      <c r="DW299" s="270">
        <f t="shared" si="1989"/>
        <v>0</v>
      </c>
      <c r="DX299" s="270">
        <f t="shared" si="1989"/>
        <v>0</v>
      </c>
      <c r="DY299" s="270">
        <f t="shared" si="29"/>
        <v>0</v>
      </c>
      <c r="DZ299" s="274"/>
      <c r="EA299" s="275">
        <f t="shared" si="38"/>
        <v>0</v>
      </c>
      <c r="EB299" s="270">
        <f t="shared" ref="EB299:FC299" si="1990">IF(AJ297&lt;=0,0,IF($C298&lt;=SUM($EA299:EA299),0,IF(CU298+$C298-SUM($EA299:EA299)&gt;AJ297+BO298,AJ297+BO298-CU298,$C298-SUM($EA299:EA299))))</f>
        <v>0</v>
      </c>
      <c r="EC299" s="270">
        <f t="shared" si="1990"/>
        <v>0</v>
      </c>
      <c r="ED299" s="270">
        <f t="shared" si="1990"/>
        <v>0</v>
      </c>
      <c r="EE299" s="270">
        <f t="shared" si="1990"/>
        <v>0</v>
      </c>
      <c r="EF299" s="270">
        <f t="shared" si="1990"/>
        <v>0</v>
      </c>
      <c r="EG299" s="270">
        <f t="shared" si="1990"/>
        <v>0</v>
      </c>
      <c r="EH299" s="270">
        <f t="shared" si="1990"/>
        <v>0</v>
      </c>
      <c r="EI299" s="270">
        <f t="shared" si="1990"/>
        <v>0</v>
      </c>
      <c r="EJ299" s="270">
        <f t="shared" si="1990"/>
        <v>0</v>
      </c>
      <c r="EK299" s="270">
        <f t="shared" si="1990"/>
        <v>0</v>
      </c>
      <c r="EL299" s="270">
        <f t="shared" si="1990"/>
        <v>0</v>
      </c>
      <c r="EM299" s="270">
        <f t="shared" si="1990"/>
        <v>0</v>
      </c>
      <c r="EN299" s="270">
        <f t="shared" si="1990"/>
        <v>0</v>
      </c>
      <c r="EO299" s="270">
        <f t="shared" si="1990"/>
        <v>0</v>
      </c>
      <c r="EP299" s="270">
        <f t="shared" si="1990"/>
        <v>0</v>
      </c>
      <c r="EQ299" s="270">
        <f t="shared" si="1990"/>
        <v>0</v>
      </c>
      <c r="ER299" s="270">
        <f t="shared" si="1990"/>
        <v>0</v>
      </c>
      <c r="ES299" s="270">
        <f t="shared" si="1990"/>
        <v>0</v>
      </c>
      <c r="ET299" s="270">
        <f t="shared" si="1990"/>
        <v>0</v>
      </c>
      <c r="EU299" s="270">
        <f t="shared" si="1990"/>
        <v>0</v>
      </c>
      <c r="EV299" s="270">
        <f t="shared" si="1990"/>
        <v>0</v>
      </c>
      <c r="EW299" s="270">
        <f t="shared" si="1990"/>
        <v>0</v>
      </c>
      <c r="EX299" s="270">
        <f t="shared" si="1990"/>
        <v>0</v>
      </c>
      <c r="EY299" s="270">
        <f t="shared" si="1990"/>
        <v>0</v>
      </c>
      <c r="EZ299" s="270">
        <f t="shared" si="1990"/>
        <v>0</v>
      </c>
      <c r="FA299" s="270">
        <f t="shared" si="1990"/>
        <v>0</v>
      </c>
      <c r="FB299" s="270">
        <f t="shared" si="1990"/>
        <v>0</v>
      </c>
      <c r="FC299" s="270">
        <f t="shared" si="1990"/>
        <v>0</v>
      </c>
      <c r="FD299" s="271"/>
      <c r="FE299" s="271"/>
      <c r="FF299" s="271"/>
      <c r="FG299" s="215"/>
      <c r="FH299" s="215"/>
    </row>
    <row r="300" ht="11.25" customHeight="1">
      <c r="A300" s="215" t="str">
        <f t="shared" si="19"/>
        <v/>
      </c>
      <c r="B300" s="241" t="str">
        <f t="shared" si="600"/>
        <v>#N/A</v>
      </c>
      <c r="C300" s="271" t="str">
        <f>IF(A300="","",IF(Calculator!snowball,IF(($E$5-DY300)&lt;0,0,$E$5-DY300),0)+D300)</f>
        <v/>
      </c>
      <c r="D300" s="271"/>
      <c r="E300" s="270">
        <f t="shared" si="40"/>
        <v>0</v>
      </c>
      <c r="F300" s="270">
        <f t="shared" ref="F300:AG300" si="1991">CU300+EB301</f>
        <v>0</v>
      </c>
      <c r="G300" s="270">
        <f t="shared" si="1991"/>
        <v>0</v>
      </c>
      <c r="H300" s="270">
        <f t="shared" si="1991"/>
        <v>0</v>
      </c>
      <c r="I300" s="270">
        <f t="shared" si="1991"/>
        <v>0</v>
      </c>
      <c r="J300" s="270">
        <f t="shared" si="1991"/>
        <v>0</v>
      </c>
      <c r="K300" s="270">
        <f t="shared" si="1991"/>
        <v>0</v>
      </c>
      <c r="L300" s="270">
        <f t="shared" si="1991"/>
        <v>0</v>
      </c>
      <c r="M300" s="270">
        <f t="shared" si="1991"/>
        <v>0</v>
      </c>
      <c r="N300" s="270">
        <f t="shared" si="1991"/>
        <v>0</v>
      </c>
      <c r="O300" s="270">
        <f t="shared" si="1991"/>
        <v>0</v>
      </c>
      <c r="P300" s="272">
        <f t="shared" si="1991"/>
        <v>0</v>
      </c>
      <c r="Q300" s="272">
        <f t="shared" si="1991"/>
        <v>0</v>
      </c>
      <c r="R300" s="272">
        <f t="shared" si="1991"/>
        <v>0</v>
      </c>
      <c r="S300" s="272">
        <f t="shared" si="1991"/>
        <v>0</v>
      </c>
      <c r="T300" s="272">
        <f t="shared" si="1991"/>
        <v>0</v>
      </c>
      <c r="U300" s="270">
        <f t="shared" si="1991"/>
        <v>0</v>
      </c>
      <c r="V300" s="270">
        <f t="shared" si="1991"/>
        <v>0</v>
      </c>
      <c r="W300" s="270">
        <f t="shared" si="1991"/>
        <v>0</v>
      </c>
      <c r="X300" s="270">
        <f t="shared" si="1991"/>
        <v>0</v>
      </c>
      <c r="Y300" s="270">
        <f t="shared" si="1991"/>
        <v>0</v>
      </c>
      <c r="Z300" s="270">
        <f t="shared" si="1991"/>
        <v>0</v>
      </c>
      <c r="AA300" s="270">
        <f t="shared" si="1991"/>
        <v>0</v>
      </c>
      <c r="AB300" s="270">
        <f t="shared" si="1991"/>
        <v>0</v>
      </c>
      <c r="AC300" s="270">
        <f t="shared" si="1991"/>
        <v>0</v>
      </c>
      <c r="AD300" s="270">
        <f t="shared" si="1991"/>
        <v>0</v>
      </c>
      <c r="AE300" s="270">
        <f t="shared" si="1991"/>
        <v>0</v>
      </c>
      <c r="AF300" s="270">
        <f t="shared" si="1991"/>
        <v>0</v>
      </c>
      <c r="AG300" s="270">
        <f t="shared" si="1991"/>
        <v>0</v>
      </c>
      <c r="AH300" s="279">
        <f t="shared" si="602"/>
        <v>0</v>
      </c>
      <c r="AI300" s="270">
        <f t="shared" si="43"/>
        <v>0</v>
      </c>
      <c r="AJ300" s="270">
        <f t="shared" ref="AJ300:AO300" si="1992">IF(F$8=0,0,ROUND(AJ299-(F300-BO300),2))</f>
        <v>0</v>
      </c>
      <c r="AK300" s="270">
        <f t="shared" si="1992"/>
        <v>0</v>
      </c>
      <c r="AL300" s="270">
        <f t="shared" si="1992"/>
        <v>0</v>
      </c>
      <c r="AM300" s="270">
        <f t="shared" si="1992"/>
        <v>0</v>
      </c>
      <c r="AN300" s="270">
        <f t="shared" si="1992"/>
        <v>0</v>
      </c>
      <c r="AO300" s="270">
        <f t="shared" si="1992"/>
        <v>0</v>
      </c>
      <c r="AP300" s="270">
        <v>0.0</v>
      </c>
      <c r="AQ300" s="270">
        <f t="shared" ref="AQ300:AR300" si="1993">IF(M$8=0,0,ROUND(AQ299-(M300-BV300),2))</f>
        <v>0</v>
      </c>
      <c r="AR300" s="270">
        <f t="shared" si="1993"/>
        <v>0</v>
      </c>
      <c r="AS300" s="270">
        <f t="shared" si="1902"/>
        <v>-1.67</v>
      </c>
      <c r="AT300" s="270">
        <f t="shared" si="605"/>
        <v>-6.31</v>
      </c>
      <c r="AU300" s="270">
        <f t="shared" ref="AU300:BK300" si="1994">IF(Q$8=0,0,ROUND(AU299-(Q300-BY300),2))</f>
        <v>-18.03</v>
      </c>
      <c r="AV300" s="270">
        <f t="shared" si="1994"/>
        <v>0</v>
      </c>
      <c r="AW300" s="270">
        <f t="shared" si="1994"/>
        <v>0</v>
      </c>
      <c r="AX300" s="270">
        <f t="shared" si="1994"/>
        <v>0</v>
      </c>
      <c r="AY300" s="270">
        <f t="shared" si="1994"/>
        <v>0</v>
      </c>
      <c r="AZ300" s="270">
        <f t="shared" si="1994"/>
        <v>0</v>
      </c>
      <c r="BA300" s="270">
        <f t="shared" si="1994"/>
        <v>0</v>
      </c>
      <c r="BB300" s="270">
        <f t="shared" si="1994"/>
        <v>0</v>
      </c>
      <c r="BC300" s="270">
        <f t="shared" si="1994"/>
        <v>0</v>
      </c>
      <c r="BD300" s="270">
        <f t="shared" si="1994"/>
        <v>0</v>
      </c>
      <c r="BE300" s="270">
        <f t="shared" si="1994"/>
        <v>0</v>
      </c>
      <c r="BF300" s="270">
        <f t="shared" si="1994"/>
        <v>0</v>
      </c>
      <c r="BG300" s="270">
        <f t="shared" si="1994"/>
        <v>0</v>
      </c>
      <c r="BH300" s="270">
        <f t="shared" si="1994"/>
        <v>0</v>
      </c>
      <c r="BI300" s="270">
        <f t="shared" si="1994"/>
        <v>0</v>
      </c>
      <c r="BJ300" s="270">
        <f t="shared" si="1994"/>
        <v>0</v>
      </c>
      <c r="BK300" s="270">
        <f t="shared" si="1994"/>
        <v>0</v>
      </c>
      <c r="BL300" s="265">
        <f t="shared" si="16"/>
        <v>-26.01</v>
      </c>
      <c r="BM300" s="215"/>
      <c r="BN300" s="270">
        <f t="shared" ref="BN300:CP300" si="1995">ROUND(AI299*E$9/12,2)</f>
        <v>0</v>
      </c>
      <c r="BO300" s="270">
        <f t="shared" si="1995"/>
        <v>0</v>
      </c>
      <c r="BP300" s="270">
        <f t="shared" si="1995"/>
        <v>0</v>
      </c>
      <c r="BQ300" s="270">
        <f t="shared" si="1995"/>
        <v>0</v>
      </c>
      <c r="BR300" s="270">
        <f t="shared" si="1995"/>
        <v>0</v>
      </c>
      <c r="BS300" s="270">
        <f t="shared" si="1995"/>
        <v>0</v>
      </c>
      <c r="BT300" s="270">
        <f t="shared" si="1995"/>
        <v>0</v>
      </c>
      <c r="BU300" s="270">
        <f t="shared" si="1995"/>
        <v>0</v>
      </c>
      <c r="BV300" s="270">
        <f t="shared" si="1995"/>
        <v>0</v>
      </c>
      <c r="BW300" s="270">
        <f t="shared" si="1995"/>
        <v>0</v>
      </c>
      <c r="BX300" s="270">
        <f t="shared" si="1995"/>
        <v>-0.01</v>
      </c>
      <c r="BY300" s="270">
        <f t="shared" si="1995"/>
        <v>-0.05</v>
      </c>
      <c r="BZ300" s="270">
        <f t="shared" si="1995"/>
        <v>-0.06</v>
      </c>
      <c r="CA300" s="270">
        <f t="shared" si="1995"/>
        <v>0</v>
      </c>
      <c r="CB300" s="270">
        <f t="shared" si="1995"/>
        <v>0</v>
      </c>
      <c r="CC300" s="270">
        <f t="shared" si="1995"/>
        <v>0</v>
      </c>
      <c r="CD300" s="270">
        <f t="shared" si="1995"/>
        <v>0</v>
      </c>
      <c r="CE300" s="270">
        <f t="shared" si="1995"/>
        <v>0</v>
      </c>
      <c r="CF300" s="270">
        <f t="shared" si="1995"/>
        <v>0</v>
      </c>
      <c r="CG300" s="270">
        <f t="shared" si="1995"/>
        <v>0</v>
      </c>
      <c r="CH300" s="270">
        <f t="shared" si="1995"/>
        <v>0</v>
      </c>
      <c r="CI300" s="270">
        <f t="shared" si="1995"/>
        <v>0</v>
      </c>
      <c r="CJ300" s="270">
        <f t="shared" si="1995"/>
        <v>0</v>
      </c>
      <c r="CK300" s="270">
        <f t="shared" si="1995"/>
        <v>0</v>
      </c>
      <c r="CL300" s="270">
        <f t="shared" si="1995"/>
        <v>0</v>
      </c>
      <c r="CM300" s="270">
        <f t="shared" si="1995"/>
        <v>0</v>
      </c>
      <c r="CN300" s="270">
        <f t="shared" si="1995"/>
        <v>0</v>
      </c>
      <c r="CO300" s="270">
        <f t="shared" si="1995"/>
        <v>0</v>
      </c>
      <c r="CP300" s="270">
        <f t="shared" si="1995"/>
        <v>0</v>
      </c>
      <c r="CQ300" s="215"/>
      <c r="CR300" s="270">
        <f t="shared" si="27"/>
        <v>-0.12</v>
      </c>
      <c r="CS300" s="215"/>
      <c r="CT300" s="270">
        <f t="shared" ref="CT300:DX300" si="1996">IF(AI299&gt;0,IF((AI299+BN300)&lt;E$10,AI299+BN300,E$10),0)</f>
        <v>0</v>
      </c>
      <c r="CU300" s="270">
        <f t="shared" si="1996"/>
        <v>0</v>
      </c>
      <c r="CV300" s="270">
        <f t="shared" si="1996"/>
        <v>0</v>
      </c>
      <c r="CW300" s="270">
        <f t="shared" si="1996"/>
        <v>0</v>
      </c>
      <c r="CX300" s="270">
        <f t="shared" si="1996"/>
        <v>0</v>
      </c>
      <c r="CY300" s="270">
        <f t="shared" si="1996"/>
        <v>0</v>
      </c>
      <c r="CZ300" s="270">
        <f t="shared" si="1996"/>
        <v>0</v>
      </c>
      <c r="DA300" s="270">
        <f t="shared" si="1996"/>
        <v>0</v>
      </c>
      <c r="DB300" s="270">
        <f t="shared" si="1996"/>
        <v>0</v>
      </c>
      <c r="DC300" s="270">
        <f t="shared" si="1996"/>
        <v>0</v>
      </c>
      <c r="DD300" s="270">
        <f t="shared" si="1996"/>
        <v>0</v>
      </c>
      <c r="DE300" s="270">
        <f t="shared" si="1996"/>
        <v>0</v>
      </c>
      <c r="DF300" s="270">
        <f t="shared" si="1996"/>
        <v>0</v>
      </c>
      <c r="DG300" s="270">
        <f t="shared" si="1996"/>
        <v>0</v>
      </c>
      <c r="DH300" s="270">
        <f t="shared" si="1996"/>
        <v>0</v>
      </c>
      <c r="DI300" s="270">
        <f t="shared" si="1996"/>
        <v>0</v>
      </c>
      <c r="DJ300" s="270">
        <f t="shared" si="1996"/>
        <v>0</v>
      </c>
      <c r="DK300" s="270">
        <f t="shared" si="1996"/>
        <v>0</v>
      </c>
      <c r="DL300" s="270">
        <f t="shared" si="1996"/>
        <v>0</v>
      </c>
      <c r="DM300" s="270">
        <f t="shared" si="1996"/>
        <v>0</v>
      </c>
      <c r="DN300" s="270">
        <f t="shared" si="1996"/>
        <v>0</v>
      </c>
      <c r="DO300" s="270">
        <f t="shared" si="1996"/>
        <v>0</v>
      </c>
      <c r="DP300" s="270">
        <f t="shared" si="1996"/>
        <v>0</v>
      </c>
      <c r="DQ300" s="270">
        <f t="shared" si="1996"/>
        <v>0</v>
      </c>
      <c r="DR300" s="270">
        <f t="shared" si="1996"/>
        <v>0</v>
      </c>
      <c r="DS300" s="270">
        <f t="shared" si="1996"/>
        <v>0</v>
      </c>
      <c r="DT300" s="270">
        <f t="shared" si="1996"/>
        <v>0</v>
      </c>
      <c r="DU300" s="270">
        <f t="shared" si="1996"/>
        <v>0</v>
      </c>
      <c r="DV300" s="270">
        <f t="shared" si="1996"/>
        <v>0</v>
      </c>
      <c r="DW300" s="270">
        <f t="shared" si="1996"/>
        <v>0</v>
      </c>
      <c r="DX300" s="270">
        <f t="shared" si="1996"/>
        <v>0</v>
      </c>
      <c r="DY300" s="270">
        <f t="shared" si="29"/>
        <v>0</v>
      </c>
      <c r="DZ300" s="274"/>
      <c r="EA300" s="275">
        <f t="shared" si="38"/>
        <v>0</v>
      </c>
      <c r="EB300" s="270">
        <f t="shared" ref="EB300:FC300" si="1997">IF(AJ298&lt;=0,0,IF($C299&lt;=SUM($EA300:EA300),0,IF(CU299+$C299-SUM($EA300:EA300)&gt;AJ298+BO299,AJ298+BO299-CU299,$C299-SUM($EA300:EA300))))</f>
        <v>0</v>
      </c>
      <c r="EC300" s="270">
        <f t="shared" si="1997"/>
        <v>0</v>
      </c>
      <c r="ED300" s="270">
        <f t="shared" si="1997"/>
        <v>0</v>
      </c>
      <c r="EE300" s="270">
        <f t="shared" si="1997"/>
        <v>0</v>
      </c>
      <c r="EF300" s="270">
        <f t="shared" si="1997"/>
        <v>0</v>
      </c>
      <c r="EG300" s="270">
        <f t="shared" si="1997"/>
        <v>0</v>
      </c>
      <c r="EH300" s="270">
        <f t="shared" si="1997"/>
        <v>0</v>
      </c>
      <c r="EI300" s="270">
        <f t="shared" si="1997"/>
        <v>0</v>
      </c>
      <c r="EJ300" s="270">
        <f t="shared" si="1997"/>
        <v>0</v>
      </c>
      <c r="EK300" s="270">
        <f t="shared" si="1997"/>
        <v>0</v>
      </c>
      <c r="EL300" s="270">
        <f t="shared" si="1997"/>
        <v>0</v>
      </c>
      <c r="EM300" s="270">
        <f t="shared" si="1997"/>
        <v>0</v>
      </c>
      <c r="EN300" s="270">
        <f t="shared" si="1997"/>
        <v>0</v>
      </c>
      <c r="EO300" s="270">
        <f t="shared" si="1997"/>
        <v>0</v>
      </c>
      <c r="EP300" s="270">
        <f t="shared" si="1997"/>
        <v>0</v>
      </c>
      <c r="EQ300" s="270">
        <f t="shared" si="1997"/>
        <v>0</v>
      </c>
      <c r="ER300" s="270">
        <f t="shared" si="1997"/>
        <v>0</v>
      </c>
      <c r="ES300" s="270">
        <f t="shared" si="1997"/>
        <v>0</v>
      </c>
      <c r="ET300" s="270">
        <f t="shared" si="1997"/>
        <v>0</v>
      </c>
      <c r="EU300" s="270">
        <f t="shared" si="1997"/>
        <v>0</v>
      </c>
      <c r="EV300" s="270">
        <f t="shared" si="1997"/>
        <v>0</v>
      </c>
      <c r="EW300" s="270">
        <f t="shared" si="1997"/>
        <v>0</v>
      </c>
      <c r="EX300" s="270">
        <f t="shared" si="1997"/>
        <v>0</v>
      </c>
      <c r="EY300" s="270">
        <f t="shared" si="1997"/>
        <v>0</v>
      </c>
      <c r="EZ300" s="270">
        <f t="shared" si="1997"/>
        <v>0</v>
      </c>
      <c r="FA300" s="270">
        <f t="shared" si="1997"/>
        <v>0</v>
      </c>
      <c r="FB300" s="270">
        <f t="shared" si="1997"/>
        <v>0</v>
      </c>
      <c r="FC300" s="270">
        <f t="shared" si="1997"/>
        <v>0</v>
      </c>
      <c r="FD300" s="271"/>
      <c r="FE300" s="271"/>
      <c r="FF300" s="271"/>
      <c r="FG300" s="215"/>
      <c r="FH300" s="215"/>
    </row>
    <row r="301" ht="11.25" customHeight="1">
      <c r="A301" s="215" t="str">
        <f t="shared" si="19"/>
        <v/>
      </c>
      <c r="B301" s="241" t="str">
        <f t="shared" si="600"/>
        <v>#N/A</v>
      </c>
      <c r="C301" s="271" t="str">
        <f>IF(A301="","",IF(Calculator!snowball,IF(($E$5-DY301)&lt;0,0,$E$5-DY301),0)+D301)</f>
        <v/>
      </c>
      <c r="D301" s="271"/>
      <c r="E301" s="270">
        <f t="shared" si="40"/>
        <v>0</v>
      </c>
      <c r="F301" s="270">
        <f t="shared" ref="F301:AG301" si="1998">CU301+EB302</f>
        <v>0</v>
      </c>
      <c r="G301" s="270">
        <f t="shared" si="1998"/>
        <v>0</v>
      </c>
      <c r="H301" s="270">
        <f t="shared" si="1998"/>
        <v>0</v>
      </c>
      <c r="I301" s="270">
        <f t="shared" si="1998"/>
        <v>0</v>
      </c>
      <c r="J301" s="270">
        <f t="shared" si="1998"/>
        <v>0</v>
      </c>
      <c r="K301" s="270">
        <f t="shared" si="1998"/>
        <v>0</v>
      </c>
      <c r="L301" s="270">
        <f t="shared" si="1998"/>
        <v>0</v>
      </c>
      <c r="M301" s="270">
        <f t="shared" si="1998"/>
        <v>0</v>
      </c>
      <c r="N301" s="270">
        <f t="shared" si="1998"/>
        <v>0</v>
      </c>
      <c r="O301" s="270">
        <f t="shared" si="1998"/>
        <v>0</v>
      </c>
      <c r="P301" s="272">
        <f t="shared" si="1998"/>
        <v>0</v>
      </c>
      <c r="Q301" s="272">
        <f t="shared" si="1998"/>
        <v>0</v>
      </c>
      <c r="R301" s="272">
        <f t="shared" si="1998"/>
        <v>0</v>
      </c>
      <c r="S301" s="272">
        <f t="shared" si="1998"/>
        <v>0</v>
      </c>
      <c r="T301" s="272">
        <f t="shared" si="1998"/>
        <v>0</v>
      </c>
      <c r="U301" s="270">
        <f t="shared" si="1998"/>
        <v>0</v>
      </c>
      <c r="V301" s="270">
        <f t="shared" si="1998"/>
        <v>0</v>
      </c>
      <c r="W301" s="270">
        <f t="shared" si="1998"/>
        <v>0</v>
      </c>
      <c r="X301" s="270">
        <f t="shared" si="1998"/>
        <v>0</v>
      </c>
      <c r="Y301" s="270">
        <f t="shared" si="1998"/>
        <v>0</v>
      </c>
      <c r="Z301" s="270">
        <f t="shared" si="1998"/>
        <v>0</v>
      </c>
      <c r="AA301" s="270">
        <f t="shared" si="1998"/>
        <v>0</v>
      </c>
      <c r="AB301" s="270">
        <f t="shared" si="1998"/>
        <v>0</v>
      </c>
      <c r="AC301" s="270">
        <f t="shared" si="1998"/>
        <v>0</v>
      </c>
      <c r="AD301" s="270">
        <f t="shared" si="1998"/>
        <v>0</v>
      </c>
      <c r="AE301" s="270">
        <f t="shared" si="1998"/>
        <v>0</v>
      </c>
      <c r="AF301" s="270">
        <f t="shared" si="1998"/>
        <v>0</v>
      </c>
      <c r="AG301" s="270">
        <f t="shared" si="1998"/>
        <v>0</v>
      </c>
      <c r="AH301" s="279">
        <f t="shared" si="602"/>
        <v>0</v>
      </c>
      <c r="AI301" s="270">
        <f t="shared" si="43"/>
        <v>0</v>
      </c>
      <c r="AJ301" s="270">
        <f t="shared" ref="AJ301:AO301" si="1999">IF(F$8=0,0,ROUND(AJ300-(F301-BO301),2))</f>
        <v>0</v>
      </c>
      <c r="AK301" s="270">
        <f t="shared" si="1999"/>
        <v>0</v>
      </c>
      <c r="AL301" s="270">
        <f t="shared" si="1999"/>
        <v>0</v>
      </c>
      <c r="AM301" s="270">
        <f t="shared" si="1999"/>
        <v>0</v>
      </c>
      <c r="AN301" s="270">
        <f t="shared" si="1999"/>
        <v>0</v>
      </c>
      <c r="AO301" s="270">
        <f t="shared" si="1999"/>
        <v>0</v>
      </c>
      <c r="AP301" s="270">
        <v>0.0</v>
      </c>
      <c r="AQ301" s="270">
        <f t="shared" ref="AQ301:AR301" si="2000">IF(M$8=0,0,ROUND(AQ300-(M301-BV301),2))</f>
        <v>0</v>
      </c>
      <c r="AR301" s="270">
        <f t="shared" si="2000"/>
        <v>0</v>
      </c>
      <c r="AS301" s="270">
        <f t="shared" si="1902"/>
        <v>-1.8</v>
      </c>
      <c r="AT301" s="270">
        <f t="shared" si="605"/>
        <v>-6.33</v>
      </c>
      <c r="AU301" s="270">
        <f t="shared" ref="AU301:BK301" si="2001">IF(Q$8=0,0,ROUND(AU300-(Q301-BY301),2))</f>
        <v>-18.08</v>
      </c>
      <c r="AV301" s="270">
        <f t="shared" si="2001"/>
        <v>0</v>
      </c>
      <c r="AW301" s="270">
        <f t="shared" si="2001"/>
        <v>0</v>
      </c>
      <c r="AX301" s="270">
        <f t="shared" si="2001"/>
        <v>0</v>
      </c>
      <c r="AY301" s="270">
        <f t="shared" si="2001"/>
        <v>0</v>
      </c>
      <c r="AZ301" s="270">
        <f t="shared" si="2001"/>
        <v>0</v>
      </c>
      <c r="BA301" s="270">
        <f t="shared" si="2001"/>
        <v>0</v>
      </c>
      <c r="BB301" s="270">
        <f t="shared" si="2001"/>
        <v>0</v>
      </c>
      <c r="BC301" s="270">
        <f t="shared" si="2001"/>
        <v>0</v>
      </c>
      <c r="BD301" s="270">
        <f t="shared" si="2001"/>
        <v>0</v>
      </c>
      <c r="BE301" s="270">
        <f t="shared" si="2001"/>
        <v>0</v>
      </c>
      <c r="BF301" s="270">
        <f t="shared" si="2001"/>
        <v>0</v>
      </c>
      <c r="BG301" s="270">
        <f t="shared" si="2001"/>
        <v>0</v>
      </c>
      <c r="BH301" s="270">
        <f t="shared" si="2001"/>
        <v>0</v>
      </c>
      <c r="BI301" s="270">
        <f t="shared" si="2001"/>
        <v>0</v>
      </c>
      <c r="BJ301" s="270">
        <f t="shared" si="2001"/>
        <v>0</v>
      </c>
      <c r="BK301" s="270">
        <f t="shared" si="2001"/>
        <v>0</v>
      </c>
      <c r="BL301" s="265">
        <f t="shared" si="16"/>
        <v>-26.21</v>
      </c>
      <c r="BM301" s="215"/>
      <c r="BN301" s="270">
        <f t="shared" ref="BN301:CP301" si="2002">ROUND(AI300*E$9/12,2)</f>
        <v>0</v>
      </c>
      <c r="BO301" s="270">
        <f t="shared" si="2002"/>
        <v>0</v>
      </c>
      <c r="BP301" s="270">
        <f t="shared" si="2002"/>
        <v>0</v>
      </c>
      <c r="BQ301" s="270">
        <f t="shared" si="2002"/>
        <v>0</v>
      </c>
      <c r="BR301" s="270">
        <f t="shared" si="2002"/>
        <v>0</v>
      </c>
      <c r="BS301" s="270">
        <f t="shared" si="2002"/>
        <v>0</v>
      </c>
      <c r="BT301" s="270">
        <f t="shared" si="2002"/>
        <v>0</v>
      </c>
      <c r="BU301" s="270">
        <f t="shared" si="2002"/>
        <v>0</v>
      </c>
      <c r="BV301" s="270">
        <f t="shared" si="2002"/>
        <v>0</v>
      </c>
      <c r="BW301" s="270">
        <f t="shared" si="2002"/>
        <v>0</v>
      </c>
      <c r="BX301" s="270">
        <f t="shared" si="2002"/>
        <v>-0.02</v>
      </c>
      <c r="BY301" s="270">
        <f t="shared" si="2002"/>
        <v>-0.05</v>
      </c>
      <c r="BZ301" s="270">
        <f t="shared" si="2002"/>
        <v>-0.06</v>
      </c>
      <c r="CA301" s="270">
        <f t="shared" si="2002"/>
        <v>0</v>
      </c>
      <c r="CB301" s="270">
        <f t="shared" si="2002"/>
        <v>0</v>
      </c>
      <c r="CC301" s="270">
        <f t="shared" si="2002"/>
        <v>0</v>
      </c>
      <c r="CD301" s="270">
        <f t="shared" si="2002"/>
        <v>0</v>
      </c>
      <c r="CE301" s="270">
        <f t="shared" si="2002"/>
        <v>0</v>
      </c>
      <c r="CF301" s="270">
        <f t="shared" si="2002"/>
        <v>0</v>
      </c>
      <c r="CG301" s="270">
        <f t="shared" si="2002"/>
        <v>0</v>
      </c>
      <c r="CH301" s="270">
        <f t="shared" si="2002"/>
        <v>0</v>
      </c>
      <c r="CI301" s="270">
        <f t="shared" si="2002"/>
        <v>0</v>
      </c>
      <c r="CJ301" s="270">
        <f t="shared" si="2002"/>
        <v>0</v>
      </c>
      <c r="CK301" s="270">
        <f t="shared" si="2002"/>
        <v>0</v>
      </c>
      <c r="CL301" s="270">
        <f t="shared" si="2002"/>
        <v>0</v>
      </c>
      <c r="CM301" s="270">
        <f t="shared" si="2002"/>
        <v>0</v>
      </c>
      <c r="CN301" s="270">
        <f t="shared" si="2002"/>
        <v>0</v>
      </c>
      <c r="CO301" s="270">
        <f t="shared" si="2002"/>
        <v>0</v>
      </c>
      <c r="CP301" s="270">
        <f t="shared" si="2002"/>
        <v>0</v>
      </c>
      <c r="CQ301" s="215"/>
      <c r="CR301" s="270">
        <f t="shared" si="27"/>
        <v>-0.13</v>
      </c>
      <c r="CS301" s="215"/>
      <c r="CT301" s="270">
        <f t="shared" ref="CT301:DX301" si="2003">IF(AI300&gt;0,IF((AI300+BN301)&lt;E$10,AI300+BN301,E$10),0)</f>
        <v>0</v>
      </c>
      <c r="CU301" s="270">
        <f t="shared" si="2003"/>
        <v>0</v>
      </c>
      <c r="CV301" s="270">
        <f t="shared" si="2003"/>
        <v>0</v>
      </c>
      <c r="CW301" s="270">
        <f t="shared" si="2003"/>
        <v>0</v>
      </c>
      <c r="CX301" s="270">
        <f t="shared" si="2003"/>
        <v>0</v>
      </c>
      <c r="CY301" s="270">
        <f t="shared" si="2003"/>
        <v>0</v>
      </c>
      <c r="CZ301" s="270">
        <f t="shared" si="2003"/>
        <v>0</v>
      </c>
      <c r="DA301" s="270">
        <f t="shared" si="2003"/>
        <v>0</v>
      </c>
      <c r="DB301" s="270">
        <f t="shared" si="2003"/>
        <v>0</v>
      </c>
      <c r="DC301" s="270">
        <f t="shared" si="2003"/>
        <v>0</v>
      </c>
      <c r="DD301" s="270">
        <f t="shared" si="2003"/>
        <v>0</v>
      </c>
      <c r="DE301" s="270">
        <f t="shared" si="2003"/>
        <v>0</v>
      </c>
      <c r="DF301" s="270">
        <f t="shared" si="2003"/>
        <v>0</v>
      </c>
      <c r="DG301" s="270">
        <f t="shared" si="2003"/>
        <v>0</v>
      </c>
      <c r="DH301" s="270">
        <f t="shared" si="2003"/>
        <v>0</v>
      </c>
      <c r="DI301" s="270">
        <f t="shared" si="2003"/>
        <v>0</v>
      </c>
      <c r="DJ301" s="270">
        <f t="shared" si="2003"/>
        <v>0</v>
      </c>
      <c r="DK301" s="270">
        <f t="shared" si="2003"/>
        <v>0</v>
      </c>
      <c r="DL301" s="270">
        <f t="shared" si="2003"/>
        <v>0</v>
      </c>
      <c r="DM301" s="270">
        <f t="shared" si="2003"/>
        <v>0</v>
      </c>
      <c r="DN301" s="270">
        <f t="shared" si="2003"/>
        <v>0</v>
      </c>
      <c r="DO301" s="270">
        <f t="shared" si="2003"/>
        <v>0</v>
      </c>
      <c r="DP301" s="270">
        <f t="shared" si="2003"/>
        <v>0</v>
      </c>
      <c r="DQ301" s="270">
        <f t="shared" si="2003"/>
        <v>0</v>
      </c>
      <c r="DR301" s="270">
        <f t="shared" si="2003"/>
        <v>0</v>
      </c>
      <c r="DS301" s="270">
        <f t="shared" si="2003"/>
        <v>0</v>
      </c>
      <c r="DT301" s="270">
        <f t="shared" si="2003"/>
        <v>0</v>
      </c>
      <c r="DU301" s="270">
        <f t="shared" si="2003"/>
        <v>0</v>
      </c>
      <c r="DV301" s="270">
        <f t="shared" si="2003"/>
        <v>0</v>
      </c>
      <c r="DW301" s="270">
        <f t="shared" si="2003"/>
        <v>0</v>
      </c>
      <c r="DX301" s="270">
        <f t="shared" si="2003"/>
        <v>0</v>
      </c>
      <c r="DY301" s="270">
        <f t="shared" si="29"/>
        <v>0</v>
      </c>
      <c r="DZ301" s="274"/>
      <c r="EA301" s="275">
        <f t="shared" si="38"/>
        <v>0</v>
      </c>
      <c r="EB301" s="270">
        <f t="shared" ref="EB301:FC301" si="2004">IF(AJ299&lt;=0,0,IF($C300&lt;=SUM($EA301:EA301),0,IF(CU300+$C300-SUM($EA301:EA301)&gt;AJ299+BO300,AJ299+BO300-CU300,$C300-SUM($EA301:EA301))))</f>
        <v>0</v>
      </c>
      <c r="EC301" s="270">
        <f t="shared" si="2004"/>
        <v>0</v>
      </c>
      <c r="ED301" s="270">
        <f t="shared" si="2004"/>
        <v>0</v>
      </c>
      <c r="EE301" s="270">
        <f t="shared" si="2004"/>
        <v>0</v>
      </c>
      <c r="EF301" s="270">
        <f t="shared" si="2004"/>
        <v>0</v>
      </c>
      <c r="EG301" s="270">
        <f t="shared" si="2004"/>
        <v>0</v>
      </c>
      <c r="EH301" s="270">
        <f t="shared" si="2004"/>
        <v>0</v>
      </c>
      <c r="EI301" s="270">
        <f t="shared" si="2004"/>
        <v>0</v>
      </c>
      <c r="EJ301" s="270">
        <f t="shared" si="2004"/>
        <v>0</v>
      </c>
      <c r="EK301" s="270">
        <f t="shared" si="2004"/>
        <v>0</v>
      </c>
      <c r="EL301" s="270">
        <f t="shared" si="2004"/>
        <v>0</v>
      </c>
      <c r="EM301" s="270">
        <f t="shared" si="2004"/>
        <v>0</v>
      </c>
      <c r="EN301" s="270">
        <f t="shared" si="2004"/>
        <v>0</v>
      </c>
      <c r="EO301" s="270">
        <f t="shared" si="2004"/>
        <v>0</v>
      </c>
      <c r="EP301" s="270">
        <f t="shared" si="2004"/>
        <v>0</v>
      </c>
      <c r="EQ301" s="270">
        <f t="shared" si="2004"/>
        <v>0</v>
      </c>
      <c r="ER301" s="270">
        <f t="shared" si="2004"/>
        <v>0</v>
      </c>
      <c r="ES301" s="270">
        <f t="shared" si="2004"/>
        <v>0</v>
      </c>
      <c r="ET301" s="270">
        <f t="shared" si="2004"/>
        <v>0</v>
      </c>
      <c r="EU301" s="270">
        <f t="shared" si="2004"/>
        <v>0</v>
      </c>
      <c r="EV301" s="270">
        <f t="shared" si="2004"/>
        <v>0</v>
      </c>
      <c r="EW301" s="270">
        <f t="shared" si="2004"/>
        <v>0</v>
      </c>
      <c r="EX301" s="270">
        <f t="shared" si="2004"/>
        <v>0</v>
      </c>
      <c r="EY301" s="270">
        <f t="shared" si="2004"/>
        <v>0</v>
      </c>
      <c r="EZ301" s="270">
        <f t="shared" si="2004"/>
        <v>0</v>
      </c>
      <c r="FA301" s="270">
        <f t="shared" si="2004"/>
        <v>0</v>
      </c>
      <c r="FB301" s="270">
        <f t="shared" si="2004"/>
        <v>0</v>
      </c>
      <c r="FC301" s="270">
        <f t="shared" si="2004"/>
        <v>0</v>
      </c>
      <c r="FD301" s="271"/>
      <c r="FE301" s="271"/>
      <c r="FF301" s="271"/>
      <c r="FG301" s="215"/>
      <c r="FH301" s="215"/>
    </row>
    <row r="302" ht="11.25" customHeight="1">
      <c r="A302" s="215" t="str">
        <f t="shared" si="19"/>
        <v/>
      </c>
      <c r="B302" s="241" t="str">
        <f t="shared" si="600"/>
        <v>#N/A</v>
      </c>
      <c r="C302" s="271" t="str">
        <f>IF(A302="","",IF(Calculator!snowball,IF(($E$5-DY302)&lt;0,0,$E$5-DY302),0)+D302)</f>
        <v/>
      </c>
      <c r="D302" s="271"/>
      <c r="E302" s="270">
        <f t="shared" si="40"/>
        <v>0</v>
      </c>
      <c r="F302" s="270">
        <f t="shared" ref="F302:AG302" si="2005">CU302+EB303</f>
        <v>0</v>
      </c>
      <c r="G302" s="270">
        <f t="shared" si="2005"/>
        <v>0</v>
      </c>
      <c r="H302" s="270">
        <f t="shared" si="2005"/>
        <v>0</v>
      </c>
      <c r="I302" s="270">
        <f t="shared" si="2005"/>
        <v>0</v>
      </c>
      <c r="J302" s="270">
        <f t="shared" si="2005"/>
        <v>0</v>
      </c>
      <c r="K302" s="270">
        <f t="shared" si="2005"/>
        <v>0</v>
      </c>
      <c r="L302" s="270">
        <f t="shared" si="2005"/>
        <v>0</v>
      </c>
      <c r="M302" s="270">
        <f t="shared" si="2005"/>
        <v>0</v>
      </c>
      <c r="N302" s="270">
        <f t="shared" si="2005"/>
        <v>0</v>
      </c>
      <c r="O302" s="270">
        <f t="shared" si="2005"/>
        <v>0</v>
      </c>
      <c r="P302" s="272">
        <f t="shared" si="2005"/>
        <v>0</v>
      </c>
      <c r="Q302" s="272">
        <f t="shared" si="2005"/>
        <v>0</v>
      </c>
      <c r="R302" s="272">
        <f t="shared" si="2005"/>
        <v>0</v>
      </c>
      <c r="S302" s="272">
        <f t="shared" si="2005"/>
        <v>0</v>
      </c>
      <c r="T302" s="272">
        <f t="shared" si="2005"/>
        <v>0</v>
      </c>
      <c r="U302" s="270">
        <f t="shared" si="2005"/>
        <v>0</v>
      </c>
      <c r="V302" s="270">
        <f t="shared" si="2005"/>
        <v>0</v>
      </c>
      <c r="W302" s="270">
        <f t="shared" si="2005"/>
        <v>0</v>
      </c>
      <c r="X302" s="270">
        <f t="shared" si="2005"/>
        <v>0</v>
      </c>
      <c r="Y302" s="270">
        <f t="shared" si="2005"/>
        <v>0</v>
      </c>
      <c r="Z302" s="270">
        <f t="shared" si="2005"/>
        <v>0</v>
      </c>
      <c r="AA302" s="270">
        <f t="shared" si="2005"/>
        <v>0</v>
      </c>
      <c r="AB302" s="270">
        <f t="shared" si="2005"/>
        <v>0</v>
      </c>
      <c r="AC302" s="270">
        <f t="shared" si="2005"/>
        <v>0</v>
      </c>
      <c r="AD302" s="270">
        <f t="shared" si="2005"/>
        <v>0</v>
      </c>
      <c r="AE302" s="270">
        <f t="shared" si="2005"/>
        <v>0</v>
      </c>
      <c r="AF302" s="270">
        <f t="shared" si="2005"/>
        <v>0</v>
      </c>
      <c r="AG302" s="270">
        <f t="shared" si="2005"/>
        <v>0</v>
      </c>
      <c r="AH302" s="279">
        <f t="shared" si="602"/>
        <v>0</v>
      </c>
      <c r="AI302" s="270">
        <f t="shared" si="43"/>
        <v>0</v>
      </c>
      <c r="AJ302" s="270">
        <f t="shared" ref="AJ302:AO302" si="2006">IF(F$8=0,0,ROUND(AJ301-(F302-BO302),2))</f>
        <v>0</v>
      </c>
      <c r="AK302" s="270">
        <f t="shared" si="2006"/>
        <v>0</v>
      </c>
      <c r="AL302" s="270">
        <f t="shared" si="2006"/>
        <v>0</v>
      </c>
      <c r="AM302" s="270">
        <f t="shared" si="2006"/>
        <v>0</v>
      </c>
      <c r="AN302" s="270">
        <f t="shared" si="2006"/>
        <v>0</v>
      </c>
      <c r="AO302" s="270">
        <f t="shared" si="2006"/>
        <v>0</v>
      </c>
      <c r="AP302" s="270">
        <v>0.0</v>
      </c>
      <c r="AQ302" s="270">
        <f t="shared" ref="AQ302:AR302" si="2007">IF(M$8=0,0,ROUND(AQ301-(M302-BV302),2))</f>
        <v>0</v>
      </c>
      <c r="AR302" s="270">
        <f t="shared" si="2007"/>
        <v>0</v>
      </c>
      <c r="AS302" s="270">
        <f t="shared" si="1902"/>
        <v>-1.93</v>
      </c>
      <c r="AT302" s="270">
        <f t="shared" si="605"/>
        <v>-6.35</v>
      </c>
      <c r="AU302" s="270">
        <f t="shared" ref="AU302:BK302" si="2008">IF(Q$8=0,0,ROUND(AU301-(Q302-BY302),2))</f>
        <v>-18.13</v>
      </c>
      <c r="AV302" s="270">
        <f t="shared" si="2008"/>
        <v>0</v>
      </c>
      <c r="AW302" s="270">
        <f t="shared" si="2008"/>
        <v>0</v>
      </c>
      <c r="AX302" s="270">
        <f t="shared" si="2008"/>
        <v>0</v>
      </c>
      <c r="AY302" s="270">
        <f t="shared" si="2008"/>
        <v>0</v>
      </c>
      <c r="AZ302" s="270">
        <f t="shared" si="2008"/>
        <v>0</v>
      </c>
      <c r="BA302" s="270">
        <f t="shared" si="2008"/>
        <v>0</v>
      </c>
      <c r="BB302" s="270">
        <f t="shared" si="2008"/>
        <v>0</v>
      </c>
      <c r="BC302" s="270">
        <f t="shared" si="2008"/>
        <v>0</v>
      </c>
      <c r="BD302" s="270">
        <f t="shared" si="2008"/>
        <v>0</v>
      </c>
      <c r="BE302" s="270">
        <f t="shared" si="2008"/>
        <v>0</v>
      </c>
      <c r="BF302" s="270">
        <f t="shared" si="2008"/>
        <v>0</v>
      </c>
      <c r="BG302" s="270">
        <f t="shared" si="2008"/>
        <v>0</v>
      </c>
      <c r="BH302" s="270">
        <f t="shared" si="2008"/>
        <v>0</v>
      </c>
      <c r="BI302" s="270">
        <f t="shared" si="2008"/>
        <v>0</v>
      </c>
      <c r="BJ302" s="270">
        <f t="shared" si="2008"/>
        <v>0</v>
      </c>
      <c r="BK302" s="270">
        <f t="shared" si="2008"/>
        <v>0</v>
      </c>
      <c r="BL302" s="265">
        <f t="shared" si="16"/>
        <v>-26.41</v>
      </c>
      <c r="BM302" s="215"/>
      <c r="BN302" s="270">
        <f t="shared" ref="BN302:CP302" si="2009">ROUND(AI301*E$9/12,2)</f>
        <v>0</v>
      </c>
      <c r="BO302" s="270">
        <f t="shared" si="2009"/>
        <v>0</v>
      </c>
      <c r="BP302" s="270">
        <f t="shared" si="2009"/>
        <v>0</v>
      </c>
      <c r="BQ302" s="270">
        <f t="shared" si="2009"/>
        <v>0</v>
      </c>
      <c r="BR302" s="270">
        <f t="shared" si="2009"/>
        <v>0</v>
      </c>
      <c r="BS302" s="270">
        <f t="shared" si="2009"/>
        <v>0</v>
      </c>
      <c r="BT302" s="270">
        <f t="shared" si="2009"/>
        <v>0</v>
      </c>
      <c r="BU302" s="270">
        <f t="shared" si="2009"/>
        <v>0</v>
      </c>
      <c r="BV302" s="270">
        <f t="shared" si="2009"/>
        <v>0</v>
      </c>
      <c r="BW302" s="270">
        <f t="shared" si="2009"/>
        <v>0</v>
      </c>
      <c r="BX302" s="270">
        <f t="shared" si="2009"/>
        <v>-0.02</v>
      </c>
      <c r="BY302" s="270">
        <f t="shared" si="2009"/>
        <v>-0.05</v>
      </c>
      <c r="BZ302" s="270">
        <f t="shared" si="2009"/>
        <v>-0.06</v>
      </c>
      <c r="CA302" s="270">
        <f t="shared" si="2009"/>
        <v>0</v>
      </c>
      <c r="CB302" s="270">
        <f t="shared" si="2009"/>
        <v>0</v>
      </c>
      <c r="CC302" s="270">
        <f t="shared" si="2009"/>
        <v>0</v>
      </c>
      <c r="CD302" s="270">
        <f t="shared" si="2009"/>
        <v>0</v>
      </c>
      <c r="CE302" s="270">
        <f t="shared" si="2009"/>
        <v>0</v>
      </c>
      <c r="CF302" s="270">
        <f t="shared" si="2009"/>
        <v>0</v>
      </c>
      <c r="CG302" s="270">
        <f t="shared" si="2009"/>
        <v>0</v>
      </c>
      <c r="CH302" s="270">
        <f t="shared" si="2009"/>
        <v>0</v>
      </c>
      <c r="CI302" s="270">
        <f t="shared" si="2009"/>
        <v>0</v>
      </c>
      <c r="CJ302" s="270">
        <f t="shared" si="2009"/>
        <v>0</v>
      </c>
      <c r="CK302" s="270">
        <f t="shared" si="2009"/>
        <v>0</v>
      </c>
      <c r="CL302" s="270">
        <f t="shared" si="2009"/>
        <v>0</v>
      </c>
      <c r="CM302" s="270">
        <f t="shared" si="2009"/>
        <v>0</v>
      </c>
      <c r="CN302" s="270">
        <f t="shared" si="2009"/>
        <v>0</v>
      </c>
      <c r="CO302" s="270">
        <f t="shared" si="2009"/>
        <v>0</v>
      </c>
      <c r="CP302" s="270">
        <f t="shared" si="2009"/>
        <v>0</v>
      </c>
      <c r="CQ302" s="215"/>
      <c r="CR302" s="270">
        <f t="shared" si="27"/>
        <v>-0.13</v>
      </c>
      <c r="CS302" s="215"/>
      <c r="CT302" s="270">
        <f t="shared" ref="CT302:DX302" si="2010">IF(AI301&gt;0,IF((AI301+BN302)&lt;E$10,AI301+BN302,E$10),0)</f>
        <v>0</v>
      </c>
      <c r="CU302" s="270">
        <f t="shared" si="2010"/>
        <v>0</v>
      </c>
      <c r="CV302" s="270">
        <f t="shared" si="2010"/>
        <v>0</v>
      </c>
      <c r="CW302" s="270">
        <f t="shared" si="2010"/>
        <v>0</v>
      </c>
      <c r="CX302" s="270">
        <f t="shared" si="2010"/>
        <v>0</v>
      </c>
      <c r="CY302" s="270">
        <f t="shared" si="2010"/>
        <v>0</v>
      </c>
      <c r="CZ302" s="270">
        <f t="shared" si="2010"/>
        <v>0</v>
      </c>
      <c r="DA302" s="270">
        <f t="shared" si="2010"/>
        <v>0</v>
      </c>
      <c r="DB302" s="270">
        <f t="shared" si="2010"/>
        <v>0</v>
      </c>
      <c r="DC302" s="270">
        <f t="shared" si="2010"/>
        <v>0</v>
      </c>
      <c r="DD302" s="270">
        <f t="shared" si="2010"/>
        <v>0</v>
      </c>
      <c r="DE302" s="270">
        <f t="shared" si="2010"/>
        <v>0</v>
      </c>
      <c r="DF302" s="270">
        <f t="shared" si="2010"/>
        <v>0</v>
      </c>
      <c r="DG302" s="270">
        <f t="shared" si="2010"/>
        <v>0</v>
      </c>
      <c r="DH302" s="270">
        <f t="shared" si="2010"/>
        <v>0</v>
      </c>
      <c r="DI302" s="270">
        <f t="shared" si="2010"/>
        <v>0</v>
      </c>
      <c r="DJ302" s="270">
        <f t="shared" si="2010"/>
        <v>0</v>
      </c>
      <c r="DK302" s="270">
        <f t="shared" si="2010"/>
        <v>0</v>
      </c>
      <c r="DL302" s="270">
        <f t="shared" si="2010"/>
        <v>0</v>
      </c>
      <c r="DM302" s="270">
        <f t="shared" si="2010"/>
        <v>0</v>
      </c>
      <c r="DN302" s="270">
        <f t="shared" si="2010"/>
        <v>0</v>
      </c>
      <c r="DO302" s="270">
        <f t="shared" si="2010"/>
        <v>0</v>
      </c>
      <c r="DP302" s="270">
        <f t="shared" si="2010"/>
        <v>0</v>
      </c>
      <c r="DQ302" s="270">
        <f t="shared" si="2010"/>
        <v>0</v>
      </c>
      <c r="DR302" s="270">
        <f t="shared" si="2010"/>
        <v>0</v>
      </c>
      <c r="DS302" s="270">
        <f t="shared" si="2010"/>
        <v>0</v>
      </c>
      <c r="DT302" s="270">
        <f t="shared" si="2010"/>
        <v>0</v>
      </c>
      <c r="DU302" s="270">
        <f t="shared" si="2010"/>
        <v>0</v>
      </c>
      <c r="DV302" s="270">
        <f t="shared" si="2010"/>
        <v>0</v>
      </c>
      <c r="DW302" s="270">
        <f t="shared" si="2010"/>
        <v>0</v>
      </c>
      <c r="DX302" s="270">
        <f t="shared" si="2010"/>
        <v>0</v>
      </c>
      <c r="DY302" s="270">
        <f t="shared" si="29"/>
        <v>0</v>
      </c>
      <c r="DZ302" s="274"/>
      <c r="EA302" s="275">
        <f t="shared" si="38"/>
        <v>0</v>
      </c>
      <c r="EB302" s="270">
        <f t="shared" ref="EB302:FC302" si="2011">IF(AJ300&lt;=0,0,IF($C301&lt;=SUM($EA302:EA302),0,IF(CU301+$C301-SUM($EA302:EA302)&gt;AJ300+BO301,AJ300+BO301-CU301,$C301-SUM($EA302:EA302))))</f>
        <v>0</v>
      </c>
      <c r="EC302" s="270">
        <f t="shared" si="2011"/>
        <v>0</v>
      </c>
      <c r="ED302" s="270">
        <f t="shared" si="2011"/>
        <v>0</v>
      </c>
      <c r="EE302" s="270">
        <f t="shared" si="2011"/>
        <v>0</v>
      </c>
      <c r="EF302" s="270">
        <f t="shared" si="2011"/>
        <v>0</v>
      </c>
      <c r="EG302" s="270">
        <f t="shared" si="2011"/>
        <v>0</v>
      </c>
      <c r="EH302" s="270">
        <f t="shared" si="2011"/>
        <v>0</v>
      </c>
      <c r="EI302" s="270">
        <f t="shared" si="2011"/>
        <v>0</v>
      </c>
      <c r="EJ302" s="270">
        <f t="shared" si="2011"/>
        <v>0</v>
      </c>
      <c r="EK302" s="270">
        <f t="shared" si="2011"/>
        <v>0</v>
      </c>
      <c r="EL302" s="270">
        <f t="shared" si="2011"/>
        <v>0</v>
      </c>
      <c r="EM302" s="270">
        <f t="shared" si="2011"/>
        <v>0</v>
      </c>
      <c r="EN302" s="270">
        <f t="shared" si="2011"/>
        <v>0</v>
      </c>
      <c r="EO302" s="270">
        <f t="shared" si="2011"/>
        <v>0</v>
      </c>
      <c r="EP302" s="270">
        <f t="shared" si="2011"/>
        <v>0</v>
      </c>
      <c r="EQ302" s="270">
        <f t="shared" si="2011"/>
        <v>0</v>
      </c>
      <c r="ER302" s="270">
        <f t="shared" si="2011"/>
        <v>0</v>
      </c>
      <c r="ES302" s="270">
        <f t="shared" si="2011"/>
        <v>0</v>
      </c>
      <c r="ET302" s="270">
        <f t="shared" si="2011"/>
        <v>0</v>
      </c>
      <c r="EU302" s="270">
        <f t="shared" si="2011"/>
        <v>0</v>
      </c>
      <c r="EV302" s="270">
        <f t="shared" si="2011"/>
        <v>0</v>
      </c>
      <c r="EW302" s="270">
        <f t="shared" si="2011"/>
        <v>0</v>
      </c>
      <c r="EX302" s="270">
        <f t="shared" si="2011"/>
        <v>0</v>
      </c>
      <c r="EY302" s="270">
        <f t="shared" si="2011"/>
        <v>0</v>
      </c>
      <c r="EZ302" s="270">
        <f t="shared" si="2011"/>
        <v>0</v>
      </c>
      <c r="FA302" s="270">
        <f t="shared" si="2011"/>
        <v>0</v>
      </c>
      <c r="FB302" s="270">
        <f t="shared" si="2011"/>
        <v>0</v>
      </c>
      <c r="FC302" s="270">
        <f t="shared" si="2011"/>
        <v>0</v>
      </c>
      <c r="FD302" s="271"/>
      <c r="FE302" s="271"/>
      <c r="FF302" s="271"/>
      <c r="FG302" s="215"/>
      <c r="FH302" s="215"/>
    </row>
    <row r="303" ht="11.25" customHeight="1">
      <c r="A303" s="215" t="str">
        <f t="shared" si="19"/>
        <v/>
      </c>
      <c r="B303" s="241" t="str">
        <f t="shared" si="600"/>
        <v>#N/A</v>
      </c>
      <c r="C303" s="271" t="str">
        <f>IF(A303="","",IF(Calculator!snowball,IF(($E$5-DY303)&lt;0,0,$E$5-DY303),0)+D303)</f>
        <v/>
      </c>
      <c r="D303" s="271"/>
      <c r="E303" s="270">
        <f t="shared" si="40"/>
        <v>0</v>
      </c>
      <c r="F303" s="270">
        <f t="shared" ref="F303:AG303" si="2012">CU303+EB304</f>
        <v>0</v>
      </c>
      <c r="G303" s="270">
        <f t="shared" si="2012"/>
        <v>0</v>
      </c>
      <c r="H303" s="270">
        <f t="shared" si="2012"/>
        <v>0</v>
      </c>
      <c r="I303" s="270">
        <f t="shared" si="2012"/>
        <v>0</v>
      </c>
      <c r="J303" s="270">
        <f t="shared" si="2012"/>
        <v>0</v>
      </c>
      <c r="K303" s="270">
        <f t="shared" si="2012"/>
        <v>0</v>
      </c>
      <c r="L303" s="270">
        <f t="shared" si="2012"/>
        <v>0</v>
      </c>
      <c r="M303" s="270">
        <f t="shared" si="2012"/>
        <v>0</v>
      </c>
      <c r="N303" s="270">
        <f t="shared" si="2012"/>
        <v>0</v>
      </c>
      <c r="O303" s="270">
        <f t="shared" si="2012"/>
        <v>0</v>
      </c>
      <c r="P303" s="272">
        <f t="shared" si="2012"/>
        <v>0</v>
      </c>
      <c r="Q303" s="272">
        <f t="shared" si="2012"/>
        <v>0</v>
      </c>
      <c r="R303" s="272">
        <f t="shared" si="2012"/>
        <v>0</v>
      </c>
      <c r="S303" s="272">
        <f t="shared" si="2012"/>
        <v>0</v>
      </c>
      <c r="T303" s="272">
        <f t="shared" si="2012"/>
        <v>0</v>
      </c>
      <c r="U303" s="270">
        <f t="shared" si="2012"/>
        <v>0</v>
      </c>
      <c r="V303" s="270">
        <f t="shared" si="2012"/>
        <v>0</v>
      </c>
      <c r="W303" s="270">
        <f t="shared" si="2012"/>
        <v>0</v>
      </c>
      <c r="X303" s="270">
        <f t="shared" si="2012"/>
        <v>0</v>
      </c>
      <c r="Y303" s="270">
        <f t="shared" si="2012"/>
        <v>0</v>
      </c>
      <c r="Z303" s="270">
        <f t="shared" si="2012"/>
        <v>0</v>
      </c>
      <c r="AA303" s="270">
        <f t="shared" si="2012"/>
        <v>0</v>
      </c>
      <c r="AB303" s="270">
        <f t="shared" si="2012"/>
        <v>0</v>
      </c>
      <c r="AC303" s="270">
        <f t="shared" si="2012"/>
        <v>0</v>
      </c>
      <c r="AD303" s="270">
        <f t="shared" si="2012"/>
        <v>0</v>
      </c>
      <c r="AE303" s="270">
        <f t="shared" si="2012"/>
        <v>0</v>
      </c>
      <c r="AF303" s="270">
        <f t="shared" si="2012"/>
        <v>0</v>
      </c>
      <c r="AG303" s="270">
        <f t="shared" si="2012"/>
        <v>0</v>
      </c>
      <c r="AH303" s="279">
        <f t="shared" si="602"/>
        <v>0</v>
      </c>
      <c r="AI303" s="270">
        <f t="shared" si="43"/>
        <v>0</v>
      </c>
      <c r="AJ303" s="270">
        <f t="shared" ref="AJ303:AO303" si="2013">IF(F$8=0,0,ROUND(AJ302-(F303-BO303),2))</f>
        <v>0</v>
      </c>
      <c r="AK303" s="270">
        <f t="shared" si="2013"/>
        <v>0</v>
      </c>
      <c r="AL303" s="270">
        <f t="shared" si="2013"/>
        <v>0</v>
      </c>
      <c r="AM303" s="270">
        <f t="shared" si="2013"/>
        <v>0</v>
      </c>
      <c r="AN303" s="270">
        <f t="shared" si="2013"/>
        <v>0</v>
      </c>
      <c r="AO303" s="270">
        <f t="shared" si="2013"/>
        <v>0</v>
      </c>
      <c r="AP303" s="270">
        <v>0.0</v>
      </c>
      <c r="AQ303" s="270">
        <f t="shared" ref="AQ303:AR303" si="2014">IF(M$8=0,0,ROUND(AQ302-(M303-BV303),2))</f>
        <v>0</v>
      </c>
      <c r="AR303" s="270">
        <f t="shared" si="2014"/>
        <v>0</v>
      </c>
      <c r="AS303" s="270">
        <f t="shared" si="1902"/>
        <v>-2.06</v>
      </c>
      <c r="AT303" s="270">
        <f t="shared" si="605"/>
        <v>-6.37</v>
      </c>
      <c r="AU303" s="270">
        <f t="shared" ref="AU303:BK303" si="2015">IF(Q$8=0,0,ROUND(AU302-(Q303-BY303),2))</f>
        <v>-18.18</v>
      </c>
      <c r="AV303" s="270">
        <f t="shared" si="2015"/>
        <v>0</v>
      </c>
      <c r="AW303" s="270">
        <f t="shared" si="2015"/>
        <v>0</v>
      </c>
      <c r="AX303" s="270">
        <f t="shared" si="2015"/>
        <v>0</v>
      </c>
      <c r="AY303" s="270">
        <f t="shared" si="2015"/>
        <v>0</v>
      </c>
      <c r="AZ303" s="270">
        <f t="shared" si="2015"/>
        <v>0</v>
      </c>
      <c r="BA303" s="270">
        <f t="shared" si="2015"/>
        <v>0</v>
      </c>
      <c r="BB303" s="270">
        <f t="shared" si="2015"/>
        <v>0</v>
      </c>
      <c r="BC303" s="270">
        <f t="shared" si="2015"/>
        <v>0</v>
      </c>
      <c r="BD303" s="270">
        <f t="shared" si="2015"/>
        <v>0</v>
      </c>
      <c r="BE303" s="270">
        <f t="shared" si="2015"/>
        <v>0</v>
      </c>
      <c r="BF303" s="270">
        <f t="shared" si="2015"/>
        <v>0</v>
      </c>
      <c r="BG303" s="270">
        <f t="shared" si="2015"/>
        <v>0</v>
      </c>
      <c r="BH303" s="270">
        <f t="shared" si="2015"/>
        <v>0</v>
      </c>
      <c r="BI303" s="270">
        <f t="shared" si="2015"/>
        <v>0</v>
      </c>
      <c r="BJ303" s="270">
        <f t="shared" si="2015"/>
        <v>0</v>
      </c>
      <c r="BK303" s="270">
        <f t="shared" si="2015"/>
        <v>0</v>
      </c>
      <c r="BL303" s="265">
        <f t="shared" si="16"/>
        <v>-26.61</v>
      </c>
      <c r="BM303" s="215"/>
      <c r="BN303" s="270">
        <f t="shared" ref="BN303:CP303" si="2016">ROUND(AI302*E$9/12,2)</f>
        <v>0</v>
      </c>
      <c r="BO303" s="270">
        <f t="shared" si="2016"/>
        <v>0</v>
      </c>
      <c r="BP303" s="270">
        <f t="shared" si="2016"/>
        <v>0</v>
      </c>
      <c r="BQ303" s="270">
        <f t="shared" si="2016"/>
        <v>0</v>
      </c>
      <c r="BR303" s="270">
        <f t="shared" si="2016"/>
        <v>0</v>
      </c>
      <c r="BS303" s="270">
        <f t="shared" si="2016"/>
        <v>0</v>
      </c>
      <c r="BT303" s="270">
        <f t="shared" si="2016"/>
        <v>0</v>
      </c>
      <c r="BU303" s="270">
        <f t="shared" si="2016"/>
        <v>0</v>
      </c>
      <c r="BV303" s="270">
        <f t="shared" si="2016"/>
        <v>0</v>
      </c>
      <c r="BW303" s="270">
        <f t="shared" si="2016"/>
        <v>0</v>
      </c>
      <c r="BX303" s="270">
        <f t="shared" si="2016"/>
        <v>-0.02</v>
      </c>
      <c r="BY303" s="270">
        <f t="shared" si="2016"/>
        <v>-0.05</v>
      </c>
      <c r="BZ303" s="270">
        <f t="shared" si="2016"/>
        <v>-0.06</v>
      </c>
      <c r="CA303" s="270">
        <f t="shared" si="2016"/>
        <v>0</v>
      </c>
      <c r="CB303" s="270">
        <f t="shared" si="2016"/>
        <v>0</v>
      </c>
      <c r="CC303" s="270">
        <f t="shared" si="2016"/>
        <v>0</v>
      </c>
      <c r="CD303" s="270">
        <f t="shared" si="2016"/>
        <v>0</v>
      </c>
      <c r="CE303" s="270">
        <f t="shared" si="2016"/>
        <v>0</v>
      </c>
      <c r="CF303" s="270">
        <f t="shared" si="2016"/>
        <v>0</v>
      </c>
      <c r="CG303" s="270">
        <f t="shared" si="2016"/>
        <v>0</v>
      </c>
      <c r="CH303" s="270">
        <f t="shared" si="2016"/>
        <v>0</v>
      </c>
      <c r="CI303" s="270">
        <f t="shared" si="2016"/>
        <v>0</v>
      </c>
      <c r="CJ303" s="270">
        <f t="shared" si="2016"/>
        <v>0</v>
      </c>
      <c r="CK303" s="270">
        <f t="shared" si="2016"/>
        <v>0</v>
      </c>
      <c r="CL303" s="270">
        <f t="shared" si="2016"/>
        <v>0</v>
      </c>
      <c r="CM303" s="270">
        <f t="shared" si="2016"/>
        <v>0</v>
      </c>
      <c r="CN303" s="270">
        <f t="shared" si="2016"/>
        <v>0</v>
      </c>
      <c r="CO303" s="270">
        <f t="shared" si="2016"/>
        <v>0</v>
      </c>
      <c r="CP303" s="270">
        <f t="shared" si="2016"/>
        <v>0</v>
      </c>
      <c r="CQ303" s="215"/>
      <c r="CR303" s="270">
        <f t="shared" si="27"/>
        <v>-0.13</v>
      </c>
      <c r="CS303" s="215"/>
      <c r="CT303" s="270">
        <f t="shared" ref="CT303:DX303" si="2017">IF(AI302&gt;0,IF((AI302+BN303)&lt;E$10,AI302+BN303,E$10),0)</f>
        <v>0</v>
      </c>
      <c r="CU303" s="270">
        <f t="shared" si="2017"/>
        <v>0</v>
      </c>
      <c r="CV303" s="270">
        <f t="shared" si="2017"/>
        <v>0</v>
      </c>
      <c r="CW303" s="270">
        <f t="shared" si="2017"/>
        <v>0</v>
      </c>
      <c r="CX303" s="270">
        <f t="shared" si="2017"/>
        <v>0</v>
      </c>
      <c r="CY303" s="270">
        <f t="shared" si="2017"/>
        <v>0</v>
      </c>
      <c r="CZ303" s="270">
        <f t="shared" si="2017"/>
        <v>0</v>
      </c>
      <c r="DA303" s="270">
        <f t="shared" si="2017"/>
        <v>0</v>
      </c>
      <c r="DB303" s="270">
        <f t="shared" si="2017"/>
        <v>0</v>
      </c>
      <c r="DC303" s="270">
        <f t="shared" si="2017"/>
        <v>0</v>
      </c>
      <c r="DD303" s="270">
        <f t="shared" si="2017"/>
        <v>0</v>
      </c>
      <c r="DE303" s="270">
        <f t="shared" si="2017"/>
        <v>0</v>
      </c>
      <c r="DF303" s="270">
        <f t="shared" si="2017"/>
        <v>0</v>
      </c>
      <c r="DG303" s="270">
        <f t="shared" si="2017"/>
        <v>0</v>
      </c>
      <c r="DH303" s="270">
        <f t="shared" si="2017"/>
        <v>0</v>
      </c>
      <c r="DI303" s="270">
        <f t="shared" si="2017"/>
        <v>0</v>
      </c>
      <c r="DJ303" s="270">
        <f t="shared" si="2017"/>
        <v>0</v>
      </c>
      <c r="DK303" s="270">
        <f t="shared" si="2017"/>
        <v>0</v>
      </c>
      <c r="DL303" s="270">
        <f t="shared" si="2017"/>
        <v>0</v>
      </c>
      <c r="DM303" s="270">
        <f t="shared" si="2017"/>
        <v>0</v>
      </c>
      <c r="DN303" s="270">
        <f t="shared" si="2017"/>
        <v>0</v>
      </c>
      <c r="DO303" s="270">
        <f t="shared" si="2017"/>
        <v>0</v>
      </c>
      <c r="DP303" s="270">
        <f t="shared" si="2017"/>
        <v>0</v>
      </c>
      <c r="DQ303" s="270">
        <f t="shared" si="2017"/>
        <v>0</v>
      </c>
      <c r="DR303" s="270">
        <f t="shared" si="2017"/>
        <v>0</v>
      </c>
      <c r="DS303" s="270">
        <f t="shared" si="2017"/>
        <v>0</v>
      </c>
      <c r="DT303" s="270">
        <f t="shared" si="2017"/>
        <v>0</v>
      </c>
      <c r="DU303" s="270">
        <f t="shared" si="2017"/>
        <v>0</v>
      </c>
      <c r="DV303" s="270">
        <f t="shared" si="2017"/>
        <v>0</v>
      </c>
      <c r="DW303" s="270">
        <f t="shared" si="2017"/>
        <v>0</v>
      </c>
      <c r="DX303" s="270">
        <f t="shared" si="2017"/>
        <v>0</v>
      </c>
      <c r="DY303" s="270">
        <f t="shared" si="29"/>
        <v>0</v>
      </c>
      <c r="DZ303" s="274"/>
      <c r="EA303" s="275">
        <f t="shared" si="38"/>
        <v>0</v>
      </c>
      <c r="EB303" s="270">
        <f t="shared" ref="EB303:FC303" si="2018">IF(AJ301&lt;=0,0,IF($C302&lt;=SUM($EA303:EA303),0,IF(CU302+$C302-SUM($EA303:EA303)&gt;AJ301+BO302,AJ301+BO302-CU302,$C302-SUM($EA303:EA303))))</f>
        <v>0</v>
      </c>
      <c r="EC303" s="270">
        <f t="shared" si="2018"/>
        <v>0</v>
      </c>
      <c r="ED303" s="270">
        <f t="shared" si="2018"/>
        <v>0</v>
      </c>
      <c r="EE303" s="270">
        <f t="shared" si="2018"/>
        <v>0</v>
      </c>
      <c r="EF303" s="270">
        <f t="shared" si="2018"/>
        <v>0</v>
      </c>
      <c r="EG303" s="270">
        <f t="shared" si="2018"/>
        <v>0</v>
      </c>
      <c r="EH303" s="270">
        <f t="shared" si="2018"/>
        <v>0</v>
      </c>
      <c r="EI303" s="270">
        <f t="shared" si="2018"/>
        <v>0</v>
      </c>
      <c r="EJ303" s="270">
        <f t="shared" si="2018"/>
        <v>0</v>
      </c>
      <c r="EK303" s="270">
        <f t="shared" si="2018"/>
        <v>0</v>
      </c>
      <c r="EL303" s="270">
        <f t="shared" si="2018"/>
        <v>0</v>
      </c>
      <c r="EM303" s="270">
        <f t="shared" si="2018"/>
        <v>0</v>
      </c>
      <c r="EN303" s="270">
        <f t="shared" si="2018"/>
        <v>0</v>
      </c>
      <c r="EO303" s="270">
        <f t="shared" si="2018"/>
        <v>0</v>
      </c>
      <c r="EP303" s="270">
        <f t="shared" si="2018"/>
        <v>0</v>
      </c>
      <c r="EQ303" s="270">
        <f t="shared" si="2018"/>
        <v>0</v>
      </c>
      <c r="ER303" s="270">
        <f t="shared" si="2018"/>
        <v>0</v>
      </c>
      <c r="ES303" s="270">
        <f t="shared" si="2018"/>
        <v>0</v>
      </c>
      <c r="ET303" s="270">
        <f t="shared" si="2018"/>
        <v>0</v>
      </c>
      <c r="EU303" s="270">
        <f t="shared" si="2018"/>
        <v>0</v>
      </c>
      <c r="EV303" s="270">
        <f t="shared" si="2018"/>
        <v>0</v>
      </c>
      <c r="EW303" s="270">
        <f t="shared" si="2018"/>
        <v>0</v>
      </c>
      <c r="EX303" s="270">
        <f t="shared" si="2018"/>
        <v>0</v>
      </c>
      <c r="EY303" s="270">
        <f t="shared" si="2018"/>
        <v>0</v>
      </c>
      <c r="EZ303" s="270">
        <f t="shared" si="2018"/>
        <v>0</v>
      </c>
      <c r="FA303" s="270">
        <f t="shared" si="2018"/>
        <v>0</v>
      </c>
      <c r="FB303" s="270">
        <f t="shared" si="2018"/>
        <v>0</v>
      </c>
      <c r="FC303" s="270">
        <f t="shared" si="2018"/>
        <v>0</v>
      </c>
      <c r="FD303" s="271"/>
      <c r="FE303" s="271"/>
      <c r="FF303" s="271"/>
      <c r="FG303" s="215"/>
      <c r="FH303" s="215"/>
    </row>
    <row r="304" ht="11.25" customHeight="1">
      <c r="A304" s="215" t="str">
        <f t="shared" si="19"/>
        <v/>
      </c>
      <c r="B304" s="241" t="str">
        <f t="shared" si="600"/>
        <v>#N/A</v>
      </c>
      <c r="C304" s="271" t="str">
        <f>IF(A304="","",IF(Calculator!snowball,IF(($E$5-DY304)&lt;0,0,$E$5-DY304),0)+D304)</f>
        <v/>
      </c>
      <c r="D304" s="271"/>
      <c r="E304" s="270">
        <f t="shared" si="40"/>
        <v>0</v>
      </c>
      <c r="F304" s="270">
        <f t="shared" ref="F304:AG304" si="2019">CU304+EB305</f>
        <v>0</v>
      </c>
      <c r="G304" s="270">
        <f t="shared" si="2019"/>
        <v>0</v>
      </c>
      <c r="H304" s="270">
        <f t="shared" si="2019"/>
        <v>0</v>
      </c>
      <c r="I304" s="270">
        <f t="shared" si="2019"/>
        <v>0</v>
      </c>
      <c r="J304" s="270">
        <f t="shared" si="2019"/>
        <v>0</v>
      </c>
      <c r="K304" s="270">
        <f t="shared" si="2019"/>
        <v>0</v>
      </c>
      <c r="L304" s="270">
        <f t="shared" si="2019"/>
        <v>0</v>
      </c>
      <c r="M304" s="270">
        <f t="shared" si="2019"/>
        <v>0</v>
      </c>
      <c r="N304" s="270">
        <f t="shared" si="2019"/>
        <v>0</v>
      </c>
      <c r="O304" s="270">
        <f t="shared" si="2019"/>
        <v>0</v>
      </c>
      <c r="P304" s="272">
        <f t="shared" si="2019"/>
        <v>0</v>
      </c>
      <c r="Q304" s="272">
        <f t="shared" si="2019"/>
        <v>0</v>
      </c>
      <c r="R304" s="272">
        <f t="shared" si="2019"/>
        <v>0</v>
      </c>
      <c r="S304" s="272">
        <f t="shared" si="2019"/>
        <v>0</v>
      </c>
      <c r="T304" s="272">
        <f t="shared" si="2019"/>
        <v>0</v>
      </c>
      <c r="U304" s="270">
        <f t="shared" si="2019"/>
        <v>0</v>
      </c>
      <c r="V304" s="270">
        <f t="shared" si="2019"/>
        <v>0</v>
      </c>
      <c r="W304" s="270">
        <f t="shared" si="2019"/>
        <v>0</v>
      </c>
      <c r="X304" s="270">
        <f t="shared" si="2019"/>
        <v>0</v>
      </c>
      <c r="Y304" s="270">
        <f t="shared" si="2019"/>
        <v>0</v>
      </c>
      <c r="Z304" s="270">
        <f t="shared" si="2019"/>
        <v>0</v>
      </c>
      <c r="AA304" s="270">
        <f t="shared" si="2019"/>
        <v>0</v>
      </c>
      <c r="AB304" s="270">
        <f t="shared" si="2019"/>
        <v>0</v>
      </c>
      <c r="AC304" s="270">
        <f t="shared" si="2019"/>
        <v>0</v>
      </c>
      <c r="AD304" s="270">
        <f t="shared" si="2019"/>
        <v>0</v>
      </c>
      <c r="AE304" s="270">
        <f t="shared" si="2019"/>
        <v>0</v>
      </c>
      <c r="AF304" s="270">
        <f t="shared" si="2019"/>
        <v>0</v>
      </c>
      <c r="AG304" s="270">
        <f t="shared" si="2019"/>
        <v>0</v>
      </c>
      <c r="AH304" s="279">
        <f t="shared" si="602"/>
        <v>0</v>
      </c>
      <c r="AI304" s="270">
        <f t="shared" si="43"/>
        <v>0</v>
      </c>
      <c r="AJ304" s="270">
        <f t="shared" ref="AJ304:AO304" si="2020">IF(F$8=0,0,ROUND(AJ303-(F304-BO304),2))</f>
        <v>0</v>
      </c>
      <c r="AK304" s="270">
        <f t="shared" si="2020"/>
        <v>0</v>
      </c>
      <c r="AL304" s="270">
        <f t="shared" si="2020"/>
        <v>0</v>
      </c>
      <c r="AM304" s="270">
        <f t="shared" si="2020"/>
        <v>0</v>
      </c>
      <c r="AN304" s="270">
        <f t="shared" si="2020"/>
        <v>0</v>
      </c>
      <c r="AO304" s="270">
        <f t="shared" si="2020"/>
        <v>0</v>
      </c>
      <c r="AP304" s="270">
        <v>0.0</v>
      </c>
      <c r="AQ304" s="270">
        <f t="shared" ref="AQ304:AR304" si="2021">IF(M$8=0,0,ROUND(AQ303-(M304-BV304),2))</f>
        <v>0</v>
      </c>
      <c r="AR304" s="270">
        <f t="shared" si="2021"/>
        <v>0</v>
      </c>
      <c r="AS304" s="270">
        <f t="shared" si="1902"/>
        <v>-2.19</v>
      </c>
      <c r="AT304" s="270">
        <f t="shared" si="605"/>
        <v>-6.39</v>
      </c>
      <c r="AU304" s="270">
        <f t="shared" ref="AU304:BK304" si="2022">IF(Q$8=0,0,ROUND(AU303-(Q304-BY304),2))</f>
        <v>-18.23</v>
      </c>
      <c r="AV304" s="270">
        <f t="shared" si="2022"/>
        <v>0</v>
      </c>
      <c r="AW304" s="270">
        <f t="shared" si="2022"/>
        <v>0</v>
      </c>
      <c r="AX304" s="270">
        <f t="shared" si="2022"/>
        <v>0</v>
      </c>
      <c r="AY304" s="270">
        <f t="shared" si="2022"/>
        <v>0</v>
      </c>
      <c r="AZ304" s="270">
        <f t="shared" si="2022"/>
        <v>0</v>
      </c>
      <c r="BA304" s="270">
        <f t="shared" si="2022"/>
        <v>0</v>
      </c>
      <c r="BB304" s="270">
        <f t="shared" si="2022"/>
        <v>0</v>
      </c>
      <c r="BC304" s="270">
        <f t="shared" si="2022"/>
        <v>0</v>
      </c>
      <c r="BD304" s="270">
        <f t="shared" si="2022"/>
        <v>0</v>
      </c>
      <c r="BE304" s="270">
        <f t="shared" si="2022"/>
        <v>0</v>
      </c>
      <c r="BF304" s="270">
        <f t="shared" si="2022"/>
        <v>0</v>
      </c>
      <c r="BG304" s="270">
        <f t="shared" si="2022"/>
        <v>0</v>
      </c>
      <c r="BH304" s="270">
        <f t="shared" si="2022"/>
        <v>0</v>
      </c>
      <c r="BI304" s="270">
        <f t="shared" si="2022"/>
        <v>0</v>
      </c>
      <c r="BJ304" s="270">
        <f t="shared" si="2022"/>
        <v>0</v>
      </c>
      <c r="BK304" s="270">
        <f t="shared" si="2022"/>
        <v>0</v>
      </c>
      <c r="BL304" s="265">
        <f t="shared" si="16"/>
        <v>-26.81</v>
      </c>
      <c r="BM304" s="215"/>
      <c r="BN304" s="270">
        <f t="shared" ref="BN304:CP304" si="2023">ROUND(AI303*E$9/12,2)</f>
        <v>0</v>
      </c>
      <c r="BO304" s="270">
        <f t="shared" si="2023"/>
        <v>0</v>
      </c>
      <c r="BP304" s="270">
        <f t="shared" si="2023"/>
        <v>0</v>
      </c>
      <c r="BQ304" s="270">
        <f t="shared" si="2023"/>
        <v>0</v>
      </c>
      <c r="BR304" s="270">
        <f t="shared" si="2023"/>
        <v>0</v>
      </c>
      <c r="BS304" s="270">
        <f t="shared" si="2023"/>
        <v>0</v>
      </c>
      <c r="BT304" s="270">
        <f t="shared" si="2023"/>
        <v>0</v>
      </c>
      <c r="BU304" s="270">
        <f t="shared" si="2023"/>
        <v>0</v>
      </c>
      <c r="BV304" s="270">
        <f t="shared" si="2023"/>
        <v>0</v>
      </c>
      <c r="BW304" s="270">
        <f t="shared" si="2023"/>
        <v>0</v>
      </c>
      <c r="BX304" s="270">
        <f t="shared" si="2023"/>
        <v>-0.02</v>
      </c>
      <c r="BY304" s="270">
        <f t="shared" si="2023"/>
        <v>-0.05</v>
      </c>
      <c r="BZ304" s="270">
        <f t="shared" si="2023"/>
        <v>-0.06</v>
      </c>
      <c r="CA304" s="270">
        <f t="shared" si="2023"/>
        <v>0</v>
      </c>
      <c r="CB304" s="270">
        <f t="shared" si="2023"/>
        <v>0</v>
      </c>
      <c r="CC304" s="270">
        <f t="shared" si="2023"/>
        <v>0</v>
      </c>
      <c r="CD304" s="270">
        <f t="shared" si="2023"/>
        <v>0</v>
      </c>
      <c r="CE304" s="270">
        <f t="shared" si="2023"/>
        <v>0</v>
      </c>
      <c r="CF304" s="270">
        <f t="shared" si="2023"/>
        <v>0</v>
      </c>
      <c r="CG304" s="270">
        <f t="shared" si="2023"/>
        <v>0</v>
      </c>
      <c r="CH304" s="270">
        <f t="shared" si="2023"/>
        <v>0</v>
      </c>
      <c r="CI304" s="270">
        <f t="shared" si="2023"/>
        <v>0</v>
      </c>
      <c r="CJ304" s="270">
        <f t="shared" si="2023"/>
        <v>0</v>
      </c>
      <c r="CK304" s="270">
        <f t="shared" si="2023"/>
        <v>0</v>
      </c>
      <c r="CL304" s="270">
        <f t="shared" si="2023"/>
        <v>0</v>
      </c>
      <c r="CM304" s="270">
        <f t="shared" si="2023"/>
        <v>0</v>
      </c>
      <c r="CN304" s="270">
        <f t="shared" si="2023"/>
        <v>0</v>
      </c>
      <c r="CO304" s="270">
        <f t="shared" si="2023"/>
        <v>0</v>
      </c>
      <c r="CP304" s="270">
        <f t="shared" si="2023"/>
        <v>0</v>
      </c>
      <c r="CQ304" s="215"/>
      <c r="CR304" s="270">
        <f t="shared" si="27"/>
        <v>-0.13</v>
      </c>
      <c r="CS304" s="215"/>
      <c r="CT304" s="270">
        <f t="shared" ref="CT304:DX304" si="2024">IF(AI303&gt;0,IF((AI303+BN304)&lt;E$10,AI303+BN304,E$10),0)</f>
        <v>0</v>
      </c>
      <c r="CU304" s="270">
        <f t="shared" si="2024"/>
        <v>0</v>
      </c>
      <c r="CV304" s="270">
        <f t="shared" si="2024"/>
        <v>0</v>
      </c>
      <c r="CW304" s="270">
        <f t="shared" si="2024"/>
        <v>0</v>
      </c>
      <c r="CX304" s="270">
        <f t="shared" si="2024"/>
        <v>0</v>
      </c>
      <c r="CY304" s="270">
        <f t="shared" si="2024"/>
        <v>0</v>
      </c>
      <c r="CZ304" s="270">
        <f t="shared" si="2024"/>
        <v>0</v>
      </c>
      <c r="DA304" s="270">
        <f t="shared" si="2024"/>
        <v>0</v>
      </c>
      <c r="DB304" s="270">
        <f t="shared" si="2024"/>
        <v>0</v>
      </c>
      <c r="DC304" s="270">
        <f t="shared" si="2024"/>
        <v>0</v>
      </c>
      <c r="DD304" s="270">
        <f t="shared" si="2024"/>
        <v>0</v>
      </c>
      <c r="DE304" s="270">
        <f t="shared" si="2024"/>
        <v>0</v>
      </c>
      <c r="DF304" s="270">
        <f t="shared" si="2024"/>
        <v>0</v>
      </c>
      <c r="DG304" s="270">
        <f t="shared" si="2024"/>
        <v>0</v>
      </c>
      <c r="DH304" s="270">
        <f t="shared" si="2024"/>
        <v>0</v>
      </c>
      <c r="DI304" s="270">
        <f t="shared" si="2024"/>
        <v>0</v>
      </c>
      <c r="DJ304" s="270">
        <f t="shared" si="2024"/>
        <v>0</v>
      </c>
      <c r="DK304" s="270">
        <f t="shared" si="2024"/>
        <v>0</v>
      </c>
      <c r="DL304" s="270">
        <f t="shared" si="2024"/>
        <v>0</v>
      </c>
      <c r="DM304" s="270">
        <f t="shared" si="2024"/>
        <v>0</v>
      </c>
      <c r="DN304" s="270">
        <f t="shared" si="2024"/>
        <v>0</v>
      </c>
      <c r="DO304" s="270">
        <f t="shared" si="2024"/>
        <v>0</v>
      </c>
      <c r="DP304" s="270">
        <f t="shared" si="2024"/>
        <v>0</v>
      </c>
      <c r="DQ304" s="270">
        <f t="shared" si="2024"/>
        <v>0</v>
      </c>
      <c r="DR304" s="270">
        <f t="shared" si="2024"/>
        <v>0</v>
      </c>
      <c r="DS304" s="270">
        <f t="shared" si="2024"/>
        <v>0</v>
      </c>
      <c r="DT304" s="270">
        <f t="shared" si="2024"/>
        <v>0</v>
      </c>
      <c r="DU304" s="270">
        <f t="shared" si="2024"/>
        <v>0</v>
      </c>
      <c r="DV304" s="270">
        <f t="shared" si="2024"/>
        <v>0</v>
      </c>
      <c r="DW304" s="270">
        <f t="shared" si="2024"/>
        <v>0</v>
      </c>
      <c r="DX304" s="270">
        <f t="shared" si="2024"/>
        <v>0</v>
      </c>
      <c r="DY304" s="270">
        <f t="shared" si="29"/>
        <v>0</v>
      </c>
      <c r="DZ304" s="274"/>
      <c r="EA304" s="275">
        <f t="shared" si="38"/>
        <v>0</v>
      </c>
      <c r="EB304" s="270">
        <f t="shared" ref="EB304:FC304" si="2025">IF(AJ302&lt;=0,0,IF($C303&lt;=SUM($EA304:EA304),0,IF(CU303+$C303-SUM($EA304:EA304)&gt;AJ302+BO303,AJ302+BO303-CU303,$C303-SUM($EA304:EA304))))</f>
        <v>0</v>
      </c>
      <c r="EC304" s="270">
        <f t="shared" si="2025"/>
        <v>0</v>
      </c>
      <c r="ED304" s="270">
        <f t="shared" si="2025"/>
        <v>0</v>
      </c>
      <c r="EE304" s="270">
        <f t="shared" si="2025"/>
        <v>0</v>
      </c>
      <c r="EF304" s="270">
        <f t="shared" si="2025"/>
        <v>0</v>
      </c>
      <c r="EG304" s="270">
        <f t="shared" si="2025"/>
        <v>0</v>
      </c>
      <c r="EH304" s="270">
        <f t="shared" si="2025"/>
        <v>0</v>
      </c>
      <c r="EI304" s="270">
        <f t="shared" si="2025"/>
        <v>0</v>
      </c>
      <c r="EJ304" s="270">
        <f t="shared" si="2025"/>
        <v>0</v>
      </c>
      <c r="EK304" s="270">
        <f t="shared" si="2025"/>
        <v>0</v>
      </c>
      <c r="EL304" s="270">
        <f t="shared" si="2025"/>
        <v>0</v>
      </c>
      <c r="EM304" s="270">
        <f t="shared" si="2025"/>
        <v>0</v>
      </c>
      <c r="EN304" s="270">
        <f t="shared" si="2025"/>
        <v>0</v>
      </c>
      <c r="EO304" s="270">
        <f t="shared" si="2025"/>
        <v>0</v>
      </c>
      <c r="EP304" s="270">
        <f t="shared" si="2025"/>
        <v>0</v>
      </c>
      <c r="EQ304" s="270">
        <f t="shared" si="2025"/>
        <v>0</v>
      </c>
      <c r="ER304" s="270">
        <f t="shared" si="2025"/>
        <v>0</v>
      </c>
      <c r="ES304" s="270">
        <f t="shared" si="2025"/>
        <v>0</v>
      </c>
      <c r="ET304" s="270">
        <f t="shared" si="2025"/>
        <v>0</v>
      </c>
      <c r="EU304" s="270">
        <f t="shared" si="2025"/>
        <v>0</v>
      </c>
      <c r="EV304" s="270">
        <f t="shared" si="2025"/>
        <v>0</v>
      </c>
      <c r="EW304" s="270">
        <f t="shared" si="2025"/>
        <v>0</v>
      </c>
      <c r="EX304" s="270">
        <f t="shared" si="2025"/>
        <v>0</v>
      </c>
      <c r="EY304" s="270">
        <f t="shared" si="2025"/>
        <v>0</v>
      </c>
      <c r="EZ304" s="270">
        <f t="shared" si="2025"/>
        <v>0</v>
      </c>
      <c r="FA304" s="270">
        <f t="shared" si="2025"/>
        <v>0</v>
      </c>
      <c r="FB304" s="270">
        <f t="shared" si="2025"/>
        <v>0</v>
      </c>
      <c r="FC304" s="270">
        <f t="shared" si="2025"/>
        <v>0</v>
      </c>
      <c r="FD304" s="271"/>
      <c r="FE304" s="271"/>
      <c r="FF304" s="271"/>
      <c r="FG304" s="215"/>
      <c r="FH304" s="215"/>
    </row>
    <row r="305" ht="11.25" customHeight="1">
      <c r="A305" s="215" t="str">
        <f t="shared" si="19"/>
        <v/>
      </c>
      <c r="B305" s="241" t="str">
        <f t="shared" si="600"/>
        <v>#N/A</v>
      </c>
      <c r="C305" s="271" t="str">
        <f>IF(A305="","",IF(Calculator!snowball,IF(($E$5-DY305)&lt;0,0,$E$5-DY305),0)+D305)</f>
        <v/>
      </c>
      <c r="D305" s="271"/>
      <c r="E305" s="270">
        <f t="shared" si="40"/>
        <v>0</v>
      </c>
      <c r="F305" s="270">
        <f t="shared" ref="F305:AG305" si="2026">CU305+EB306</f>
        <v>0</v>
      </c>
      <c r="G305" s="270">
        <f t="shared" si="2026"/>
        <v>0</v>
      </c>
      <c r="H305" s="270">
        <f t="shared" si="2026"/>
        <v>0</v>
      </c>
      <c r="I305" s="270">
        <f t="shared" si="2026"/>
        <v>0</v>
      </c>
      <c r="J305" s="270">
        <f t="shared" si="2026"/>
        <v>0</v>
      </c>
      <c r="K305" s="270">
        <f t="shared" si="2026"/>
        <v>0</v>
      </c>
      <c r="L305" s="270">
        <f t="shared" si="2026"/>
        <v>0</v>
      </c>
      <c r="M305" s="270">
        <f t="shared" si="2026"/>
        <v>0</v>
      </c>
      <c r="N305" s="270">
        <f t="shared" si="2026"/>
        <v>0</v>
      </c>
      <c r="O305" s="270">
        <f t="shared" si="2026"/>
        <v>0</v>
      </c>
      <c r="P305" s="272">
        <f t="shared" si="2026"/>
        <v>0</v>
      </c>
      <c r="Q305" s="272">
        <f t="shared" si="2026"/>
        <v>0</v>
      </c>
      <c r="R305" s="272">
        <f t="shared" si="2026"/>
        <v>0</v>
      </c>
      <c r="S305" s="272">
        <f t="shared" si="2026"/>
        <v>0</v>
      </c>
      <c r="T305" s="272">
        <f t="shared" si="2026"/>
        <v>0</v>
      </c>
      <c r="U305" s="270">
        <f t="shared" si="2026"/>
        <v>0</v>
      </c>
      <c r="V305" s="270">
        <f t="shared" si="2026"/>
        <v>0</v>
      </c>
      <c r="W305" s="270">
        <f t="shared" si="2026"/>
        <v>0</v>
      </c>
      <c r="X305" s="270">
        <f t="shared" si="2026"/>
        <v>0</v>
      </c>
      <c r="Y305" s="270">
        <f t="shared" si="2026"/>
        <v>0</v>
      </c>
      <c r="Z305" s="270">
        <f t="shared" si="2026"/>
        <v>0</v>
      </c>
      <c r="AA305" s="270">
        <f t="shared" si="2026"/>
        <v>0</v>
      </c>
      <c r="AB305" s="270">
        <f t="shared" si="2026"/>
        <v>0</v>
      </c>
      <c r="AC305" s="270">
        <f t="shared" si="2026"/>
        <v>0</v>
      </c>
      <c r="AD305" s="270">
        <f t="shared" si="2026"/>
        <v>0</v>
      </c>
      <c r="AE305" s="270">
        <f t="shared" si="2026"/>
        <v>0</v>
      </c>
      <c r="AF305" s="270">
        <f t="shared" si="2026"/>
        <v>0</v>
      </c>
      <c r="AG305" s="270">
        <f t="shared" si="2026"/>
        <v>0</v>
      </c>
      <c r="AH305" s="279">
        <f t="shared" si="602"/>
        <v>0</v>
      </c>
      <c r="AI305" s="270">
        <f t="shared" si="43"/>
        <v>0</v>
      </c>
      <c r="AJ305" s="270">
        <f t="shared" ref="AJ305:AO305" si="2027">IF(F$8=0,0,ROUND(AJ304-(F305-BO305),2))</f>
        <v>0</v>
      </c>
      <c r="AK305" s="270">
        <f t="shared" si="2027"/>
        <v>0</v>
      </c>
      <c r="AL305" s="270">
        <f t="shared" si="2027"/>
        <v>0</v>
      </c>
      <c r="AM305" s="270">
        <f t="shared" si="2027"/>
        <v>0</v>
      </c>
      <c r="AN305" s="270">
        <f t="shared" si="2027"/>
        <v>0</v>
      </c>
      <c r="AO305" s="270">
        <f t="shared" si="2027"/>
        <v>0</v>
      </c>
      <c r="AP305" s="270">
        <v>0.0</v>
      </c>
      <c r="AQ305" s="270">
        <f t="shared" ref="AQ305:AR305" si="2028">IF(M$8=0,0,ROUND(AQ304-(M305-BV305),2))</f>
        <v>0</v>
      </c>
      <c r="AR305" s="270">
        <f t="shared" si="2028"/>
        <v>0</v>
      </c>
      <c r="AS305" s="270">
        <f t="shared" si="1902"/>
        <v>-2.32</v>
      </c>
      <c r="AT305" s="270">
        <f t="shared" si="605"/>
        <v>-6.41</v>
      </c>
      <c r="AU305" s="270">
        <f t="shared" ref="AU305:BK305" si="2029">IF(Q$8=0,0,ROUND(AU304-(Q305-BY305),2))</f>
        <v>-18.28</v>
      </c>
      <c r="AV305" s="270">
        <f t="shared" si="2029"/>
        <v>0</v>
      </c>
      <c r="AW305" s="270">
        <f t="shared" si="2029"/>
        <v>0</v>
      </c>
      <c r="AX305" s="270">
        <f t="shared" si="2029"/>
        <v>0</v>
      </c>
      <c r="AY305" s="270">
        <f t="shared" si="2029"/>
        <v>0</v>
      </c>
      <c r="AZ305" s="270">
        <f t="shared" si="2029"/>
        <v>0</v>
      </c>
      <c r="BA305" s="270">
        <f t="shared" si="2029"/>
        <v>0</v>
      </c>
      <c r="BB305" s="270">
        <f t="shared" si="2029"/>
        <v>0</v>
      </c>
      <c r="BC305" s="270">
        <f t="shared" si="2029"/>
        <v>0</v>
      </c>
      <c r="BD305" s="270">
        <f t="shared" si="2029"/>
        <v>0</v>
      </c>
      <c r="BE305" s="270">
        <f t="shared" si="2029"/>
        <v>0</v>
      </c>
      <c r="BF305" s="270">
        <f t="shared" si="2029"/>
        <v>0</v>
      </c>
      <c r="BG305" s="270">
        <f t="shared" si="2029"/>
        <v>0</v>
      </c>
      <c r="BH305" s="270">
        <f t="shared" si="2029"/>
        <v>0</v>
      </c>
      <c r="BI305" s="270">
        <f t="shared" si="2029"/>
        <v>0</v>
      </c>
      <c r="BJ305" s="270">
        <f t="shared" si="2029"/>
        <v>0</v>
      </c>
      <c r="BK305" s="270">
        <f t="shared" si="2029"/>
        <v>0</v>
      </c>
      <c r="BL305" s="265">
        <f t="shared" si="16"/>
        <v>-27.01</v>
      </c>
      <c r="BM305" s="215"/>
      <c r="BN305" s="270">
        <f t="shared" ref="BN305:CP305" si="2030">ROUND(AI304*E$9/12,2)</f>
        <v>0</v>
      </c>
      <c r="BO305" s="270">
        <f t="shared" si="2030"/>
        <v>0</v>
      </c>
      <c r="BP305" s="270">
        <f t="shared" si="2030"/>
        <v>0</v>
      </c>
      <c r="BQ305" s="270">
        <f t="shared" si="2030"/>
        <v>0</v>
      </c>
      <c r="BR305" s="270">
        <f t="shared" si="2030"/>
        <v>0</v>
      </c>
      <c r="BS305" s="270">
        <f t="shared" si="2030"/>
        <v>0</v>
      </c>
      <c r="BT305" s="270">
        <f t="shared" si="2030"/>
        <v>0</v>
      </c>
      <c r="BU305" s="270">
        <f t="shared" si="2030"/>
        <v>0</v>
      </c>
      <c r="BV305" s="270">
        <f t="shared" si="2030"/>
        <v>0</v>
      </c>
      <c r="BW305" s="270">
        <f t="shared" si="2030"/>
        <v>0</v>
      </c>
      <c r="BX305" s="270">
        <f t="shared" si="2030"/>
        <v>-0.02</v>
      </c>
      <c r="BY305" s="270">
        <f t="shared" si="2030"/>
        <v>-0.05</v>
      </c>
      <c r="BZ305" s="270">
        <f t="shared" si="2030"/>
        <v>-0.06</v>
      </c>
      <c r="CA305" s="270">
        <f t="shared" si="2030"/>
        <v>0</v>
      </c>
      <c r="CB305" s="270">
        <f t="shared" si="2030"/>
        <v>0</v>
      </c>
      <c r="CC305" s="270">
        <f t="shared" si="2030"/>
        <v>0</v>
      </c>
      <c r="CD305" s="270">
        <f t="shared" si="2030"/>
        <v>0</v>
      </c>
      <c r="CE305" s="270">
        <f t="shared" si="2030"/>
        <v>0</v>
      </c>
      <c r="CF305" s="270">
        <f t="shared" si="2030"/>
        <v>0</v>
      </c>
      <c r="CG305" s="270">
        <f t="shared" si="2030"/>
        <v>0</v>
      </c>
      <c r="CH305" s="270">
        <f t="shared" si="2030"/>
        <v>0</v>
      </c>
      <c r="CI305" s="270">
        <f t="shared" si="2030"/>
        <v>0</v>
      </c>
      <c r="CJ305" s="270">
        <f t="shared" si="2030"/>
        <v>0</v>
      </c>
      <c r="CK305" s="270">
        <f t="shared" si="2030"/>
        <v>0</v>
      </c>
      <c r="CL305" s="270">
        <f t="shared" si="2030"/>
        <v>0</v>
      </c>
      <c r="CM305" s="270">
        <f t="shared" si="2030"/>
        <v>0</v>
      </c>
      <c r="CN305" s="270">
        <f t="shared" si="2030"/>
        <v>0</v>
      </c>
      <c r="CO305" s="270">
        <f t="shared" si="2030"/>
        <v>0</v>
      </c>
      <c r="CP305" s="270">
        <f t="shared" si="2030"/>
        <v>0</v>
      </c>
      <c r="CQ305" s="215"/>
      <c r="CR305" s="270">
        <f t="shared" si="27"/>
        <v>-0.13</v>
      </c>
      <c r="CS305" s="215"/>
      <c r="CT305" s="270">
        <f t="shared" ref="CT305:DX305" si="2031">IF(AI304&gt;0,IF((AI304+BN305)&lt;E$10,AI304+BN305,E$10),0)</f>
        <v>0</v>
      </c>
      <c r="CU305" s="270">
        <f t="shared" si="2031"/>
        <v>0</v>
      </c>
      <c r="CV305" s="270">
        <f t="shared" si="2031"/>
        <v>0</v>
      </c>
      <c r="CW305" s="270">
        <f t="shared" si="2031"/>
        <v>0</v>
      </c>
      <c r="CX305" s="270">
        <f t="shared" si="2031"/>
        <v>0</v>
      </c>
      <c r="CY305" s="270">
        <f t="shared" si="2031"/>
        <v>0</v>
      </c>
      <c r="CZ305" s="270">
        <f t="shared" si="2031"/>
        <v>0</v>
      </c>
      <c r="DA305" s="270">
        <f t="shared" si="2031"/>
        <v>0</v>
      </c>
      <c r="DB305" s="270">
        <f t="shared" si="2031"/>
        <v>0</v>
      </c>
      <c r="DC305" s="270">
        <f t="shared" si="2031"/>
        <v>0</v>
      </c>
      <c r="DD305" s="270">
        <f t="shared" si="2031"/>
        <v>0</v>
      </c>
      <c r="DE305" s="270">
        <f t="shared" si="2031"/>
        <v>0</v>
      </c>
      <c r="DF305" s="270">
        <f t="shared" si="2031"/>
        <v>0</v>
      </c>
      <c r="DG305" s="270">
        <f t="shared" si="2031"/>
        <v>0</v>
      </c>
      <c r="DH305" s="270">
        <f t="shared" si="2031"/>
        <v>0</v>
      </c>
      <c r="DI305" s="270">
        <f t="shared" si="2031"/>
        <v>0</v>
      </c>
      <c r="DJ305" s="270">
        <f t="shared" si="2031"/>
        <v>0</v>
      </c>
      <c r="DK305" s="270">
        <f t="shared" si="2031"/>
        <v>0</v>
      </c>
      <c r="DL305" s="270">
        <f t="shared" si="2031"/>
        <v>0</v>
      </c>
      <c r="DM305" s="270">
        <f t="shared" si="2031"/>
        <v>0</v>
      </c>
      <c r="DN305" s="270">
        <f t="shared" si="2031"/>
        <v>0</v>
      </c>
      <c r="DO305" s="270">
        <f t="shared" si="2031"/>
        <v>0</v>
      </c>
      <c r="DP305" s="270">
        <f t="shared" si="2031"/>
        <v>0</v>
      </c>
      <c r="DQ305" s="270">
        <f t="shared" si="2031"/>
        <v>0</v>
      </c>
      <c r="DR305" s="270">
        <f t="shared" si="2031"/>
        <v>0</v>
      </c>
      <c r="DS305" s="270">
        <f t="shared" si="2031"/>
        <v>0</v>
      </c>
      <c r="DT305" s="270">
        <f t="shared" si="2031"/>
        <v>0</v>
      </c>
      <c r="DU305" s="270">
        <f t="shared" si="2031"/>
        <v>0</v>
      </c>
      <c r="DV305" s="270">
        <f t="shared" si="2031"/>
        <v>0</v>
      </c>
      <c r="DW305" s="270">
        <f t="shared" si="2031"/>
        <v>0</v>
      </c>
      <c r="DX305" s="270">
        <f t="shared" si="2031"/>
        <v>0</v>
      </c>
      <c r="DY305" s="270">
        <f t="shared" si="29"/>
        <v>0</v>
      </c>
      <c r="DZ305" s="274"/>
      <c r="EA305" s="275">
        <f t="shared" si="38"/>
        <v>0</v>
      </c>
      <c r="EB305" s="270">
        <f t="shared" ref="EB305:FC305" si="2032">IF(AJ303&lt;=0,0,IF($C304&lt;=SUM($EA305:EA305),0,IF(CU304+$C304-SUM($EA305:EA305)&gt;AJ303+BO304,AJ303+BO304-CU304,$C304-SUM($EA305:EA305))))</f>
        <v>0</v>
      </c>
      <c r="EC305" s="270">
        <f t="shared" si="2032"/>
        <v>0</v>
      </c>
      <c r="ED305" s="270">
        <f t="shared" si="2032"/>
        <v>0</v>
      </c>
      <c r="EE305" s="270">
        <f t="shared" si="2032"/>
        <v>0</v>
      </c>
      <c r="EF305" s="270">
        <f t="shared" si="2032"/>
        <v>0</v>
      </c>
      <c r="EG305" s="270">
        <f t="shared" si="2032"/>
        <v>0</v>
      </c>
      <c r="EH305" s="270">
        <f t="shared" si="2032"/>
        <v>0</v>
      </c>
      <c r="EI305" s="270">
        <f t="shared" si="2032"/>
        <v>0</v>
      </c>
      <c r="EJ305" s="270">
        <f t="shared" si="2032"/>
        <v>0</v>
      </c>
      <c r="EK305" s="270">
        <f t="shared" si="2032"/>
        <v>0</v>
      </c>
      <c r="EL305" s="270">
        <f t="shared" si="2032"/>
        <v>0</v>
      </c>
      <c r="EM305" s="270">
        <f t="shared" si="2032"/>
        <v>0</v>
      </c>
      <c r="EN305" s="270">
        <f t="shared" si="2032"/>
        <v>0</v>
      </c>
      <c r="EO305" s="270">
        <f t="shared" si="2032"/>
        <v>0</v>
      </c>
      <c r="EP305" s="270">
        <f t="shared" si="2032"/>
        <v>0</v>
      </c>
      <c r="EQ305" s="270">
        <f t="shared" si="2032"/>
        <v>0</v>
      </c>
      <c r="ER305" s="270">
        <f t="shared" si="2032"/>
        <v>0</v>
      </c>
      <c r="ES305" s="270">
        <f t="shared" si="2032"/>
        <v>0</v>
      </c>
      <c r="ET305" s="270">
        <f t="shared" si="2032"/>
        <v>0</v>
      </c>
      <c r="EU305" s="270">
        <f t="shared" si="2032"/>
        <v>0</v>
      </c>
      <c r="EV305" s="270">
        <f t="shared" si="2032"/>
        <v>0</v>
      </c>
      <c r="EW305" s="270">
        <f t="shared" si="2032"/>
        <v>0</v>
      </c>
      <c r="EX305" s="270">
        <f t="shared" si="2032"/>
        <v>0</v>
      </c>
      <c r="EY305" s="270">
        <f t="shared" si="2032"/>
        <v>0</v>
      </c>
      <c r="EZ305" s="270">
        <f t="shared" si="2032"/>
        <v>0</v>
      </c>
      <c r="FA305" s="270">
        <f t="shared" si="2032"/>
        <v>0</v>
      </c>
      <c r="FB305" s="270">
        <f t="shared" si="2032"/>
        <v>0</v>
      </c>
      <c r="FC305" s="270">
        <f t="shared" si="2032"/>
        <v>0</v>
      </c>
      <c r="FD305" s="271"/>
      <c r="FE305" s="271"/>
      <c r="FF305" s="271"/>
      <c r="FG305" s="215"/>
      <c r="FH305" s="215"/>
    </row>
    <row r="306" ht="11.25" customHeight="1">
      <c r="A306" s="215" t="str">
        <f t="shared" si="19"/>
        <v/>
      </c>
      <c r="B306" s="241" t="str">
        <f t="shared" si="600"/>
        <v>#N/A</v>
      </c>
      <c r="C306" s="271" t="str">
        <f>IF(A306="","",IF(Calculator!snowball,IF(($E$5-DY306)&lt;0,0,$E$5-DY306),0)+D306)</f>
        <v/>
      </c>
      <c r="D306" s="271"/>
      <c r="E306" s="270">
        <f t="shared" si="40"/>
        <v>0</v>
      </c>
      <c r="F306" s="270">
        <f t="shared" ref="F306:AG306" si="2033">CU306+EB307</f>
        <v>0</v>
      </c>
      <c r="G306" s="270">
        <f t="shared" si="2033"/>
        <v>0</v>
      </c>
      <c r="H306" s="270">
        <f t="shared" si="2033"/>
        <v>0</v>
      </c>
      <c r="I306" s="270">
        <f t="shared" si="2033"/>
        <v>0</v>
      </c>
      <c r="J306" s="270">
        <f t="shared" si="2033"/>
        <v>0</v>
      </c>
      <c r="K306" s="270">
        <f t="shared" si="2033"/>
        <v>0</v>
      </c>
      <c r="L306" s="270">
        <f t="shared" si="2033"/>
        <v>0</v>
      </c>
      <c r="M306" s="270">
        <f t="shared" si="2033"/>
        <v>0</v>
      </c>
      <c r="N306" s="270">
        <f t="shared" si="2033"/>
        <v>0</v>
      </c>
      <c r="O306" s="270">
        <f t="shared" si="2033"/>
        <v>0</v>
      </c>
      <c r="P306" s="272">
        <f t="shared" si="2033"/>
        <v>0</v>
      </c>
      <c r="Q306" s="272">
        <f t="shared" si="2033"/>
        <v>0</v>
      </c>
      <c r="R306" s="272">
        <f t="shared" si="2033"/>
        <v>0</v>
      </c>
      <c r="S306" s="272">
        <f t="shared" si="2033"/>
        <v>0</v>
      </c>
      <c r="T306" s="272">
        <f t="shared" si="2033"/>
        <v>0</v>
      </c>
      <c r="U306" s="270">
        <f t="shared" si="2033"/>
        <v>0</v>
      </c>
      <c r="V306" s="270">
        <f t="shared" si="2033"/>
        <v>0</v>
      </c>
      <c r="W306" s="270">
        <f t="shared" si="2033"/>
        <v>0</v>
      </c>
      <c r="X306" s="270">
        <f t="shared" si="2033"/>
        <v>0</v>
      </c>
      <c r="Y306" s="270">
        <f t="shared" si="2033"/>
        <v>0</v>
      </c>
      <c r="Z306" s="270">
        <f t="shared" si="2033"/>
        <v>0</v>
      </c>
      <c r="AA306" s="270">
        <f t="shared" si="2033"/>
        <v>0</v>
      </c>
      <c r="AB306" s="270">
        <f t="shared" si="2033"/>
        <v>0</v>
      </c>
      <c r="AC306" s="270">
        <f t="shared" si="2033"/>
        <v>0</v>
      </c>
      <c r="AD306" s="270">
        <f t="shared" si="2033"/>
        <v>0</v>
      </c>
      <c r="AE306" s="270">
        <f t="shared" si="2033"/>
        <v>0</v>
      </c>
      <c r="AF306" s="270">
        <f t="shared" si="2033"/>
        <v>0</v>
      </c>
      <c r="AG306" s="270">
        <f t="shared" si="2033"/>
        <v>0</v>
      </c>
      <c r="AH306" s="279">
        <f t="shared" si="602"/>
        <v>0</v>
      </c>
      <c r="AI306" s="270">
        <f t="shared" si="43"/>
        <v>0</v>
      </c>
      <c r="AJ306" s="270">
        <f t="shared" ref="AJ306:AO306" si="2034">IF(F$8=0,0,ROUND(AJ305-(F306-BO306),2))</f>
        <v>0</v>
      </c>
      <c r="AK306" s="270">
        <f t="shared" si="2034"/>
        <v>0</v>
      </c>
      <c r="AL306" s="270">
        <f t="shared" si="2034"/>
        <v>0</v>
      </c>
      <c r="AM306" s="270">
        <f t="shared" si="2034"/>
        <v>0</v>
      </c>
      <c r="AN306" s="270">
        <f t="shared" si="2034"/>
        <v>0</v>
      </c>
      <c r="AO306" s="270">
        <f t="shared" si="2034"/>
        <v>0</v>
      </c>
      <c r="AP306" s="270">
        <v>0.0</v>
      </c>
      <c r="AQ306" s="270">
        <f t="shared" ref="AQ306:AR306" si="2035">IF(M$8=0,0,ROUND(AQ305-(M306-BV306),2))</f>
        <v>0</v>
      </c>
      <c r="AR306" s="270">
        <f t="shared" si="2035"/>
        <v>0</v>
      </c>
      <c r="AS306" s="270">
        <f t="shared" si="1902"/>
        <v>-2.45</v>
      </c>
      <c r="AT306" s="270">
        <f t="shared" si="605"/>
        <v>-6.43</v>
      </c>
      <c r="AU306" s="270">
        <f t="shared" ref="AU306:BK306" si="2036">IF(Q$8=0,0,ROUND(AU305-(Q306-BY306),2))</f>
        <v>-18.33</v>
      </c>
      <c r="AV306" s="270">
        <f t="shared" si="2036"/>
        <v>0</v>
      </c>
      <c r="AW306" s="270">
        <f t="shared" si="2036"/>
        <v>0</v>
      </c>
      <c r="AX306" s="270">
        <f t="shared" si="2036"/>
        <v>0</v>
      </c>
      <c r="AY306" s="270">
        <f t="shared" si="2036"/>
        <v>0</v>
      </c>
      <c r="AZ306" s="270">
        <f t="shared" si="2036"/>
        <v>0</v>
      </c>
      <c r="BA306" s="270">
        <f t="shared" si="2036"/>
        <v>0</v>
      </c>
      <c r="BB306" s="270">
        <f t="shared" si="2036"/>
        <v>0</v>
      </c>
      <c r="BC306" s="270">
        <f t="shared" si="2036"/>
        <v>0</v>
      </c>
      <c r="BD306" s="270">
        <f t="shared" si="2036"/>
        <v>0</v>
      </c>
      <c r="BE306" s="270">
        <f t="shared" si="2036"/>
        <v>0</v>
      </c>
      <c r="BF306" s="270">
        <f t="shared" si="2036"/>
        <v>0</v>
      </c>
      <c r="BG306" s="270">
        <f t="shared" si="2036"/>
        <v>0</v>
      </c>
      <c r="BH306" s="270">
        <f t="shared" si="2036"/>
        <v>0</v>
      </c>
      <c r="BI306" s="270">
        <f t="shared" si="2036"/>
        <v>0</v>
      </c>
      <c r="BJ306" s="270">
        <f t="shared" si="2036"/>
        <v>0</v>
      </c>
      <c r="BK306" s="270">
        <f t="shared" si="2036"/>
        <v>0</v>
      </c>
      <c r="BL306" s="265">
        <f t="shared" si="16"/>
        <v>-27.21</v>
      </c>
      <c r="BM306" s="215"/>
      <c r="BN306" s="270">
        <f t="shared" ref="BN306:CP306" si="2037">ROUND(AI305*E$9/12,2)</f>
        <v>0</v>
      </c>
      <c r="BO306" s="270">
        <f t="shared" si="2037"/>
        <v>0</v>
      </c>
      <c r="BP306" s="270">
        <f t="shared" si="2037"/>
        <v>0</v>
      </c>
      <c r="BQ306" s="270">
        <f t="shared" si="2037"/>
        <v>0</v>
      </c>
      <c r="BR306" s="270">
        <f t="shared" si="2037"/>
        <v>0</v>
      </c>
      <c r="BS306" s="270">
        <f t="shared" si="2037"/>
        <v>0</v>
      </c>
      <c r="BT306" s="270">
        <f t="shared" si="2037"/>
        <v>0</v>
      </c>
      <c r="BU306" s="270">
        <f t="shared" si="2037"/>
        <v>0</v>
      </c>
      <c r="BV306" s="270">
        <f t="shared" si="2037"/>
        <v>0</v>
      </c>
      <c r="BW306" s="270">
        <f t="shared" si="2037"/>
        <v>0</v>
      </c>
      <c r="BX306" s="270">
        <f t="shared" si="2037"/>
        <v>-0.02</v>
      </c>
      <c r="BY306" s="270">
        <f t="shared" si="2037"/>
        <v>-0.05</v>
      </c>
      <c r="BZ306" s="270">
        <f t="shared" si="2037"/>
        <v>-0.06</v>
      </c>
      <c r="CA306" s="270">
        <f t="shared" si="2037"/>
        <v>0</v>
      </c>
      <c r="CB306" s="270">
        <f t="shared" si="2037"/>
        <v>0</v>
      </c>
      <c r="CC306" s="270">
        <f t="shared" si="2037"/>
        <v>0</v>
      </c>
      <c r="CD306" s="270">
        <f t="shared" si="2037"/>
        <v>0</v>
      </c>
      <c r="CE306" s="270">
        <f t="shared" si="2037"/>
        <v>0</v>
      </c>
      <c r="CF306" s="270">
        <f t="shared" si="2037"/>
        <v>0</v>
      </c>
      <c r="CG306" s="270">
        <f t="shared" si="2037"/>
        <v>0</v>
      </c>
      <c r="CH306" s="270">
        <f t="shared" si="2037"/>
        <v>0</v>
      </c>
      <c r="CI306" s="270">
        <f t="shared" si="2037"/>
        <v>0</v>
      </c>
      <c r="CJ306" s="270">
        <f t="shared" si="2037"/>
        <v>0</v>
      </c>
      <c r="CK306" s="270">
        <f t="shared" si="2037"/>
        <v>0</v>
      </c>
      <c r="CL306" s="270">
        <f t="shared" si="2037"/>
        <v>0</v>
      </c>
      <c r="CM306" s="270">
        <f t="shared" si="2037"/>
        <v>0</v>
      </c>
      <c r="CN306" s="270">
        <f t="shared" si="2037"/>
        <v>0</v>
      </c>
      <c r="CO306" s="270">
        <f t="shared" si="2037"/>
        <v>0</v>
      </c>
      <c r="CP306" s="270">
        <f t="shared" si="2037"/>
        <v>0</v>
      </c>
      <c r="CQ306" s="215"/>
      <c r="CR306" s="270">
        <f t="shared" si="27"/>
        <v>-0.13</v>
      </c>
      <c r="CS306" s="215"/>
      <c r="CT306" s="270">
        <f t="shared" ref="CT306:DX306" si="2038">IF(AI305&gt;0,IF((AI305+BN306)&lt;E$10,AI305+BN306,E$10),0)</f>
        <v>0</v>
      </c>
      <c r="CU306" s="270">
        <f t="shared" si="2038"/>
        <v>0</v>
      </c>
      <c r="CV306" s="270">
        <f t="shared" si="2038"/>
        <v>0</v>
      </c>
      <c r="CW306" s="270">
        <f t="shared" si="2038"/>
        <v>0</v>
      </c>
      <c r="CX306" s="270">
        <f t="shared" si="2038"/>
        <v>0</v>
      </c>
      <c r="CY306" s="270">
        <f t="shared" si="2038"/>
        <v>0</v>
      </c>
      <c r="CZ306" s="270">
        <f t="shared" si="2038"/>
        <v>0</v>
      </c>
      <c r="DA306" s="270">
        <f t="shared" si="2038"/>
        <v>0</v>
      </c>
      <c r="DB306" s="270">
        <f t="shared" si="2038"/>
        <v>0</v>
      </c>
      <c r="DC306" s="270">
        <f t="shared" si="2038"/>
        <v>0</v>
      </c>
      <c r="DD306" s="270">
        <f t="shared" si="2038"/>
        <v>0</v>
      </c>
      <c r="DE306" s="270">
        <f t="shared" si="2038"/>
        <v>0</v>
      </c>
      <c r="DF306" s="270">
        <f t="shared" si="2038"/>
        <v>0</v>
      </c>
      <c r="DG306" s="270">
        <f t="shared" si="2038"/>
        <v>0</v>
      </c>
      <c r="DH306" s="270">
        <f t="shared" si="2038"/>
        <v>0</v>
      </c>
      <c r="DI306" s="270">
        <f t="shared" si="2038"/>
        <v>0</v>
      </c>
      <c r="DJ306" s="270">
        <f t="shared" si="2038"/>
        <v>0</v>
      </c>
      <c r="DK306" s="270">
        <f t="shared" si="2038"/>
        <v>0</v>
      </c>
      <c r="DL306" s="270">
        <f t="shared" si="2038"/>
        <v>0</v>
      </c>
      <c r="DM306" s="270">
        <f t="shared" si="2038"/>
        <v>0</v>
      </c>
      <c r="DN306" s="270">
        <f t="shared" si="2038"/>
        <v>0</v>
      </c>
      <c r="DO306" s="270">
        <f t="shared" si="2038"/>
        <v>0</v>
      </c>
      <c r="DP306" s="270">
        <f t="shared" si="2038"/>
        <v>0</v>
      </c>
      <c r="DQ306" s="270">
        <f t="shared" si="2038"/>
        <v>0</v>
      </c>
      <c r="DR306" s="270">
        <f t="shared" si="2038"/>
        <v>0</v>
      </c>
      <c r="DS306" s="270">
        <f t="shared" si="2038"/>
        <v>0</v>
      </c>
      <c r="DT306" s="270">
        <f t="shared" si="2038"/>
        <v>0</v>
      </c>
      <c r="DU306" s="270">
        <f t="shared" si="2038"/>
        <v>0</v>
      </c>
      <c r="DV306" s="270">
        <f t="shared" si="2038"/>
        <v>0</v>
      </c>
      <c r="DW306" s="270">
        <f t="shared" si="2038"/>
        <v>0</v>
      </c>
      <c r="DX306" s="270">
        <f t="shared" si="2038"/>
        <v>0</v>
      </c>
      <c r="DY306" s="270">
        <f t="shared" si="29"/>
        <v>0</v>
      </c>
      <c r="DZ306" s="274"/>
      <c r="EA306" s="275">
        <f t="shared" si="38"/>
        <v>0</v>
      </c>
      <c r="EB306" s="270">
        <f t="shared" ref="EB306:FC306" si="2039">IF(AJ304&lt;=0,0,IF($C305&lt;=SUM($EA306:EA306),0,IF(CU305+$C305-SUM($EA306:EA306)&gt;AJ304+BO305,AJ304+BO305-CU305,$C305-SUM($EA306:EA306))))</f>
        <v>0</v>
      </c>
      <c r="EC306" s="270">
        <f t="shared" si="2039"/>
        <v>0</v>
      </c>
      <c r="ED306" s="270">
        <f t="shared" si="2039"/>
        <v>0</v>
      </c>
      <c r="EE306" s="270">
        <f t="shared" si="2039"/>
        <v>0</v>
      </c>
      <c r="EF306" s="270">
        <f t="shared" si="2039"/>
        <v>0</v>
      </c>
      <c r="EG306" s="270">
        <f t="shared" si="2039"/>
        <v>0</v>
      </c>
      <c r="EH306" s="270">
        <f t="shared" si="2039"/>
        <v>0</v>
      </c>
      <c r="EI306" s="270">
        <f t="shared" si="2039"/>
        <v>0</v>
      </c>
      <c r="EJ306" s="270">
        <f t="shared" si="2039"/>
        <v>0</v>
      </c>
      <c r="EK306" s="270">
        <f t="shared" si="2039"/>
        <v>0</v>
      </c>
      <c r="EL306" s="270">
        <f t="shared" si="2039"/>
        <v>0</v>
      </c>
      <c r="EM306" s="270">
        <f t="shared" si="2039"/>
        <v>0</v>
      </c>
      <c r="EN306" s="270">
        <f t="shared" si="2039"/>
        <v>0</v>
      </c>
      <c r="EO306" s="270">
        <f t="shared" si="2039"/>
        <v>0</v>
      </c>
      <c r="EP306" s="270">
        <f t="shared" si="2039"/>
        <v>0</v>
      </c>
      <c r="EQ306" s="270">
        <f t="shared" si="2039"/>
        <v>0</v>
      </c>
      <c r="ER306" s="270">
        <f t="shared" si="2039"/>
        <v>0</v>
      </c>
      <c r="ES306" s="270">
        <f t="shared" si="2039"/>
        <v>0</v>
      </c>
      <c r="ET306" s="270">
        <f t="shared" si="2039"/>
        <v>0</v>
      </c>
      <c r="EU306" s="270">
        <f t="shared" si="2039"/>
        <v>0</v>
      </c>
      <c r="EV306" s="270">
        <f t="shared" si="2039"/>
        <v>0</v>
      </c>
      <c r="EW306" s="270">
        <f t="shared" si="2039"/>
        <v>0</v>
      </c>
      <c r="EX306" s="270">
        <f t="shared" si="2039"/>
        <v>0</v>
      </c>
      <c r="EY306" s="270">
        <f t="shared" si="2039"/>
        <v>0</v>
      </c>
      <c r="EZ306" s="270">
        <f t="shared" si="2039"/>
        <v>0</v>
      </c>
      <c r="FA306" s="270">
        <f t="shared" si="2039"/>
        <v>0</v>
      </c>
      <c r="FB306" s="270">
        <f t="shared" si="2039"/>
        <v>0</v>
      </c>
      <c r="FC306" s="270">
        <f t="shared" si="2039"/>
        <v>0</v>
      </c>
      <c r="FD306" s="271"/>
      <c r="FE306" s="271"/>
      <c r="FF306" s="271"/>
      <c r="FG306" s="215"/>
      <c r="FH306" s="215"/>
    </row>
    <row r="307" ht="11.25" customHeight="1">
      <c r="A307" s="215" t="str">
        <f t="shared" si="19"/>
        <v/>
      </c>
      <c r="B307" s="241" t="str">
        <f t="shared" si="600"/>
        <v>#N/A</v>
      </c>
      <c r="C307" s="271" t="str">
        <f>IF(A307="","",IF(Calculator!snowball,IF(($E$5-DY307)&lt;0,0,$E$5-DY307),0)+D307)</f>
        <v/>
      </c>
      <c r="D307" s="271"/>
      <c r="E307" s="270">
        <f t="shared" si="40"/>
        <v>0</v>
      </c>
      <c r="F307" s="270">
        <f t="shared" ref="F307:AG307" si="2040">CU307+EB308</f>
        <v>0</v>
      </c>
      <c r="G307" s="270">
        <f t="shared" si="2040"/>
        <v>0</v>
      </c>
      <c r="H307" s="270">
        <f t="shared" si="2040"/>
        <v>0</v>
      </c>
      <c r="I307" s="270">
        <f t="shared" si="2040"/>
        <v>0</v>
      </c>
      <c r="J307" s="270">
        <f t="shared" si="2040"/>
        <v>0</v>
      </c>
      <c r="K307" s="270">
        <f t="shared" si="2040"/>
        <v>0</v>
      </c>
      <c r="L307" s="270">
        <f t="shared" si="2040"/>
        <v>0</v>
      </c>
      <c r="M307" s="270">
        <f t="shared" si="2040"/>
        <v>0</v>
      </c>
      <c r="N307" s="270">
        <f t="shared" si="2040"/>
        <v>0</v>
      </c>
      <c r="O307" s="270">
        <f t="shared" si="2040"/>
        <v>0</v>
      </c>
      <c r="P307" s="272">
        <f t="shared" si="2040"/>
        <v>0</v>
      </c>
      <c r="Q307" s="272">
        <f t="shared" si="2040"/>
        <v>0</v>
      </c>
      <c r="R307" s="272">
        <f t="shared" si="2040"/>
        <v>0</v>
      </c>
      <c r="S307" s="272">
        <f t="shared" si="2040"/>
        <v>0</v>
      </c>
      <c r="T307" s="272">
        <f t="shared" si="2040"/>
        <v>0</v>
      </c>
      <c r="U307" s="270">
        <f t="shared" si="2040"/>
        <v>0</v>
      </c>
      <c r="V307" s="270">
        <f t="shared" si="2040"/>
        <v>0</v>
      </c>
      <c r="W307" s="270">
        <f t="shared" si="2040"/>
        <v>0</v>
      </c>
      <c r="X307" s="270">
        <f t="shared" si="2040"/>
        <v>0</v>
      </c>
      <c r="Y307" s="270">
        <f t="shared" si="2040"/>
        <v>0</v>
      </c>
      <c r="Z307" s="270">
        <f t="shared" si="2040"/>
        <v>0</v>
      </c>
      <c r="AA307" s="270">
        <f t="shared" si="2040"/>
        <v>0</v>
      </c>
      <c r="AB307" s="270">
        <f t="shared" si="2040"/>
        <v>0</v>
      </c>
      <c r="AC307" s="270">
        <f t="shared" si="2040"/>
        <v>0</v>
      </c>
      <c r="AD307" s="270">
        <f t="shared" si="2040"/>
        <v>0</v>
      </c>
      <c r="AE307" s="270">
        <f t="shared" si="2040"/>
        <v>0</v>
      </c>
      <c r="AF307" s="270">
        <f t="shared" si="2040"/>
        <v>0</v>
      </c>
      <c r="AG307" s="270">
        <f t="shared" si="2040"/>
        <v>0</v>
      </c>
      <c r="AH307" s="279">
        <f t="shared" si="602"/>
        <v>0</v>
      </c>
      <c r="AI307" s="270">
        <f t="shared" si="43"/>
        <v>0</v>
      </c>
      <c r="AJ307" s="270">
        <f t="shared" ref="AJ307:AO307" si="2041">IF(F$8=0,0,ROUND(AJ306-(F307-BO307),2))</f>
        <v>0</v>
      </c>
      <c r="AK307" s="270">
        <f t="shared" si="2041"/>
        <v>0</v>
      </c>
      <c r="AL307" s="270">
        <f t="shared" si="2041"/>
        <v>0</v>
      </c>
      <c r="AM307" s="270">
        <f t="shared" si="2041"/>
        <v>0</v>
      </c>
      <c r="AN307" s="270">
        <f t="shared" si="2041"/>
        <v>0</v>
      </c>
      <c r="AO307" s="270">
        <f t="shared" si="2041"/>
        <v>0</v>
      </c>
      <c r="AP307" s="270">
        <v>0.0</v>
      </c>
      <c r="AQ307" s="270">
        <f t="shared" ref="AQ307:AR307" si="2042">IF(M$8=0,0,ROUND(AQ306-(M307-BV307),2))</f>
        <v>0</v>
      </c>
      <c r="AR307" s="270">
        <f t="shared" si="2042"/>
        <v>0</v>
      </c>
      <c r="AS307" s="270">
        <f t="shared" si="1902"/>
        <v>-2.58</v>
      </c>
      <c r="AT307" s="270">
        <f t="shared" si="605"/>
        <v>-6.45</v>
      </c>
      <c r="AU307" s="270">
        <f t="shared" ref="AU307:BK307" si="2043">IF(Q$8=0,0,ROUND(AU306-(Q307-BY307),2))</f>
        <v>-18.38</v>
      </c>
      <c r="AV307" s="270">
        <f t="shared" si="2043"/>
        <v>0</v>
      </c>
      <c r="AW307" s="270">
        <f t="shared" si="2043"/>
        <v>0</v>
      </c>
      <c r="AX307" s="270">
        <f t="shared" si="2043"/>
        <v>0</v>
      </c>
      <c r="AY307" s="270">
        <f t="shared" si="2043"/>
        <v>0</v>
      </c>
      <c r="AZ307" s="270">
        <f t="shared" si="2043"/>
        <v>0</v>
      </c>
      <c r="BA307" s="270">
        <f t="shared" si="2043"/>
        <v>0</v>
      </c>
      <c r="BB307" s="270">
        <f t="shared" si="2043"/>
        <v>0</v>
      </c>
      <c r="BC307" s="270">
        <f t="shared" si="2043"/>
        <v>0</v>
      </c>
      <c r="BD307" s="270">
        <f t="shared" si="2043"/>
        <v>0</v>
      </c>
      <c r="BE307" s="270">
        <f t="shared" si="2043"/>
        <v>0</v>
      </c>
      <c r="BF307" s="270">
        <f t="shared" si="2043"/>
        <v>0</v>
      </c>
      <c r="BG307" s="270">
        <f t="shared" si="2043"/>
        <v>0</v>
      </c>
      <c r="BH307" s="270">
        <f t="shared" si="2043"/>
        <v>0</v>
      </c>
      <c r="BI307" s="270">
        <f t="shared" si="2043"/>
        <v>0</v>
      </c>
      <c r="BJ307" s="270">
        <f t="shared" si="2043"/>
        <v>0</v>
      </c>
      <c r="BK307" s="270">
        <f t="shared" si="2043"/>
        <v>0</v>
      </c>
      <c r="BL307" s="265">
        <f t="shared" si="16"/>
        <v>-27.41</v>
      </c>
      <c r="BM307" s="215"/>
      <c r="BN307" s="270">
        <f t="shared" ref="BN307:CP307" si="2044">ROUND(AI306*E$9/12,2)</f>
        <v>0</v>
      </c>
      <c r="BO307" s="270">
        <f t="shared" si="2044"/>
        <v>0</v>
      </c>
      <c r="BP307" s="270">
        <f t="shared" si="2044"/>
        <v>0</v>
      </c>
      <c r="BQ307" s="270">
        <f t="shared" si="2044"/>
        <v>0</v>
      </c>
      <c r="BR307" s="270">
        <f t="shared" si="2044"/>
        <v>0</v>
      </c>
      <c r="BS307" s="270">
        <f t="shared" si="2044"/>
        <v>0</v>
      </c>
      <c r="BT307" s="270">
        <f t="shared" si="2044"/>
        <v>0</v>
      </c>
      <c r="BU307" s="270">
        <f t="shared" si="2044"/>
        <v>0</v>
      </c>
      <c r="BV307" s="270">
        <f t="shared" si="2044"/>
        <v>0</v>
      </c>
      <c r="BW307" s="270">
        <f t="shared" si="2044"/>
        <v>0</v>
      </c>
      <c r="BX307" s="270">
        <f t="shared" si="2044"/>
        <v>-0.02</v>
      </c>
      <c r="BY307" s="270">
        <f t="shared" si="2044"/>
        <v>-0.05</v>
      </c>
      <c r="BZ307" s="270">
        <f t="shared" si="2044"/>
        <v>-0.06</v>
      </c>
      <c r="CA307" s="270">
        <f t="shared" si="2044"/>
        <v>0</v>
      </c>
      <c r="CB307" s="270">
        <f t="shared" si="2044"/>
        <v>0</v>
      </c>
      <c r="CC307" s="270">
        <f t="shared" si="2044"/>
        <v>0</v>
      </c>
      <c r="CD307" s="270">
        <f t="shared" si="2044"/>
        <v>0</v>
      </c>
      <c r="CE307" s="270">
        <f t="shared" si="2044"/>
        <v>0</v>
      </c>
      <c r="CF307" s="270">
        <f t="shared" si="2044"/>
        <v>0</v>
      </c>
      <c r="CG307" s="270">
        <f t="shared" si="2044"/>
        <v>0</v>
      </c>
      <c r="CH307" s="270">
        <f t="shared" si="2044"/>
        <v>0</v>
      </c>
      <c r="CI307" s="270">
        <f t="shared" si="2044"/>
        <v>0</v>
      </c>
      <c r="CJ307" s="270">
        <f t="shared" si="2044"/>
        <v>0</v>
      </c>
      <c r="CK307" s="270">
        <f t="shared" si="2044"/>
        <v>0</v>
      </c>
      <c r="CL307" s="270">
        <f t="shared" si="2044"/>
        <v>0</v>
      </c>
      <c r="CM307" s="270">
        <f t="shared" si="2044"/>
        <v>0</v>
      </c>
      <c r="CN307" s="270">
        <f t="shared" si="2044"/>
        <v>0</v>
      </c>
      <c r="CO307" s="270">
        <f t="shared" si="2044"/>
        <v>0</v>
      </c>
      <c r="CP307" s="270">
        <f t="shared" si="2044"/>
        <v>0</v>
      </c>
      <c r="CQ307" s="215"/>
      <c r="CR307" s="270">
        <f t="shared" si="27"/>
        <v>-0.13</v>
      </c>
      <c r="CS307" s="215"/>
      <c r="CT307" s="270">
        <f t="shared" ref="CT307:DX307" si="2045">IF(AI306&gt;0,IF((AI306+BN307)&lt;E$10,AI306+BN307,E$10),0)</f>
        <v>0</v>
      </c>
      <c r="CU307" s="270">
        <f t="shared" si="2045"/>
        <v>0</v>
      </c>
      <c r="CV307" s="270">
        <f t="shared" si="2045"/>
        <v>0</v>
      </c>
      <c r="CW307" s="270">
        <f t="shared" si="2045"/>
        <v>0</v>
      </c>
      <c r="CX307" s="270">
        <f t="shared" si="2045"/>
        <v>0</v>
      </c>
      <c r="CY307" s="270">
        <f t="shared" si="2045"/>
        <v>0</v>
      </c>
      <c r="CZ307" s="270">
        <f t="shared" si="2045"/>
        <v>0</v>
      </c>
      <c r="DA307" s="270">
        <f t="shared" si="2045"/>
        <v>0</v>
      </c>
      <c r="DB307" s="270">
        <f t="shared" si="2045"/>
        <v>0</v>
      </c>
      <c r="DC307" s="270">
        <f t="shared" si="2045"/>
        <v>0</v>
      </c>
      <c r="DD307" s="270">
        <f t="shared" si="2045"/>
        <v>0</v>
      </c>
      <c r="DE307" s="270">
        <f t="shared" si="2045"/>
        <v>0</v>
      </c>
      <c r="DF307" s="270">
        <f t="shared" si="2045"/>
        <v>0</v>
      </c>
      <c r="DG307" s="270">
        <f t="shared" si="2045"/>
        <v>0</v>
      </c>
      <c r="DH307" s="270">
        <f t="shared" si="2045"/>
        <v>0</v>
      </c>
      <c r="DI307" s="270">
        <f t="shared" si="2045"/>
        <v>0</v>
      </c>
      <c r="DJ307" s="270">
        <f t="shared" si="2045"/>
        <v>0</v>
      </c>
      <c r="DK307" s="270">
        <f t="shared" si="2045"/>
        <v>0</v>
      </c>
      <c r="DL307" s="270">
        <f t="shared" si="2045"/>
        <v>0</v>
      </c>
      <c r="DM307" s="270">
        <f t="shared" si="2045"/>
        <v>0</v>
      </c>
      <c r="DN307" s="270">
        <f t="shared" si="2045"/>
        <v>0</v>
      </c>
      <c r="DO307" s="270">
        <f t="shared" si="2045"/>
        <v>0</v>
      </c>
      <c r="DP307" s="270">
        <f t="shared" si="2045"/>
        <v>0</v>
      </c>
      <c r="DQ307" s="270">
        <f t="shared" si="2045"/>
        <v>0</v>
      </c>
      <c r="DR307" s="270">
        <f t="shared" si="2045"/>
        <v>0</v>
      </c>
      <c r="DS307" s="270">
        <f t="shared" si="2045"/>
        <v>0</v>
      </c>
      <c r="DT307" s="270">
        <f t="shared" si="2045"/>
        <v>0</v>
      </c>
      <c r="DU307" s="270">
        <f t="shared" si="2045"/>
        <v>0</v>
      </c>
      <c r="DV307" s="270">
        <f t="shared" si="2045"/>
        <v>0</v>
      </c>
      <c r="DW307" s="270">
        <f t="shared" si="2045"/>
        <v>0</v>
      </c>
      <c r="DX307" s="270">
        <f t="shared" si="2045"/>
        <v>0</v>
      </c>
      <c r="DY307" s="270">
        <f t="shared" si="29"/>
        <v>0</v>
      </c>
      <c r="DZ307" s="274"/>
      <c r="EA307" s="275">
        <f t="shared" si="38"/>
        <v>0</v>
      </c>
      <c r="EB307" s="270">
        <f t="shared" ref="EB307:FC307" si="2046">IF(AJ305&lt;=0,0,IF($C306&lt;=SUM($EA307:EA307),0,IF(CU306+$C306-SUM($EA307:EA307)&gt;AJ305+BO306,AJ305+BO306-CU306,$C306-SUM($EA307:EA307))))</f>
        <v>0</v>
      </c>
      <c r="EC307" s="270">
        <f t="shared" si="2046"/>
        <v>0</v>
      </c>
      <c r="ED307" s="270">
        <f t="shared" si="2046"/>
        <v>0</v>
      </c>
      <c r="EE307" s="270">
        <f t="shared" si="2046"/>
        <v>0</v>
      </c>
      <c r="EF307" s="270">
        <f t="shared" si="2046"/>
        <v>0</v>
      </c>
      <c r="EG307" s="270">
        <f t="shared" si="2046"/>
        <v>0</v>
      </c>
      <c r="EH307" s="270">
        <f t="shared" si="2046"/>
        <v>0</v>
      </c>
      <c r="EI307" s="270">
        <f t="shared" si="2046"/>
        <v>0</v>
      </c>
      <c r="EJ307" s="270">
        <f t="shared" si="2046"/>
        <v>0</v>
      </c>
      <c r="EK307" s="270">
        <f t="shared" si="2046"/>
        <v>0</v>
      </c>
      <c r="EL307" s="270">
        <f t="shared" si="2046"/>
        <v>0</v>
      </c>
      <c r="EM307" s="270">
        <f t="shared" si="2046"/>
        <v>0</v>
      </c>
      <c r="EN307" s="270">
        <f t="shared" si="2046"/>
        <v>0</v>
      </c>
      <c r="EO307" s="270">
        <f t="shared" si="2046"/>
        <v>0</v>
      </c>
      <c r="EP307" s="270">
        <f t="shared" si="2046"/>
        <v>0</v>
      </c>
      <c r="EQ307" s="270">
        <f t="shared" si="2046"/>
        <v>0</v>
      </c>
      <c r="ER307" s="270">
        <f t="shared" si="2046"/>
        <v>0</v>
      </c>
      <c r="ES307" s="270">
        <f t="shared" si="2046"/>
        <v>0</v>
      </c>
      <c r="ET307" s="270">
        <f t="shared" si="2046"/>
        <v>0</v>
      </c>
      <c r="EU307" s="270">
        <f t="shared" si="2046"/>
        <v>0</v>
      </c>
      <c r="EV307" s="270">
        <f t="shared" si="2046"/>
        <v>0</v>
      </c>
      <c r="EW307" s="270">
        <f t="shared" si="2046"/>
        <v>0</v>
      </c>
      <c r="EX307" s="270">
        <f t="shared" si="2046"/>
        <v>0</v>
      </c>
      <c r="EY307" s="270">
        <f t="shared" si="2046"/>
        <v>0</v>
      </c>
      <c r="EZ307" s="270">
        <f t="shared" si="2046"/>
        <v>0</v>
      </c>
      <c r="FA307" s="270">
        <f t="shared" si="2046"/>
        <v>0</v>
      </c>
      <c r="FB307" s="270">
        <f t="shared" si="2046"/>
        <v>0</v>
      </c>
      <c r="FC307" s="270">
        <f t="shared" si="2046"/>
        <v>0</v>
      </c>
      <c r="FD307" s="271"/>
      <c r="FE307" s="271"/>
      <c r="FF307" s="271"/>
      <c r="FG307" s="215"/>
      <c r="FH307" s="215"/>
    </row>
    <row r="308" ht="11.25" customHeight="1">
      <c r="A308" s="215" t="str">
        <f t="shared" si="19"/>
        <v/>
      </c>
      <c r="B308" s="241" t="str">
        <f t="shared" si="600"/>
        <v>#N/A</v>
      </c>
      <c r="C308" s="271" t="str">
        <f>IF(A308="","",IF(Calculator!snowball,IF(($E$5-DY308)&lt;0,0,$E$5-DY308),0)+D308)</f>
        <v/>
      </c>
      <c r="D308" s="271"/>
      <c r="E308" s="270">
        <f t="shared" si="40"/>
        <v>0</v>
      </c>
      <c r="F308" s="270">
        <f t="shared" ref="F308:AG308" si="2047">CU308+EB309</f>
        <v>0</v>
      </c>
      <c r="G308" s="270">
        <f t="shared" si="2047"/>
        <v>0</v>
      </c>
      <c r="H308" s="270">
        <f t="shared" si="2047"/>
        <v>0</v>
      </c>
      <c r="I308" s="270">
        <f t="shared" si="2047"/>
        <v>0</v>
      </c>
      <c r="J308" s="270">
        <f t="shared" si="2047"/>
        <v>0</v>
      </c>
      <c r="K308" s="270">
        <f t="shared" si="2047"/>
        <v>0</v>
      </c>
      <c r="L308" s="270">
        <f t="shared" si="2047"/>
        <v>0</v>
      </c>
      <c r="M308" s="270">
        <f t="shared" si="2047"/>
        <v>0</v>
      </c>
      <c r="N308" s="270">
        <f t="shared" si="2047"/>
        <v>0</v>
      </c>
      <c r="O308" s="270">
        <f t="shared" si="2047"/>
        <v>0</v>
      </c>
      <c r="P308" s="272">
        <f t="shared" si="2047"/>
        <v>0</v>
      </c>
      <c r="Q308" s="272">
        <f t="shared" si="2047"/>
        <v>0</v>
      </c>
      <c r="R308" s="272">
        <f t="shared" si="2047"/>
        <v>0</v>
      </c>
      <c r="S308" s="272">
        <f t="shared" si="2047"/>
        <v>0</v>
      </c>
      <c r="T308" s="272">
        <f t="shared" si="2047"/>
        <v>0</v>
      </c>
      <c r="U308" s="270">
        <f t="shared" si="2047"/>
        <v>0</v>
      </c>
      <c r="V308" s="270">
        <f t="shared" si="2047"/>
        <v>0</v>
      </c>
      <c r="W308" s="270">
        <f t="shared" si="2047"/>
        <v>0</v>
      </c>
      <c r="X308" s="270">
        <f t="shared" si="2047"/>
        <v>0</v>
      </c>
      <c r="Y308" s="270">
        <f t="shared" si="2047"/>
        <v>0</v>
      </c>
      <c r="Z308" s="270">
        <f t="shared" si="2047"/>
        <v>0</v>
      </c>
      <c r="AA308" s="270">
        <f t="shared" si="2047"/>
        <v>0</v>
      </c>
      <c r="AB308" s="270">
        <f t="shared" si="2047"/>
        <v>0</v>
      </c>
      <c r="AC308" s="270">
        <f t="shared" si="2047"/>
        <v>0</v>
      </c>
      <c r="AD308" s="270">
        <f t="shared" si="2047"/>
        <v>0</v>
      </c>
      <c r="AE308" s="270">
        <f t="shared" si="2047"/>
        <v>0</v>
      </c>
      <c r="AF308" s="270">
        <f t="shared" si="2047"/>
        <v>0</v>
      </c>
      <c r="AG308" s="270">
        <f t="shared" si="2047"/>
        <v>0</v>
      </c>
      <c r="AH308" s="279">
        <f t="shared" si="602"/>
        <v>0</v>
      </c>
      <c r="AI308" s="270">
        <f t="shared" si="43"/>
        <v>0</v>
      </c>
      <c r="AJ308" s="270">
        <f t="shared" ref="AJ308:AO308" si="2048">IF(F$8=0,0,ROUND(AJ307-(F308-BO308),2))</f>
        <v>0</v>
      </c>
      <c r="AK308" s="270">
        <f t="shared" si="2048"/>
        <v>0</v>
      </c>
      <c r="AL308" s="270">
        <f t="shared" si="2048"/>
        <v>0</v>
      </c>
      <c r="AM308" s="270">
        <f t="shared" si="2048"/>
        <v>0</v>
      </c>
      <c r="AN308" s="270">
        <f t="shared" si="2048"/>
        <v>0</v>
      </c>
      <c r="AO308" s="270">
        <f t="shared" si="2048"/>
        <v>0</v>
      </c>
      <c r="AP308" s="270">
        <v>0.0</v>
      </c>
      <c r="AQ308" s="270">
        <f t="shared" ref="AQ308:AR308" si="2049">IF(M$8=0,0,ROUND(AQ307-(M308-BV308),2))</f>
        <v>0</v>
      </c>
      <c r="AR308" s="270">
        <f t="shared" si="2049"/>
        <v>0</v>
      </c>
      <c r="AS308" s="270">
        <f t="shared" si="1902"/>
        <v>-2.71</v>
      </c>
      <c r="AT308" s="270">
        <f t="shared" si="605"/>
        <v>-6.47</v>
      </c>
      <c r="AU308" s="270">
        <f t="shared" ref="AU308:BK308" si="2050">IF(Q$8=0,0,ROUND(AU307-(Q308-BY308),2))</f>
        <v>-18.43</v>
      </c>
      <c r="AV308" s="270">
        <f t="shared" si="2050"/>
        <v>0</v>
      </c>
      <c r="AW308" s="270">
        <f t="shared" si="2050"/>
        <v>0</v>
      </c>
      <c r="AX308" s="270">
        <f t="shared" si="2050"/>
        <v>0</v>
      </c>
      <c r="AY308" s="270">
        <f t="shared" si="2050"/>
        <v>0</v>
      </c>
      <c r="AZ308" s="270">
        <f t="shared" si="2050"/>
        <v>0</v>
      </c>
      <c r="BA308" s="270">
        <f t="shared" si="2050"/>
        <v>0</v>
      </c>
      <c r="BB308" s="270">
        <f t="shared" si="2050"/>
        <v>0</v>
      </c>
      <c r="BC308" s="270">
        <f t="shared" si="2050"/>
        <v>0</v>
      </c>
      <c r="BD308" s="270">
        <f t="shared" si="2050"/>
        <v>0</v>
      </c>
      <c r="BE308" s="270">
        <f t="shared" si="2050"/>
        <v>0</v>
      </c>
      <c r="BF308" s="270">
        <f t="shared" si="2050"/>
        <v>0</v>
      </c>
      <c r="BG308" s="270">
        <f t="shared" si="2050"/>
        <v>0</v>
      </c>
      <c r="BH308" s="270">
        <f t="shared" si="2050"/>
        <v>0</v>
      </c>
      <c r="BI308" s="270">
        <f t="shared" si="2050"/>
        <v>0</v>
      </c>
      <c r="BJ308" s="270">
        <f t="shared" si="2050"/>
        <v>0</v>
      </c>
      <c r="BK308" s="270">
        <f t="shared" si="2050"/>
        <v>0</v>
      </c>
      <c r="BL308" s="265">
        <f t="shared" si="16"/>
        <v>-27.61</v>
      </c>
      <c r="BM308" s="215"/>
      <c r="BN308" s="270">
        <f t="shared" ref="BN308:CP308" si="2051">ROUND(AI307*E$9/12,2)</f>
        <v>0</v>
      </c>
      <c r="BO308" s="270">
        <f t="shared" si="2051"/>
        <v>0</v>
      </c>
      <c r="BP308" s="270">
        <f t="shared" si="2051"/>
        <v>0</v>
      </c>
      <c r="BQ308" s="270">
        <f t="shared" si="2051"/>
        <v>0</v>
      </c>
      <c r="BR308" s="270">
        <f t="shared" si="2051"/>
        <v>0</v>
      </c>
      <c r="BS308" s="270">
        <f t="shared" si="2051"/>
        <v>0</v>
      </c>
      <c r="BT308" s="270">
        <f t="shared" si="2051"/>
        <v>0</v>
      </c>
      <c r="BU308" s="270">
        <f t="shared" si="2051"/>
        <v>0</v>
      </c>
      <c r="BV308" s="270">
        <f t="shared" si="2051"/>
        <v>0</v>
      </c>
      <c r="BW308" s="270">
        <f t="shared" si="2051"/>
        <v>0</v>
      </c>
      <c r="BX308" s="270">
        <f t="shared" si="2051"/>
        <v>-0.02</v>
      </c>
      <c r="BY308" s="270">
        <f t="shared" si="2051"/>
        <v>-0.05</v>
      </c>
      <c r="BZ308" s="270">
        <f t="shared" si="2051"/>
        <v>-0.06</v>
      </c>
      <c r="CA308" s="270">
        <f t="shared" si="2051"/>
        <v>0</v>
      </c>
      <c r="CB308" s="270">
        <f t="shared" si="2051"/>
        <v>0</v>
      </c>
      <c r="CC308" s="270">
        <f t="shared" si="2051"/>
        <v>0</v>
      </c>
      <c r="CD308" s="270">
        <f t="shared" si="2051"/>
        <v>0</v>
      </c>
      <c r="CE308" s="270">
        <f t="shared" si="2051"/>
        <v>0</v>
      </c>
      <c r="CF308" s="270">
        <f t="shared" si="2051"/>
        <v>0</v>
      </c>
      <c r="CG308" s="270">
        <f t="shared" si="2051"/>
        <v>0</v>
      </c>
      <c r="CH308" s="270">
        <f t="shared" si="2051"/>
        <v>0</v>
      </c>
      <c r="CI308" s="270">
        <f t="shared" si="2051"/>
        <v>0</v>
      </c>
      <c r="CJ308" s="270">
        <f t="shared" si="2051"/>
        <v>0</v>
      </c>
      <c r="CK308" s="270">
        <f t="shared" si="2051"/>
        <v>0</v>
      </c>
      <c r="CL308" s="270">
        <f t="shared" si="2051"/>
        <v>0</v>
      </c>
      <c r="CM308" s="270">
        <f t="shared" si="2051"/>
        <v>0</v>
      </c>
      <c r="CN308" s="270">
        <f t="shared" si="2051"/>
        <v>0</v>
      </c>
      <c r="CO308" s="270">
        <f t="shared" si="2051"/>
        <v>0</v>
      </c>
      <c r="CP308" s="270">
        <f t="shared" si="2051"/>
        <v>0</v>
      </c>
      <c r="CQ308" s="215"/>
      <c r="CR308" s="270">
        <f t="shared" si="27"/>
        <v>-0.13</v>
      </c>
      <c r="CS308" s="215"/>
      <c r="CT308" s="270">
        <f t="shared" ref="CT308:DX308" si="2052">IF(AI307&gt;0,IF((AI307+BN308)&lt;E$10,AI307+BN308,E$10),0)</f>
        <v>0</v>
      </c>
      <c r="CU308" s="270">
        <f t="shared" si="2052"/>
        <v>0</v>
      </c>
      <c r="CV308" s="270">
        <f t="shared" si="2052"/>
        <v>0</v>
      </c>
      <c r="CW308" s="270">
        <f t="shared" si="2052"/>
        <v>0</v>
      </c>
      <c r="CX308" s="270">
        <f t="shared" si="2052"/>
        <v>0</v>
      </c>
      <c r="CY308" s="270">
        <f t="shared" si="2052"/>
        <v>0</v>
      </c>
      <c r="CZ308" s="270">
        <f t="shared" si="2052"/>
        <v>0</v>
      </c>
      <c r="DA308" s="270">
        <f t="shared" si="2052"/>
        <v>0</v>
      </c>
      <c r="DB308" s="270">
        <f t="shared" si="2052"/>
        <v>0</v>
      </c>
      <c r="DC308" s="270">
        <f t="shared" si="2052"/>
        <v>0</v>
      </c>
      <c r="DD308" s="270">
        <f t="shared" si="2052"/>
        <v>0</v>
      </c>
      <c r="DE308" s="270">
        <f t="shared" si="2052"/>
        <v>0</v>
      </c>
      <c r="DF308" s="270">
        <f t="shared" si="2052"/>
        <v>0</v>
      </c>
      <c r="DG308" s="270">
        <f t="shared" si="2052"/>
        <v>0</v>
      </c>
      <c r="DH308" s="270">
        <f t="shared" si="2052"/>
        <v>0</v>
      </c>
      <c r="DI308" s="270">
        <f t="shared" si="2052"/>
        <v>0</v>
      </c>
      <c r="DJ308" s="270">
        <f t="shared" si="2052"/>
        <v>0</v>
      </c>
      <c r="DK308" s="270">
        <f t="shared" si="2052"/>
        <v>0</v>
      </c>
      <c r="DL308" s="270">
        <f t="shared" si="2052"/>
        <v>0</v>
      </c>
      <c r="DM308" s="270">
        <f t="shared" si="2052"/>
        <v>0</v>
      </c>
      <c r="DN308" s="270">
        <f t="shared" si="2052"/>
        <v>0</v>
      </c>
      <c r="DO308" s="270">
        <f t="shared" si="2052"/>
        <v>0</v>
      </c>
      <c r="DP308" s="270">
        <f t="shared" si="2052"/>
        <v>0</v>
      </c>
      <c r="DQ308" s="270">
        <f t="shared" si="2052"/>
        <v>0</v>
      </c>
      <c r="DR308" s="270">
        <f t="shared" si="2052"/>
        <v>0</v>
      </c>
      <c r="DS308" s="270">
        <f t="shared" si="2052"/>
        <v>0</v>
      </c>
      <c r="DT308" s="270">
        <f t="shared" si="2052"/>
        <v>0</v>
      </c>
      <c r="DU308" s="270">
        <f t="shared" si="2052"/>
        <v>0</v>
      </c>
      <c r="DV308" s="270">
        <f t="shared" si="2052"/>
        <v>0</v>
      </c>
      <c r="DW308" s="270">
        <f t="shared" si="2052"/>
        <v>0</v>
      </c>
      <c r="DX308" s="270">
        <f t="shared" si="2052"/>
        <v>0</v>
      </c>
      <c r="DY308" s="270">
        <f t="shared" si="29"/>
        <v>0</v>
      </c>
      <c r="DZ308" s="274"/>
      <c r="EA308" s="275">
        <f t="shared" si="38"/>
        <v>0</v>
      </c>
      <c r="EB308" s="270">
        <f t="shared" ref="EB308:FC308" si="2053">IF(AJ306&lt;=0,0,IF($C307&lt;=SUM($EA308:EA308),0,IF(CU307+$C307-SUM($EA308:EA308)&gt;AJ306+BO307,AJ306+BO307-CU307,$C307-SUM($EA308:EA308))))</f>
        <v>0</v>
      </c>
      <c r="EC308" s="270">
        <f t="shared" si="2053"/>
        <v>0</v>
      </c>
      <c r="ED308" s="270">
        <f t="shared" si="2053"/>
        <v>0</v>
      </c>
      <c r="EE308" s="270">
        <f t="shared" si="2053"/>
        <v>0</v>
      </c>
      <c r="EF308" s="270">
        <f t="shared" si="2053"/>
        <v>0</v>
      </c>
      <c r="EG308" s="270">
        <f t="shared" si="2053"/>
        <v>0</v>
      </c>
      <c r="EH308" s="270">
        <f t="shared" si="2053"/>
        <v>0</v>
      </c>
      <c r="EI308" s="270">
        <f t="shared" si="2053"/>
        <v>0</v>
      </c>
      <c r="EJ308" s="270">
        <f t="shared" si="2053"/>
        <v>0</v>
      </c>
      <c r="EK308" s="270">
        <f t="shared" si="2053"/>
        <v>0</v>
      </c>
      <c r="EL308" s="270">
        <f t="shared" si="2053"/>
        <v>0</v>
      </c>
      <c r="EM308" s="270">
        <f t="shared" si="2053"/>
        <v>0</v>
      </c>
      <c r="EN308" s="270">
        <f t="shared" si="2053"/>
        <v>0</v>
      </c>
      <c r="EO308" s="270">
        <f t="shared" si="2053"/>
        <v>0</v>
      </c>
      <c r="EP308" s="270">
        <f t="shared" si="2053"/>
        <v>0</v>
      </c>
      <c r="EQ308" s="270">
        <f t="shared" si="2053"/>
        <v>0</v>
      </c>
      <c r="ER308" s="270">
        <f t="shared" si="2053"/>
        <v>0</v>
      </c>
      <c r="ES308" s="270">
        <f t="shared" si="2053"/>
        <v>0</v>
      </c>
      <c r="ET308" s="270">
        <f t="shared" si="2053"/>
        <v>0</v>
      </c>
      <c r="EU308" s="270">
        <f t="shared" si="2053"/>
        <v>0</v>
      </c>
      <c r="EV308" s="270">
        <f t="shared" si="2053"/>
        <v>0</v>
      </c>
      <c r="EW308" s="270">
        <f t="shared" si="2053"/>
        <v>0</v>
      </c>
      <c r="EX308" s="270">
        <f t="shared" si="2053"/>
        <v>0</v>
      </c>
      <c r="EY308" s="270">
        <f t="shared" si="2053"/>
        <v>0</v>
      </c>
      <c r="EZ308" s="270">
        <f t="shared" si="2053"/>
        <v>0</v>
      </c>
      <c r="FA308" s="270">
        <f t="shared" si="2053"/>
        <v>0</v>
      </c>
      <c r="FB308" s="270">
        <f t="shared" si="2053"/>
        <v>0</v>
      </c>
      <c r="FC308" s="270">
        <f t="shared" si="2053"/>
        <v>0</v>
      </c>
      <c r="FD308" s="271"/>
      <c r="FE308" s="271"/>
      <c r="FF308" s="271"/>
      <c r="FG308" s="215"/>
      <c r="FH308" s="215"/>
    </row>
    <row r="309" ht="11.25" customHeight="1">
      <c r="A309" s="215" t="str">
        <f t="shared" si="19"/>
        <v/>
      </c>
      <c r="B309" s="241" t="str">
        <f t="shared" si="600"/>
        <v>#N/A</v>
      </c>
      <c r="C309" s="271" t="str">
        <f>IF(A309="","",IF(Calculator!snowball,IF(($E$5-DY309)&lt;0,0,$E$5-DY309),0)+D309)</f>
        <v/>
      </c>
      <c r="D309" s="271"/>
      <c r="E309" s="270">
        <f t="shared" si="40"/>
        <v>0</v>
      </c>
      <c r="F309" s="270">
        <f t="shared" ref="F309:AG309" si="2054">CU309+EB310</f>
        <v>0</v>
      </c>
      <c r="G309" s="270">
        <f t="shared" si="2054"/>
        <v>0</v>
      </c>
      <c r="H309" s="270">
        <f t="shared" si="2054"/>
        <v>0</v>
      </c>
      <c r="I309" s="270">
        <f t="shared" si="2054"/>
        <v>0</v>
      </c>
      <c r="J309" s="270">
        <f t="shared" si="2054"/>
        <v>0</v>
      </c>
      <c r="K309" s="270">
        <f t="shared" si="2054"/>
        <v>0</v>
      </c>
      <c r="L309" s="270">
        <f t="shared" si="2054"/>
        <v>0</v>
      </c>
      <c r="M309" s="270">
        <f t="shared" si="2054"/>
        <v>0</v>
      </c>
      <c r="N309" s="270">
        <f t="shared" si="2054"/>
        <v>0</v>
      </c>
      <c r="O309" s="270">
        <f t="shared" si="2054"/>
        <v>0</v>
      </c>
      <c r="P309" s="272">
        <f t="shared" si="2054"/>
        <v>0</v>
      </c>
      <c r="Q309" s="272">
        <f t="shared" si="2054"/>
        <v>0</v>
      </c>
      <c r="R309" s="272">
        <f t="shared" si="2054"/>
        <v>0</v>
      </c>
      <c r="S309" s="272">
        <f t="shared" si="2054"/>
        <v>0</v>
      </c>
      <c r="T309" s="272">
        <f t="shared" si="2054"/>
        <v>0</v>
      </c>
      <c r="U309" s="270">
        <f t="shared" si="2054"/>
        <v>0</v>
      </c>
      <c r="V309" s="270">
        <f t="shared" si="2054"/>
        <v>0</v>
      </c>
      <c r="W309" s="270">
        <f t="shared" si="2054"/>
        <v>0</v>
      </c>
      <c r="X309" s="270">
        <f t="shared" si="2054"/>
        <v>0</v>
      </c>
      <c r="Y309" s="270">
        <f t="shared" si="2054"/>
        <v>0</v>
      </c>
      <c r="Z309" s="270">
        <f t="shared" si="2054"/>
        <v>0</v>
      </c>
      <c r="AA309" s="270">
        <f t="shared" si="2054"/>
        <v>0</v>
      </c>
      <c r="AB309" s="270">
        <f t="shared" si="2054"/>
        <v>0</v>
      </c>
      <c r="AC309" s="270">
        <f t="shared" si="2054"/>
        <v>0</v>
      </c>
      <c r="AD309" s="270">
        <f t="shared" si="2054"/>
        <v>0</v>
      </c>
      <c r="AE309" s="270">
        <f t="shared" si="2054"/>
        <v>0</v>
      </c>
      <c r="AF309" s="270">
        <f t="shared" si="2054"/>
        <v>0</v>
      </c>
      <c r="AG309" s="270">
        <f t="shared" si="2054"/>
        <v>0</v>
      </c>
      <c r="AH309" s="279">
        <f t="shared" si="602"/>
        <v>0</v>
      </c>
      <c r="AI309" s="270">
        <f t="shared" si="43"/>
        <v>0</v>
      </c>
      <c r="AJ309" s="270">
        <f t="shared" ref="AJ309:AO309" si="2055">IF(F$8=0,0,ROUND(AJ308-(F309-BO309),2))</f>
        <v>0</v>
      </c>
      <c r="AK309" s="270">
        <f t="shared" si="2055"/>
        <v>0</v>
      </c>
      <c r="AL309" s="270">
        <f t="shared" si="2055"/>
        <v>0</v>
      </c>
      <c r="AM309" s="270">
        <f t="shared" si="2055"/>
        <v>0</v>
      </c>
      <c r="AN309" s="270">
        <f t="shared" si="2055"/>
        <v>0</v>
      </c>
      <c r="AO309" s="270">
        <f t="shared" si="2055"/>
        <v>0</v>
      </c>
      <c r="AP309" s="270">
        <v>0.0</v>
      </c>
      <c r="AQ309" s="270">
        <f t="shared" ref="AQ309:AR309" si="2056">IF(M$8=0,0,ROUND(AQ308-(M309-BV309),2))</f>
        <v>0</v>
      </c>
      <c r="AR309" s="270">
        <f t="shared" si="2056"/>
        <v>0</v>
      </c>
      <c r="AS309" s="270">
        <f t="shared" si="1902"/>
        <v>-2.84</v>
      </c>
      <c r="AT309" s="270">
        <f t="shared" si="605"/>
        <v>-6.49</v>
      </c>
      <c r="AU309" s="270">
        <f t="shared" ref="AU309:BK309" si="2057">IF(Q$8=0,0,ROUND(AU308-(Q309-BY309),2))</f>
        <v>-18.48</v>
      </c>
      <c r="AV309" s="270">
        <f t="shared" si="2057"/>
        <v>0</v>
      </c>
      <c r="AW309" s="270">
        <f t="shared" si="2057"/>
        <v>0</v>
      </c>
      <c r="AX309" s="270">
        <f t="shared" si="2057"/>
        <v>0</v>
      </c>
      <c r="AY309" s="270">
        <f t="shared" si="2057"/>
        <v>0</v>
      </c>
      <c r="AZ309" s="270">
        <f t="shared" si="2057"/>
        <v>0</v>
      </c>
      <c r="BA309" s="270">
        <f t="shared" si="2057"/>
        <v>0</v>
      </c>
      <c r="BB309" s="270">
        <f t="shared" si="2057"/>
        <v>0</v>
      </c>
      <c r="BC309" s="270">
        <f t="shared" si="2057"/>
        <v>0</v>
      </c>
      <c r="BD309" s="270">
        <f t="shared" si="2057"/>
        <v>0</v>
      </c>
      <c r="BE309" s="270">
        <f t="shared" si="2057"/>
        <v>0</v>
      </c>
      <c r="BF309" s="270">
        <f t="shared" si="2057"/>
        <v>0</v>
      </c>
      <c r="BG309" s="270">
        <f t="shared" si="2057"/>
        <v>0</v>
      </c>
      <c r="BH309" s="270">
        <f t="shared" si="2057"/>
        <v>0</v>
      </c>
      <c r="BI309" s="270">
        <f t="shared" si="2057"/>
        <v>0</v>
      </c>
      <c r="BJ309" s="270">
        <f t="shared" si="2057"/>
        <v>0</v>
      </c>
      <c r="BK309" s="270">
        <f t="shared" si="2057"/>
        <v>0</v>
      </c>
      <c r="BL309" s="265">
        <f t="shared" si="16"/>
        <v>-27.81</v>
      </c>
      <c r="BM309" s="215"/>
      <c r="BN309" s="270">
        <f t="shared" ref="BN309:CP309" si="2058">ROUND(AI308*E$9/12,2)</f>
        <v>0</v>
      </c>
      <c r="BO309" s="270">
        <f t="shared" si="2058"/>
        <v>0</v>
      </c>
      <c r="BP309" s="270">
        <f t="shared" si="2058"/>
        <v>0</v>
      </c>
      <c r="BQ309" s="270">
        <f t="shared" si="2058"/>
        <v>0</v>
      </c>
      <c r="BR309" s="270">
        <f t="shared" si="2058"/>
        <v>0</v>
      </c>
      <c r="BS309" s="270">
        <f t="shared" si="2058"/>
        <v>0</v>
      </c>
      <c r="BT309" s="270">
        <f t="shared" si="2058"/>
        <v>0</v>
      </c>
      <c r="BU309" s="270">
        <f t="shared" si="2058"/>
        <v>0</v>
      </c>
      <c r="BV309" s="270">
        <f t="shared" si="2058"/>
        <v>0</v>
      </c>
      <c r="BW309" s="270">
        <f t="shared" si="2058"/>
        <v>0</v>
      </c>
      <c r="BX309" s="270">
        <f t="shared" si="2058"/>
        <v>-0.02</v>
      </c>
      <c r="BY309" s="270">
        <f t="shared" si="2058"/>
        <v>-0.05</v>
      </c>
      <c r="BZ309" s="270">
        <f t="shared" si="2058"/>
        <v>-0.06</v>
      </c>
      <c r="CA309" s="270">
        <f t="shared" si="2058"/>
        <v>0</v>
      </c>
      <c r="CB309" s="270">
        <f t="shared" si="2058"/>
        <v>0</v>
      </c>
      <c r="CC309" s="270">
        <f t="shared" si="2058"/>
        <v>0</v>
      </c>
      <c r="CD309" s="270">
        <f t="shared" si="2058"/>
        <v>0</v>
      </c>
      <c r="CE309" s="270">
        <f t="shared" si="2058"/>
        <v>0</v>
      </c>
      <c r="CF309" s="270">
        <f t="shared" si="2058"/>
        <v>0</v>
      </c>
      <c r="CG309" s="270">
        <f t="shared" si="2058"/>
        <v>0</v>
      </c>
      <c r="CH309" s="270">
        <f t="shared" si="2058"/>
        <v>0</v>
      </c>
      <c r="CI309" s="270">
        <f t="shared" si="2058"/>
        <v>0</v>
      </c>
      <c r="CJ309" s="270">
        <f t="shared" si="2058"/>
        <v>0</v>
      </c>
      <c r="CK309" s="270">
        <f t="shared" si="2058"/>
        <v>0</v>
      </c>
      <c r="CL309" s="270">
        <f t="shared" si="2058"/>
        <v>0</v>
      </c>
      <c r="CM309" s="270">
        <f t="shared" si="2058"/>
        <v>0</v>
      </c>
      <c r="CN309" s="270">
        <f t="shared" si="2058"/>
        <v>0</v>
      </c>
      <c r="CO309" s="270">
        <f t="shared" si="2058"/>
        <v>0</v>
      </c>
      <c r="CP309" s="270">
        <f t="shared" si="2058"/>
        <v>0</v>
      </c>
      <c r="CQ309" s="215"/>
      <c r="CR309" s="270">
        <f t="shared" si="27"/>
        <v>-0.13</v>
      </c>
      <c r="CS309" s="215"/>
      <c r="CT309" s="270">
        <f t="shared" ref="CT309:DX309" si="2059">IF(AI308&gt;0,IF((AI308+BN309)&lt;E$10,AI308+BN309,E$10),0)</f>
        <v>0</v>
      </c>
      <c r="CU309" s="270">
        <f t="shared" si="2059"/>
        <v>0</v>
      </c>
      <c r="CV309" s="270">
        <f t="shared" si="2059"/>
        <v>0</v>
      </c>
      <c r="CW309" s="270">
        <f t="shared" si="2059"/>
        <v>0</v>
      </c>
      <c r="CX309" s="270">
        <f t="shared" si="2059"/>
        <v>0</v>
      </c>
      <c r="CY309" s="270">
        <f t="shared" si="2059"/>
        <v>0</v>
      </c>
      <c r="CZ309" s="270">
        <f t="shared" si="2059"/>
        <v>0</v>
      </c>
      <c r="DA309" s="270">
        <f t="shared" si="2059"/>
        <v>0</v>
      </c>
      <c r="DB309" s="270">
        <f t="shared" si="2059"/>
        <v>0</v>
      </c>
      <c r="DC309" s="270">
        <f t="shared" si="2059"/>
        <v>0</v>
      </c>
      <c r="DD309" s="270">
        <f t="shared" si="2059"/>
        <v>0</v>
      </c>
      <c r="DE309" s="270">
        <f t="shared" si="2059"/>
        <v>0</v>
      </c>
      <c r="DF309" s="270">
        <f t="shared" si="2059"/>
        <v>0</v>
      </c>
      <c r="DG309" s="270">
        <f t="shared" si="2059"/>
        <v>0</v>
      </c>
      <c r="DH309" s="270">
        <f t="shared" si="2059"/>
        <v>0</v>
      </c>
      <c r="DI309" s="270">
        <f t="shared" si="2059"/>
        <v>0</v>
      </c>
      <c r="DJ309" s="270">
        <f t="shared" si="2059"/>
        <v>0</v>
      </c>
      <c r="DK309" s="270">
        <f t="shared" si="2059"/>
        <v>0</v>
      </c>
      <c r="DL309" s="270">
        <f t="shared" si="2059"/>
        <v>0</v>
      </c>
      <c r="DM309" s="270">
        <f t="shared" si="2059"/>
        <v>0</v>
      </c>
      <c r="DN309" s="270">
        <f t="shared" si="2059"/>
        <v>0</v>
      </c>
      <c r="DO309" s="270">
        <f t="shared" si="2059"/>
        <v>0</v>
      </c>
      <c r="DP309" s="270">
        <f t="shared" si="2059"/>
        <v>0</v>
      </c>
      <c r="DQ309" s="270">
        <f t="shared" si="2059"/>
        <v>0</v>
      </c>
      <c r="DR309" s="270">
        <f t="shared" si="2059"/>
        <v>0</v>
      </c>
      <c r="DS309" s="270">
        <f t="shared" si="2059"/>
        <v>0</v>
      </c>
      <c r="DT309" s="270">
        <f t="shared" si="2059"/>
        <v>0</v>
      </c>
      <c r="DU309" s="270">
        <f t="shared" si="2059"/>
        <v>0</v>
      </c>
      <c r="DV309" s="270">
        <f t="shared" si="2059"/>
        <v>0</v>
      </c>
      <c r="DW309" s="270">
        <f t="shared" si="2059"/>
        <v>0</v>
      </c>
      <c r="DX309" s="270">
        <f t="shared" si="2059"/>
        <v>0</v>
      </c>
      <c r="DY309" s="270">
        <f t="shared" si="29"/>
        <v>0</v>
      </c>
      <c r="DZ309" s="274"/>
      <c r="EA309" s="275">
        <f t="shared" si="38"/>
        <v>0</v>
      </c>
      <c r="EB309" s="270">
        <f t="shared" ref="EB309:FC309" si="2060">IF(AJ307&lt;=0,0,IF($C308&lt;=SUM($EA309:EA309),0,IF(CU308+$C308-SUM($EA309:EA309)&gt;AJ307+BO308,AJ307+BO308-CU308,$C308-SUM($EA309:EA309))))</f>
        <v>0</v>
      </c>
      <c r="EC309" s="270">
        <f t="shared" si="2060"/>
        <v>0</v>
      </c>
      <c r="ED309" s="270">
        <f t="shared" si="2060"/>
        <v>0</v>
      </c>
      <c r="EE309" s="270">
        <f t="shared" si="2060"/>
        <v>0</v>
      </c>
      <c r="EF309" s="270">
        <f t="shared" si="2060"/>
        <v>0</v>
      </c>
      <c r="EG309" s="270">
        <f t="shared" si="2060"/>
        <v>0</v>
      </c>
      <c r="EH309" s="270">
        <f t="shared" si="2060"/>
        <v>0</v>
      </c>
      <c r="EI309" s="270">
        <f t="shared" si="2060"/>
        <v>0</v>
      </c>
      <c r="EJ309" s="270">
        <f t="shared" si="2060"/>
        <v>0</v>
      </c>
      <c r="EK309" s="270">
        <f t="shared" si="2060"/>
        <v>0</v>
      </c>
      <c r="EL309" s="270">
        <f t="shared" si="2060"/>
        <v>0</v>
      </c>
      <c r="EM309" s="270">
        <f t="shared" si="2060"/>
        <v>0</v>
      </c>
      <c r="EN309" s="270">
        <f t="shared" si="2060"/>
        <v>0</v>
      </c>
      <c r="EO309" s="270">
        <f t="shared" si="2060"/>
        <v>0</v>
      </c>
      <c r="EP309" s="270">
        <f t="shared" si="2060"/>
        <v>0</v>
      </c>
      <c r="EQ309" s="270">
        <f t="shared" si="2060"/>
        <v>0</v>
      </c>
      <c r="ER309" s="270">
        <f t="shared" si="2060"/>
        <v>0</v>
      </c>
      <c r="ES309" s="270">
        <f t="shared" si="2060"/>
        <v>0</v>
      </c>
      <c r="ET309" s="270">
        <f t="shared" si="2060"/>
        <v>0</v>
      </c>
      <c r="EU309" s="270">
        <f t="shared" si="2060"/>
        <v>0</v>
      </c>
      <c r="EV309" s="270">
        <f t="shared" si="2060"/>
        <v>0</v>
      </c>
      <c r="EW309" s="270">
        <f t="shared" si="2060"/>
        <v>0</v>
      </c>
      <c r="EX309" s="270">
        <f t="shared" si="2060"/>
        <v>0</v>
      </c>
      <c r="EY309" s="270">
        <f t="shared" si="2060"/>
        <v>0</v>
      </c>
      <c r="EZ309" s="270">
        <f t="shared" si="2060"/>
        <v>0</v>
      </c>
      <c r="FA309" s="270">
        <f t="shared" si="2060"/>
        <v>0</v>
      </c>
      <c r="FB309" s="270">
        <f t="shared" si="2060"/>
        <v>0</v>
      </c>
      <c r="FC309" s="270">
        <f t="shared" si="2060"/>
        <v>0</v>
      </c>
      <c r="FD309" s="271"/>
      <c r="FE309" s="271"/>
      <c r="FF309" s="271"/>
      <c r="FG309" s="215"/>
      <c r="FH309" s="215"/>
    </row>
    <row r="310" ht="11.25" customHeight="1">
      <c r="A310" s="215" t="str">
        <f t="shared" si="19"/>
        <v/>
      </c>
      <c r="B310" s="241" t="str">
        <f t="shared" si="600"/>
        <v>#N/A</v>
      </c>
      <c r="C310" s="271" t="str">
        <f>IF(A310="","",IF(Calculator!snowball,IF(($E$5-DY310)&lt;0,0,$E$5-DY310),0)+D310)</f>
        <v/>
      </c>
      <c r="D310" s="271"/>
      <c r="E310" s="270">
        <f t="shared" si="40"/>
        <v>0</v>
      </c>
      <c r="F310" s="270">
        <f t="shared" ref="F310:AG310" si="2061">CU310+EB311</f>
        <v>0</v>
      </c>
      <c r="G310" s="270">
        <f t="shared" si="2061"/>
        <v>0</v>
      </c>
      <c r="H310" s="270">
        <f t="shared" si="2061"/>
        <v>0</v>
      </c>
      <c r="I310" s="270">
        <f t="shared" si="2061"/>
        <v>0</v>
      </c>
      <c r="J310" s="270">
        <f t="shared" si="2061"/>
        <v>0</v>
      </c>
      <c r="K310" s="270">
        <f t="shared" si="2061"/>
        <v>0</v>
      </c>
      <c r="L310" s="270">
        <f t="shared" si="2061"/>
        <v>0</v>
      </c>
      <c r="M310" s="270">
        <f t="shared" si="2061"/>
        <v>0</v>
      </c>
      <c r="N310" s="270">
        <f t="shared" si="2061"/>
        <v>0</v>
      </c>
      <c r="O310" s="270">
        <f t="shared" si="2061"/>
        <v>0</v>
      </c>
      <c r="P310" s="272">
        <f t="shared" si="2061"/>
        <v>0</v>
      </c>
      <c r="Q310" s="272">
        <f t="shared" si="2061"/>
        <v>0</v>
      </c>
      <c r="R310" s="272">
        <f t="shared" si="2061"/>
        <v>0</v>
      </c>
      <c r="S310" s="272">
        <f t="shared" si="2061"/>
        <v>0</v>
      </c>
      <c r="T310" s="272">
        <f t="shared" si="2061"/>
        <v>0</v>
      </c>
      <c r="U310" s="270">
        <f t="shared" si="2061"/>
        <v>0</v>
      </c>
      <c r="V310" s="270">
        <f t="shared" si="2061"/>
        <v>0</v>
      </c>
      <c r="W310" s="270">
        <f t="shared" si="2061"/>
        <v>0</v>
      </c>
      <c r="X310" s="270">
        <f t="shared" si="2061"/>
        <v>0</v>
      </c>
      <c r="Y310" s="270">
        <f t="shared" si="2061"/>
        <v>0</v>
      </c>
      <c r="Z310" s="270">
        <f t="shared" si="2061"/>
        <v>0</v>
      </c>
      <c r="AA310" s="270">
        <f t="shared" si="2061"/>
        <v>0</v>
      </c>
      <c r="AB310" s="270">
        <f t="shared" si="2061"/>
        <v>0</v>
      </c>
      <c r="AC310" s="270">
        <f t="shared" si="2061"/>
        <v>0</v>
      </c>
      <c r="AD310" s="270">
        <f t="shared" si="2061"/>
        <v>0</v>
      </c>
      <c r="AE310" s="270">
        <f t="shared" si="2061"/>
        <v>0</v>
      </c>
      <c r="AF310" s="270">
        <f t="shared" si="2061"/>
        <v>0</v>
      </c>
      <c r="AG310" s="270">
        <f t="shared" si="2061"/>
        <v>0</v>
      </c>
      <c r="AH310" s="279">
        <f t="shared" si="602"/>
        <v>0</v>
      </c>
      <c r="AI310" s="270">
        <f t="shared" si="43"/>
        <v>0</v>
      </c>
      <c r="AJ310" s="270">
        <f t="shared" ref="AJ310:AO310" si="2062">IF(F$8=0,0,ROUND(AJ309-(F310-BO310),2))</f>
        <v>0</v>
      </c>
      <c r="AK310" s="270">
        <f t="shared" si="2062"/>
        <v>0</v>
      </c>
      <c r="AL310" s="270">
        <f t="shared" si="2062"/>
        <v>0</v>
      </c>
      <c r="AM310" s="270">
        <f t="shared" si="2062"/>
        <v>0</v>
      </c>
      <c r="AN310" s="270">
        <f t="shared" si="2062"/>
        <v>0</v>
      </c>
      <c r="AO310" s="270">
        <f t="shared" si="2062"/>
        <v>0</v>
      </c>
      <c r="AP310" s="270">
        <v>0.0</v>
      </c>
      <c r="AQ310" s="270">
        <f t="shared" ref="AQ310:AR310" si="2063">IF(M$8=0,0,ROUND(AQ309-(M310-BV310),2))</f>
        <v>0</v>
      </c>
      <c r="AR310" s="270">
        <f t="shared" si="2063"/>
        <v>0</v>
      </c>
      <c r="AS310" s="270">
        <f t="shared" si="1902"/>
        <v>-2.98</v>
      </c>
      <c r="AT310" s="270">
        <f t="shared" si="605"/>
        <v>-6.52</v>
      </c>
      <c r="AU310" s="270">
        <f t="shared" ref="AU310:BK310" si="2064">IF(Q$8=0,0,ROUND(AU309-(Q310-BY310),2))</f>
        <v>-18.53</v>
      </c>
      <c r="AV310" s="270">
        <f t="shared" si="2064"/>
        <v>0</v>
      </c>
      <c r="AW310" s="270">
        <f t="shared" si="2064"/>
        <v>0</v>
      </c>
      <c r="AX310" s="270">
        <f t="shared" si="2064"/>
        <v>0</v>
      </c>
      <c r="AY310" s="270">
        <f t="shared" si="2064"/>
        <v>0</v>
      </c>
      <c r="AZ310" s="270">
        <f t="shared" si="2064"/>
        <v>0</v>
      </c>
      <c r="BA310" s="270">
        <f t="shared" si="2064"/>
        <v>0</v>
      </c>
      <c r="BB310" s="270">
        <f t="shared" si="2064"/>
        <v>0</v>
      </c>
      <c r="BC310" s="270">
        <f t="shared" si="2064"/>
        <v>0</v>
      </c>
      <c r="BD310" s="270">
        <f t="shared" si="2064"/>
        <v>0</v>
      </c>
      <c r="BE310" s="270">
        <f t="shared" si="2064"/>
        <v>0</v>
      </c>
      <c r="BF310" s="270">
        <f t="shared" si="2064"/>
        <v>0</v>
      </c>
      <c r="BG310" s="270">
        <f t="shared" si="2064"/>
        <v>0</v>
      </c>
      <c r="BH310" s="270">
        <f t="shared" si="2064"/>
        <v>0</v>
      </c>
      <c r="BI310" s="270">
        <f t="shared" si="2064"/>
        <v>0</v>
      </c>
      <c r="BJ310" s="270">
        <f t="shared" si="2064"/>
        <v>0</v>
      </c>
      <c r="BK310" s="270">
        <f t="shared" si="2064"/>
        <v>0</v>
      </c>
      <c r="BL310" s="265">
        <f t="shared" si="16"/>
        <v>-28.03</v>
      </c>
      <c r="BM310" s="215"/>
      <c r="BN310" s="270">
        <f t="shared" ref="BN310:CP310" si="2065">ROUND(AI309*E$9/12,2)</f>
        <v>0</v>
      </c>
      <c r="BO310" s="270">
        <f t="shared" si="2065"/>
        <v>0</v>
      </c>
      <c r="BP310" s="270">
        <f t="shared" si="2065"/>
        <v>0</v>
      </c>
      <c r="BQ310" s="270">
        <f t="shared" si="2065"/>
        <v>0</v>
      </c>
      <c r="BR310" s="270">
        <f t="shared" si="2065"/>
        <v>0</v>
      </c>
      <c r="BS310" s="270">
        <f t="shared" si="2065"/>
        <v>0</v>
      </c>
      <c r="BT310" s="270">
        <f t="shared" si="2065"/>
        <v>0</v>
      </c>
      <c r="BU310" s="270">
        <f t="shared" si="2065"/>
        <v>0</v>
      </c>
      <c r="BV310" s="270">
        <f t="shared" si="2065"/>
        <v>0</v>
      </c>
      <c r="BW310" s="270">
        <f t="shared" si="2065"/>
        <v>0</v>
      </c>
      <c r="BX310" s="270">
        <f t="shared" si="2065"/>
        <v>-0.03</v>
      </c>
      <c r="BY310" s="270">
        <f t="shared" si="2065"/>
        <v>-0.05</v>
      </c>
      <c r="BZ310" s="270">
        <f t="shared" si="2065"/>
        <v>-0.06</v>
      </c>
      <c r="CA310" s="270">
        <f t="shared" si="2065"/>
        <v>0</v>
      </c>
      <c r="CB310" s="270">
        <f t="shared" si="2065"/>
        <v>0</v>
      </c>
      <c r="CC310" s="270">
        <f t="shared" si="2065"/>
        <v>0</v>
      </c>
      <c r="CD310" s="270">
        <f t="shared" si="2065"/>
        <v>0</v>
      </c>
      <c r="CE310" s="270">
        <f t="shared" si="2065"/>
        <v>0</v>
      </c>
      <c r="CF310" s="270">
        <f t="shared" si="2065"/>
        <v>0</v>
      </c>
      <c r="CG310" s="270">
        <f t="shared" si="2065"/>
        <v>0</v>
      </c>
      <c r="CH310" s="270">
        <f t="shared" si="2065"/>
        <v>0</v>
      </c>
      <c r="CI310" s="270">
        <f t="shared" si="2065"/>
        <v>0</v>
      </c>
      <c r="CJ310" s="270">
        <f t="shared" si="2065"/>
        <v>0</v>
      </c>
      <c r="CK310" s="270">
        <f t="shared" si="2065"/>
        <v>0</v>
      </c>
      <c r="CL310" s="270">
        <f t="shared" si="2065"/>
        <v>0</v>
      </c>
      <c r="CM310" s="270">
        <f t="shared" si="2065"/>
        <v>0</v>
      </c>
      <c r="CN310" s="270">
        <f t="shared" si="2065"/>
        <v>0</v>
      </c>
      <c r="CO310" s="270">
        <f t="shared" si="2065"/>
        <v>0</v>
      </c>
      <c r="CP310" s="270">
        <f t="shared" si="2065"/>
        <v>0</v>
      </c>
      <c r="CQ310" s="215"/>
      <c r="CR310" s="270">
        <f t="shared" si="27"/>
        <v>-0.14</v>
      </c>
      <c r="CS310" s="215"/>
      <c r="CT310" s="270">
        <f t="shared" ref="CT310:DX310" si="2066">IF(AI309&gt;0,IF((AI309+BN310)&lt;E$10,AI309+BN310,E$10),0)</f>
        <v>0</v>
      </c>
      <c r="CU310" s="270">
        <f t="shared" si="2066"/>
        <v>0</v>
      </c>
      <c r="CV310" s="270">
        <f t="shared" si="2066"/>
        <v>0</v>
      </c>
      <c r="CW310" s="270">
        <f t="shared" si="2066"/>
        <v>0</v>
      </c>
      <c r="CX310" s="270">
        <f t="shared" si="2066"/>
        <v>0</v>
      </c>
      <c r="CY310" s="270">
        <f t="shared" si="2066"/>
        <v>0</v>
      </c>
      <c r="CZ310" s="270">
        <f t="shared" si="2066"/>
        <v>0</v>
      </c>
      <c r="DA310" s="270">
        <f t="shared" si="2066"/>
        <v>0</v>
      </c>
      <c r="DB310" s="270">
        <f t="shared" si="2066"/>
        <v>0</v>
      </c>
      <c r="DC310" s="270">
        <f t="shared" si="2066"/>
        <v>0</v>
      </c>
      <c r="DD310" s="270">
        <f t="shared" si="2066"/>
        <v>0</v>
      </c>
      <c r="DE310" s="270">
        <f t="shared" si="2066"/>
        <v>0</v>
      </c>
      <c r="DF310" s="270">
        <f t="shared" si="2066"/>
        <v>0</v>
      </c>
      <c r="DG310" s="270">
        <f t="shared" si="2066"/>
        <v>0</v>
      </c>
      <c r="DH310" s="270">
        <f t="shared" si="2066"/>
        <v>0</v>
      </c>
      <c r="DI310" s="270">
        <f t="shared" si="2066"/>
        <v>0</v>
      </c>
      <c r="DJ310" s="270">
        <f t="shared" si="2066"/>
        <v>0</v>
      </c>
      <c r="DK310" s="270">
        <f t="shared" si="2066"/>
        <v>0</v>
      </c>
      <c r="DL310" s="270">
        <f t="shared" si="2066"/>
        <v>0</v>
      </c>
      <c r="DM310" s="270">
        <f t="shared" si="2066"/>
        <v>0</v>
      </c>
      <c r="DN310" s="270">
        <f t="shared" si="2066"/>
        <v>0</v>
      </c>
      <c r="DO310" s="270">
        <f t="shared" si="2066"/>
        <v>0</v>
      </c>
      <c r="DP310" s="270">
        <f t="shared" si="2066"/>
        <v>0</v>
      </c>
      <c r="DQ310" s="270">
        <f t="shared" si="2066"/>
        <v>0</v>
      </c>
      <c r="DR310" s="270">
        <f t="shared" si="2066"/>
        <v>0</v>
      </c>
      <c r="DS310" s="270">
        <f t="shared" si="2066"/>
        <v>0</v>
      </c>
      <c r="DT310" s="270">
        <f t="shared" si="2066"/>
        <v>0</v>
      </c>
      <c r="DU310" s="270">
        <f t="shared" si="2066"/>
        <v>0</v>
      </c>
      <c r="DV310" s="270">
        <f t="shared" si="2066"/>
        <v>0</v>
      </c>
      <c r="DW310" s="270">
        <f t="shared" si="2066"/>
        <v>0</v>
      </c>
      <c r="DX310" s="270">
        <f t="shared" si="2066"/>
        <v>0</v>
      </c>
      <c r="DY310" s="270">
        <f t="shared" si="29"/>
        <v>0</v>
      </c>
      <c r="DZ310" s="274"/>
      <c r="EA310" s="275">
        <f t="shared" si="38"/>
        <v>0</v>
      </c>
      <c r="EB310" s="270">
        <f t="shared" ref="EB310:FC310" si="2067">IF(AJ308&lt;=0,0,IF($C309&lt;=SUM($EA310:EA310),0,IF(CU309+$C309-SUM($EA310:EA310)&gt;AJ308+BO309,AJ308+BO309-CU309,$C309-SUM($EA310:EA310))))</f>
        <v>0</v>
      </c>
      <c r="EC310" s="270">
        <f t="shared" si="2067"/>
        <v>0</v>
      </c>
      <c r="ED310" s="270">
        <f t="shared" si="2067"/>
        <v>0</v>
      </c>
      <c r="EE310" s="270">
        <f t="shared" si="2067"/>
        <v>0</v>
      </c>
      <c r="EF310" s="270">
        <f t="shared" si="2067"/>
        <v>0</v>
      </c>
      <c r="EG310" s="270">
        <f t="shared" si="2067"/>
        <v>0</v>
      </c>
      <c r="EH310" s="270">
        <f t="shared" si="2067"/>
        <v>0</v>
      </c>
      <c r="EI310" s="270">
        <f t="shared" si="2067"/>
        <v>0</v>
      </c>
      <c r="EJ310" s="270">
        <f t="shared" si="2067"/>
        <v>0</v>
      </c>
      <c r="EK310" s="270">
        <f t="shared" si="2067"/>
        <v>0</v>
      </c>
      <c r="EL310" s="270">
        <f t="shared" si="2067"/>
        <v>0</v>
      </c>
      <c r="EM310" s="270">
        <f t="shared" si="2067"/>
        <v>0</v>
      </c>
      <c r="EN310" s="270">
        <f t="shared" si="2067"/>
        <v>0</v>
      </c>
      <c r="EO310" s="270">
        <f t="shared" si="2067"/>
        <v>0</v>
      </c>
      <c r="EP310" s="270">
        <f t="shared" si="2067"/>
        <v>0</v>
      </c>
      <c r="EQ310" s="270">
        <f t="shared" si="2067"/>
        <v>0</v>
      </c>
      <c r="ER310" s="270">
        <f t="shared" si="2067"/>
        <v>0</v>
      </c>
      <c r="ES310" s="270">
        <f t="shared" si="2067"/>
        <v>0</v>
      </c>
      <c r="ET310" s="270">
        <f t="shared" si="2067"/>
        <v>0</v>
      </c>
      <c r="EU310" s="270">
        <f t="shared" si="2067"/>
        <v>0</v>
      </c>
      <c r="EV310" s="270">
        <f t="shared" si="2067"/>
        <v>0</v>
      </c>
      <c r="EW310" s="270">
        <f t="shared" si="2067"/>
        <v>0</v>
      </c>
      <c r="EX310" s="270">
        <f t="shared" si="2067"/>
        <v>0</v>
      </c>
      <c r="EY310" s="270">
        <f t="shared" si="2067"/>
        <v>0</v>
      </c>
      <c r="EZ310" s="270">
        <f t="shared" si="2067"/>
        <v>0</v>
      </c>
      <c r="FA310" s="270">
        <f t="shared" si="2067"/>
        <v>0</v>
      </c>
      <c r="FB310" s="270">
        <f t="shared" si="2067"/>
        <v>0</v>
      </c>
      <c r="FC310" s="270">
        <f t="shared" si="2067"/>
        <v>0</v>
      </c>
      <c r="FD310" s="271"/>
      <c r="FE310" s="271"/>
      <c r="FF310" s="271"/>
      <c r="FG310" s="215"/>
      <c r="FH310" s="215"/>
    </row>
    <row r="311" ht="11.25" customHeight="1">
      <c r="A311" s="215" t="str">
        <f t="shared" si="19"/>
        <v/>
      </c>
      <c r="B311" s="241" t="str">
        <f t="shared" si="600"/>
        <v>#N/A</v>
      </c>
      <c r="C311" s="271" t="str">
        <f>IF(A311="","",IF(Calculator!snowball,IF(($E$5-DY311)&lt;0,0,$E$5-DY311),0)+D311)</f>
        <v/>
      </c>
      <c r="D311" s="271"/>
      <c r="E311" s="270">
        <f t="shared" si="40"/>
        <v>0</v>
      </c>
      <c r="F311" s="270">
        <f t="shared" ref="F311:AG311" si="2068">CU311+EB312</f>
        <v>0</v>
      </c>
      <c r="G311" s="270">
        <f t="shared" si="2068"/>
        <v>0</v>
      </c>
      <c r="H311" s="270">
        <f t="shared" si="2068"/>
        <v>0</v>
      </c>
      <c r="I311" s="270">
        <f t="shared" si="2068"/>
        <v>0</v>
      </c>
      <c r="J311" s="270">
        <f t="shared" si="2068"/>
        <v>0</v>
      </c>
      <c r="K311" s="270">
        <f t="shared" si="2068"/>
        <v>0</v>
      </c>
      <c r="L311" s="270">
        <f t="shared" si="2068"/>
        <v>0</v>
      </c>
      <c r="M311" s="270">
        <f t="shared" si="2068"/>
        <v>0</v>
      </c>
      <c r="N311" s="270">
        <f t="shared" si="2068"/>
        <v>0</v>
      </c>
      <c r="O311" s="270">
        <f t="shared" si="2068"/>
        <v>0</v>
      </c>
      <c r="P311" s="272">
        <f t="shared" si="2068"/>
        <v>0</v>
      </c>
      <c r="Q311" s="272">
        <f t="shared" si="2068"/>
        <v>0</v>
      </c>
      <c r="R311" s="272">
        <f t="shared" si="2068"/>
        <v>0</v>
      </c>
      <c r="S311" s="272">
        <f t="shared" si="2068"/>
        <v>0</v>
      </c>
      <c r="T311" s="272">
        <f t="shared" si="2068"/>
        <v>0</v>
      </c>
      <c r="U311" s="270">
        <f t="shared" si="2068"/>
        <v>0</v>
      </c>
      <c r="V311" s="270">
        <f t="shared" si="2068"/>
        <v>0</v>
      </c>
      <c r="W311" s="270">
        <f t="shared" si="2068"/>
        <v>0</v>
      </c>
      <c r="X311" s="270">
        <f t="shared" si="2068"/>
        <v>0</v>
      </c>
      <c r="Y311" s="270">
        <f t="shared" si="2068"/>
        <v>0</v>
      </c>
      <c r="Z311" s="270">
        <f t="shared" si="2068"/>
        <v>0</v>
      </c>
      <c r="AA311" s="270">
        <f t="shared" si="2068"/>
        <v>0</v>
      </c>
      <c r="AB311" s="270">
        <f t="shared" si="2068"/>
        <v>0</v>
      </c>
      <c r="AC311" s="270">
        <f t="shared" si="2068"/>
        <v>0</v>
      </c>
      <c r="AD311" s="270">
        <f t="shared" si="2068"/>
        <v>0</v>
      </c>
      <c r="AE311" s="270">
        <f t="shared" si="2068"/>
        <v>0</v>
      </c>
      <c r="AF311" s="270">
        <f t="shared" si="2068"/>
        <v>0</v>
      </c>
      <c r="AG311" s="270">
        <f t="shared" si="2068"/>
        <v>0</v>
      </c>
      <c r="AH311" s="279">
        <f t="shared" si="602"/>
        <v>0</v>
      </c>
      <c r="AI311" s="270">
        <f t="shared" si="43"/>
        <v>0</v>
      </c>
      <c r="AJ311" s="270">
        <f t="shared" ref="AJ311:AO311" si="2069">IF(F$8=0,0,ROUND(AJ310-(F311-BO311),2))</f>
        <v>0</v>
      </c>
      <c r="AK311" s="270">
        <f t="shared" si="2069"/>
        <v>0</v>
      </c>
      <c r="AL311" s="270">
        <f t="shared" si="2069"/>
        <v>0</v>
      </c>
      <c r="AM311" s="270">
        <f t="shared" si="2069"/>
        <v>0</v>
      </c>
      <c r="AN311" s="270">
        <f t="shared" si="2069"/>
        <v>0</v>
      </c>
      <c r="AO311" s="270">
        <f t="shared" si="2069"/>
        <v>0</v>
      </c>
      <c r="AP311" s="270">
        <v>0.0</v>
      </c>
      <c r="AQ311" s="270">
        <f t="shared" ref="AQ311:AR311" si="2070">IF(M$8=0,0,ROUND(AQ310-(M311-BV311),2))</f>
        <v>0</v>
      </c>
      <c r="AR311" s="270">
        <f t="shared" si="2070"/>
        <v>0</v>
      </c>
      <c r="AS311" s="270">
        <f t="shared" si="1902"/>
        <v>-3.12</v>
      </c>
      <c r="AT311" s="270">
        <f t="shared" si="605"/>
        <v>-6.55</v>
      </c>
      <c r="AU311" s="270">
        <f t="shared" ref="AU311:BK311" si="2071">IF(Q$8=0,0,ROUND(AU310-(Q311-BY311),2))</f>
        <v>-18.58</v>
      </c>
      <c r="AV311" s="270">
        <f t="shared" si="2071"/>
        <v>0</v>
      </c>
      <c r="AW311" s="270">
        <f t="shared" si="2071"/>
        <v>0</v>
      </c>
      <c r="AX311" s="270">
        <f t="shared" si="2071"/>
        <v>0</v>
      </c>
      <c r="AY311" s="270">
        <f t="shared" si="2071"/>
        <v>0</v>
      </c>
      <c r="AZ311" s="270">
        <f t="shared" si="2071"/>
        <v>0</v>
      </c>
      <c r="BA311" s="270">
        <f t="shared" si="2071"/>
        <v>0</v>
      </c>
      <c r="BB311" s="270">
        <f t="shared" si="2071"/>
        <v>0</v>
      </c>
      <c r="BC311" s="270">
        <f t="shared" si="2071"/>
        <v>0</v>
      </c>
      <c r="BD311" s="270">
        <f t="shared" si="2071"/>
        <v>0</v>
      </c>
      <c r="BE311" s="270">
        <f t="shared" si="2071"/>
        <v>0</v>
      </c>
      <c r="BF311" s="270">
        <f t="shared" si="2071"/>
        <v>0</v>
      </c>
      <c r="BG311" s="270">
        <f t="shared" si="2071"/>
        <v>0</v>
      </c>
      <c r="BH311" s="270">
        <f t="shared" si="2071"/>
        <v>0</v>
      </c>
      <c r="BI311" s="270">
        <f t="shared" si="2071"/>
        <v>0</v>
      </c>
      <c r="BJ311" s="270">
        <f t="shared" si="2071"/>
        <v>0</v>
      </c>
      <c r="BK311" s="270">
        <f t="shared" si="2071"/>
        <v>0</v>
      </c>
      <c r="BL311" s="265">
        <f t="shared" si="16"/>
        <v>-28.25</v>
      </c>
      <c r="BM311" s="215"/>
      <c r="BN311" s="270">
        <f t="shared" ref="BN311:CP311" si="2072">ROUND(AI310*E$9/12,2)</f>
        <v>0</v>
      </c>
      <c r="BO311" s="270">
        <f t="shared" si="2072"/>
        <v>0</v>
      </c>
      <c r="BP311" s="270">
        <f t="shared" si="2072"/>
        <v>0</v>
      </c>
      <c r="BQ311" s="270">
        <f t="shared" si="2072"/>
        <v>0</v>
      </c>
      <c r="BR311" s="270">
        <f t="shared" si="2072"/>
        <v>0</v>
      </c>
      <c r="BS311" s="270">
        <f t="shared" si="2072"/>
        <v>0</v>
      </c>
      <c r="BT311" s="270">
        <f t="shared" si="2072"/>
        <v>0</v>
      </c>
      <c r="BU311" s="270">
        <f t="shared" si="2072"/>
        <v>0</v>
      </c>
      <c r="BV311" s="270">
        <f t="shared" si="2072"/>
        <v>0</v>
      </c>
      <c r="BW311" s="270">
        <f t="shared" si="2072"/>
        <v>0</v>
      </c>
      <c r="BX311" s="270">
        <f t="shared" si="2072"/>
        <v>-0.03</v>
      </c>
      <c r="BY311" s="270">
        <f t="shared" si="2072"/>
        <v>-0.05</v>
      </c>
      <c r="BZ311" s="270">
        <f t="shared" si="2072"/>
        <v>-0.06</v>
      </c>
      <c r="CA311" s="270">
        <f t="shared" si="2072"/>
        <v>0</v>
      </c>
      <c r="CB311" s="270">
        <f t="shared" si="2072"/>
        <v>0</v>
      </c>
      <c r="CC311" s="270">
        <f t="shared" si="2072"/>
        <v>0</v>
      </c>
      <c r="CD311" s="270">
        <f t="shared" si="2072"/>
        <v>0</v>
      </c>
      <c r="CE311" s="270">
        <f t="shared" si="2072"/>
        <v>0</v>
      </c>
      <c r="CF311" s="270">
        <f t="shared" si="2072"/>
        <v>0</v>
      </c>
      <c r="CG311" s="270">
        <f t="shared" si="2072"/>
        <v>0</v>
      </c>
      <c r="CH311" s="270">
        <f t="shared" si="2072"/>
        <v>0</v>
      </c>
      <c r="CI311" s="270">
        <f t="shared" si="2072"/>
        <v>0</v>
      </c>
      <c r="CJ311" s="270">
        <f t="shared" si="2072"/>
        <v>0</v>
      </c>
      <c r="CK311" s="270">
        <f t="shared" si="2072"/>
        <v>0</v>
      </c>
      <c r="CL311" s="270">
        <f t="shared" si="2072"/>
        <v>0</v>
      </c>
      <c r="CM311" s="270">
        <f t="shared" si="2072"/>
        <v>0</v>
      </c>
      <c r="CN311" s="270">
        <f t="shared" si="2072"/>
        <v>0</v>
      </c>
      <c r="CO311" s="270">
        <f t="shared" si="2072"/>
        <v>0</v>
      </c>
      <c r="CP311" s="270">
        <f t="shared" si="2072"/>
        <v>0</v>
      </c>
      <c r="CQ311" s="215"/>
      <c r="CR311" s="270">
        <f t="shared" si="27"/>
        <v>-0.14</v>
      </c>
      <c r="CS311" s="215"/>
      <c r="CT311" s="270">
        <f t="shared" ref="CT311:DX311" si="2073">IF(AI310&gt;0,IF((AI310+BN311)&lt;E$10,AI310+BN311,E$10),0)</f>
        <v>0</v>
      </c>
      <c r="CU311" s="270">
        <f t="shared" si="2073"/>
        <v>0</v>
      </c>
      <c r="CV311" s="270">
        <f t="shared" si="2073"/>
        <v>0</v>
      </c>
      <c r="CW311" s="270">
        <f t="shared" si="2073"/>
        <v>0</v>
      </c>
      <c r="CX311" s="270">
        <f t="shared" si="2073"/>
        <v>0</v>
      </c>
      <c r="CY311" s="270">
        <f t="shared" si="2073"/>
        <v>0</v>
      </c>
      <c r="CZ311" s="270">
        <f t="shared" si="2073"/>
        <v>0</v>
      </c>
      <c r="DA311" s="270">
        <f t="shared" si="2073"/>
        <v>0</v>
      </c>
      <c r="DB311" s="270">
        <f t="shared" si="2073"/>
        <v>0</v>
      </c>
      <c r="DC311" s="270">
        <f t="shared" si="2073"/>
        <v>0</v>
      </c>
      <c r="DD311" s="270">
        <f t="shared" si="2073"/>
        <v>0</v>
      </c>
      <c r="DE311" s="270">
        <f t="shared" si="2073"/>
        <v>0</v>
      </c>
      <c r="DF311" s="270">
        <f t="shared" si="2073"/>
        <v>0</v>
      </c>
      <c r="DG311" s="270">
        <f t="shared" si="2073"/>
        <v>0</v>
      </c>
      <c r="DH311" s="270">
        <f t="shared" si="2073"/>
        <v>0</v>
      </c>
      <c r="DI311" s="270">
        <f t="shared" si="2073"/>
        <v>0</v>
      </c>
      <c r="DJ311" s="270">
        <f t="shared" si="2073"/>
        <v>0</v>
      </c>
      <c r="DK311" s="270">
        <f t="shared" si="2073"/>
        <v>0</v>
      </c>
      <c r="DL311" s="270">
        <f t="shared" si="2073"/>
        <v>0</v>
      </c>
      <c r="DM311" s="270">
        <f t="shared" si="2073"/>
        <v>0</v>
      </c>
      <c r="DN311" s="270">
        <f t="shared" si="2073"/>
        <v>0</v>
      </c>
      <c r="DO311" s="270">
        <f t="shared" si="2073"/>
        <v>0</v>
      </c>
      <c r="DP311" s="270">
        <f t="shared" si="2073"/>
        <v>0</v>
      </c>
      <c r="DQ311" s="270">
        <f t="shared" si="2073"/>
        <v>0</v>
      </c>
      <c r="DR311" s="270">
        <f t="shared" si="2073"/>
        <v>0</v>
      </c>
      <c r="DS311" s="270">
        <f t="shared" si="2073"/>
        <v>0</v>
      </c>
      <c r="DT311" s="270">
        <f t="shared" si="2073"/>
        <v>0</v>
      </c>
      <c r="DU311" s="270">
        <f t="shared" si="2073"/>
        <v>0</v>
      </c>
      <c r="DV311" s="270">
        <f t="shared" si="2073"/>
        <v>0</v>
      </c>
      <c r="DW311" s="270">
        <f t="shared" si="2073"/>
        <v>0</v>
      </c>
      <c r="DX311" s="270">
        <f t="shared" si="2073"/>
        <v>0</v>
      </c>
      <c r="DY311" s="270">
        <f t="shared" si="29"/>
        <v>0</v>
      </c>
      <c r="DZ311" s="274"/>
      <c r="EA311" s="275">
        <f t="shared" si="38"/>
        <v>0</v>
      </c>
      <c r="EB311" s="270">
        <f t="shared" ref="EB311:FC311" si="2074">IF(AJ309&lt;=0,0,IF($C310&lt;=SUM($EA311:EA311),0,IF(CU310+$C310-SUM($EA311:EA311)&gt;AJ309+BO310,AJ309+BO310-CU310,$C310-SUM($EA311:EA311))))</f>
        <v>0</v>
      </c>
      <c r="EC311" s="270">
        <f t="shared" si="2074"/>
        <v>0</v>
      </c>
      <c r="ED311" s="270">
        <f t="shared" si="2074"/>
        <v>0</v>
      </c>
      <c r="EE311" s="270">
        <f t="shared" si="2074"/>
        <v>0</v>
      </c>
      <c r="EF311" s="270">
        <f t="shared" si="2074"/>
        <v>0</v>
      </c>
      <c r="EG311" s="270">
        <f t="shared" si="2074"/>
        <v>0</v>
      </c>
      <c r="EH311" s="270">
        <f t="shared" si="2074"/>
        <v>0</v>
      </c>
      <c r="EI311" s="270">
        <f t="shared" si="2074"/>
        <v>0</v>
      </c>
      <c r="EJ311" s="270">
        <f t="shared" si="2074"/>
        <v>0</v>
      </c>
      <c r="EK311" s="270">
        <f t="shared" si="2074"/>
        <v>0</v>
      </c>
      <c r="EL311" s="270">
        <f t="shared" si="2074"/>
        <v>0</v>
      </c>
      <c r="EM311" s="270">
        <f t="shared" si="2074"/>
        <v>0</v>
      </c>
      <c r="EN311" s="270">
        <f t="shared" si="2074"/>
        <v>0</v>
      </c>
      <c r="EO311" s="270">
        <f t="shared" si="2074"/>
        <v>0</v>
      </c>
      <c r="EP311" s="270">
        <f t="shared" si="2074"/>
        <v>0</v>
      </c>
      <c r="EQ311" s="270">
        <f t="shared" si="2074"/>
        <v>0</v>
      </c>
      <c r="ER311" s="270">
        <f t="shared" si="2074"/>
        <v>0</v>
      </c>
      <c r="ES311" s="270">
        <f t="shared" si="2074"/>
        <v>0</v>
      </c>
      <c r="ET311" s="270">
        <f t="shared" si="2074"/>
        <v>0</v>
      </c>
      <c r="EU311" s="270">
        <f t="shared" si="2074"/>
        <v>0</v>
      </c>
      <c r="EV311" s="270">
        <f t="shared" si="2074"/>
        <v>0</v>
      </c>
      <c r="EW311" s="270">
        <f t="shared" si="2074"/>
        <v>0</v>
      </c>
      <c r="EX311" s="270">
        <f t="shared" si="2074"/>
        <v>0</v>
      </c>
      <c r="EY311" s="270">
        <f t="shared" si="2074"/>
        <v>0</v>
      </c>
      <c r="EZ311" s="270">
        <f t="shared" si="2074"/>
        <v>0</v>
      </c>
      <c r="FA311" s="270">
        <f t="shared" si="2074"/>
        <v>0</v>
      </c>
      <c r="FB311" s="270">
        <f t="shared" si="2074"/>
        <v>0</v>
      </c>
      <c r="FC311" s="270">
        <f t="shared" si="2074"/>
        <v>0</v>
      </c>
      <c r="FD311" s="271"/>
      <c r="FE311" s="271"/>
      <c r="FF311" s="271"/>
      <c r="FG311" s="215"/>
      <c r="FH311" s="215"/>
    </row>
    <row r="312" ht="11.25" customHeight="1">
      <c r="A312" s="215" t="str">
        <f t="shared" si="19"/>
        <v/>
      </c>
      <c r="B312" s="241" t="str">
        <f t="shared" si="600"/>
        <v>#N/A</v>
      </c>
      <c r="C312" s="271" t="str">
        <f>IF(A312="","",IF(Calculator!snowball,IF(($E$5-DY312)&lt;0,0,$E$5-DY312),0)+D312)</f>
        <v/>
      </c>
      <c r="D312" s="271"/>
      <c r="E312" s="270">
        <f t="shared" si="40"/>
        <v>0</v>
      </c>
      <c r="F312" s="270">
        <f t="shared" ref="F312:AG312" si="2075">CU312+EB313</f>
        <v>0</v>
      </c>
      <c r="G312" s="270">
        <f t="shared" si="2075"/>
        <v>0</v>
      </c>
      <c r="H312" s="270">
        <f t="shared" si="2075"/>
        <v>0</v>
      </c>
      <c r="I312" s="270">
        <f t="shared" si="2075"/>
        <v>0</v>
      </c>
      <c r="J312" s="270">
        <f t="shared" si="2075"/>
        <v>0</v>
      </c>
      <c r="K312" s="270">
        <f t="shared" si="2075"/>
        <v>0</v>
      </c>
      <c r="L312" s="270">
        <f t="shared" si="2075"/>
        <v>0</v>
      </c>
      <c r="M312" s="270">
        <f t="shared" si="2075"/>
        <v>0</v>
      </c>
      <c r="N312" s="270">
        <f t="shared" si="2075"/>
        <v>0</v>
      </c>
      <c r="O312" s="270">
        <f t="shared" si="2075"/>
        <v>0</v>
      </c>
      <c r="P312" s="272">
        <f t="shared" si="2075"/>
        <v>0</v>
      </c>
      <c r="Q312" s="272">
        <f t="shared" si="2075"/>
        <v>0</v>
      </c>
      <c r="R312" s="272">
        <f t="shared" si="2075"/>
        <v>0</v>
      </c>
      <c r="S312" s="272">
        <f t="shared" si="2075"/>
        <v>0</v>
      </c>
      <c r="T312" s="272">
        <f t="shared" si="2075"/>
        <v>0</v>
      </c>
      <c r="U312" s="270">
        <f t="shared" si="2075"/>
        <v>0</v>
      </c>
      <c r="V312" s="270">
        <f t="shared" si="2075"/>
        <v>0</v>
      </c>
      <c r="W312" s="270">
        <f t="shared" si="2075"/>
        <v>0</v>
      </c>
      <c r="X312" s="270">
        <f t="shared" si="2075"/>
        <v>0</v>
      </c>
      <c r="Y312" s="270">
        <f t="shared" si="2075"/>
        <v>0</v>
      </c>
      <c r="Z312" s="270">
        <f t="shared" si="2075"/>
        <v>0</v>
      </c>
      <c r="AA312" s="270">
        <f t="shared" si="2075"/>
        <v>0</v>
      </c>
      <c r="AB312" s="270">
        <f t="shared" si="2075"/>
        <v>0</v>
      </c>
      <c r="AC312" s="270">
        <f t="shared" si="2075"/>
        <v>0</v>
      </c>
      <c r="AD312" s="270">
        <f t="shared" si="2075"/>
        <v>0</v>
      </c>
      <c r="AE312" s="270">
        <f t="shared" si="2075"/>
        <v>0</v>
      </c>
      <c r="AF312" s="270">
        <f t="shared" si="2075"/>
        <v>0</v>
      </c>
      <c r="AG312" s="270">
        <f t="shared" si="2075"/>
        <v>0</v>
      </c>
      <c r="AH312" s="279">
        <f t="shared" si="602"/>
        <v>0</v>
      </c>
      <c r="AI312" s="270">
        <f t="shared" si="43"/>
        <v>0</v>
      </c>
      <c r="AJ312" s="270">
        <f t="shared" ref="AJ312:AO312" si="2076">IF(F$8=0,0,ROUND(AJ311-(F312-BO312),2))</f>
        <v>0</v>
      </c>
      <c r="AK312" s="270">
        <f t="shared" si="2076"/>
        <v>0</v>
      </c>
      <c r="AL312" s="270">
        <f t="shared" si="2076"/>
        <v>0</v>
      </c>
      <c r="AM312" s="270">
        <f t="shared" si="2076"/>
        <v>0</v>
      </c>
      <c r="AN312" s="270">
        <f t="shared" si="2076"/>
        <v>0</v>
      </c>
      <c r="AO312" s="270">
        <f t="shared" si="2076"/>
        <v>0</v>
      </c>
      <c r="AP312" s="270">
        <v>0.0</v>
      </c>
      <c r="AQ312" s="270">
        <f t="shared" ref="AQ312:AR312" si="2077">IF(M$8=0,0,ROUND(AQ311-(M312-BV312),2))</f>
        <v>0</v>
      </c>
      <c r="AR312" s="270">
        <f t="shared" si="2077"/>
        <v>0</v>
      </c>
      <c r="AS312" s="270">
        <f t="shared" si="1902"/>
        <v>-3.26</v>
      </c>
      <c r="AT312" s="270">
        <f t="shared" si="605"/>
        <v>-6.58</v>
      </c>
      <c r="AU312" s="270">
        <f t="shared" ref="AU312:BK312" si="2078">IF(Q$8=0,0,ROUND(AU311-(Q312-BY312),2))</f>
        <v>-18.63</v>
      </c>
      <c r="AV312" s="270">
        <f t="shared" si="2078"/>
        <v>0</v>
      </c>
      <c r="AW312" s="270">
        <f t="shared" si="2078"/>
        <v>0</v>
      </c>
      <c r="AX312" s="270">
        <f t="shared" si="2078"/>
        <v>0</v>
      </c>
      <c r="AY312" s="270">
        <f t="shared" si="2078"/>
        <v>0</v>
      </c>
      <c r="AZ312" s="270">
        <f t="shared" si="2078"/>
        <v>0</v>
      </c>
      <c r="BA312" s="270">
        <f t="shared" si="2078"/>
        <v>0</v>
      </c>
      <c r="BB312" s="270">
        <f t="shared" si="2078"/>
        <v>0</v>
      </c>
      <c r="BC312" s="270">
        <f t="shared" si="2078"/>
        <v>0</v>
      </c>
      <c r="BD312" s="270">
        <f t="shared" si="2078"/>
        <v>0</v>
      </c>
      <c r="BE312" s="270">
        <f t="shared" si="2078"/>
        <v>0</v>
      </c>
      <c r="BF312" s="270">
        <f t="shared" si="2078"/>
        <v>0</v>
      </c>
      <c r="BG312" s="270">
        <f t="shared" si="2078"/>
        <v>0</v>
      </c>
      <c r="BH312" s="270">
        <f t="shared" si="2078"/>
        <v>0</v>
      </c>
      <c r="BI312" s="270">
        <f t="shared" si="2078"/>
        <v>0</v>
      </c>
      <c r="BJ312" s="270">
        <f t="shared" si="2078"/>
        <v>0</v>
      </c>
      <c r="BK312" s="270">
        <f t="shared" si="2078"/>
        <v>0</v>
      </c>
      <c r="BL312" s="265">
        <f t="shared" si="16"/>
        <v>-28.47</v>
      </c>
      <c r="BM312" s="215"/>
      <c r="BN312" s="270">
        <f t="shared" ref="BN312:CP312" si="2079">ROUND(AI311*E$9/12,2)</f>
        <v>0</v>
      </c>
      <c r="BO312" s="270">
        <f t="shared" si="2079"/>
        <v>0</v>
      </c>
      <c r="BP312" s="270">
        <f t="shared" si="2079"/>
        <v>0</v>
      </c>
      <c r="BQ312" s="270">
        <f t="shared" si="2079"/>
        <v>0</v>
      </c>
      <c r="BR312" s="270">
        <f t="shared" si="2079"/>
        <v>0</v>
      </c>
      <c r="BS312" s="270">
        <f t="shared" si="2079"/>
        <v>0</v>
      </c>
      <c r="BT312" s="270">
        <f t="shared" si="2079"/>
        <v>0</v>
      </c>
      <c r="BU312" s="270">
        <f t="shared" si="2079"/>
        <v>0</v>
      </c>
      <c r="BV312" s="270">
        <f t="shared" si="2079"/>
        <v>0</v>
      </c>
      <c r="BW312" s="270">
        <f t="shared" si="2079"/>
        <v>0</v>
      </c>
      <c r="BX312" s="270">
        <f t="shared" si="2079"/>
        <v>-0.03</v>
      </c>
      <c r="BY312" s="270">
        <f t="shared" si="2079"/>
        <v>-0.05</v>
      </c>
      <c r="BZ312" s="270">
        <f t="shared" si="2079"/>
        <v>-0.06</v>
      </c>
      <c r="CA312" s="270">
        <f t="shared" si="2079"/>
        <v>0</v>
      </c>
      <c r="CB312" s="270">
        <f t="shared" si="2079"/>
        <v>0</v>
      </c>
      <c r="CC312" s="270">
        <f t="shared" si="2079"/>
        <v>0</v>
      </c>
      <c r="CD312" s="270">
        <f t="shared" si="2079"/>
        <v>0</v>
      </c>
      <c r="CE312" s="270">
        <f t="shared" si="2079"/>
        <v>0</v>
      </c>
      <c r="CF312" s="270">
        <f t="shared" si="2079"/>
        <v>0</v>
      </c>
      <c r="CG312" s="270">
        <f t="shared" si="2079"/>
        <v>0</v>
      </c>
      <c r="CH312" s="270">
        <f t="shared" si="2079"/>
        <v>0</v>
      </c>
      <c r="CI312" s="270">
        <f t="shared" si="2079"/>
        <v>0</v>
      </c>
      <c r="CJ312" s="270">
        <f t="shared" si="2079"/>
        <v>0</v>
      </c>
      <c r="CK312" s="270">
        <f t="shared" si="2079"/>
        <v>0</v>
      </c>
      <c r="CL312" s="270">
        <f t="shared" si="2079"/>
        <v>0</v>
      </c>
      <c r="CM312" s="270">
        <f t="shared" si="2079"/>
        <v>0</v>
      </c>
      <c r="CN312" s="270">
        <f t="shared" si="2079"/>
        <v>0</v>
      </c>
      <c r="CO312" s="270">
        <f t="shared" si="2079"/>
        <v>0</v>
      </c>
      <c r="CP312" s="270">
        <f t="shared" si="2079"/>
        <v>0</v>
      </c>
      <c r="CQ312" s="215"/>
      <c r="CR312" s="270">
        <f t="shared" si="27"/>
        <v>-0.14</v>
      </c>
      <c r="CS312" s="215"/>
      <c r="CT312" s="270">
        <f t="shared" ref="CT312:DX312" si="2080">IF(AI311&gt;0,IF((AI311+BN312)&lt;E$10,AI311+BN312,E$10),0)</f>
        <v>0</v>
      </c>
      <c r="CU312" s="270">
        <f t="shared" si="2080"/>
        <v>0</v>
      </c>
      <c r="CV312" s="270">
        <f t="shared" si="2080"/>
        <v>0</v>
      </c>
      <c r="CW312" s="270">
        <f t="shared" si="2080"/>
        <v>0</v>
      </c>
      <c r="CX312" s="270">
        <f t="shared" si="2080"/>
        <v>0</v>
      </c>
      <c r="CY312" s="270">
        <f t="shared" si="2080"/>
        <v>0</v>
      </c>
      <c r="CZ312" s="270">
        <f t="shared" si="2080"/>
        <v>0</v>
      </c>
      <c r="DA312" s="270">
        <f t="shared" si="2080"/>
        <v>0</v>
      </c>
      <c r="DB312" s="270">
        <f t="shared" si="2080"/>
        <v>0</v>
      </c>
      <c r="DC312" s="270">
        <f t="shared" si="2080"/>
        <v>0</v>
      </c>
      <c r="DD312" s="270">
        <f t="shared" si="2080"/>
        <v>0</v>
      </c>
      <c r="DE312" s="270">
        <f t="shared" si="2080"/>
        <v>0</v>
      </c>
      <c r="DF312" s="270">
        <f t="shared" si="2080"/>
        <v>0</v>
      </c>
      <c r="DG312" s="270">
        <f t="shared" si="2080"/>
        <v>0</v>
      </c>
      <c r="DH312" s="270">
        <f t="shared" si="2080"/>
        <v>0</v>
      </c>
      <c r="DI312" s="270">
        <f t="shared" si="2080"/>
        <v>0</v>
      </c>
      <c r="DJ312" s="270">
        <f t="shared" si="2080"/>
        <v>0</v>
      </c>
      <c r="DK312" s="270">
        <f t="shared" si="2080"/>
        <v>0</v>
      </c>
      <c r="DL312" s="270">
        <f t="shared" si="2080"/>
        <v>0</v>
      </c>
      <c r="DM312" s="270">
        <f t="shared" si="2080"/>
        <v>0</v>
      </c>
      <c r="DN312" s="270">
        <f t="shared" si="2080"/>
        <v>0</v>
      </c>
      <c r="DO312" s="270">
        <f t="shared" si="2080"/>
        <v>0</v>
      </c>
      <c r="DP312" s="270">
        <f t="shared" si="2080"/>
        <v>0</v>
      </c>
      <c r="DQ312" s="270">
        <f t="shared" si="2080"/>
        <v>0</v>
      </c>
      <c r="DR312" s="270">
        <f t="shared" si="2080"/>
        <v>0</v>
      </c>
      <c r="DS312" s="270">
        <f t="shared" si="2080"/>
        <v>0</v>
      </c>
      <c r="DT312" s="270">
        <f t="shared" si="2080"/>
        <v>0</v>
      </c>
      <c r="DU312" s="270">
        <f t="shared" si="2080"/>
        <v>0</v>
      </c>
      <c r="DV312" s="270">
        <f t="shared" si="2080"/>
        <v>0</v>
      </c>
      <c r="DW312" s="270">
        <f t="shared" si="2080"/>
        <v>0</v>
      </c>
      <c r="DX312" s="270">
        <f t="shared" si="2080"/>
        <v>0</v>
      </c>
      <c r="DY312" s="270">
        <f t="shared" si="29"/>
        <v>0</v>
      </c>
      <c r="DZ312" s="274"/>
      <c r="EA312" s="275">
        <f t="shared" si="38"/>
        <v>0</v>
      </c>
      <c r="EB312" s="270">
        <f t="shared" ref="EB312:FC312" si="2081">IF(AJ310&lt;=0,0,IF($C311&lt;=SUM($EA312:EA312),0,IF(CU311+$C311-SUM($EA312:EA312)&gt;AJ310+BO311,AJ310+BO311-CU311,$C311-SUM($EA312:EA312))))</f>
        <v>0</v>
      </c>
      <c r="EC312" s="270">
        <f t="shared" si="2081"/>
        <v>0</v>
      </c>
      <c r="ED312" s="270">
        <f t="shared" si="2081"/>
        <v>0</v>
      </c>
      <c r="EE312" s="270">
        <f t="shared" si="2081"/>
        <v>0</v>
      </c>
      <c r="EF312" s="270">
        <f t="shared" si="2081"/>
        <v>0</v>
      </c>
      <c r="EG312" s="270">
        <f t="shared" si="2081"/>
        <v>0</v>
      </c>
      <c r="EH312" s="270">
        <f t="shared" si="2081"/>
        <v>0</v>
      </c>
      <c r="EI312" s="270">
        <f t="shared" si="2081"/>
        <v>0</v>
      </c>
      <c r="EJ312" s="270">
        <f t="shared" si="2081"/>
        <v>0</v>
      </c>
      <c r="EK312" s="270">
        <f t="shared" si="2081"/>
        <v>0</v>
      </c>
      <c r="EL312" s="270">
        <f t="shared" si="2081"/>
        <v>0</v>
      </c>
      <c r="EM312" s="270">
        <f t="shared" si="2081"/>
        <v>0</v>
      </c>
      <c r="EN312" s="270">
        <f t="shared" si="2081"/>
        <v>0</v>
      </c>
      <c r="EO312" s="270">
        <f t="shared" si="2081"/>
        <v>0</v>
      </c>
      <c r="EP312" s="270">
        <f t="shared" si="2081"/>
        <v>0</v>
      </c>
      <c r="EQ312" s="270">
        <f t="shared" si="2081"/>
        <v>0</v>
      </c>
      <c r="ER312" s="270">
        <f t="shared" si="2081"/>
        <v>0</v>
      </c>
      <c r="ES312" s="270">
        <f t="shared" si="2081"/>
        <v>0</v>
      </c>
      <c r="ET312" s="270">
        <f t="shared" si="2081"/>
        <v>0</v>
      </c>
      <c r="EU312" s="270">
        <f t="shared" si="2081"/>
        <v>0</v>
      </c>
      <c r="EV312" s="270">
        <f t="shared" si="2081"/>
        <v>0</v>
      </c>
      <c r="EW312" s="270">
        <f t="shared" si="2081"/>
        <v>0</v>
      </c>
      <c r="EX312" s="270">
        <f t="shared" si="2081"/>
        <v>0</v>
      </c>
      <c r="EY312" s="270">
        <f t="shared" si="2081"/>
        <v>0</v>
      </c>
      <c r="EZ312" s="270">
        <f t="shared" si="2081"/>
        <v>0</v>
      </c>
      <c r="FA312" s="270">
        <f t="shared" si="2081"/>
        <v>0</v>
      </c>
      <c r="FB312" s="270">
        <f t="shared" si="2081"/>
        <v>0</v>
      </c>
      <c r="FC312" s="270">
        <f t="shared" si="2081"/>
        <v>0</v>
      </c>
      <c r="FD312" s="271"/>
      <c r="FE312" s="271"/>
      <c r="FF312" s="271"/>
      <c r="FG312" s="215"/>
      <c r="FH312" s="215"/>
    </row>
    <row r="313" ht="11.25" customHeight="1">
      <c r="A313" s="215" t="str">
        <f t="shared" si="19"/>
        <v/>
      </c>
      <c r="B313" s="241" t="str">
        <f t="shared" si="600"/>
        <v>#N/A</v>
      </c>
      <c r="C313" s="271" t="str">
        <f>IF(A313="","",IF(Calculator!snowball,IF(($E$5-DY313)&lt;0,0,$E$5-DY313),0)+D313)</f>
        <v/>
      </c>
      <c r="D313" s="271"/>
      <c r="E313" s="270">
        <f t="shared" si="40"/>
        <v>0</v>
      </c>
      <c r="F313" s="270">
        <f t="shared" ref="F313:AG313" si="2082">CU313+EB314</f>
        <v>0</v>
      </c>
      <c r="G313" s="270">
        <f t="shared" si="2082"/>
        <v>0</v>
      </c>
      <c r="H313" s="270">
        <f t="shared" si="2082"/>
        <v>0</v>
      </c>
      <c r="I313" s="270">
        <f t="shared" si="2082"/>
        <v>0</v>
      </c>
      <c r="J313" s="270">
        <f t="shared" si="2082"/>
        <v>0</v>
      </c>
      <c r="K313" s="270">
        <f t="shared" si="2082"/>
        <v>0</v>
      </c>
      <c r="L313" s="270">
        <f t="shared" si="2082"/>
        <v>0</v>
      </c>
      <c r="M313" s="270">
        <f t="shared" si="2082"/>
        <v>0</v>
      </c>
      <c r="N313" s="270">
        <f t="shared" si="2082"/>
        <v>0</v>
      </c>
      <c r="O313" s="270">
        <f t="shared" si="2082"/>
        <v>0</v>
      </c>
      <c r="P313" s="272">
        <f t="shared" si="2082"/>
        <v>0</v>
      </c>
      <c r="Q313" s="272">
        <f t="shared" si="2082"/>
        <v>0</v>
      </c>
      <c r="R313" s="272">
        <f t="shared" si="2082"/>
        <v>0</v>
      </c>
      <c r="S313" s="272">
        <f t="shared" si="2082"/>
        <v>0</v>
      </c>
      <c r="T313" s="272">
        <f t="shared" si="2082"/>
        <v>0</v>
      </c>
      <c r="U313" s="270">
        <f t="shared" si="2082"/>
        <v>0</v>
      </c>
      <c r="V313" s="270">
        <f t="shared" si="2082"/>
        <v>0</v>
      </c>
      <c r="W313" s="270">
        <f t="shared" si="2082"/>
        <v>0</v>
      </c>
      <c r="X313" s="270">
        <f t="shared" si="2082"/>
        <v>0</v>
      </c>
      <c r="Y313" s="270">
        <f t="shared" si="2082"/>
        <v>0</v>
      </c>
      <c r="Z313" s="270">
        <f t="shared" si="2082"/>
        <v>0</v>
      </c>
      <c r="AA313" s="270">
        <f t="shared" si="2082"/>
        <v>0</v>
      </c>
      <c r="AB313" s="270">
        <f t="shared" si="2082"/>
        <v>0</v>
      </c>
      <c r="AC313" s="270">
        <f t="shared" si="2082"/>
        <v>0</v>
      </c>
      <c r="AD313" s="270">
        <f t="shared" si="2082"/>
        <v>0</v>
      </c>
      <c r="AE313" s="270">
        <f t="shared" si="2082"/>
        <v>0</v>
      </c>
      <c r="AF313" s="270">
        <f t="shared" si="2082"/>
        <v>0</v>
      </c>
      <c r="AG313" s="270">
        <f t="shared" si="2082"/>
        <v>0</v>
      </c>
      <c r="AH313" s="279">
        <f t="shared" si="602"/>
        <v>0</v>
      </c>
      <c r="AI313" s="270">
        <f t="shared" si="43"/>
        <v>0</v>
      </c>
      <c r="AJ313" s="270">
        <f t="shared" ref="AJ313:AO313" si="2083">IF(F$8=0,0,ROUND(AJ312-(F313-BO313),2))</f>
        <v>0</v>
      </c>
      <c r="AK313" s="270">
        <f t="shared" si="2083"/>
        <v>0</v>
      </c>
      <c r="AL313" s="270">
        <f t="shared" si="2083"/>
        <v>0</v>
      </c>
      <c r="AM313" s="270">
        <f t="shared" si="2083"/>
        <v>0</v>
      </c>
      <c r="AN313" s="270">
        <f t="shared" si="2083"/>
        <v>0</v>
      </c>
      <c r="AO313" s="270">
        <f t="shared" si="2083"/>
        <v>0</v>
      </c>
      <c r="AP313" s="270">
        <v>0.0</v>
      </c>
      <c r="AQ313" s="270">
        <f t="shared" ref="AQ313:AR313" si="2084">IF(M$8=0,0,ROUND(AQ312-(M313-BV313),2))</f>
        <v>0</v>
      </c>
      <c r="AR313" s="270">
        <f t="shared" si="2084"/>
        <v>0</v>
      </c>
      <c r="AS313" s="270">
        <f t="shared" si="1902"/>
        <v>-3.4</v>
      </c>
      <c r="AT313" s="270">
        <f t="shared" si="605"/>
        <v>-6.61</v>
      </c>
      <c r="AU313" s="270">
        <f t="shared" ref="AU313:BK313" si="2085">IF(Q$8=0,0,ROUND(AU312-(Q313-BY313),2))</f>
        <v>-18.68</v>
      </c>
      <c r="AV313" s="270">
        <f t="shared" si="2085"/>
        <v>0</v>
      </c>
      <c r="AW313" s="270">
        <f t="shared" si="2085"/>
        <v>0</v>
      </c>
      <c r="AX313" s="270">
        <f t="shared" si="2085"/>
        <v>0</v>
      </c>
      <c r="AY313" s="270">
        <f t="shared" si="2085"/>
        <v>0</v>
      </c>
      <c r="AZ313" s="270">
        <f t="shared" si="2085"/>
        <v>0</v>
      </c>
      <c r="BA313" s="270">
        <f t="shared" si="2085"/>
        <v>0</v>
      </c>
      <c r="BB313" s="270">
        <f t="shared" si="2085"/>
        <v>0</v>
      </c>
      <c r="BC313" s="270">
        <f t="shared" si="2085"/>
        <v>0</v>
      </c>
      <c r="BD313" s="270">
        <f t="shared" si="2085"/>
        <v>0</v>
      </c>
      <c r="BE313" s="270">
        <f t="shared" si="2085"/>
        <v>0</v>
      </c>
      <c r="BF313" s="270">
        <f t="shared" si="2085"/>
        <v>0</v>
      </c>
      <c r="BG313" s="270">
        <f t="shared" si="2085"/>
        <v>0</v>
      </c>
      <c r="BH313" s="270">
        <f t="shared" si="2085"/>
        <v>0</v>
      </c>
      <c r="BI313" s="270">
        <f t="shared" si="2085"/>
        <v>0</v>
      </c>
      <c r="BJ313" s="270">
        <f t="shared" si="2085"/>
        <v>0</v>
      </c>
      <c r="BK313" s="270">
        <f t="shared" si="2085"/>
        <v>0</v>
      </c>
      <c r="BL313" s="265">
        <f t="shared" si="16"/>
        <v>-28.69</v>
      </c>
      <c r="BM313" s="215"/>
      <c r="BN313" s="270">
        <f t="shared" ref="BN313:CP313" si="2086">ROUND(AI312*E$9/12,2)</f>
        <v>0</v>
      </c>
      <c r="BO313" s="270">
        <f t="shared" si="2086"/>
        <v>0</v>
      </c>
      <c r="BP313" s="270">
        <f t="shared" si="2086"/>
        <v>0</v>
      </c>
      <c r="BQ313" s="270">
        <f t="shared" si="2086"/>
        <v>0</v>
      </c>
      <c r="BR313" s="270">
        <f t="shared" si="2086"/>
        <v>0</v>
      </c>
      <c r="BS313" s="270">
        <f t="shared" si="2086"/>
        <v>0</v>
      </c>
      <c r="BT313" s="270">
        <f t="shared" si="2086"/>
        <v>0</v>
      </c>
      <c r="BU313" s="270">
        <f t="shared" si="2086"/>
        <v>0</v>
      </c>
      <c r="BV313" s="270">
        <f t="shared" si="2086"/>
        <v>0</v>
      </c>
      <c r="BW313" s="270">
        <f t="shared" si="2086"/>
        <v>0</v>
      </c>
      <c r="BX313" s="270">
        <f t="shared" si="2086"/>
        <v>-0.03</v>
      </c>
      <c r="BY313" s="270">
        <f t="shared" si="2086"/>
        <v>-0.05</v>
      </c>
      <c r="BZ313" s="270">
        <f t="shared" si="2086"/>
        <v>-0.06</v>
      </c>
      <c r="CA313" s="270">
        <f t="shared" si="2086"/>
        <v>0</v>
      </c>
      <c r="CB313" s="270">
        <f t="shared" si="2086"/>
        <v>0</v>
      </c>
      <c r="CC313" s="270">
        <f t="shared" si="2086"/>
        <v>0</v>
      </c>
      <c r="CD313" s="270">
        <f t="shared" si="2086"/>
        <v>0</v>
      </c>
      <c r="CE313" s="270">
        <f t="shared" si="2086"/>
        <v>0</v>
      </c>
      <c r="CF313" s="270">
        <f t="shared" si="2086"/>
        <v>0</v>
      </c>
      <c r="CG313" s="270">
        <f t="shared" si="2086"/>
        <v>0</v>
      </c>
      <c r="CH313" s="270">
        <f t="shared" si="2086"/>
        <v>0</v>
      </c>
      <c r="CI313" s="270">
        <f t="shared" si="2086"/>
        <v>0</v>
      </c>
      <c r="CJ313" s="270">
        <f t="shared" si="2086"/>
        <v>0</v>
      </c>
      <c r="CK313" s="270">
        <f t="shared" si="2086"/>
        <v>0</v>
      </c>
      <c r="CL313" s="270">
        <f t="shared" si="2086"/>
        <v>0</v>
      </c>
      <c r="CM313" s="270">
        <f t="shared" si="2086"/>
        <v>0</v>
      </c>
      <c r="CN313" s="270">
        <f t="shared" si="2086"/>
        <v>0</v>
      </c>
      <c r="CO313" s="270">
        <f t="shared" si="2086"/>
        <v>0</v>
      </c>
      <c r="CP313" s="270">
        <f t="shared" si="2086"/>
        <v>0</v>
      </c>
      <c r="CQ313" s="215"/>
      <c r="CR313" s="270">
        <f t="shared" si="27"/>
        <v>-0.14</v>
      </c>
      <c r="CS313" s="215"/>
      <c r="CT313" s="270">
        <f t="shared" ref="CT313:DX313" si="2087">IF(AI312&gt;0,IF((AI312+BN313)&lt;E$10,AI312+BN313,E$10),0)</f>
        <v>0</v>
      </c>
      <c r="CU313" s="270">
        <f t="shared" si="2087"/>
        <v>0</v>
      </c>
      <c r="CV313" s="270">
        <f t="shared" si="2087"/>
        <v>0</v>
      </c>
      <c r="CW313" s="270">
        <f t="shared" si="2087"/>
        <v>0</v>
      </c>
      <c r="CX313" s="270">
        <f t="shared" si="2087"/>
        <v>0</v>
      </c>
      <c r="CY313" s="270">
        <f t="shared" si="2087"/>
        <v>0</v>
      </c>
      <c r="CZ313" s="270">
        <f t="shared" si="2087"/>
        <v>0</v>
      </c>
      <c r="DA313" s="270">
        <f t="shared" si="2087"/>
        <v>0</v>
      </c>
      <c r="DB313" s="270">
        <f t="shared" si="2087"/>
        <v>0</v>
      </c>
      <c r="DC313" s="270">
        <f t="shared" si="2087"/>
        <v>0</v>
      </c>
      <c r="DD313" s="270">
        <f t="shared" si="2087"/>
        <v>0</v>
      </c>
      <c r="DE313" s="270">
        <f t="shared" si="2087"/>
        <v>0</v>
      </c>
      <c r="DF313" s="270">
        <f t="shared" si="2087"/>
        <v>0</v>
      </c>
      <c r="DG313" s="270">
        <f t="shared" si="2087"/>
        <v>0</v>
      </c>
      <c r="DH313" s="270">
        <f t="shared" si="2087"/>
        <v>0</v>
      </c>
      <c r="DI313" s="270">
        <f t="shared" si="2087"/>
        <v>0</v>
      </c>
      <c r="DJ313" s="270">
        <f t="shared" si="2087"/>
        <v>0</v>
      </c>
      <c r="DK313" s="270">
        <f t="shared" si="2087"/>
        <v>0</v>
      </c>
      <c r="DL313" s="270">
        <f t="shared" si="2087"/>
        <v>0</v>
      </c>
      <c r="DM313" s="270">
        <f t="shared" si="2087"/>
        <v>0</v>
      </c>
      <c r="DN313" s="270">
        <f t="shared" si="2087"/>
        <v>0</v>
      </c>
      <c r="DO313" s="270">
        <f t="shared" si="2087"/>
        <v>0</v>
      </c>
      <c r="DP313" s="270">
        <f t="shared" si="2087"/>
        <v>0</v>
      </c>
      <c r="DQ313" s="270">
        <f t="shared" si="2087"/>
        <v>0</v>
      </c>
      <c r="DR313" s="270">
        <f t="shared" si="2087"/>
        <v>0</v>
      </c>
      <c r="DS313" s="270">
        <f t="shared" si="2087"/>
        <v>0</v>
      </c>
      <c r="DT313" s="270">
        <f t="shared" si="2087"/>
        <v>0</v>
      </c>
      <c r="DU313" s="270">
        <f t="shared" si="2087"/>
        <v>0</v>
      </c>
      <c r="DV313" s="270">
        <f t="shared" si="2087"/>
        <v>0</v>
      </c>
      <c r="DW313" s="270">
        <f t="shared" si="2087"/>
        <v>0</v>
      </c>
      <c r="DX313" s="270">
        <f t="shared" si="2087"/>
        <v>0</v>
      </c>
      <c r="DY313" s="270">
        <f t="shared" si="29"/>
        <v>0</v>
      </c>
      <c r="DZ313" s="274"/>
      <c r="EA313" s="275">
        <f t="shared" si="38"/>
        <v>0</v>
      </c>
      <c r="EB313" s="270">
        <f t="shared" ref="EB313:FC313" si="2088">IF(AJ311&lt;=0,0,IF($C312&lt;=SUM($EA313:EA313),0,IF(CU312+$C312-SUM($EA313:EA313)&gt;AJ311+BO312,AJ311+BO312-CU312,$C312-SUM($EA313:EA313))))</f>
        <v>0</v>
      </c>
      <c r="EC313" s="270">
        <f t="shared" si="2088"/>
        <v>0</v>
      </c>
      <c r="ED313" s="270">
        <f t="shared" si="2088"/>
        <v>0</v>
      </c>
      <c r="EE313" s="270">
        <f t="shared" si="2088"/>
        <v>0</v>
      </c>
      <c r="EF313" s="270">
        <f t="shared" si="2088"/>
        <v>0</v>
      </c>
      <c r="EG313" s="270">
        <f t="shared" si="2088"/>
        <v>0</v>
      </c>
      <c r="EH313" s="270">
        <f t="shared" si="2088"/>
        <v>0</v>
      </c>
      <c r="EI313" s="270">
        <f t="shared" si="2088"/>
        <v>0</v>
      </c>
      <c r="EJ313" s="270">
        <f t="shared" si="2088"/>
        <v>0</v>
      </c>
      <c r="EK313" s="270">
        <f t="shared" si="2088"/>
        <v>0</v>
      </c>
      <c r="EL313" s="270">
        <f t="shared" si="2088"/>
        <v>0</v>
      </c>
      <c r="EM313" s="270">
        <f t="shared" si="2088"/>
        <v>0</v>
      </c>
      <c r="EN313" s="270">
        <f t="shared" si="2088"/>
        <v>0</v>
      </c>
      <c r="EO313" s="270">
        <f t="shared" si="2088"/>
        <v>0</v>
      </c>
      <c r="EP313" s="270">
        <f t="shared" si="2088"/>
        <v>0</v>
      </c>
      <c r="EQ313" s="270">
        <f t="shared" si="2088"/>
        <v>0</v>
      </c>
      <c r="ER313" s="270">
        <f t="shared" si="2088"/>
        <v>0</v>
      </c>
      <c r="ES313" s="270">
        <f t="shared" si="2088"/>
        <v>0</v>
      </c>
      <c r="ET313" s="270">
        <f t="shared" si="2088"/>
        <v>0</v>
      </c>
      <c r="EU313" s="270">
        <f t="shared" si="2088"/>
        <v>0</v>
      </c>
      <c r="EV313" s="270">
        <f t="shared" si="2088"/>
        <v>0</v>
      </c>
      <c r="EW313" s="270">
        <f t="shared" si="2088"/>
        <v>0</v>
      </c>
      <c r="EX313" s="270">
        <f t="shared" si="2088"/>
        <v>0</v>
      </c>
      <c r="EY313" s="270">
        <f t="shared" si="2088"/>
        <v>0</v>
      </c>
      <c r="EZ313" s="270">
        <f t="shared" si="2088"/>
        <v>0</v>
      </c>
      <c r="FA313" s="270">
        <f t="shared" si="2088"/>
        <v>0</v>
      </c>
      <c r="FB313" s="270">
        <f t="shared" si="2088"/>
        <v>0</v>
      </c>
      <c r="FC313" s="270">
        <f t="shared" si="2088"/>
        <v>0</v>
      </c>
      <c r="FD313" s="271"/>
      <c r="FE313" s="271"/>
      <c r="FF313" s="271"/>
      <c r="FG313" s="215"/>
      <c r="FH313" s="215"/>
    </row>
    <row r="314" ht="11.25" customHeight="1">
      <c r="A314" s="215" t="str">
        <f t="shared" si="19"/>
        <v/>
      </c>
      <c r="B314" s="241" t="str">
        <f t="shared" si="600"/>
        <v>#N/A</v>
      </c>
      <c r="C314" s="271" t="str">
        <f>IF(A314="","",IF(Calculator!snowball,IF(($E$5-DY314)&lt;0,0,$E$5-DY314),0)+D314)</f>
        <v/>
      </c>
      <c r="D314" s="271"/>
      <c r="E314" s="270">
        <f t="shared" si="40"/>
        <v>0</v>
      </c>
      <c r="F314" s="270">
        <f t="shared" ref="F314:AG314" si="2089">CU314+EB315</f>
        <v>0</v>
      </c>
      <c r="G314" s="270">
        <f t="shared" si="2089"/>
        <v>0</v>
      </c>
      <c r="H314" s="270">
        <f t="shared" si="2089"/>
        <v>0</v>
      </c>
      <c r="I314" s="270">
        <f t="shared" si="2089"/>
        <v>0</v>
      </c>
      <c r="J314" s="270">
        <f t="shared" si="2089"/>
        <v>0</v>
      </c>
      <c r="K314" s="270">
        <f t="shared" si="2089"/>
        <v>0</v>
      </c>
      <c r="L314" s="270">
        <f t="shared" si="2089"/>
        <v>0</v>
      </c>
      <c r="M314" s="270">
        <f t="shared" si="2089"/>
        <v>0</v>
      </c>
      <c r="N314" s="270">
        <f t="shared" si="2089"/>
        <v>0</v>
      </c>
      <c r="O314" s="270">
        <f t="shared" si="2089"/>
        <v>0</v>
      </c>
      <c r="P314" s="272">
        <f t="shared" si="2089"/>
        <v>0</v>
      </c>
      <c r="Q314" s="272">
        <f t="shared" si="2089"/>
        <v>0</v>
      </c>
      <c r="R314" s="272">
        <f t="shared" si="2089"/>
        <v>0</v>
      </c>
      <c r="S314" s="272">
        <f t="shared" si="2089"/>
        <v>0</v>
      </c>
      <c r="T314" s="272">
        <f t="shared" si="2089"/>
        <v>0</v>
      </c>
      <c r="U314" s="270">
        <f t="shared" si="2089"/>
        <v>0</v>
      </c>
      <c r="V314" s="270">
        <f t="shared" si="2089"/>
        <v>0</v>
      </c>
      <c r="W314" s="270">
        <f t="shared" si="2089"/>
        <v>0</v>
      </c>
      <c r="X314" s="270">
        <f t="shared" si="2089"/>
        <v>0</v>
      </c>
      <c r="Y314" s="270">
        <f t="shared" si="2089"/>
        <v>0</v>
      </c>
      <c r="Z314" s="270">
        <f t="shared" si="2089"/>
        <v>0</v>
      </c>
      <c r="AA314" s="270">
        <f t="shared" si="2089"/>
        <v>0</v>
      </c>
      <c r="AB314" s="270">
        <f t="shared" si="2089"/>
        <v>0</v>
      </c>
      <c r="AC314" s="270">
        <f t="shared" si="2089"/>
        <v>0</v>
      </c>
      <c r="AD314" s="270">
        <f t="shared" si="2089"/>
        <v>0</v>
      </c>
      <c r="AE314" s="270">
        <f t="shared" si="2089"/>
        <v>0</v>
      </c>
      <c r="AF314" s="270">
        <f t="shared" si="2089"/>
        <v>0</v>
      </c>
      <c r="AG314" s="270">
        <f t="shared" si="2089"/>
        <v>0</v>
      </c>
      <c r="AH314" s="279">
        <f t="shared" si="602"/>
        <v>0</v>
      </c>
      <c r="AI314" s="270">
        <f t="shared" si="43"/>
        <v>0</v>
      </c>
      <c r="AJ314" s="270">
        <f t="shared" ref="AJ314:AO314" si="2090">IF(F$8=0,0,ROUND(AJ313-(F314-BO314),2))</f>
        <v>0</v>
      </c>
      <c r="AK314" s="270">
        <f t="shared" si="2090"/>
        <v>0</v>
      </c>
      <c r="AL314" s="270">
        <f t="shared" si="2090"/>
        <v>0</v>
      </c>
      <c r="AM314" s="270">
        <f t="shared" si="2090"/>
        <v>0</v>
      </c>
      <c r="AN314" s="270">
        <f t="shared" si="2090"/>
        <v>0</v>
      </c>
      <c r="AO314" s="270">
        <f t="shared" si="2090"/>
        <v>0</v>
      </c>
      <c r="AP314" s="270">
        <v>0.0</v>
      </c>
      <c r="AQ314" s="270">
        <f t="shared" ref="AQ314:AR314" si="2091">IF(M$8=0,0,ROUND(AQ313-(M314-BV314),2))</f>
        <v>0</v>
      </c>
      <c r="AR314" s="270">
        <f t="shared" si="2091"/>
        <v>0</v>
      </c>
      <c r="AS314" s="270">
        <f t="shared" si="1902"/>
        <v>-3.54</v>
      </c>
      <c r="AT314" s="270">
        <f t="shared" si="605"/>
        <v>-6.64</v>
      </c>
      <c r="AU314" s="270">
        <f t="shared" ref="AU314:BK314" si="2092">IF(Q$8=0,0,ROUND(AU313-(Q314-BY314),2))</f>
        <v>-18.73</v>
      </c>
      <c r="AV314" s="270">
        <f t="shared" si="2092"/>
        <v>0</v>
      </c>
      <c r="AW314" s="270">
        <f t="shared" si="2092"/>
        <v>0</v>
      </c>
      <c r="AX314" s="270">
        <f t="shared" si="2092"/>
        <v>0</v>
      </c>
      <c r="AY314" s="270">
        <f t="shared" si="2092"/>
        <v>0</v>
      </c>
      <c r="AZ314" s="270">
        <f t="shared" si="2092"/>
        <v>0</v>
      </c>
      <c r="BA314" s="270">
        <f t="shared" si="2092"/>
        <v>0</v>
      </c>
      <c r="BB314" s="270">
        <f t="shared" si="2092"/>
        <v>0</v>
      </c>
      <c r="BC314" s="270">
        <f t="shared" si="2092"/>
        <v>0</v>
      </c>
      <c r="BD314" s="270">
        <f t="shared" si="2092"/>
        <v>0</v>
      </c>
      <c r="BE314" s="270">
        <f t="shared" si="2092"/>
        <v>0</v>
      </c>
      <c r="BF314" s="270">
        <f t="shared" si="2092"/>
        <v>0</v>
      </c>
      <c r="BG314" s="270">
        <f t="shared" si="2092"/>
        <v>0</v>
      </c>
      <c r="BH314" s="270">
        <f t="shared" si="2092"/>
        <v>0</v>
      </c>
      <c r="BI314" s="270">
        <f t="shared" si="2092"/>
        <v>0</v>
      </c>
      <c r="BJ314" s="270">
        <f t="shared" si="2092"/>
        <v>0</v>
      </c>
      <c r="BK314" s="270">
        <f t="shared" si="2092"/>
        <v>0</v>
      </c>
      <c r="BL314" s="265">
        <f t="shared" si="16"/>
        <v>-28.91</v>
      </c>
      <c r="BM314" s="215"/>
      <c r="BN314" s="270">
        <f t="shared" ref="BN314:CP314" si="2093">ROUND(AI313*E$9/12,2)</f>
        <v>0</v>
      </c>
      <c r="BO314" s="270">
        <f t="shared" si="2093"/>
        <v>0</v>
      </c>
      <c r="BP314" s="270">
        <f t="shared" si="2093"/>
        <v>0</v>
      </c>
      <c r="BQ314" s="270">
        <f t="shared" si="2093"/>
        <v>0</v>
      </c>
      <c r="BR314" s="270">
        <f t="shared" si="2093"/>
        <v>0</v>
      </c>
      <c r="BS314" s="270">
        <f t="shared" si="2093"/>
        <v>0</v>
      </c>
      <c r="BT314" s="270">
        <f t="shared" si="2093"/>
        <v>0</v>
      </c>
      <c r="BU314" s="270">
        <f t="shared" si="2093"/>
        <v>0</v>
      </c>
      <c r="BV314" s="270">
        <f t="shared" si="2093"/>
        <v>0</v>
      </c>
      <c r="BW314" s="270">
        <f t="shared" si="2093"/>
        <v>0</v>
      </c>
      <c r="BX314" s="270">
        <f t="shared" si="2093"/>
        <v>-0.03</v>
      </c>
      <c r="BY314" s="270">
        <f t="shared" si="2093"/>
        <v>-0.05</v>
      </c>
      <c r="BZ314" s="270">
        <f t="shared" si="2093"/>
        <v>-0.06</v>
      </c>
      <c r="CA314" s="270">
        <f t="shared" si="2093"/>
        <v>0</v>
      </c>
      <c r="CB314" s="270">
        <f t="shared" si="2093"/>
        <v>0</v>
      </c>
      <c r="CC314" s="270">
        <f t="shared" si="2093"/>
        <v>0</v>
      </c>
      <c r="CD314" s="270">
        <f t="shared" si="2093"/>
        <v>0</v>
      </c>
      <c r="CE314" s="270">
        <f t="shared" si="2093"/>
        <v>0</v>
      </c>
      <c r="CF314" s="270">
        <f t="shared" si="2093"/>
        <v>0</v>
      </c>
      <c r="CG314" s="270">
        <f t="shared" si="2093"/>
        <v>0</v>
      </c>
      <c r="CH314" s="270">
        <f t="shared" si="2093"/>
        <v>0</v>
      </c>
      <c r="CI314" s="270">
        <f t="shared" si="2093"/>
        <v>0</v>
      </c>
      <c r="CJ314" s="270">
        <f t="shared" si="2093"/>
        <v>0</v>
      </c>
      <c r="CK314" s="270">
        <f t="shared" si="2093"/>
        <v>0</v>
      </c>
      <c r="CL314" s="270">
        <f t="shared" si="2093"/>
        <v>0</v>
      </c>
      <c r="CM314" s="270">
        <f t="shared" si="2093"/>
        <v>0</v>
      </c>
      <c r="CN314" s="270">
        <f t="shared" si="2093"/>
        <v>0</v>
      </c>
      <c r="CO314" s="270">
        <f t="shared" si="2093"/>
        <v>0</v>
      </c>
      <c r="CP314" s="270">
        <f t="shared" si="2093"/>
        <v>0</v>
      </c>
      <c r="CQ314" s="215"/>
      <c r="CR314" s="270">
        <f t="shared" si="27"/>
        <v>-0.14</v>
      </c>
      <c r="CS314" s="215"/>
      <c r="CT314" s="270">
        <f t="shared" ref="CT314:DX314" si="2094">IF(AI313&gt;0,IF((AI313+BN314)&lt;E$10,AI313+BN314,E$10),0)</f>
        <v>0</v>
      </c>
      <c r="CU314" s="270">
        <f t="shared" si="2094"/>
        <v>0</v>
      </c>
      <c r="CV314" s="270">
        <f t="shared" si="2094"/>
        <v>0</v>
      </c>
      <c r="CW314" s="270">
        <f t="shared" si="2094"/>
        <v>0</v>
      </c>
      <c r="CX314" s="270">
        <f t="shared" si="2094"/>
        <v>0</v>
      </c>
      <c r="CY314" s="270">
        <f t="shared" si="2094"/>
        <v>0</v>
      </c>
      <c r="CZ314" s="270">
        <f t="shared" si="2094"/>
        <v>0</v>
      </c>
      <c r="DA314" s="270">
        <f t="shared" si="2094"/>
        <v>0</v>
      </c>
      <c r="DB314" s="270">
        <f t="shared" si="2094"/>
        <v>0</v>
      </c>
      <c r="DC314" s="270">
        <f t="shared" si="2094"/>
        <v>0</v>
      </c>
      <c r="DD314" s="270">
        <f t="shared" si="2094"/>
        <v>0</v>
      </c>
      <c r="DE314" s="270">
        <f t="shared" si="2094"/>
        <v>0</v>
      </c>
      <c r="DF314" s="270">
        <f t="shared" si="2094"/>
        <v>0</v>
      </c>
      <c r="DG314" s="270">
        <f t="shared" si="2094"/>
        <v>0</v>
      </c>
      <c r="DH314" s="270">
        <f t="shared" si="2094"/>
        <v>0</v>
      </c>
      <c r="DI314" s="270">
        <f t="shared" si="2094"/>
        <v>0</v>
      </c>
      <c r="DJ314" s="270">
        <f t="shared" si="2094"/>
        <v>0</v>
      </c>
      <c r="DK314" s="270">
        <f t="shared" si="2094"/>
        <v>0</v>
      </c>
      <c r="DL314" s="270">
        <f t="shared" si="2094"/>
        <v>0</v>
      </c>
      <c r="DM314" s="270">
        <f t="shared" si="2094"/>
        <v>0</v>
      </c>
      <c r="DN314" s="270">
        <f t="shared" si="2094"/>
        <v>0</v>
      </c>
      <c r="DO314" s="270">
        <f t="shared" si="2094"/>
        <v>0</v>
      </c>
      <c r="DP314" s="270">
        <f t="shared" si="2094"/>
        <v>0</v>
      </c>
      <c r="DQ314" s="270">
        <f t="shared" si="2094"/>
        <v>0</v>
      </c>
      <c r="DR314" s="270">
        <f t="shared" si="2094"/>
        <v>0</v>
      </c>
      <c r="DS314" s="270">
        <f t="shared" si="2094"/>
        <v>0</v>
      </c>
      <c r="DT314" s="270">
        <f t="shared" si="2094"/>
        <v>0</v>
      </c>
      <c r="DU314" s="270">
        <f t="shared" si="2094"/>
        <v>0</v>
      </c>
      <c r="DV314" s="270">
        <f t="shared" si="2094"/>
        <v>0</v>
      </c>
      <c r="DW314" s="270">
        <f t="shared" si="2094"/>
        <v>0</v>
      </c>
      <c r="DX314" s="270">
        <f t="shared" si="2094"/>
        <v>0</v>
      </c>
      <c r="DY314" s="270">
        <f t="shared" si="29"/>
        <v>0</v>
      </c>
      <c r="DZ314" s="274"/>
      <c r="EA314" s="275">
        <f t="shared" si="38"/>
        <v>0</v>
      </c>
      <c r="EB314" s="270">
        <f t="shared" ref="EB314:FC314" si="2095">IF(AJ312&lt;=0,0,IF($C313&lt;=SUM($EA314:EA314),0,IF(CU313+$C313-SUM($EA314:EA314)&gt;AJ312+BO313,AJ312+BO313-CU313,$C313-SUM($EA314:EA314))))</f>
        <v>0</v>
      </c>
      <c r="EC314" s="270">
        <f t="shared" si="2095"/>
        <v>0</v>
      </c>
      <c r="ED314" s="270">
        <f t="shared" si="2095"/>
        <v>0</v>
      </c>
      <c r="EE314" s="270">
        <f t="shared" si="2095"/>
        <v>0</v>
      </c>
      <c r="EF314" s="270">
        <f t="shared" si="2095"/>
        <v>0</v>
      </c>
      <c r="EG314" s="270">
        <f t="shared" si="2095"/>
        <v>0</v>
      </c>
      <c r="EH314" s="270">
        <f t="shared" si="2095"/>
        <v>0</v>
      </c>
      <c r="EI314" s="270">
        <f t="shared" si="2095"/>
        <v>0</v>
      </c>
      <c r="EJ314" s="270">
        <f t="shared" si="2095"/>
        <v>0</v>
      </c>
      <c r="EK314" s="270">
        <f t="shared" si="2095"/>
        <v>0</v>
      </c>
      <c r="EL314" s="270">
        <f t="shared" si="2095"/>
        <v>0</v>
      </c>
      <c r="EM314" s="270">
        <f t="shared" si="2095"/>
        <v>0</v>
      </c>
      <c r="EN314" s="270">
        <f t="shared" si="2095"/>
        <v>0</v>
      </c>
      <c r="EO314" s="270">
        <f t="shared" si="2095"/>
        <v>0</v>
      </c>
      <c r="EP314" s="270">
        <f t="shared" si="2095"/>
        <v>0</v>
      </c>
      <c r="EQ314" s="270">
        <f t="shared" si="2095"/>
        <v>0</v>
      </c>
      <c r="ER314" s="270">
        <f t="shared" si="2095"/>
        <v>0</v>
      </c>
      <c r="ES314" s="270">
        <f t="shared" si="2095"/>
        <v>0</v>
      </c>
      <c r="ET314" s="270">
        <f t="shared" si="2095"/>
        <v>0</v>
      </c>
      <c r="EU314" s="270">
        <f t="shared" si="2095"/>
        <v>0</v>
      </c>
      <c r="EV314" s="270">
        <f t="shared" si="2095"/>
        <v>0</v>
      </c>
      <c r="EW314" s="270">
        <f t="shared" si="2095"/>
        <v>0</v>
      </c>
      <c r="EX314" s="270">
        <f t="shared" si="2095"/>
        <v>0</v>
      </c>
      <c r="EY314" s="270">
        <f t="shared" si="2095"/>
        <v>0</v>
      </c>
      <c r="EZ314" s="270">
        <f t="shared" si="2095"/>
        <v>0</v>
      </c>
      <c r="FA314" s="270">
        <f t="shared" si="2095"/>
        <v>0</v>
      </c>
      <c r="FB314" s="270">
        <f t="shared" si="2095"/>
        <v>0</v>
      </c>
      <c r="FC314" s="270">
        <f t="shared" si="2095"/>
        <v>0</v>
      </c>
      <c r="FD314" s="271"/>
      <c r="FE314" s="271"/>
      <c r="FF314" s="271"/>
      <c r="FG314" s="215"/>
      <c r="FH314" s="215"/>
    </row>
    <row r="315" ht="11.25" customHeight="1">
      <c r="A315" s="215" t="str">
        <f t="shared" si="19"/>
        <v/>
      </c>
      <c r="B315" s="241" t="str">
        <f t="shared" si="600"/>
        <v>#N/A</v>
      </c>
      <c r="C315" s="271" t="str">
        <f>IF(A315="","",IF(Calculator!snowball,IF(($E$5-DY315)&lt;0,0,$E$5-DY315),0)+D315)</f>
        <v/>
      </c>
      <c r="D315" s="271"/>
      <c r="E315" s="270">
        <f t="shared" si="40"/>
        <v>0</v>
      </c>
      <c r="F315" s="270">
        <f t="shared" ref="F315:AG315" si="2096">CU315+EB316</f>
        <v>0</v>
      </c>
      <c r="G315" s="270">
        <f t="shared" si="2096"/>
        <v>0</v>
      </c>
      <c r="H315" s="270">
        <f t="shared" si="2096"/>
        <v>0</v>
      </c>
      <c r="I315" s="270">
        <f t="shared" si="2096"/>
        <v>0</v>
      </c>
      <c r="J315" s="270">
        <f t="shared" si="2096"/>
        <v>0</v>
      </c>
      <c r="K315" s="270">
        <f t="shared" si="2096"/>
        <v>0</v>
      </c>
      <c r="L315" s="270">
        <f t="shared" si="2096"/>
        <v>0</v>
      </c>
      <c r="M315" s="270">
        <f t="shared" si="2096"/>
        <v>0</v>
      </c>
      <c r="N315" s="270">
        <f t="shared" si="2096"/>
        <v>0</v>
      </c>
      <c r="O315" s="270">
        <f t="shared" si="2096"/>
        <v>0</v>
      </c>
      <c r="P315" s="272">
        <f t="shared" si="2096"/>
        <v>0</v>
      </c>
      <c r="Q315" s="272">
        <f t="shared" si="2096"/>
        <v>0</v>
      </c>
      <c r="R315" s="272">
        <f t="shared" si="2096"/>
        <v>0</v>
      </c>
      <c r="S315" s="272">
        <f t="shared" si="2096"/>
        <v>0</v>
      </c>
      <c r="T315" s="272">
        <f t="shared" si="2096"/>
        <v>0</v>
      </c>
      <c r="U315" s="270">
        <f t="shared" si="2096"/>
        <v>0</v>
      </c>
      <c r="V315" s="270">
        <f t="shared" si="2096"/>
        <v>0</v>
      </c>
      <c r="W315" s="270">
        <f t="shared" si="2096"/>
        <v>0</v>
      </c>
      <c r="X315" s="270">
        <f t="shared" si="2096"/>
        <v>0</v>
      </c>
      <c r="Y315" s="270">
        <f t="shared" si="2096"/>
        <v>0</v>
      </c>
      <c r="Z315" s="270">
        <f t="shared" si="2096"/>
        <v>0</v>
      </c>
      <c r="AA315" s="270">
        <f t="shared" si="2096"/>
        <v>0</v>
      </c>
      <c r="AB315" s="270">
        <f t="shared" si="2096"/>
        <v>0</v>
      </c>
      <c r="AC315" s="270">
        <f t="shared" si="2096"/>
        <v>0</v>
      </c>
      <c r="AD315" s="270">
        <f t="shared" si="2096"/>
        <v>0</v>
      </c>
      <c r="AE315" s="270">
        <f t="shared" si="2096"/>
        <v>0</v>
      </c>
      <c r="AF315" s="270">
        <f t="shared" si="2096"/>
        <v>0</v>
      </c>
      <c r="AG315" s="270">
        <f t="shared" si="2096"/>
        <v>0</v>
      </c>
      <c r="AH315" s="279">
        <f t="shared" si="602"/>
        <v>0</v>
      </c>
      <c r="AI315" s="270">
        <f t="shared" si="43"/>
        <v>0</v>
      </c>
      <c r="AJ315" s="270">
        <f t="shared" ref="AJ315:AO315" si="2097">IF(F$8=0,0,ROUND(AJ314-(F315-BO315),2))</f>
        <v>0</v>
      </c>
      <c r="AK315" s="270">
        <f t="shared" si="2097"/>
        <v>0</v>
      </c>
      <c r="AL315" s="270">
        <f t="shared" si="2097"/>
        <v>0</v>
      </c>
      <c r="AM315" s="270">
        <f t="shared" si="2097"/>
        <v>0</v>
      </c>
      <c r="AN315" s="270">
        <f t="shared" si="2097"/>
        <v>0</v>
      </c>
      <c r="AO315" s="270">
        <f t="shared" si="2097"/>
        <v>0</v>
      </c>
      <c r="AP315" s="270">
        <v>0.0</v>
      </c>
      <c r="AQ315" s="270">
        <f t="shared" ref="AQ315:AR315" si="2098">IF(M$8=0,0,ROUND(AQ314-(M315-BV315),2))</f>
        <v>0</v>
      </c>
      <c r="AR315" s="270">
        <f t="shared" si="2098"/>
        <v>0</v>
      </c>
      <c r="AS315" s="270">
        <f t="shared" si="1902"/>
        <v>-3.68</v>
      </c>
      <c r="AT315" s="270">
        <f t="shared" si="605"/>
        <v>-6.67</v>
      </c>
      <c r="AU315" s="270">
        <f t="shared" ref="AU315:BK315" si="2099">IF(Q$8=0,0,ROUND(AU314-(Q315-BY315),2))</f>
        <v>-18.78</v>
      </c>
      <c r="AV315" s="270">
        <f t="shared" si="2099"/>
        <v>0</v>
      </c>
      <c r="AW315" s="270">
        <f t="shared" si="2099"/>
        <v>0</v>
      </c>
      <c r="AX315" s="270">
        <f t="shared" si="2099"/>
        <v>0</v>
      </c>
      <c r="AY315" s="270">
        <f t="shared" si="2099"/>
        <v>0</v>
      </c>
      <c r="AZ315" s="270">
        <f t="shared" si="2099"/>
        <v>0</v>
      </c>
      <c r="BA315" s="270">
        <f t="shared" si="2099"/>
        <v>0</v>
      </c>
      <c r="BB315" s="270">
        <f t="shared" si="2099"/>
        <v>0</v>
      </c>
      <c r="BC315" s="270">
        <f t="shared" si="2099"/>
        <v>0</v>
      </c>
      <c r="BD315" s="270">
        <f t="shared" si="2099"/>
        <v>0</v>
      </c>
      <c r="BE315" s="270">
        <f t="shared" si="2099"/>
        <v>0</v>
      </c>
      <c r="BF315" s="270">
        <f t="shared" si="2099"/>
        <v>0</v>
      </c>
      <c r="BG315" s="270">
        <f t="shared" si="2099"/>
        <v>0</v>
      </c>
      <c r="BH315" s="270">
        <f t="shared" si="2099"/>
        <v>0</v>
      </c>
      <c r="BI315" s="270">
        <f t="shared" si="2099"/>
        <v>0</v>
      </c>
      <c r="BJ315" s="270">
        <f t="shared" si="2099"/>
        <v>0</v>
      </c>
      <c r="BK315" s="270">
        <f t="shared" si="2099"/>
        <v>0</v>
      </c>
      <c r="BL315" s="265">
        <f t="shared" si="16"/>
        <v>-29.13</v>
      </c>
      <c r="BM315" s="215"/>
      <c r="BN315" s="270">
        <f t="shared" ref="BN315:CP315" si="2100">ROUND(AI314*E$9/12,2)</f>
        <v>0</v>
      </c>
      <c r="BO315" s="270">
        <f t="shared" si="2100"/>
        <v>0</v>
      </c>
      <c r="BP315" s="270">
        <f t="shared" si="2100"/>
        <v>0</v>
      </c>
      <c r="BQ315" s="270">
        <f t="shared" si="2100"/>
        <v>0</v>
      </c>
      <c r="BR315" s="270">
        <f t="shared" si="2100"/>
        <v>0</v>
      </c>
      <c r="BS315" s="270">
        <f t="shared" si="2100"/>
        <v>0</v>
      </c>
      <c r="BT315" s="270">
        <f t="shared" si="2100"/>
        <v>0</v>
      </c>
      <c r="BU315" s="270">
        <f t="shared" si="2100"/>
        <v>0</v>
      </c>
      <c r="BV315" s="270">
        <f t="shared" si="2100"/>
        <v>0</v>
      </c>
      <c r="BW315" s="270">
        <f t="shared" si="2100"/>
        <v>0</v>
      </c>
      <c r="BX315" s="270">
        <f t="shared" si="2100"/>
        <v>-0.03</v>
      </c>
      <c r="BY315" s="270">
        <f t="shared" si="2100"/>
        <v>-0.05</v>
      </c>
      <c r="BZ315" s="270">
        <f t="shared" si="2100"/>
        <v>-0.06</v>
      </c>
      <c r="CA315" s="270">
        <f t="shared" si="2100"/>
        <v>0</v>
      </c>
      <c r="CB315" s="270">
        <f t="shared" si="2100"/>
        <v>0</v>
      </c>
      <c r="CC315" s="270">
        <f t="shared" si="2100"/>
        <v>0</v>
      </c>
      <c r="CD315" s="270">
        <f t="shared" si="2100"/>
        <v>0</v>
      </c>
      <c r="CE315" s="270">
        <f t="shared" si="2100"/>
        <v>0</v>
      </c>
      <c r="CF315" s="270">
        <f t="shared" si="2100"/>
        <v>0</v>
      </c>
      <c r="CG315" s="270">
        <f t="shared" si="2100"/>
        <v>0</v>
      </c>
      <c r="CH315" s="270">
        <f t="shared" si="2100"/>
        <v>0</v>
      </c>
      <c r="CI315" s="270">
        <f t="shared" si="2100"/>
        <v>0</v>
      </c>
      <c r="CJ315" s="270">
        <f t="shared" si="2100"/>
        <v>0</v>
      </c>
      <c r="CK315" s="270">
        <f t="shared" si="2100"/>
        <v>0</v>
      </c>
      <c r="CL315" s="270">
        <f t="shared" si="2100"/>
        <v>0</v>
      </c>
      <c r="CM315" s="270">
        <f t="shared" si="2100"/>
        <v>0</v>
      </c>
      <c r="CN315" s="270">
        <f t="shared" si="2100"/>
        <v>0</v>
      </c>
      <c r="CO315" s="270">
        <f t="shared" si="2100"/>
        <v>0</v>
      </c>
      <c r="CP315" s="270">
        <f t="shared" si="2100"/>
        <v>0</v>
      </c>
      <c r="CQ315" s="215"/>
      <c r="CR315" s="270">
        <f t="shared" si="27"/>
        <v>-0.14</v>
      </c>
      <c r="CS315" s="215"/>
      <c r="CT315" s="270">
        <f t="shared" ref="CT315:DX315" si="2101">IF(AI314&gt;0,IF((AI314+BN315)&lt;E$10,AI314+BN315,E$10),0)</f>
        <v>0</v>
      </c>
      <c r="CU315" s="270">
        <f t="shared" si="2101"/>
        <v>0</v>
      </c>
      <c r="CV315" s="270">
        <f t="shared" si="2101"/>
        <v>0</v>
      </c>
      <c r="CW315" s="270">
        <f t="shared" si="2101"/>
        <v>0</v>
      </c>
      <c r="CX315" s="270">
        <f t="shared" si="2101"/>
        <v>0</v>
      </c>
      <c r="CY315" s="270">
        <f t="shared" si="2101"/>
        <v>0</v>
      </c>
      <c r="CZ315" s="270">
        <f t="shared" si="2101"/>
        <v>0</v>
      </c>
      <c r="DA315" s="270">
        <f t="shared" si="2101"/>
        <v>0</v>
      </c>
      <c r="DB315" s="270">
        <f t="shared" si="2101"/>
        <v>0</v>
      </c>
      <c r="DC315" s="270">
        <f t="shared" si="2101"/>
        <v>0</v>
      </c>
      <c r="DD315" s="270">
        <f t="shared" si="2101"/>
        <v>0</v>
      </c>
      <c r="DE315" s="270">
        <f t="shared" si="2101"/>
        <v>0</v>
      </c>
      <c r="DF315" s="270">
        <f t="shared" si="2101"/>
        <v>0</v>
      </c>
      <c r="DG315" s="270">
        <f t="shared" si="2101"/>
        <v>0</v>
      </c>
      <c r="DH315" s="270">
        <f t="shared" si="2101"/>
        <v>0</v>
      </c>
      <c r="DI315" s="270">
        <f t="shared" si="2101"/>
        <v>0</v>
      </c>
      <c r="DJ315" s="270">
        <f t="shared" si="2101"/>
        <v>0</v>
      </c>
      <c r="DK315" s="270">
        <f t="shared" si="2101"/>
        <v>0</v>
      </c>
      <c r="DL315" s="270">
        <f t="shared" si="2101"/>
        <v>0</v>
      </c>
      <c r="DM315" s="270">
        <f t="shared" si="2101"/>
        <v>0</v>
      </c>
      <c r="DN315" s="270">
        <f t="shared" si="2101"/>
        <v>0</v>
      </c>
      <c r="DO315" s="270">
        <f t="shared" si="2101"/>
        <v>0</v>
      </c>
      <c r="DP315" s="270">
        <f t="shared" si="2101"/>
        <v>0</v>
      </c>
      <c r="DQ315" s="270">
        <f t="shared" si="2101"/>
        <v>0</v>
      </c>
      <c r="DR315" s="270">
        <f t="shared" si="2101"/>
        <v>0</v>
      </c>
      <c r="DS315" s="270">
        <f t="shared" si="2101"/>
        <v>0</v>
      </c>
      <c r="DT315" s="270">
        <f t="shared" si="2101"/>
        <v>0</v>
      </c>
      <c r="DU315" s="270">
        <f t="shared" si="2101"/>
        <v>0</v>
      </c>
      <c r="DV315" s="270">
        <f t="shared" si="2101"/>
        <v>0</v>
      </c>
      <c r="DW315" s="270">
        <f t="shared" si="2101"/>
        <v>0</v>
      </c>
      <c r="DX315" s="270">
        <f t="shared" si="2101"/>
        <v>0</v>
      </c>
      <c r="DY315" s="270">
        <f t="shared" si="29"/>
        <v>0</v>
      </c>
      <c r="DZ315" s="274"/>
      <c r="EA315" s="275">
        <f t="shared" si="38"/>
        <v>0</v>
      </c>
      <c r="EB315" s="270">
        <f t="shared" ref="EB315:FC315" si="2102">IF(AJ313&lt;=0,0,IF($C314&lt;=SUM($EA315:EA315),0,IF(CU314+$C314-SUM($EA315:EA315)&gt;AJ313+BO314,AJ313+BO314-CU314,$C314-SUM($EA315:EA315))))</f>
        <v>0</v>
      </c>
      <c r="EC315" s="270">
        <f t="shared" si="2102"/>
        <v>0</v>
      </c>
      <c r="ED315" s="270">
        <f t="shared" si="2102"/>
        <v>0</v>
      </c>
      <c r="EE315" s="270">
        <f t="shared" si="2102"/>
        <v>0</v>
      </c>
      <c r="EF315" s="270">
        <f t="shared" si="2102"/>
        <v>0</v>
      </c>
      <c r="EG315" s="270">
        <f t="shared" si="2102"/>
        <v>0</v>
      </c>
      <c r="EH315" s="270">
        <f t="shared" si="2102"/>
        <v>0</v>
      </c>
      <c r="EI315" s="270">
        <f t="shared" si="2102"/>
        <v>0</v>
      </c>
      <c r="EJ315" s="270">
        <f t="shared" si="2102"/>
        <v>0</v>
      </c>
      <c r="EK315" s="270">
        <f t="shared" si="2102"/>
        <v>0</v>
      </c>
      <c r="EL315" s="270">
        <f t="shared" si="2102"/>
        <v>0</v>
      </c>
      <c r="EM315" s="270">
        <f t="shared" si="2102"/>
        <v>0</v>
      </c>
      <c r="EN315" s="270">
        <f t="shared" si="2102"/>
        <v>0</v>
      </c>
      <c r="EO315" s="270">
        <f t="shared" si="2102"/>
        <v>0</v>
      </c>
      <c r="EP315" s="270">
        <f t="shared" si="2102"/>
        <v>0</v>
      </c>
      <c r="EQ315" s="270">
        <f t="shared" si="2102"/>
        <v>0</v>
      </c>
      <c r="ER315" s="270">
        <f t="shared" si="2102"/>
        <v>0</v>
      </c>
      <c r="ES315" s="270">
        <f t="shared" si="2102"/>
        <v>0</v>
      </c>
      <c r="ET315" s="270">
        <f t="shared" si="2102"/>
        <v>0</v>
      </c>
      <c r="EU315" s="270">
        <f t="shared" si="2102"/>
        <v>0</v>
      </c>
      <c r="EV315" s="270">
        <f t="shared" si="2102"/>
        <v>0</v>
      </c>
      <c r="EW315" s="270">
        <f t="shared" si="2102"/>
        <v>0</v>
      </c>
      <c r="EX315" s="270">
        <f t="shared" si="2102"/>
        <v>0</v>
      </c>
      <c r="EY315" s="270">
        <f t="shared" si="2102"/>
        <v>0</v>
      </c>
      <c r="EZ315" s="270">
        <f t="shared" si="2102"/>
        <v>0</v>
      </c>
      <c r="FA315" s="270">
        <f t="shared" si="2102"/>
        <v>0</v>
      </c>
      <c r="FB315" s="270">
        <f t="shared" si="2102"/>
        <v>0</v>
      </c>
      <c r="FC315" s="270">
        <f t="shared" si="2102"/>
        <v>0</v>
      </c>
      <c r="FD315" s="271"/>
      <c r="FE315" s="271"/>
      <c r="FF315" s="271"/>
      <c r="FG315" s="215"/>
      <c r="FH315" s="215"/>
    </row>
    <row r="316" ht="11.25" customHeight="1">
      <c r="A316" s="215" t="str">
        <f t="shared" si="19"/>
        <v/>
      </c>
      <c r="B316" s="241" t="str">
        <f t="shared" si="600"/>
        <v>#N/A</v>
      </c>
      <c r="C316" s="271" t="str">
        <f>IF(A316="","",IF(Calculator!snowball,IF(($E$5-DY316)&lt;0,0,$E$5-DY316),0)+D316)</f>
        <v/>
      </c>
      <c r="D316" s="271"/>
      <c r="E316" s="270">
        <f t="shared" si="40"/>
        <v>0</v>
      </c>
      <c r="F316" s="270">
        <f t="shared" ref="F316:AG316" si="2103">CU316+EB317</f>
        <v>0</v>
      </c>
      <c r="G316" s="270">
        <f t="shared" si="2103"/>
        <v>0</v>
      </c>
      <c r="H316" s="270">
        <f t="shared" si="2103"/>
        <v>0</v>
      </c>
      <c r="I316" s="270">
        <f t="shared" si="2103"/>
        <v>0</v>
      </c>
      <c r="J316" s="270">
        <f t="shared" si="2103"/>
        <v>0</v>
      </c>
      <c r="K316" s="270">
        <f t="shared" si="2103"/>
        <v>0</v>
      </c>
      <c r="L316" s="270">
        <f t="shared" si="2103"/>
        <v>0</v>
      </c>
      <c r="M316" s="270">
        <f t="shared" si="2103"/>
        <v>0</v>
      </c>
      <c r="N316" s="270">
        <f t="shared" si="2103"/>
        <v>0</v>
      </c>
      <c r="O316" s="270">
        <f t="shared" si="2103"/>
        <v>0</v>
      </c>
      <c r="P316" s="272">
        <f t="shared" si="2103"/>
        <v>0</v>
      </c>
      <c r="Q316" s="272">
        <f t="shared" si="2103"/>
        <v>0</v>
      </c>
      <c r="R316" s="272">
        <f t="shared" si="2103"/>
        <v>0</v>
      </c>
      <c r="S316" s="272">
        <f t="shared" si="2103"/>
        <v>0</v>
      </c>
      <c r="T316" s="272">
        <f t="shared" si="2103"/>
        <v>0</v>
      </c>
      <c r="U316" s="270">
        <f t="shared" si="2103"/>
        <v>0</v>
      </c>
      <c r="V316" s="270">
        <f t="shared" si="2103"/>
        <v>0</v>
      </c>
      <c r="W316" s="270">
        <f t="shared" si="2103"/>
        <v>0</v>
      </c>
      <c r="X316" s="270">
        <f t="shared" si="2103"/>
        <v>0</v>
      </c>
      <c r="Y316" s="270">
        <f t="shared" si="2103"/>
        <v>0</v>
      </c>
      <c r="Z316" s="270">
        <f t="shared" si="2103"/>
        <v>0</v>
      </c>
      <c r="AA316" s="270">
        <f t="shared" si="2103"/>
        <v>0</v>
      </c>
      <c r="AB316" s="270">
        <f t="shared" si="2103"/>
        <v>0</v>
      </c>
      <c r="AC316" s="270">
        <f t="shared" si="2103"/>
        <v>0</v>
      </c>
      <c r="AD316" s="270">
        <f t="shared" si="2103"/>
        <v>0</v>
      </c>
      <c r="AE316" s="270">
        <f t="shared" si="2103"/>
        <v>0</v>
      </c>
      <c r="AF316" s="270">
        <f t="shared" si="2103"/>
        <v>0</v>
      </c>
      <c r="AG316" s="270">
        <f t="shared" si="2103"/>
        <v>0</v>
      </c>
      <c r="AH316" s="279">
        <f t="shared" si="602"/>
        <v>0</v>
      </c>
      <c r="AI316" s="270">
        <f t="shared" si="43"/>
        <v>0</v>
      </c>
      <c r="AJ316" s="270">
        <f t="shared" ref="AJ316:AO316" si="2104">IF(F$8=0,0,ROUND(AJ315-(F316-BO316),2))</f>
        <v>0</v>
      </c>
      <c r="AK316" s="270">
        <f t="shared" si="2104"/>
        <v>0</v>
      </c>
      <c r="AL316" s="270">
        <f t="shared" si="2104"/>
        <v>0</v>
      </c>
      <c r="AM316" s="270">
        <f t="shared" si="2104"/>
        <v>0</v>
      </c>
      <c r="AN316" s="270">
        <f t="shared" si="2104"/>
        <v>0</v>
      </c>
      <c r="AO316" s="270">
        <f t="shared" si="2104"/>
        <v>0</v>
      </c>
      <c r="AP316" s="270">
        <v>0.0</v>
      </c>
      <c r="AQ316" s="270">
        <f t="shared" ref="AQ316:AR316" si="2105">IF(M$8=0,0,ROUND(AQ315-(M316-BV316),2))</f>
        <v>0</v>
      </c>
      <c r="AR316" s="270">
        <f t="shared" si="2105"/>
        <v>0</v>
      </c>
      <c r="AS316" s="270">
        <f t="shared" si="1902"/>
        <v>-3.82</v>
      </c>
      <c r="AT316" s="270">
        <f t="shared" si="605"/>
        <v>-6.7</v>
      </c>
      <c r="AU316" s="270">
        <f t="shared" ref="AU316:BK316" si="2106">IF(Q$8=0,0,ROUND(AU315-(Q316-BY316),2))</f>
        <v>-18.83</v>
      </c>
      <c r="AV316" s="270">
        <f t="shared" si="2106"/>
        <v>0</v>
      </c>
      <c r="AW316" s="270">
        <f t="shared" si="2106"/>
        <v>0</v>
      </c>
      <c r="AX316" s="270">
        <f t="shared" si="2106"/>
        <v>0</v>
      </c>
      <c r="AY316" s="270">
        <f t="shared" si="2106"/>
        <v>0</v>
      </c>
      <c r="AZ316" s="270">
        <f t="shared" si="2106"/>
        <v>0</v>
      </c>
      <c r="BA316" s="270">
        <f t="shared" si="2106"/>
        <v>0</v>
      </c>
      <c r="BB316" s="270">
        <f t="shared" si="2106"/>
        <v>0</v>
      </c>
      <c r="BC316" s="270">
        <f t="shared" si="2106"/>
        <v>0</v>
      </c>
      <c r="BD316" s="270">
        <f t="shared" si="2106"/>
        <v>0</v>
      </c>
      <c r="BE316" s="270">
        <f t="shared" si="2106"/>
        <v>0</v>
      </c>
      <c r="BF316" s="270">
        <f t="shared" si="2106"/>
        <v>0</v>
      </c>
      <c r="BG316" s="270">
        <f t="shared" si="2106"/>
        <v>0</v>
      </c>
      <c r="BH316" s="270">
        <f t="shared" si="2106"/>
        <v>0</v>
      </c>
      <c r="BI316" s="270">
        <f t="shared" si="2106"/>
        <v>0</v>
      </c>
      <c r="BJ316" s="270">
        <f t="shared" si="2106"/>
        <v>0</v>
      </c>
      <c r="BK316" s="270">
        <f t="shared" si="2106"/>
        <v>0</v>
      </c>
      <c r="BL316" s="265">
        <f t="shared" si="16"/>
        <v>-29.35</v>
      </c>
      <c r="BM316" s="215"/>
      <c r="BN316" s="270">
        <f t="shared" ref="BN316:CP316" si="2107">ROUND(AI315*E$9/12,2)</f>
        <v>0</v>
      </c>
      <c r="BO316" s="270">
        <f t="shared" si="2107"/>
        <v>0</v>
      </c>
      <c r="BP316" s="270">
        <f t="shared" si="2107"/>
        <v>0</v>
      </c>
      <c r="BQ316" s="270">
        <f t="shared" si="2107"/>
        <v>0</v>
      </c>
      <c r="BR316" s="270">
        <f t="shared" si="2107"/>
        <v>0</v>
      </c>
      <c r="BS316" s="270">
        <f t="shared" si="2107"/>
        <v>0</v>
      </c>
      <c r="BT316" s="270">
        <f t="shared" si="2107"/>
        <v>0</v>
      </c>
      <c r="BU316" s="270">
        <f t="shared" si="2107"/>
        <v>0</v>
      </c>
      <c r="BV316" s="270">
        <f t="shared" si="2107"/>
        <v>0</v>
      </c>
      <c r="BW316" s="270">
        <f t="shared" si="2107"/>
        <v>0</v>
      </c>
      <c r="BX316" s="270">
        <f t="shared" si="2107"/>
        <v>-0.03</v>
      </c>
      <c r="BY316" s="270">
        <f t="shared" si="2107"/>
        <v>-0.05</v>
      </c>
      <c r="BZ316" s="270">
        <f t="shared" si="2107"/>
        <v>-0.06</v>
      </c>
      <c r="CA316" s="270">
        <f t="shared" si="2107"/>
        <v>0</v>
      </c>
      <c r="CB316" s="270">
        <f t="shared" si="2107"/>
        <v>0</v>
      </c>
      <c r="CC316" s="270">
        <f t="shared" si="2107"/>
        <v>0</v>
      </c>
      <c r="CD316" s="270">
        <f t="shared" si="2107"/>
        <v>0</v>
      </c>
      <c r="CE316" s="270">
        <f t="shared" si="2107"/>
        <v>0</v>
      </c>
      <c r="CF316" s="270">
        <f t="shared" si="2107"/>
        <v>0</v>
      </c>
      <c r="CG316" s="270">
        <f t="shared" si="2107"/>
        <v>0</v>
      </c>
      <c r="CH316" s="270">
        <f t="shared" si="2107"/>
        <v>0</v>
      </c>
      <c r="CI316" s="270">
        <f t="shared" si="2107"/>
        <v>0</v>
      </c>
      <c r="CJ316" s="270">
        <f t="shared" si="2107"/>
        <v>0</v>
      </c>
      <c r="CK316" s="270">
        <f t="shared" si="2107"/>
        <v>0</v>
      </c>
      <c r="CL316" s="270">
        <f t="shared" si="2107"/>
        <v>0</v>
      </c>
      <c r="CM316" s="270">
        <f t="shared" si="2107"/>
        <v>0</v>
      </c>
      <c r="CN316" s="270">
        <f t="shared" si="2107"/>
        <v>0</v>
      </c>
      <c r="CO316" s="270">
        <f t="shared" si="2107"/>
        <v>0</v>
      </c>
      <c r="CP316" s="270">
        <f t="shared" si="2107"/>
        <v>0</v>
      </c>
      <c r="CQ316" s="215"/>
      <c r="CR316" s="270">
        <f t="shared" si="27"/>
        <v>-0.14</v>
      </c>
      <c r="CS316" s="215"/>
      <c r="CT316" s="270">
        <f t="shared" ref="CT316:DX316" si="2108">IF(AI315&gt;0,IF((AI315+BN316)&lt;E$10,AI315+BN316,E$10),0)</f>
        <v>0</v>
      </c>
      <c r="CU316" s="270">
        <f t="shared" si="2108"/>
        <v>0</v>
      </c>
      <c r="CV316" s="270">
        <f t="shared" si="2108"/>
        <v>0</v>
      </c>
      <c r="CW316" s="270">
        <f t="shared" si="2108"/>
        <v>0</v>
      </c>
      <c r="CX316" s="270">
        <f t="shared" si="2108"/>
        <v>0</v>
      </c>
      <c r="CY316" s="270">
        <f t="shared" si="2108"/>
        <v>0</v>
      </c>
      <c r="CZ316" s="270">
        <f t="shared" si="2108"/>
        <v>0</v>
      </c>
      <c r="DA316" s="270">
        <f t="shared" si="2108"/>
        <v>0</v>
      </c>
      <c r="DB316" s="270">
        <f t="shared" si="2108"/>
        <v>0</v>
      </c>
      <c r="DC316" s="270">
        <f t="shared" si="2108"/>
        <v>0</v>
      </c>
      <c r="DD316" s="270">
        <f t="shared" si="2108"/>
        <v>0</v>
      </c>
      <c r="DE316" s="270">
        <f t="shared" si="2108"/>
        <v>0</v>
      </c>
      <c r="DF316" s="270">
        <f t="shared" si="2108"/>
        <v>0</v>
      </c>
      <c r="DG316" s="270">
        <f t="shared" si="2108"/>
        <v>0</v>
      </c>
      <c r="DH316" s="270">
        <f t="shared" si="2108"/>
        <v>0</v>
      </c>
      <c r="DI316" s="270">
        <f t="shared" si="2108"/>
        <v>0</v>
      </c>
      <c r="DJ316" s="270">
        <f t="shared" si="2108"/>
        <v>0</v>
      </c>
      <c r="DK316" s="270">
        <f t="shared" si="2108"/>
        <v>0</v>
      </c>
      <c r="DL316" s="270">
        <f t="shared" si="2108"/>
        <v>0</v>
      </c>
      <c r="DM316" s="270">
        <f t="shared" si="2108"/>
        <v>0</v>
      </c>
      <c r="DN316" s="270">
        <f t="shared" si="2108"/>
        <v>0</v>
      </c>
      <c r="DO316" s="270">
        <f t="shared" si="2108"/>
        <v>0</v>
      </c>
      <c r="DP316" s="270">
        <f t="shared" si="2108"/>
        <v>0</v>
      </c>
      <c r="DQ316" s="270">
        <f t="shared" si="2108"/>
        <v>0</v>
      </c>
      <c r="DR316" s="270">
        <f t="shared" si="2108"/>
        <v>0</v>
      </c>
      <c r="DS316" s="270">
        <f t="shared" si="2108"/>
        <v>0</v>
      </c>
      <c r="DT316" s="270">
        <f t="shared" si="2108"/>
        <v>0</v>
      </c>
      <c r="DU316" s="270">
        <f t="shared" si="2108"/>
        <v>0</v>
      </c>
      <c r="DV316" s="270">
        <f t="shared" si="2108"/>
        <v>0</v>
      </c>
      <c r="DW316" s="270">
        <f t="shared" si="2108"/>
        <v>0</v>
      </c>
      <c r="DX316" s="270">
        <f t="shared" si="2108"/>
        <v>0</v>
      </c>
      <c r="DY316" s="270">
        <f t="shared" si="29"/>
        <v>0</v>
      </c>
      <c r="DZ316" s="274"/>
      <c r="EA316" s="275">
        <f t="shared" si="38"/>
        <v>0</v>
      </c>
      <c r="EB316" s="270">
        <f t="shared" ref="EB316:FC316" si="2109">IF(AJ314&lt;=0,0,IF($C315&lt;=SUM($EA316:EA316),0,IF(CU315+$C315-SUM($EA316:EA316)&gt;AJ314+BO315,AJ314+BO315-CU315,$C315-SUM($EA316:EA316))))</f>
        <v>0</v>
      </c>
      <c r="EC316" s="270">
        <f t="shared" si="2109"/>
        <v>0</v>
      </c>
      <c r="ED316" s="270">
        <f t="shared" si="2109"/>
        <v>0</v>
      </c>
      <c r="EE316" s="270">
        <f t="shared" si="2109"/>
        <v>0</v>
      </c>
      <c r="EF316" s="270">
        <f t="shared" si="2109"/>
        <v>0</v>
      </c>
      <c r="EG316" s="270">
        <f t="shared" si="2109"/>
        <v>0</v>
      </c>
      <c r="EH316" s="270">
        <f t="shared" si="2109"/>
        <v>0</v>
      </c>
      <c r="EI316" s="270">
        <f t="shared" si="2109"/>
        <v>0</v>
      </c>
      <c r="EJ316" s="270">
        <f t="shared" si="2109"/>
        <v>0</v>
      </c>
      <c r="EK316" s="270">
        <f t="shared" si="2109"/>
        <v>0</v>
      </c>
      <c r="EL316" s="270">
        <f t="shared" si="2109"/>
        <v>0</v>
      </c>
      <c r="EM316" s="270">
        <f t="shared" si="2109"/>
        <v>0</v>
      </c>
      <c r="EN316" s="270">
        <f t="shared" si="2109"/>
        <v>0</v>
      </c>
      <c r="EO316" s="270">
        <f t="shared" si="2109"/>
        <v>0</v>
      </c>
      <c r="EP316" s="270">
        <f t="shared" si="2109"/>
        <v>0</v>
      </c>
      <c r="EQ316" s="270">
        <f t="shared" si="2109"/>
        <v>0</v>
      </c>
      <c r="ER316" s="270">
        <f t="shared" si="2109"/>
        <v>0</v>
      </c>
      <c r="ES316" s="270">
        <f t="shared" si="2109"/>
        <v>0</v>
      </c>
      <c r="ET316" s="270">
        <f t="shared" si="2109"/>
        <v>0</v>
      </c>
      <c r="EU316" s="270">
        <f t="shared" si="2109"/>
        <v>0</v>
      </c>
      <c r="EV316" s="270">
        <f t="shared" si="2109"/>
        <v>0</v>
      </c>
      <c r="EW316" s="270">
        <f t="shared" si="2109"/>
        <v>0</v>
      </c>
      <c r="EX316" s="270">
        <f t="shared" si="2109"/>
        <v>0</v>
      </c>
      <c r="EY316" s="270">
        <f t="shared" si="2109"/>
        <v>0</v>
      </c>
      <c r="EZ316" s="270">
        <f t="shared" si="2109"/>
        <v>0</v>
      </c>
      <c r="FA316" s="270">
        <f t="shared" si="2109"/>
        <v>0</v>
      </c>
      <c r="FB316" s="270">
        <f t="shared" si="2109"/>
        <v>0</v>
      </c>
      <c r="FC316" s="270">
        <f t="shared" si="2109"/>
        <v>0</v>
      </c>
      <c r="FD316" s="271"/>
      <c r="FE316" s="271"/>
      <c r="FF316" s="271"/>
      <c r="FG316" s="215"/>
      <c r="FH316" s="215"/>
    </row>
    <row r="317" ht="11.25" customHeight="1">
      <c r="A317" s="215" t="str">
        <f t="shared" si="19"/>
        <v/>
      </c>
      <c r="B317" s="241" t="str">
        <f t="shared" si="600"/>
        <v>#N/A</v>
      </c>
      <c r="C317" s="271" t="str">
        <f>IF(A317="","",IF(Calculator!snowball,IF(($E$5-DY317)&lt;0,0,$E$5-DY317),0)+D317)</f>
        <v/>
      </c>
      <c r="D317" s="271"/>
      <c r="E317" s="270">
        <f t="shared" si="40"/>
        <v>0</v>
      </c>
      <c r="F317" s="270">
        <f t="shared" ref="F317:AG317" si="2110">CU317+EB318</f>
        <v>0</v>
      </c>
      <c r="G317" s="270">
        <f t="shared" si="2110"/>
        <v>0</v>
      </c>
      <c r="H317" s="270">
        <f t="shared" si="2110"/>
        <v>0</v>
      </c>
      <c r="I317" s="270">
        <f t="shared" si="2110"/>
        <v>0</v>
      </c>
      <c r="J317" s="270">
        <f t="shared" si="2110"/>
        <v>0</v>
      </c>
      <c r="K317" s="270">
        <f t="shared" si="2110"/>
        <v>0</v>
      </c>
      <c r="L317" s="270">
        <f t="shared" si="2110"/>
        <v>0</v>
      </c>
      <c r="M317" s="270">
        <f t="shared" si="2110"/>
        <v>0</v>
      </c>
      <c r="N317" s="270">
        <f t="shared" si="2110"/>
        <v>0</v>
      </c>
      <c r="O317" s="270">
        <f t="shared" si="2110"/>
        <v>0</v>
      </c>
      <c r="P317" s="272">
        <f t="shared" si="2110"/>
        <v>0</v>
      </c>
      <c r="Q317" s="272">
        <f t="shared" si="2110"/>
        <v>0</v>
      </c>
      <c r="R317" s="272">
        <f t="shared" si="2110"/>
        <v>0</v>
      </c>
      <c r="S317" s="272">
        <f t="shared" si="2110"/>
        <v>0</v>
      </c>
      <c r="T317" s="272">
        <f t="shared" si="2110"/>
        <v>0</v>
      </c>
      <c r="U317" s="270">
        <f t="shared" si="2110"/>
        <v>0</v>
      </c>
      <c r="V317" s="270">
        <f t="shared" si="2110"/>
        <v>0</v>
      </c>
      <c r="W317" s="270">
        <f t="shared" si="2110"/>
        <v>0</v>
      </c>
      <c r="X317" s="270">
        <f t="shared" si="2110"/>
        <v>0</v>
      </c>
      <c r="Y317" s="270">
        <f t="shared" si="2110"/>
        <v>0</v>
      </c>
      <c r="Z317" s="270">
        <f t="shared" si="2110"/>
        <v>0</v>
      </c>
      <c r="AA317" s="270">
        <f t="shared" si="2110"/>
        <v>0</v>
      </c>
      <c r="AB317" s="270">
        <f t="shared" si="2110"/>
        <v>0</v>
      </c>
      <c r="AC317" s="270">
        <f t="shared" si="2110"/>
        <v>0</v>
      </c>
      <c r="AD317" s="270">
        <f t="shared" si="2110"/>
        <v>0</v>
      </c>
      <c r="AE317" s="270">
        <f t="shared" si="2110"/>
        <v>0</v>
      </c>
      <c r="AF317" s="270">
        <f t="shared" si="2110"/>
        <v>0</v>
      </c>
      <c r="AG317" s="270">
        <f t="shared" si="2110"/>
        <v>0</v>
      </c>
      <c r="AH317" s="279">
        <f t="shared" si="602"/>
        <v>0</v>
      </c>
      <c r="AI317" s="270">
        <f t="shared" si="43"/>
        <v>0</v>
      </c>
      <c r="AJ317" s="270">
        <f t="shared" ref="AJ317:AO317" si="2111">IF(F$8=0,0,ROUND(AJ316-(F317-BO317),2))</f>
        <v>0</v>
      </c>
      <c r="AK317" s="270">
        <f t="shared" si="2111"/>
        <v>0</v>
      </c>
      <c r="AL317" s="270">
        <f t="shared" si="2111"/>
        <v>0</v>
      </c>
      <c r="AM317" s="270">
        <f t="shared" si="2111"/>
        <v>0</v>
      </c>
      <c r="AN317" s="270">
        <f t="shared" si="2111"/>
        <v>0</v>
      </c>
      <c r="AO317" s="270">
        <f t="shared" si="2111"/>
        <v>0</v>
      </c>
      <c r="AP317" s="270">
        <v>0.0</v>
      </c>
      <c r="AQ317" s="270">
        <f t="shared" ref="AQ317:AR317" si="2112">IF(M$8=0,0,ROUND(AQ316-(M317-BV317),2))</f>
        <v>0</v>
      </c>
      <c r="AR317" s="270">
        <f t="shared" si="2112"/>
        <v>0</v>
      </c>
      <c r="AS317" s="270">
        <f t="shared" si="1902"/>
        <v>-3.97</v>
      </c>
      <c r="AT317" s="270">
        <f t="shared" si="605"/>
        <v>-6.74</v>
      </c>
      <c r="AU317" s="270">
        <f t="shared" ref="AU317:BK317" si="2113">IF(Q$8=0,0,ROUND(AU316-(Q317-BY317),2))</f>
        <v>-18.88</v>
      </c>
      <c r="AV317" s="270">
        <f t="shared" si="2113"/>
        <v>0</v>
      </c>
      <c r="AW317" s="270">
        <f t="shared" si="2113"/>
        <v>0</v>
      </c>
      <c r="AX317" s="270">
        <f t="shared" si="2113"/>
        <v>0</v>
      </c>
      <c r="AY317" s="270">
        <f t="shared" si="2113"/>
        <v>0</v>
      </c>
      <c r="AZ317" s="270">
        <f t="shared" si="2113"/>
        <v>0</v>
      </c>
      <c r="BA317" s="270">
        <f t="shared" si="2113"/>
        <v>0</v>
      </c>
      <c r="BB317" s="270">
        <f t="shared" si="2113"/>
        <v>0</v>
      </c>
      <c r="BC317" s="270">
        <f t="shared" si="2113"/>
        <v>0</v>
      </c>
      <c r="BD317" s="270">
        <f t="shared" si="2113"/>
        <v>0</v>
      </c>
      <c r="BE317" s="270">
        <f t="shared" si="2113"/>
        <v>0</v>
      </c>
      <c r="BF317" s="270">
        <f t="shared" si="2113"/>
        <v>0</v>
      </c>
      <c r="BG317" s="270">
        <f t="shared" si="2113"/>
        <v>0</v>
      </c>
      <c r="BH317" s="270">
        <f t="shared" si="2113"/>
        <v>0</v>
      </c>
      <c r="BI317" s="270">
        <f t="shared" si="2113"/>
        <v>0</v>
      </c>
      <c r="BJ317" s="270">
        <f t="shared" si="2113"/>
        <v>0</v>
      </c>
      <c r="BK317" s="270">
        <f t="shared" si="2113"/>
        <v>0</v>
      </c>
      <c r="BL317" s="265">
        <f t="shared" si="16"/>
        <v>-29.59</v>
      </c>
      <c r="BM317" s="215"/>
      <c r="BN317" s="270">
        <f t="shared" ref="BN317:CP317" si="2114">ROUND(AI316*E$9/12,2)</f>
        <v>0</v>
      </c>
      <c r="BO317" s="270">
        <f t="shared" si="2114"/>
        <v>0</v>
      </c>
      <c r="BP317" s="270">
        <f t="shared" si="2114"/>
        <v>0</v>
      </c>
      <c r="BQ317" s="270">
        <f t="shared" si="2114"/>
        <v>0</v>
      </c>
      <c r="BR317" s="270">
        <f t="shared" si="2114"/>
        <v>0</v>
      </c>
      <c r="BS317" s="270">
        <f t="shared" si="2114"/>
        <v>0</v>
      </c>
      <c r="BT317" s="270">
        <f t="shared" si="2114"/>
        <v>0</v>
      </c>
      <c r="BU317" s="270">
        <f t="shared" si="2114"/>
        <v>0</v>
      </c>
      <c r="BV317" s="270">
        <f t="shared" si="2114"/>
        <v>0</v>
      </c>
      <c r="BW317" s="270">
        <f t="shared" si="2114"/>
        <v>0</v>
      </c>
      <c r="BX317" s="270">
        <f t="shared" si="2114"/>
        <v>-0.04</v>
      </c>
      <c r="BY317" s="270">
        <f t="shared" si="2114"/>
        <v>-0.05</v>
      </c>
      <c r="BZ317" s="270">
        <f t="shared" si="2114"/>
        <v>-0.06</v>
      </c>
      <c r="CA317" s="270">
        <f t="shared" si="2114"/>
        <v>0</v>
      </c>
      <c r="CB317" s="270">
        <f t="shared" si="2114"/>
        <v>0</v>
      </c>
      <c r="CC317" s="270">
        <f t="shared" si="2114"/>
        <v>0</v>
      </c>
      <c r="CD317" s="270">
        <f t="shared" si="2114"/>
        <v>0</v>
      </c>
      <c r="CE317" s="270">
        <f t="shared" si="2114"/>
        <v>0</v>
      </c>
      <c r="CF317" s="270">
        <f t="shared" si="2114"/>
        <v>0</v>
      </c>
      <c r="CG317" s="270">
        <f t="shared" si="2114"/>
        <v>0</v>
      </c>
      <c r="CH317" s="270">
        <f t="shared" si="2114"/>
        <v>0</v>
      </c>
      <c r="CI317" s="270">
        <f t="shared" si="2114"/>
        <v>0</v>
      </c>
      <c r="CJ317" s="270">
        <f t="shared" si="2114"/>
        <v>0</v>
      </c>
      <c r="CK317" s="270">
        <f t="shared" si="2114"/>
        <v>0</v>
      </c>
      <c r="CL317" s="270">
        <f t="shared" si="2114"/>
        <v>0</v>
      </c>
      <c r="CM317" s="270">
        <f t="shared" si="2114"/>
        <v>0</v>
      </c>
      <c r="CN317" s="270">
        <f t="shared" si="2114"/>
        <v>0</v>
      </c>
      <c r="CO317" s="270">
        <f t="shared" si="2114"/>
        <v>0</v>
      </c>
      <c r="CP317" s="270">
        <f t="shared" si="2114"/>
        <v>0</v>
      </c>
      <c r="CQ317" s="215"/>
      <c r="CR317" s="270">
        <f t="shared" si="27"/>
        <v>-0.15</v>
      </c>
      <c r="CS317" s="215"/>
      <c r="CT317" s="270">
        <f t="shared" ref="CT317:DX317" si="2115">IF(AI316&gt;0,IF((AI316+BN317)&lt;E$10,AI316+BN317,E$10),0)</f>
        <v>0</v>
      </c>
      <c r="CU317" s="270">
        <f t="shared" si="2115"/>
        <v>0</v>
      </c>
      <c r="CV317" s="270">
        <f t="shared" si="2115"/>
        <v>0</v>
      </c>
      <c r="CW317" s="270">
        <f t="shared" si="2115"/>
        <v>0</v>
      </c>
      <c r="CX317" s="270">
        <f t="shared" si="2115"/>
        <v>0</v>
      </c>
      <c r="CY317" s="270">
        <f t="shared" si="2115"/>
        <v>0</v>
      </c>
      <c r="CZ317" s="270">
        <f t="shared" si="2115"/>
        <v>0</v>
      </c>
      <c r="DA317" s="270">
        <f t="shared" si="2115"/>
        <v>0</v>
      </c>
      <c r="DB317" s="270">
        <f t="shared" si="2115"/>
        <v>0</v>
      </c>
      <c r="DC317" s="270">
        <f t="shared" si="2115"/>
        <v>0</v>
      </c>
      <c r="DD317" s="270">
        <f t="shared" si="2115"/>
        <v>0</v>
      </c>
      <c r="DE317" s="270">
        <f t="shared" si="2115"/>
        <v>0</v>
      </c>
      <c r="DF317" s="270">
        <f t="shared" si="2115"/>
        <v>0</v>
      </c>
      <c r="DG317" s="270">
        <f t="shared" si="2115"/>
        <v>0</v>
      </c>
      <c r="DH317" s="270">
        <f t="shared" si="2115"/>
        <v>0</v>
      </c>
      <c r="DI317" s="270">
        <f t="shared" si="2115"/>
        <v>0</v>
      </c>
      <c r="DJ317" s="270">
        <f t="shared" si="2115"/>
        <v>0</v>
      </c>
      <c r="DK317" s="270">
        <f t="shared" si="2115"/>
        <v>0</v>
      </c>
      <c r="DL317" s="270">
        <f t="shared" si="2115"/>
        <v>0</v>
      </c>
      <c r="DM317" s="270">
        <f t="shared" si="2115"/>
        <v>0</v>
      </c>
      <c r="DN317" s="270">
        <f t="shared" si="2115"/>
        <v>0</v>
      </c>
      <c r="DO317" s="270">
        <f t="shared" si="2115"/>
        <v>0</v>
      </c>
      <c r="DP317" s="270">
        <f t="shared" si="2115"/>
        <v>0</v>
      </c>
      <c r="DQ317" s="270">
        <f t="shared" si="2115"/>
        <v>0</v>
      </c>
      <c r="DR317" s="270">
        <f t="shared" si="2115"/>
        <v>0</v>
      </c>
      <c r="DS317" s="270">
        <f t="shared" si="2115"/>
        <v>0</v>
      </c>
      <c r="DT317" s="270">
        <f t="shared" si="2115"/>
        <v>0</v>
      </c>
      <c r="DU317" s="270">
        <f t="shared" si="2115"/>
        <v>0</v>
      </c>
      <c r="DV317" s="270">
        <f t="shared" si="2115"/>
        <v>0</v>
      </c>
      <c r="DW317" s="270">
        <f t="shared" si="2115"/>
        <v>0</v>
      </c>
      <c r="DX317" s="270">
        <f t="shared" si="2115"/>
        <v>0</v>
      </c>
      <c r="DY317" s="270">
        <f t="shared" si="29"/>
        <v>0</v>
      </c>
      <c r="DZ317" s="274"/>
      <c r="EA317" s="275">
        <f t="shared" si="38"/>
        <v>0</v>
      </c>
      <c r="EB317" s="270">
        <f t="shared" ref="EB317:FC317" si="2116">IF(AJ315&lt;=0,0,IF($C316&lt;=SUM($EA317:EA317),0,IF(CU316+$C316-SUM($EA317:EA317)&gt;AJ315+BO316,AJ315+BO316-CU316,$C316-SUM($EA317:EA317))))</f>
        <v>0</v>
      </c>
      <c r="EC317" s="270">
        <f t="shared" si="2116"/>
        <v>0</v>
      </c>
      <c r="ED317" s="270">
        <f t="shared" si="2116"/>
        <v>0</v>
      </c>
      <c r="EE317" s="270">
        <f t="shared" si="2116"/>
        <v>0</v>
      </c>
      <c r="EF317" s="270">
        <f t="shared" si="2116"/>
        <v>0</v>
      </c>
      <c r="EG317" s="270">
        <f t="shared" si="2116"/>
        <v>0</v>
      </c>
      <c r="EH317" s="270">
        <f t="shared" si="2116"/>
        <v>0</v>
      </c>
      <c r="EI317" s="270">
        <f t="shared" si="2116"/>
        <v>0</v>
      </c>
      <c r="EJ317" s="270">
        <f t="shared" si="2116"/>
        <v>0</v>
      </c>
      <c r="EK317" s="270">
        <f t="shared" si="2116"/>
        <v>0</v>
      </c>
      <c r="EL317" s="270">
        <f t="shared" si="2116"/>
        <v>0</v>
      </c>
      <c r="EM317" s="270">
        <f t="shared" si="2116"/>
        <v>0</v>
      </c>
      <c r="EN317" s="270">
        <f t="shared" si="2116"/>
        <v>0</v>
      </c>
      <c r="EO317" s="270">
        <f t="shared" si="2116"/>
        <v>0</v>
      </c>
      <c r="EP317" s="270">
        <f t="shared" si="2116"/>
        <v>0</v>
      </c>
      <c r="EQ317" s="270">
        <f t="shared" si="2116"/>
        <v>0</v>
      </c>
      <c r="ER317" s="270">
        <f t="shared" si="2116"/>
        <v>0</v>
      </c>
      <c r="ES317" s="270">
        <f t="shared" si="2116"/>
        <v>0</v>
      </c>
      <c r="ET317" s="270">
        <f t="shared" si="2116"/>
        <v>0</v>
      </c>
      <c r="EU317" s="270">
        <f t="shared" si="2116"/>
        <v>0</v>
      </c>
      <c r="EV317" s="270">
        <f t="shared" si="2116"/>
        <v>0</v>
      </c>
      <c r="EW317" s="270">
        <f t="shared" si="2116"/>
        <v>0</v>
      </c>
      <c r="EX317" s="270">
        <f t="shared" si="2116"/>
        <v>0</v>
      </c>
      <c r="EY317" s="270">
        <f t="shared" si="2116"/>
        <v>0</v>
      </c>
      <c r="EZ317" s="270">
        <f t="shared" si="2116"/>
        <v>0</v>
      </c>
      <c r="FA317" s="270">
        <f t="shared" si="2116"/>
        <v>0</v>
      </c>
      <c r="FB317" s="270">
        <f t="shared" si="2116"/>
        <v>0</v>
      </c>
      <c r="FC317" s="270">
        <f t="shared" si="2116"/>
        <v>0</v>
      </c>
      <c r="FD317" s="271"/>
      <c r="FE317" s="271"/>
      <c r="FF317" s="271"/>
      <c r="FG317" s="215"/>
      <c r="FH317" s="215"/>
    </row>
    <row r="318" ht="11.25" customHeight="1">
      <c r="A318" s="215" t="str">
        <f t="shared" si="19"/>
        <v/>
      </c>
      <c r="B318" s="241" t="str">
        <f t="shared" si="600"/>
        <v>#N/A</v>
      </c>
      <c r="C318" s="271" t="str">
        <f>IF(A318="","",IF(Calculator!snowball,IF(($E$5-DY318)&lt;0,0,$E$5-DY318),0)+D318)</f>
        <v/>
      </c>
      <c r="D318" s="271"/>
      <c r="E318" s="270">
        <f t="shared" si="40"/>
        <v>0</v>
      </c>
      <c r="F318" s="270">
        <f t="shared" ref="F318:AG318" si="2117">CU318+EB319</f>
        <v>0</v>
      </c>
      <c r="G318" s="270">
        <f t="shared" si="2117"/>
        <v>0</v>
      </c>
      <c r="H318" s="270">
        <f t="shared" si="2117"/>
        <v>0</v>
      </c>
      <c r="I318" s="270">
        <f t="shared" si="2117"/>
        <v>0</v>
      </c>
      <c r="J318" s="270">
        <f t="shared" si="2117"/>
        <v>0</v>
      </c>
      <c r="K318" s="270">
        <f t="shared" si="2117"/>
        <v>0</v>
      </c>
      <c r="L318" s="270">
        <f t="shared" si="2117"/>
        <v>0</v>
      </c>
      <c r="M318" s="270">
        <f t="shared" si="2117"/>
        <v>0</v>
      </c>
      <c r="N318" s="270">
        <f t="shared" si="2117"/>
        <v>0</v>
      </c>
      <c r="O318" s="270">
        <f t="shared" si="2117"/>
        <v>0</v>
      </c>
      <c r="P318" s="272">
        <f t="shared" si="2117"/>
        <v>0</v>
      </c>
      <c r="Q318" s="272">
        <f t="shared" si="2117"/>
        <v>0</v>
      </c>
      <c r="R318" s="272">
        <f t="shared" si="2117"/>
        <v>0</v>
      </c>
      <c r="S318" s="272">
        <f t="shared" si="2117"/>
        <v>0</v>
      </c>
      <c r="T318" s="272">
        <f t="shared" si="2117"/>
        <v>0</v>
      </c>
      <c r="U318" s="270">
        <f t="shared" si="2117"/>
        <v>0</v>
      </c>
      <c r="V318" s="270">
        <f t="shared" si="2117"/>
        <v>0</v>
      </c>
      <c r="W318" s="270">
        <f t="shared" si="2117"/>
        <v>0</v>
      </c>
      <c r="X318" s="270">
        <f t="shared" si="2117"/>
        <v>0</v>
      </c>
      <c r="Y318" s="270">
        <f t="shared" si="2117"/>
        <v>0</v>
      </c>
      <c r="Z318" s="270">
        <f t="shared" si="2117"/>
        <v>0</v>
      </c>
      <c r="AA318" s="270">
        <f t="shared" si="2117"/>
        <v>0</v>
      </c>
      <c r="AB318" s="270">
        <f t="shared" si="2117"/>
        <v>0</v>
      </c>
      <c r="AC318" s="270">
        <f t="shared" si="2117"/>
        <v>0</v>
      </c>
      <c r="AD318" s="270">
        <f t="shared" si="2117"/>
        <v>0</v>
      </c>
      <c r="AE318" s="270">
        <f t="shared" si="2117"/>
        <v>0</v>
      </c>
      <c r="AF318" s="270">
        <f t="shared" si="2117"/>
        <v>0</v>
      </c>
      <c r="AG318" s="270">
        <f t="shared" si="2117"/>
        <v>0</v>
      </c>
      <c r="AH318" s="279">
        <f t="shared" si="602"/>
        <v>0</v>
      </c>
      <c r="AI318" s="270">
        <f t="shared" si="43"/>
        <v>0</v>
      </c>
      <c r="AJ318" s="270">
        <f t="shared" ref="AJ318:AO318" si="2118">IF(F$8=0,0,ROUND(AJ317-(F318-BO318),2))</f>
        <v>0</v>
      </c>
      <c r="AK318" s="270">
        <f t="shared" si="2118"/>
        <v>0</v>
      </c>
      <c r="AL318" s="270">
        <f t="shared" si="2118"/>
        <v>0</v>
      </c>
      <c r="AM318" s="270">
        <f t="shared" si="2118"/>
        <v>0</v>
      </c>
      <c r="AN318" s="270">
        <f t="shared" si="2118"/>
        <v>0</v>
      </c>
      <c r="AO318" s="270">
        <f t="shared" si="2118"/>
        <v>0</v>
      </c>
      <c r="AP318" s="270">
        <v>0.0</v>
      </c>
      <c r="AQ318" s="270">
        <f t="shared" ref="AQ318:AR318" si="2119">IF(M$8=0,0,ROUND(AQ317-(M318-BV318),2))</f>
        <v>0</v>
      </c>
      <c r="AR318" s="270">
        <f t="shared" si="2119"/>
        <v>0</v>
      </c>
      <c r="AS318" s="270">
        <f t="shared" si="1902"/>
        <v>-4.12</v>
      </c>
      <c r="AT318" s="270">
        <f t="shared" si="605"/>
        <v>-6.78</v>
      </c>
      <c r="AU318" s="270">
        <f t="shared" ref="AU318:BK318" si="2120">IF(Q$8=0,0,ROUND(AU317-(Q318-BY318),2))</f>
        <v>-18.93</v>
      </c>
      <c r="AV318" s="270">
        <f t="shared" si="2120"/>
        <v>0</v>
      </c>
      <c r="AW318" s="270">
        <f t="shared" si="2120"/>
        <v>0</v>
      </c>
      <c r="AX318" s="270">
        <f t="shared" si="2120"/>
        <v>0</v>
      </c>
      <c r="AY318" s="270">
        <f t="shared" si="2120"/>
        <v>0</v>
      </c>
      <c r="AZ318" s="270">
        <f t="shared" si="2120"/>
        <v>0</v>
      </c>
      <c r="BA318" s="270">
        <f t="shared" si="2120"/>
        <v>0</v>
      </c>
      <c r="BB318" s="270">
        <f t="shared" si="2120"/>
        <v>0</v>
      </c>
      <c r="BC318" s="270">
        <f t="shared" si="2120"/>
        <v>0</v>
      </c>
      <c r="BD318" s="270">
        <f t="shared" si="2120"/>
        <v>0</v>
      </c>
      <c r="BE318" s="270">
        <f t="shared" si="2120"/>
        <v>0</v>
      </c>
      <c r="BF318" s="270">
        <f t="shared" si="2120"/>
        <v>0</v>
      </c>
      <c r="BG318" s="270">
        <f t="shared" si="2120"/>
        <v>0</v>
      </c>
      <c r="BH318" s="270">
        <f t="shared" si="2120"/>
        <v>0</v>
      </c>
      <c r="BI318" s="270">
        <f t="shared" si="2120"/>
        <v>0</v>
      </c>
      <c r="BJ318" s="270">
        <f t="shared" si="2120"/>
        <v>0</v>
      </c>
      <c r="BK318" s="270">
        <f t="shared" si="2120"/>
        <v>0</v>
      </c>
      <c r="BL318" s="265">
        <f t="shared" si="16"/>
        <v>-29.83</v>
      </c>
      <c r="BM318" s="215"/>
      <c r="BN318" s="270">
        <f t="shared" ref="BN318:CP318" si="2121">ROUND(AI317*E$9/12,2)</f>
        <v>0</v>
      </c>
      <c r="BO318" s="270">
        <f t="shared" si="2121"/>
        <v>0</v>
      </c>
      <c r="BP318" s="270">
        <f t="shared" si="2121"/>
        <v>0</v>
      </c>
      <c r="BQ318" s="270">
        <f t="shared" si="2121"/>
        <v>0</v>
      </c>
      <c r="BR318" s="270">
        <f t="shared" si="2121"/>
        <v>0</v>
      </c>
      <c r="BS318" s="270">
        <f t="shared" si="2121"/>
        <v>0</v>
      </c>
      <c r="BT318" s="270">
        <f t="shared" si="2121"/>
        <v>0</v>
      </c>
      <c r="BU318" s="270">
        <f t="shared" si="2121"/>
        <v>0</v>
      </c>
      <c r="BV318" s="270">
        <f t="shared" si="2121"/>
        <v>0</v>
      </c>
      <c r="BW318" s="270">
        <f t="shared" si="2121"/>
        <v>0</v>
      </c>
      <c r="BX318" s="270">
        <f t="shared" si="2121"/>
        <v>-0.04</v>
      </c>
      <c r="BY318" s="270">
        <f t="shared" si="2121"/>
        <v>-0.05</v>
      </c>
      <c r="BZ318" s="270">
        <f t="shared" si="2121"/>
        <v>-0.06</v>
      </c>
      <c r="CA318" s="270">
        <f t="shared" si="2121"/>
        <v>0</v>
      </c>
      <c r="CB318" s="270">
        <f t="shared" si="2121"/>
        <v>0</v>
      </c>
      <c r="CC318" s="270">
        <f t="shared" si="2121"/>
        <v>0</v>
      </c>
      <c r="CD318" s="270">
        <f t="shared" si="2121"/>
        <v>0</v>
      </c>
      <c r="CE318" s="270">
        <f t="shared" si="2121"/>
        <v>0</v>
      </c>
      <c r="CF318" s="270">
        <f t="shared" si="2121"/>
        <v>0</v>
      </c>
      <c r="CG318" s="270">
        <f t="shared" si="2121"/>
        <v>0</v>
      </c>
      <c r="CH318" s="270">
        <f t="shared" si="2121"/>
        <v>0</v>
      </c>
      <c r="CI318" s="270">
        <f t="shared" si="2121"/>
        <v>0</v>
      </c>
      <c r="CJ318" s="270">
        <f t="shared" si="2121"/>
        <v>0</v>
      </c>
      <c r="CK318" s="270">
        <f t="shared" si="2121"/>
        <v>0</v>
      </c>
      <c r="CL318" s="270">
        <f t="shared" si="2121"/>
        <v>0</v>
      </c>
      <c r="CM318" s="270">
        <f t="shared" si="2121"/>
        <v>0</v>
      </c>
      <c r="CN318" s="270">
        <f t="shared" si="2121"/>
        <v>0</v>
      </c>
      <c r="CO318" s="270">
        <f t="shared" si="2121"/>
        <v>0</v>
      </c>
      <c r="CP318" s="270">
        <f t="shared" si="2121"/>
        <v>0</v>
      </c>
      <c r="CQ318" s="215"/>
      <c r="CR318" s="270">
        <f t="shared" si="27"/>
        <v>-0.15</v>
      </c>
      <c r="CS318" s="215"/>
      <c r="CT318" s="270">
        <f t="shared" ref="CT318:DX318" si="2122">IF(AI317&gt;0,IF((AI317+BN318)&lt;E$10,AI317+BN318,E$10),0)</f>
        <v>0</v>
      </c>
      <c r="CU318" s="270">
        <f t="shared" si="2122"/>
        <v>0</v>
      </c>
      <c r="CV318" s="270">
        <f t="shared" si="2122"/>
        <v>0</v>
      </c>
      <c r="CW318" s="270">
        <f t="shared" si="2122"/>
        <v>0</v>
      </c>
      <c r="CX318" s="270">
        <f t="shared" si="2122"/>
        <v>0</v>
      </c>
      <c r="CY318" s="270">
        <f t="shared" si="2122"/>
        <v>0</v>
      </c>
      <c r="CZ318" s="270">
        <f t="shared" si="2122"/>
        <v>0</v>
      </c>
      <c r="DA318" s="270">
        <f t="shared" si="2122"/>
        <v>0</v>
      </c>
      <c r="DB318" s="270">
        <f t="shared" si="2122"/>
        <v>0</v>
      </c>
      <c r="DC318" s="270">
        <f t="shared" si="2122"/>
        <v>0</v>
      </c>
      <c r="DD318" s="270">
        <f t="shared" si="2122"/>
        <v>0</v>
      </c>
      <c r="DE318" s="270">
        <f t="shared" si="2122"/>
        <v>0</v>
      </c>
      <c r="DF318" s="270">
        <f t="shared" si="2122"/>
        <v>0</v>
      </c>
      <c r="DG318" s="270">
        <f t="shared" si="2122"/>
        <v>0</v>
      </c>
      <c r="DH318" s="270">
        <f t="shared" si="2122"/>
        <v>0</v>
      </c>
      <c r="DI318" s="270">
        <f t="shared" si="2122"/>
        <v>0</v>
      </c>
      <c r="DJ318" s="270">
        <f t="shared" si="2122"/>
        <v>0</v>
      </c>
      <c r="DK318" s="270">
        <f t="shared" si="2122"/>
        <v>0</v>
      </c>
      <c r="DL318" s="270">
        <f t="shared" si="2122"/>
        <v>0</v>
      </c>
      <c r="DM318" s="270">
        <f t="shared" si="2122"/>
        <v>0</v>
      </c>
      <c r="DN318" s="270">
        <f t="shared" si="2122"/>
        <v>0</v>
      </c>
      <c r="DO318" s="270">
        <f t="shared" si="2122"/>
        <v>0</v>
      </c>
      <c r="DP318" s="270">
        <f t="shared" si="2122"/>
        <v>0</v>
      </c>
      <c r="DQ318" s="270">
        <f t="shared" si="2122"/>
        <v>0</v>
      </c>
      <c r="DR318" s="270">
        <f t="shared" si="2122"/>
        <v>0</v>
      </c>
      <c r="DS318" s="270">
        <f t="shared" si="2122"/>
        <v>0</v>
      </c>
      <c r="DT318" s="270">
        <f t="shared" si="2122"/>
        <v>0</v>
      </c>
      <c r="DU318" s="270">
        <f t="shared" si="2122"/>
        <v>0</v>
      </c>
      <c r="DV318" s="270">
        <f t="shared" si="2122"/>
        <v>0</v>
      </c>
      <c r="DW318" s="270">
        <f t="shared" si="2122"/>
        <v>0</v>
      </c>
      <c r="DX318" s="270">
        <f t="shared" si="2122"/>
        <v>0</v>
      </c>
      <c r="DY318" s="270">
        <f t="shared" si="29"/>
        <v>0</v>
      </c>
      <c r="DZ318" s="274"/>
      <c r="EA318" s="275">
        <f t="shared" si="38"/>
        <v>0</v>
      </c>
      <c r="EB318" s="270">
        <f t="shared" ref="EB318:FC318" si="2123">IF(AJ316&lt;=0,0,IF($C317&lt;=SUM($EA318:EA318),0,IF(CU317+$C317-SUM($EA318:EA318)&gt;AJ316+BO317,AJ316+BO317-CU317,$C317-SUM($EA318:EA318))))</f>
        <v>0</v>
      </c>
      <c r="EC318" s="270">
        <f t="shared" si="2123"/>
        <v>0</v>
      </c>
      <c r="ED318" s="270">
        <f t="shared" si="2123"/>
        <v>0</v>
      </c>
      <c r="EE318" s="270">
        <f t="shared" si="2123"/>
        <v>0</v>
      </c>
      <c r="EF318" s="270">
        <f t="shared" si="2123"/>
        <v>0</v>
      </c>
      <c r="EG318" s="270">
        <f t="shared" si="2123"/>
        <v>0</v>
      </c>
      <c r="EH318" s="270">
        <f t="shared" si="2123"/>
        <v>0</v>
      </c>
      <c r="EI318" s="270">
        <f t="shared" si="2123"/>
        <v>0</v>
      </c>
      <c r="EJ318" s="270">
        <f t="shared" si="2123"/>
        <v>0</v>
      </c>
      <c r="EK318" s="270">
        <f t="shared" si="2123"/>
        <v>0</v>
      </c>
      <c r="EL318" s="270">
        <f t="shared" si="2123"/>
        <v>0</v>
      </c>
      <c r="EM318" s="270">
        <f t="shared" si="2123"/>
        <v>0</v>
      </c>
      <c r="EN318" s="270">
        <f t="shared" si="2123"/>
        <v>0</v>
      </c>
      <c r="EO318" s="270">
        <f t="shared" si="2123"/>
        <v>0</v>
      </c>
      <c r="EP318" s="270">
        <f t="shared" si="2123"/>
        <v>0</v>
      </c>
      <c r="EQ318" s="270">
        <f t="shared" si="2123"/>
        <v>0</v>
      </c>
      <c r="ER318" s="270">
        <f t="shared" si="2123"/>
        <v>0</v>
      </c>
      <c r="ES318" s="270">
        <f t="shared" si="2123"/>
        <v>0</v>
      </c>
      <c r="ET318" s="270">
        <f t="shared" si="2123"/>
        <v>0</v>
      </c>
      <c r="EU318" s="270">
        <f t="shared" si="2123"/>
        <v>0</v>
      </c>
      <c r="EV318" s="270">
        <f t="shared" si="2123"/>
        <v>0</v>
      </c>
      <c r="EW318" s="270">
        <f t="shared" si="2123"/>
        <v>0</v>
      </c>
      <c r="EX318" s="270">
        <f t="shared" si="2123"/>
        <v>0</v>
      </c>
      <c r="EY318" s="270">
        <f t="shared" si="2123"/>
        <v>0</v>
      </c>
      <c r="EZ318" s="270">
        <f t="shared" si="2123"/>
        <v>0</v>
      </c>
      <c r="FA318" s="270">
        <f t="shared" si="2123"/>
        <v>0</v>
      </c>
      <c r="FB318" s="270">
        <f t="shared" si="2123"/>
        <v>0</v>
      </c>
      <c r="FC318" s="270">
        <f t="shared" si="2123"/>
        <v>0</v>
      </c>
      <c r="FD318" s="271"/>
      <c r="FE318" s="271"/>
      <c r="FF318" s="271"/>
      <c r="FG318" s="215"/>
      <c r="FH318" s="215"/>
    </row>
    <row r="319" ht="11.25" customHeight="1">
      <c r="A319" s="215" t="str">
        <f t="shared" si="19"/>
        <v/>
      </c>
      <c r="B319" s="241" t="str">
        <f t="shared" si="600"/>
        <v>#N/A</v>
      </c>
      <c r="C319" s="271" t="str">
        <f>IF(A319="","",IF(Calculator!snowball,IF(($E$5-DY319)&lt;0,0,$E$5-DY319),0)+D319)</f>
        <v/>
      </c>
      <c r="D319" s="271"/>
      <c r="E319" s="270">
        <f t="shared" si="40"/>
        <v>0</v>
      </c>
      <c r="F319" s="270">
        <f t="shared" ref="F319:AG319" si="2124">CU319+EB320</f>
        <v>0</v>
      </c>
      <c r="G319" s="270">
        <f t="shared" si="2124"/>
        <v>0</v>
      </c>
      <c r="H319" s="270">
        <f t="shared" si="2124"/>
        <v>0</v>
      </c>
      <c r="I319" s="270">
        <f t="shared" si="2124"/>
        <v>0</v>
      </c>
      <c r="J319" s="270">
        <f t="shared" si="2124"/>
        <v>0</v>
      </c>
      <c r="K319" s="270">
        <f t="shared" si="2124"/>
        <v>0</v>
      </c>
      <c r="L319" s="270">
        <f t="shared" si="2124"/>
        <v>0</v>
      </c>
      <c r="M319" s="270">
        <f t="shared" si="2124"/>
        <v>0</v>
      </c>
      <c r="N319" s="270">
        <f t="shared" si="2124"/>
        <v>0</v>
      </c>
      <c r="O319" s="270">
        <f t="shared" si="2124"/>
        <v>0</v>
      </c>
      <c r="P319" s="272">
        <f t="shared" si="2124"/>
        <v>0</v>
      </c>
      <c r="Q319" s="272">
        <f t="shared" si="2124"/>
        <v>0</v>
      </c>
      <c r="R319" s="272">
        <f t="shared" si="2124"/>
        <v>0</v>
      </c>
      <c r="S319" s="272">
        <f t="shared" si="2124"/>
        <v>0</v>
      </c>
      <c r="T319" s="272">
        <f t="shared" si="2124"/>
        <v>0</v>
      </c>
      <c r="U319" s="270">
        <f t="shared" si="2124"/>
        <v>0</v>
      </c>
      <c r="V319" s="270">
        <f t="shared" si="2124"/>
        <v>0</v>
      </c>
      <c r="W319" s="270">
        <f t="shared" si="2124"/>
        <v>0</v>
      </c>
      <c r="X319" s="270">
        <f t="shared" si="2124"/>
        <v>0</v>
      </c>
      <c r="Y319" s="270">
        <f t="shared" si="2124"/>
        <v>0</v>
      </c>
      <c r="Z319" s="270">
        <f t="shared" si="2124"/>
        <v>0</v>
      </c>
      <c r="AA319" s="270">
        <f t="shared" si="2124"/>
        <v>0</v>
      </c>
      <c r="AB319" s="270">
        <f t="shared" si="2124"/>
        <v>0</v>
      </c>
      <c r="AC319" s="270">
        <f t="shared" si="2124"/>
        <v>0</v>
      </c>
      <c r="AD319" s="270">
        <f t="shared" si="2124"/>
        <v>0</v>
      </c>
      <c r="AE319" s="270">
        <f t="shared" si="2124"/>
        <v>0</v>
      </c>
      <c r="AF319" s="270">
        <f t="shared" si="2124"/>
        <v>0</v>
      </c>
      <c r="AG319" s="270">
        <f t="shared" si="2124"/>
        <v>0</v>
      </c>
      <c r="AH319" s="279">
        <f t="shared" si="602"/>
        <v>0</v>
      </c>
      <c r="AI319" s="270">
        <f t="shared" si="43"/>
        <v>0</v>
      </c>
      <c r="AJ319" s="270">
        <f t="shared" ref="AJ319:AO319" si="2125">IF(F$8=0,0,ROUND(AJ318-(F319-BO319),2))</f>
        <v>0</v>
      </c>
      <c r="AK319" s="270">
        <f t="shared" si="2125"/>
        <v>0</v>
      </c>
      <c r="AL319" s="270">
        <f t="shared" si="2125"/>
        <v>0</v>
      </c>
      <c r="AM319" s="270">
        <f t="shared" si="2125"/>
        <v>0</v>
      </c>
      <c r="AN319" s="270">
        <f t="shared" si="2125"/>
        <v>0</v>
      </c>
      <c r="AO319" s="270">
        <f t="shared" si="2125"/>
        <v>0</v>
      </c>
      <c r="AP319" s="270">
        <v>0.0</v>
      </c>
      <c r="AQ319" s="270">
        <f t="shared" ref="AQ319:AR319" si="2126">IF(M$8=0,0,ROUND(AQ318-(M319-BV319),2))</f>
        <v>0</v>
      </c>
      <c r="AR319" s="270">
        <f t="shared" si="2126"/>
        <v>0</v>
      </c>
      <c r="AS319" s="270">
        <f t="shared" si="1902"/>
        <v>-4.27</v>
      </c>
      <c r="AT319" s="270">
        <f t="shared" si="605"/>
        <v>-6.82</v>
      </c>
      <c r="AU319" s="270">
        <f t="shared" ref="AU319:BK319" si="2127">IF(Q$8=0,0,ROUND(AU318-(Q319-BY319),2))</f>
        <v>-18.98</v>
      </c>
      <c r="AV319" s="270">
        <f t="shared" si="2127"/>
        <v>0</v>
      </c>
      <c r="AW319" s="270">
        <f t="shared" si="2127"/>
        <v>0</v>
      </c>
      <c r="AX319" s="270">
        <f t="shared" si="2127"/>
        <v>0</v>
      </c>
      <c r="AY319" s="270">
        <f t="shared" si="2127"/>
        <v>0</v>
      </c>
      <c r="AZ319" s="270">
        <f t="shared" si="2127"/>
        <v>0</v>
      </c>
      <c r="BA319" s="270">
        <f t="shared" si="2127"/>
        <v>0</v>
      </c>
      <c r="BB319" s="270">
        <f t="shared" si="2127"/>
        <v>0</v>
      </c>
      <c r="BC319" s="270">
        <f t="shared" si="2127"/>
        <v>0</v>
      </c>
      <c r="BD319" s="270">
        <f t="shared" si="2127"/>
        <v>0</v>
      </c>
      <c r="BE319" s="270">
        <f t="shared" si="2127"/>
        <v>0</v>
      </c>
      <c r="BF319" s="270">
        <f t="shared" si="2127"/>
        <v>0</v>
      </c>
      <c r="BG319" s="270">
        <f t="shared" si="2127"/>
        <v>0</v>
      </c>
      <c r="BH319" s="270">
        <f t="shared" si="2127"/>
        <v>0</v>
      </c>
      <c r="BI319" s="270">
        <f t="shared" si="2127"/>
        <v>0</v>
      </c>
      <c r="BJ319" s="270">
        <f t="shared" si="2127"/>
        <v>0</v>
      </c>
      <c r="BK319" s="270">
        <f t="shared" si="2127"/>
        <v>0</v>
      </c>
      <c r="BL319" s="265">
        <f t="shared" si="16"/>
        <v>-30.07</v>
      </c>
      <c r="BM319" s="215"/>
      <c r="BN319" s="270">
        <f t="shared" ref="BN319:CP319" si="2128">ROUND(AI318*E$9/12,2)</f>
        <v>0</v>
      </c>
      <c r="BO319" s="270">
        <f t="shared" si="2128"/>
        <v>0</v>
      </c>
      <c r="BP319" s="270">
        <f t="shared" si="2128"/>
        <v>0</v>
      </c>
      <c r="BQ319" s="270">
        <f t="shared" si="2128"/>
        <v>0</v>
      </c>
      <c r="BR319" s="270">
        <f t="shared" si="2128"/>
        <v>0</v>
      </c>
      <c r="BS319" s="270">
        <f t="shared" si="2128"/>
        <v>0</v>
      </c>
      <c r="BT319" s="270">
        <f t="shared" si="2128"/>
        <v>0</v>
      </c>
      <c r="BU319" s="270">
        <f t="shared" si="2128"/>
        <v>0</v>
      </c>
      <c r="BV319" s="270">
        <f t="shared" si="2128"/>
        <v>0</v>
      </c>
      <c r="BW319" s="270">
        <f t="shared" si="2128"/>
        <v>0</v>
      </c>
      <c r="BX319" s="270">
        <f t="shared" si="2128"/>
        <v>-0.04</v>
      </c>
      <c r="BY319" s="270">
        <f t="shared" si="2128"/>
        <v>-0.05</v>
      </c>
      <c r="BZ319" s="270">
        <f t="shared" si="2128"/>
        <v>-0.06</v>
      </c>
      <c r="CA319" s="270">
        <f t="shared" si="2128"/>
        <v>0</v>
      </c>
      <c r="CB319" s="270">
        <f t="shared" si="2128"/>
        <v>0</v>
      </c>
      <c r="CC319" s="270">
        <f t="shared" si="2128"/>
        <v>0</v>
      </c>
      <c r="CD319" s="270">
        <f t="shared" si="2128"/>
        <v>0</v>
      </c>
      <c r="CE319" s="270">
        <f t="shared" si="2128"/>
        <v>0</v>
      </c>
      <c r="CF319" s="270">
        <f t="shared" si="2128"/>
        <v>0</v>
      </c>
      <c r="CG319" s="270">
        <f t="shared" si="2128"/>
        <v>0</v>
      </c>
      <c r="CH319" s="270">
        <f t="shared" si="2128"/>
        <v>0</v>
      </c>
      <c r="CI319" s="270">
        <f t="shared" si="2128"/>
        <v>0</v>
      </c>
      <c r="CJ319" s="270">
        <f t="shared" si="2128"/>
        <v>0</v>
      </c>
      <c r="CK319" s="270">
        <f t="shared" si="2128"/>
        <v>0</v>
      </c>
      <c r="CL319" s="270">
        <f t="shared" si="2128"/>
        <v>0</v>
      </c>
      <c r="CM319" s="270">
        <f t="shared" si="2128"/>
        <v>0</v>
      </c>
      <c r="CN319" s="270">
        <f t="shared" si="2128"/>
        <v>0</v>
      </c>
      <c r="CO319" s="270">
        <f t="shared" si="2128"/>
        <v>0</v>
      </c>
      <c r="CP319" s="270">
        <f t="shared" si="2128"/>
        <v>0</v>
      </c>
      <c r="CQ319" s="215"/>
      <c r="CR319" s="270">
        <f t="shared" si="27"/>
        <v>-0.15</v>
      </c>
      <c r="CS319" s="215"/>
      <c r="CT319" s="270">
        <f t="shared" ref="CT319:DX319" si="2129">IF(AI318&gt;0,IF((AI318+BN319)&lt;E$10,AI318+BN319,E$10),0)</f>
        <v>0</v>
      </c>
      <c r="CU319" s="270">
        <f t="shared" si="2129"/>
        <v>0</v>
      </c>
      <c r="CV319" s="270">
        <f t="shared" si="2129"/>
        <v>0</v>
      </c>
      <c r="CW319" s="270">
        <f t="shared" si="2129"/>
        <v>0</v>
      </c>
      <c r="CX319" s="270">
        <f t="shared" si="2129"/>
        <v>0</v>
      </c>
      <c r="CY319" s="270">
        <f t="shared" si="2129"/>
        <v>0</v>
      </c>
      <c r="CZ319" s="270">
        <f t="shared" si="2129"/>
        <v>0</v>
      </c>
      <c r="DA319" s="270">
        <f t="shared" si="2129"/>
        <v>0</v>
      </c>
      <c r="DB319" s="270">
        <f t="shared" si="2129"/>
        <v>0</v>
      </c>
      <c r="DC319" s="270">
        <f t="shared" si="2129"/>
        <v>0</v>
      </c>
      <c r="DD319" s="270">
        <f t="shared" si="2129"/>
        <v>0</v>
      </c>
      <c r="DE319" s="270">
        <f t="shared" si="2129"/>
        <v>0</v>
      </c>
      <c r="DF319" s="270">
        <f t="shared" si="2129"/>
        <v>0</v>
      </c>
      <c r="DG319" s="270">
        <f t="shared" si="2129"/>
        <v>0</v>
      </c>
      <c r="DH319" s="270">
        <f t="shared" si="2129"/>
        <v>0</v>
      </c>
      <c r="DI319" s="270">
        <f t="shared" si="2129"/>
        <v>0</v>
      </c>
      <c r="DJ319" s="270">
        <f t="shared" si="2129"/>
        <v>0</v>
      </c>
      <c r="DK319" s="270">
        <f t="shared" si="2129"/>
        <v>0</v>
      </c>
      <c r="DL319" s="270">
        <f t="shared" si="2129"/>
        <v>0</v>
      </c>
      <c r="DM319" s="270">
        <f t="shared" si="2129"/>
        <v>0</v>
      </c>
      <c r="DN319" s="270">
        <f t="shared" si="2129"/>
        <v>0</v>
      </c>
      <c r="DO319" s="270">
        <f t="shared" si="2129"/>
        <v>0</v>
      </c>
      <c r="DP319" s="270">
        <f t="shared" si="2129"/>
        <v>0</v>
      </c>
      <c r="DQ319" s="270">
        <f t="shared" si="2129"/>
        <v>0</v>
      </c>
      <c r="DR319" s="270">
        <f t="shared" si="2129"/>
        <v>0</v>
      </c>
      <c r="DS319" s="270">
        <f t="shared" si="2129"/>
        <v>0</v>
      </c>
      <c r="DT319" s="270">
        <f t="shared" si="2129"/>
        <v>0</v>
      </c>
      <c r="DU319" s="270">
        <f t="shared" si="2129"/>
        <v>0</v>
      </c>
      <c r="DV319" s="270">
        <f t="shared" si="2129"/>
        <v>0</v>
      </c>
      <c r="DW319" s="270">
        <f t="shared" si="2129"/>
        <v>0</v>
      </c>
      <c r="DX319" s="270">
        <f t="shared" si="2129"/>
        <v>0</v>
      </c>
      <c r="DY319" s="270">
        <f t="shared" si="29"/>
        <v>0</v>
      </c>
      <c r="DZ319" s="274"/>
      <c r="EA319" s="275">
        <f t="shared" si="38"/>
        <v>0</v>
      </c>
      <c r="EB319" s="270">
        <f t="shared" ref="EB319:FC319" si="2130">IF(AJ317&lt;=0,0,IF($C318&lt;=SUM($EA319:EA319),0,IF(CU318+$C318-SUM($EA319:EA319)&gt;AJ317+BO318,AJ317+BO318-CU318,$C318-SUM($EA319:EA319))))</f>
        <v>0</v>
      </c>
      <c r="EC319" s="270">
        <f t="shared" si="2130"/>
        <v>0</v>
      </c>
      <c r="ED319" s="270">
        <f t="shared" si="2130"/>
        <v>0</v>
      </c>
      <c r="EE319" s="270">
        <f t="shared" si="2130"/>
        <v>0</v>
      </c>
      <c r="EF319" s="270">
        <f t="shared" si="2130"/>
        <v>0</v>
      </c>
      <c r="EG319" s="270">
        <f t="shared" si="2130"/>
        <v>0</v>
      </c>
      <c r="EH319" s="270">
        <f t="shared" si="2130"/>
        <v>0</v>
      </c>
      <c r="EI319" s="270">
        <f t="shared" si="2130"/>
        <v>0</v>
      </c>
      <c r="EJ319" s="270">
        <f t="shared" si="2130"/>
        <v>0</v>
      </c>
      <c r="EK319" s="270">
        <f t="shared" si="2130"/>
        <v>0</v>
      </c>
      <c r="EL319" s="270">
        <f t="shared" si="2130"/>
        <v>0</v>
      </c>
      <c r="EM319" s="270">
        <f t="shared" si="2130"/>
        <v>0</v>
      </c>
      <c r="EN319" s="270">
        <f t="shared" si="2130"/>
        <v>0</v>
      </c>
      <c r="EO319" s="270">
        <f t="shared" si="2130"/>
        <v>0</v>
      </c>
      <c r="EP319" s="270">
        <f t="shared" si="2130"/>
        <v>0</v>
      </c>
      <c r="EQ319" s="270">
        <f t="shared" si="2130"/>
        <v>0</v>
      </c>
      <c r="ER319" s="270">
        <f t="shared" si="2130"/>
        <v>0</v>
      </c>
      <c r="ES319" s="270">
        <f t="shared" si="2130"/>
        <v>0</v>
      </c>
      <c r="ET319" s="270">
        <f t="shared" si="2130"/>
        <v>0</v>
      </c>
      <c r="EU319" s="270">
        <f t="shared" si="2130"/>
        <v>0</v>
      </c>
      <c r="EV319" s="270">
        <f t="shared" si="2130"/>
        <v>0</v>
      </c>
      <c r="EW319" s="270">
        <f t="shared" si="2130"/>
        <v>0</v>
      </c>
      <c r="EX319" s="270">
        <f t="shared" si="2130"/>
        <v>0</v>
      </c>
      <c r="EY319" s="270">
        <f t="shared" si="2130"/>
        <v>0</v>
      </c>
      <c r="EZ319" s="270">
        <f t="shared" si="2130"/>
        <v>0</v>
      </c>
      <c r="FA319" s="270">
        <f t="shared" si="2130"/>
        <v>0</v>
      </c>
      <c r="FB319" s="270">
        <f t="shared" si="2130"/>
        <v>0</v>
      </c>
      <c r="FC319" s="270">
        <f t="shared" si="2130"/>
        <v>0</v>
      </c>
      <c r="FD319" s="271"/>
      <c r="FE319" s="271"/>
      <c r="FF319" s="271"/>
      <c r="FG319" s="215"/>
      <c r="FH319" s="215"/>
    </row>
    <row r="320" ht="11.25" customHeight="1">
      <c r="A320" s="215" t="str">
        <f t="shared" si="19"/>
        <v/>
      </c>
      <c r="B320" s="241" t="str">
        <f t="shared" si="600"/>
        <v>#N/A</v>
      </c>
      <c r="C320" s="271" t="str">
        <f>IF(A320="","",IF(Calculator!snowball,IF(($E$5-DY320)&lt;0,0,$E$5-DY320),0)+D320)</f>
        <v/>
      </c>
      <c r="D320" s="271"/>
      <c r="E320" s="270">
        <f t="shared" si="40"/>
        <v>0</v>
      </c>
      <c r="F320" s="270">
        <f t="shared" ref="F320:AG320" si="2131">CU320+EB321</f>
        <v>0</v>
      </c>
      <c r="G320" s="270">
        <f t="shared" si="2131"/>
        <v>0</v>
      </c>
      <c r="H320" s="270">
        <f t="shared" si="2131"/>
        <v>0</v>
      </c>
      <c r="I320" s="270">
        <f t="shared" si="2131"/>
        <v>0</v>
      </c>
      <c r="J320" s="270">
        <f t="shared" si="2131"/>
        <v>0</v>
      </c>
      <c r="K320" s="270">
        <f t="shared" si="2131"/>
        <v>0</v>
      </c>
      <c r="L320" s="270">
        <f t="shared" si="2131"/>
        <v>0</v>
      </c>
      <c r="M320" s="270">
        <f t="shared" si="2131"/>
        <v>0</v>
      </c>
      <c r="N320" s="270">
        <f t="shared" si="2131"/>
        <v>0</v>
      </c>
      <c r="O320" s="270">
        <f t="shared" si="2131"/>
        <v>0</v>
      </c>
      <c r="P320" s="272">
        <f t="shared" si="2131"/>
        <v>0</v>
      </c>
      <c r="Q320" s="272">
        <f t="shared" si="2131"/>
        <v>0</v>
      </c>
      <c r="R320" s="272">
        <f t="shared" si="2131"/>
        <v>0</v>
      </c>
      <c r="S320" s="272">
        <f t="shared" si="2131"/>
        <v>0</v>
      </c>
      <c r="T320" s="272">
        <f t="shared" si="2131"/>
        <v>0</v>
      </c>
      <c r="U320" s="270">
        <f t="shared" si="2131"/>
        <v>0</v>
      </c>
      <c r="V320" s="270">
        <f t="shared" si="2131"/>
        <v>0</v>
      </c>
      <c r="W320" s="270">
        <f t="shared" si="2131"/>
        <v>0</v>
      </c>
      <c r="X320" s="270">
        <f t="shared" si="2131"/>
        <v>0</v>
      </c>
      <c r="Y320" s="270">
        <f t="shared" si="2131"/>
        <v>0</v>
      </c>
      <c r="Z320" s="270">
        <f t="shared" si="2131"/>
        <v>0</v>
      </c>
      <c r="AA320" s="270">
        <f t="shared" si="2131"/>
        <v>0</v>
      </c>
      <c r="AB320" s="270">
        <f t="shared" si="2131"/>
        <v>0</v>
      </c>
      <c r="AC320" s="270">
        <f t="shared" si="2131"/>
        <v>0</v>
      </c>
      <c r="AD320" s="270">
        <f t="shared" si="2131"/>
        <v>0</v>
      </c>
      <c r="AE320" s="270">
        <f t="shared" si="2131"/>
        <v>0</v>
      </c>
      <c r="AF320" s="270">
        <f t="shared" si="2131"/>
        <v>0</v>
      </c>
      <c r="AG320" s="270">
        <f t="shared" si="2131"/>
        <v>0</v>
      </c>
      <c r="AH320" s="279">
        <f t="shared" si="602"/>
        <v>0</v>
      </c>
      <c r="AI320" s="270">
        <f t="shared" si="43"/>
        <v>0</v>
      </c>
      <c r="AJ320" s="270">
        <f t="shared" ref="AJ320:AO320" si="2132">IF(F$8=0,0,ROUND(AJ319-(F320-BO320),2))</f>
        <v>0</v>
      </c>
      <c r="AK320" s="270">
        <f t="shared" si="2132"/>
        <v>0</v>
      </c>
      <c r="AL320" s="270">
        <f t="shared" si="2132"/>
        <v>0</v>
      </c>
      <c r="AM320" s="270">
        <f t="shared" si="2132"/>
        <v>0</v>
      </c>
      <c r="AN320" s="270">
        <f t="shared" si="2132"/>
        <v>0</v>
      </c>
      <c r="AO320" s="270">
        <f t="shared" si="2132"/>
        <v>0</v>
      </c>
      <c r="AP320" s="270">
        <v>0.0</v>
      </c>
      <c r="AQ320" s="270">
        <f t="shared" ref="AQ320:AR320" si="2133">IF(M$8=0,0,ROUND(AQ319-(M320-BV320),2))</f>
        <v>0</v>
      </c>
      <c r="AR320" s="270">
        <f t="shared" si="2133"/>
        <v>0</v>
      </c>
      <c r="AS320" s="270">
        <f t="shared" si="1902"/>
        <v>-4.42</v>
      </c>
      <c r="AT320" s="270">
        <f t="shared" si="605"/>
        <v>-6.86</v>
      </c>
      <c r="AU320" s="270">
        <f t="shared" ref="AU320:BK320" si="2134">IF(Q$8=0,0,ROUND(AU319-(Q320-BY320),2))</f>
        <v>-19.03</v>
      </c>
      <c r="AV320" s="270">
        <f t="shared" si="2134"/>
        <v>0</v>
      </c>
      <c r="AW320" s="270">
        <f t="shared" si="2134"/>
        <v>0</v>
      </c>
      <c r="AX320" s="270">
        <f t="shared" si="2134"/>
        <v>0</v>
      </c>
      <c r="AY320" s="270">
        <f t="shared" si="2134"/>
        <v>0</v>
      </c>
      <c r="AZ320" s="270">
        <f t="shared" si="2134"/>
        <v>0</v>
      </c>
      <c r="BA320" s="270">
        <f t="shared" si="2134"/>
        <v>0</v>
      </c>
      <c r="BB320" s="270">
        <f t="shared" si="2134"/>
        <v>0</v>
      </c>
      <c r="BC320" s="270">
        <f t="shared" si="2134"/>
        <v>0</v>
      </c>
      <c r="BD320" s="270">
        <f t="shared" si="2134"/>
        <v>0</v>
      </c>
      <c r="BE320" s="270">
        <f t="shared" si="2134"/>
        <v>0</v>
      </c>
      <c r="BF320" s="270">
        <f t="shared" si="2134"/>
        <v>0</v>
      </c>
      <c r="BG320" s="270">
        <f t="shared" si="2134"/>
        <v>0</v>
      </c>
      <c r="BH320" s="270">
        <f t="shared" si="2134"/>
        <v>0</v>
      </c>
      <c r="BI320" s="270">
        <f t="shared" si="2134"/>
        <v>0</v>
      </c>
      <c r="BJ320" s="270">
        <f t="shared" si="2134"/>
        <v>0</v>
      </c>
      <c r="BK320" s="270">
        <f t="shared" si="2134"/>
        <v>0</v>
      </c>
      <c r="BL320" s="265">
        <f t="shared" si="16"/>
        <v>-30.31</v>
      </c>
      <c r="BM320" s="215"/>
      <c r="BN320" s="270">
        <f t="shared" ref="BN320:CP320" si="2135">ROUND(AI319*E$9/12,2)</f>
        <v>0</v>
      </c>
      <c r="BO320" s="270">
        <f t="shared" si="2135"/>
        <v>0</v>
      </c>
      <c r="BP320" s="270">
        <f t="shared" si="2135"/>
        <v>0</v>
      </c>
      <c r="BQ320" s="270">
        <f t="shared" si="2135"/>
        <v>0</v>
      </c>
      <c r="BR320" s="270">
        <f t="shared" si="2135"/>
        <v>0</v>
      </c>
      <c r="BS320" s="270">
        <f t="shared" si="2135"/>
        <v>0</v>
      </c>
      <c r="BT320" s="270">
        <f t="shared" si="2135"/>
        <v>0</v>
      </c>
      <c r="BU320" s="270">
        <f t="shared" si="2135"/>
        <v>0</v>
      </c>
      <c r="BV320" s="270">
        <f t="shared" si="2135"/>
        <v>0</v>
      </c>
      <c r="BW320" s="270">
        <f t="shared" si="2135"/>
        <v>0</v>
      </c>
      <c r="BX320" s="270">
        <f t="shared" si="2135"/>
        <v>-0.04</v>
      </c>
      <c r="BY320" s="270">
        <f t="shared" si="2135"/>
        <v>-0.05</v>
      </c>
      <c r="BZ320" s="270">
        <f t="shared" si="2135"/>
        <v>-0.06</v>
      </c>
      <c r="CA320" s="270">
        <f t="shared" si="2135"/>
        <v>0</v>
      </c>
      <c r="CB320" s="270">
        <f t="shared" si="2135"/>
        <v>0</v>
      </c>
      <c r="CC320" s="270">
        <f t="shared" si="2135"/>
        <v>0</v>
      </c>
      <c r="CD320" s="270">
        <f t="shared" si="2135"/>
        <v>0</v>
      </c>
      <c r="CE320" s="270">
        <f t="shared" si="2135"/>
        <v>0</v>
      </c>
      <c r="CF320" s="270">
        <f t="shared" si="2135"/>
        <v>0</v>
      </c>
      <c r="CG320" s="270">
        <f t="shared" si="2135"/>
        <v>0</v>
      </c>
      <c r="CH320" s="270">
        <f t="shared" si="2135"/>
        <v>0</v>
      </c>
      <c r="CI320" s="270">
        <f t="shared" si="2135"/>
        <v>0</v>
      </c>
      <c r="CJ320" s="270">
        <f t="shared" si="2135"/>
        <v>0</v>
      </c>
      <c r="CK320" s="270">
        <f t="shared" si="2135"/>
        <v>0</v>
      </c>
      <c r="CL320" s="270">
        <f t="shared" si="2135"/>
        <v>0</v>
      </c>
      <c r="CM320" s="270">
        <f t="shared" si="2135"/>
        <v>0</v>
      </c>
      <c r="CN320" s="270">
        <f t="shared" si="2135"/>
        <v>0</v>
      </c>
      <c r="CO320" s="270">
        <f t="shared" si="2135"/>
        <v>0</v>
      </c>
      <c r="CP320" s="270">
        <f t="shared" si="2135"/>
        <v>0</v>
      </c>
      <c r="CQ320" s="215"/>
      <c r="CR320" s="270">
        <f t="shared" si="27"/>
        <v>-0.15</v>
      </c>
      <c r="CS320" s="215"/>
      <c r="CT320" s="270">
        <f t="shared" ref="CT320:DX320" si="2136">IF(AI319&gt;0,IF((AI319+BN320)&lt;E$10,AI319+BN320,E$10),0)</f>
        <v>0</v>
      </c>
      <c r="CU320" s="270">
        <f t="shared" si="2136"/>
        <v>0</v>
      </c>
      <c r="CV320" s="270">
        <f t="shared" si="2136"/>
        <v>0</v>
      </c>
      <c r="CW320" s="270">
        <f t="shared" si="2136"/>
        <v>0</v>
      </c>
      <c r="CX320" s="270">
        <f t="shared" si="2136"/>
        <v>0</v>
      </c>
      <c r="CY320" s="270">
        <f t="shared" si="2136"/>
        <v>0</v>
      </c>
      <c r="CZ320" s="270">
        <f t="shared" si="2136"/>
        <v>0</v>
      </c>
      <c r="DA320" s="270">
        <f t="shared" si="2136"/>
        <v>0</v>
      </c>
      <c r="DB320" s="270">
        <f t="shared" si="2136"/>
        <v>0</v>
      </c>
      <c r="DC320" s="270">
        <f t="shared" si="2136"/>
        <v>0</v>
      </c>
      <c r="DD320" s="270">
        <f t="shared" si="2136"/>
        <v>0</v>
      </c>
      <c r="DE320" s="270">
        <f t="shared" si="2136"/>
        <v>0</v>
      </c>
      <c r="DF320" s="270">
        <f t="shared" si="2136"/>
        <v>0</v>
      </c>
      <c r="DG320" s="270">
        <f t="shared" si="2136"/>
        <v>0</v>
      </c>
      <c r="DH320" s="270">
        <f t="shared" si="2136"/>
        <v>0</v>
      </c>
      <c r="DI320" s="270">
        <f t="shared" si="2136"/>
        <v>0</v>
      </c>
      <c r="DJ320" s="270">
        <f t="shared" si="2136"/>
        <v>0</v>
      </c>
      <c r="DK320" s="270">
        <f t="shared" si="2136"/>
        <v>0</v>
      </c>
      <c r="DL320" s="270">
        <f t="shared" si="2136"/>
        <v>0</v>
      </c>
      <c r="DM320" s="270">
        <f t="shared" si="2136"/>
        <v>0</v>
      </c>
      <c r="DN320" s="270">
        <f t="shared" si="2136"/>
        <v>0</v>
      </c>
      <c r="DO320" s="270">
        <f t="shared" si="2136"/>
        <v>0</v>
      </c>
      <c r="DP320" s="270">
        <f t="shared" si="2136"/>
        <v>0</v>
      </c>
      <c r="DQ320" s="270">
        <f t="shared" si="2136"/>
        <v>0</v>
      </c>
      <c r="DR320" s="270">
        <f t="shared" si="2136"/>
        <v>0</v>
      </c>
      <c r="DS320" s="270">
        <f t="shared" si="2136"/>
        <v>0</v>
      </c>
      <c r="DT320" s="270">
        <f t="shared" si="2136"/>
        <v>0</v>
      </c>
      <c r="DU320" s="270">
        <f t="shared" si="2136"/>
        <v>0</v>
      </c>
      <c r="DV320" s="270">
        <f t="shared" si="2136"/>
        <v>0</v>
      </c>
      <c r="DW320" s="270">
        <f t="shared" si="2136"/>
        <v>0</v>
      </c>
      <c r="DX320" s="270">
        <f t="shared" si="2136"/>
        <v>0</v>
      </c>
      <c r="DY320" s="270">
        <f t="shared" si="29"/>
        <v>0</v>
      </c>
      <c r="DZ320" s="274"/>
      <c r="EA320" s="275">
        <f t="shared" si="38"/>
        <v>0</v>
      </c>
      <c r="EB320" s="270">
        <f t="shared" ref="EB320:FC320" si="2137">IF(AJ318&lt;=0,0,IF($C319&lt;=SUM($EA320:EA320),0,IF(CU319+$C319-SUM($EA320:EA320)&gt;AJ318+BO319,AJ318+BO319-CU319,$C319-SUM($EA320:EA320))))</f>
        <v>0</v>
      </c>
      <c r="EC320" s="270">
        <f t="shared" si="2137"/>
        <v>0</v>
      </c>
      <c r="ED320" s="270">
        <f t="shared" si="2137"/>
        <v>0</v>
      </c>
      <c r="EE320" s="270">
        <f t="shared" si="2137"/>
        <v>0</v>
      </c>
      <c r="EF320" s="270">
        <f t="shared" si="2137"/>
        <v>0</v>
      </c>
      <c r="EG320" s="270">
        <f t="shared" si="2137"/>
        <v>0</v>
      </c>
      <c r="EH320" s="270">
        <f t="shared" si="2137"/>
        <v>0</v>
      </c>
      <c r="EI320" s="270">
        <f t="shared" si="2137"/>
        <v>0</v>
      </c>
      <c r="EJ320" s="270">
        <f t="shared" si="2137"/>
        <v>0</v>
      </c>
      <c r="EK320" s="270">
        <f t="shared" si="2137"/>
        <v>0</v>
      </c>
      <c r="EL320" s="270">
        <f t="shared" si="2137"/>
        <v>0</v>
      </c>
      <c r="EM320" s="270">
        <f t="shared" si="2137"/>
        <v>0</v>
      </c>
      <c r="EN320" s="270">
        <f t="shared" si="2137"/>
        <v>0</v>
      </c>
      <c r="EO320" s="270">
        <f t="shared" si="2137"/>
        <v>0</v>
      </c>
      <c r="EP320" s="270">
        <f t="shared" si="2137"/>
        <v>0</v>
      </c>
      <c r="EQ320" s="270">
        <f t="shared" si="2137"/>
        <v>0</v>
      </c>
      <c r="ER320" s="270">
        <f t="shared" si="2137"/>
        <v>0</v>
      </c>
      <c r="ES320" s="270">
        <f t="shared" si="2137"/>
        <v>0</v>
      </c>
      <c r="ET320" s="270">
        <f t="shared" si="2137"/>
        <v>0</v>
      </c>
      <c r="EU320" s="270">
        <f t="shared" si="2137"/>
        <v>0</v>
      </c>
      <c r="EV320" s="270">
        <f t="shared" si="2137"/>
        <v>0</v>
      </c>
      <c r="EW320" s="270">
        <f t="shared" si="2137"/>
        <v>0</v>
      </c>
      <c r="EX320" s="270">
        <f t="shared" si="2137"/>
        <v>0</v>
      </c>
      <c r="EY320" s="270">
        <f t="shared" si="2137"/>
        <v>0</v>
      </c>
      <c r="EZ320" s="270">
        <f t="shared" si="2137"/>
        <v>0</v>
      </c>
      <c r="FA320" s="270">
        <f t="shared" si="2137"/>
        <v>0</v>
      </c>
      <c r="FB320" s="270">
        <f t="shared" si="2137"/>
        <v>0</v>
      </c>
      <c r="FC320" s="270">
        <f t="shared" si="2137"/>
        <v>0</v>
      </c>
      <c r="FD320" s="271"/>
      <c r="FE320" s="271"/>
      <c r="FF320" s="271"/>
      <c r="FG320" s="215"/>
      <c r="FH320" s="215"/>
    </row>
    <row r="321" ht="11.25" customHeight="1">
      <c r="A321" s="215" t="str">
        <f t="shared" si="19"/>
        <v/>
      </c>
      <c r="B321" s="241" t="str">
        <f t="shared" si="600"/>
        <v>#N/A</v>
      </c>
      <c r="C321" s="271" t="str">
        <f>IF(A321="","",IF(Calculator!snowball,IF(($E$5-DY321)&lt;0,0,$E$5-DY321),0)+D321)</f>
        <v/>
      </c>
      <c r="D321" s="271"/>
      <c r="E321" s="270">
        <f t="shared" si="40"/>
        <v>0</v>
      </c>
      <c r="F321" s="270">
        <f t="shared" ref="F321:AG321" si="2138">CU321+EB322</f>
        <v>0</v>
      </c>
      <c r="G321" s="270">
        <f t="shared" si="2138"/>
        <v>0</v>
      </c>
      <c r="H321" s="270">
        <f t="shared" si="2138"/>
        <v>0</v>
      </c>
      <c r="I321" s="270">
        <f t="shared" si="2138"/>
        <v>0</v>
      </c>
      <c r="J321" s="270">
        <f t="shared" si="2138"/>
        <v>0</v>
      </c>
      <c r="K321" s="270">
        <f t="shared" si="2138"/>
        <v>0</v>
      </c>
      <c r="L321" s="270">
        <f t="shared" si="2138"/>
        <v>0</v>
      </c>
      <c r="M321" s="270">
        <f t="shared" si="2138"/>
        <v>0</v>
      </c>
      <c r="N321" s="270">
        <f t="shared" si="2138"/>
        <v>0</v>
      </c>
      <c r="O321" s="270">
        <f t="shared" si="2138"/>
        <v>0</v>
      </c>
      <c r="P321" s="272">
        <f t="shared" si="2138"/>
        <v>0</v>
      </c>
      <c r="Q321" s="272">
        <f t="shared" si="2138"/>
        <v>0</v>
      </c>
      <c r="R321" s="272">
        <f t="shared" si="2138"/>
        <v>0</v>
      </c>
      <c r="S321" s="272">
        <f t="shared" si="2138"/>
        <v>0</v>
      </c>
      <c r="T321" s="272">
        <f t="shared" si="2138"/>
        <v>0</v>
      </c>
      <c r="U321" s="270">
        <f t="shared" si="2138"/>
        <v>0</v>
      </c>
      <c r="V321" s="270">
        <f t="shared" si="2138"/>
        <v>0</v>
      </c>
      <c r="W321" s="270">
        <f t="shared" si="2138"/>
        <v>0</v>
      </c>
      <c r="X321" s="270">
        <f t="shared" si="2138"/>
        <v>0</v>
      </c>
      <c r="Y321" s="270">
        <f t="shared" si="2138"/>
        <v>0</v>
      </c>
      <c r="Z321" s="270">
        <f t="shared" si="2138"/>
        <v>0</v>
      </c>
      <c r="AA321" s="270">
        <f t="shared" si="2138"/>
        <v>0</v>
      </c>
      <c r="AB321" s="270">
        <f t="shared" si="2138"/>
        <v>0</v>
      </c>
      <c r="AC321" s="270">
        <f t="shared" si="2138"/>
        <v>0</v>
      </c>
      <c r="AD321" s="270">
        <f t="shared" si="2138"/>
        <v>0</v>
      </c>
      <c r="AE321" s="270">
        <f t="shared" si="2138"/>
        <v>0</v>
      </c>
      <c r="AF321" s="270">
        <f t="shared" si="2138"/>
        <v>0</v>
      </c>
      <c r="AG321" s="270">
        <f t="shared" si="2138"/>
        <v>0</v>
      </c>
      <c r="AH321" s="279">
        <f t="shared" si="602"/>
        <v>0</v>
      </c>
      <c r="AI321" s="270">
        <f t="shared" si="43"/>
        <v>0</v>
      </c>
      <c r="AJ321" s="270">
        <f t="shared" ref="AJ321:AO321" si="2139">IF(F$8=0,0,ROUND(AJ320-(F321-BO321),2))</f>
        <v>0</v>
      </c>
      <c r="AK321" s="270">
        <f t="shared" si="2139"/>
        <v>0</v>
      </c>
      <c r="AL321" s="270">
        <f t="shared" si="2139"/>
        <v>0</v>
      </c>
      <c r="AM321" s="270">
        <f t="shared" si="2139"/>
        <v>0</v>
      </c>
      <c r="AN321" s="270">
        <f t="shared" si="2139"/>
        <v>0</v>
      </c>
      <c r="AO321" s="270">
        <f t="shared" si="2139"/>
        <v>0</v>
      </c>
      <c r="AP321" s="270">
        <v>0.0</v>
      </c>
      <c r="AQ321" s="270">
        <f t="shared" ref="AQ321:AR321" si="2140">IF(M$8=0,0,ROUND(AQ320-(M321-BV321),2))</f>
        <v>0</v>
      </c>
      <c r="AR321" s="270">
        <f t="shared" si="2140"/>
        <v>0</v>
      </c>
      <c r="AS321" s="270">
        <f t="shared" si="1902"/>
        <v>-4.57</v>
      </c>
      <c r="AT321" s="270">
        <f t="shared" si="605"/>
        <v>-6.9</v>
      </c>
      <c r="AU321" s="270">
        <f t="shared" ref="AU321:BK321" si="2141">IF(Q$8=0,0,ROUND(AU320-(Q321-BY321),2))</f>
        <v>-19.08</v>
      </c>
      <c r="AV321" s="270">
        <f t="shared" si="2141"/>
        <v>0</v>
      </c>
      <c r="AW321" s="270">
        <f t="shared" si="2141"/>
        <v>0</v>
      </c>
      <c r="AX321" s="270">
        <f t="shared" si="2141"/>
        <v>0</v>
      </c>
      <c r="AY321" s="270">
        <f t="shared" si="2141"/>
        <v>0</v>
      </c>
      <c r="AZ321" s="270">
        <f t="shared" si="2141"/>
        <v>0</v>
      </c>
      <c r="BA321" s="270">
        <f t="shared" si="2141"/>
        <v>0</v>
      </c>
      <c r="BB321" s="270">
        <f t="shared" si="2141"/>
        <v>0</v>
      </c>
      <c r="BC321" s="270">
        <f t="shared" si="2141"/>
        <v>0</v>
      </c>
      <c r="BD321" s="270">
        <f t="shared" si="2141"/>
        <v>0</v>
      </c>
      <c r="BE321" s="270">
        <f t="shared" si="2141"/>
        <v>0</v>
      </c>
      <c r="BF321" s="270">
        <f t="shared" si="2141"/>
        <v>0</v>
      </c>
      <c r="BG321" s="270">
        <f t="shared" si="2141"/>
        <v>0</v>
      </c>
      <c r="BH321" s="270">
        <f t="shared" si="2141"/>
        <v>0</v>
      </c>
      <c r="BI321" s="270">
        <f t="shared" si="2141"/>
        <v>0</v>
      </c>
      <c r="BJ321" s="270">
        <f t="shared" si="2141"/>
        <v>0</v>
      </c>
      <c r="BK321" s="270">
        <f t="shared" si="2141"/>
        <v>0</v>
      </c>
      <c r="BL321" s="265">
        <f t="shared" si="16"/>
        <v>-30.55</v>
      </c>
      <c r="BM321" s="215"/>
      <c r="BN321" s="270">
        <f t="shared" ref="BN321:CP321" si="2142">ROUND(AI320*E$9/12,2)</f>
        <v>0</v>
      </c>
      <c r="BO321" s="270">
        <f t="shared" si="2142"/>
        <v>0</v>
      </c>
      <c r="BP321" s="270">
        <f t="shared" si="2142"/>
        <v>0</v>
      </c>
      <c r="BQ321" s="270">
        <f t="shared" si="2142"/>
        <v>0</v>
      </c>
      <c r="BR321" s="270">
        <f t="shared" si="2142"/>
        <v>0</v>
      </c>
      <c r="BS321" s="270">
        <f t="shared" si="2142"/>
        <v>0</v>
      </c>
      <c r="BT321" s="270">
        <f t="shared" si="2142"/>
        <v>0</v>
      </c>
      <c r="BU321" s="270">
        <f t="shared" si="2142"/>
        <v>0</v>
      </c>
      <c r="BV321" s="270">
        <f t="shared" si="2142"/>
        <v>0</v>
      </c>
      <c r="BW321" s="270">
        <f t="shared" si="2142"/>
        <v>0</v>
      </c>
      <c r="BX321" s="270">
        <f t="shared" si="2142"/>
        <v>-0.04</v>
      </c>
      <c r="BY321" s="270">
        <f t="shared" si="2142"/>
        <v>-0.05</v>
      </c>
      <c r="BZ321" s="270">
        <f t="shared" si="2142"/>
        <v>-0.06</v>
      </c>
      <c r="CA321" s="270">
        <f t="shared" si="2142"/>
        <v>0</v>
      </c>
      <c r="CB321" s="270">
        <f t="shared" si="2142"/>
        <v>0</v>
      </c>
      <c r="CC321" s="270">
        <f t="shared" si="2142"/>
        <v>0</v>
      </c>
      <c r="CD321" s="270">
        <f t="shared" si="2142"/>
        <v>0</v>
      </c>
      <c r="CE321" s="270">
        <f t="shared" si="2142"/>
        <v>0</v>
      </c>
      <c r="CF321" s="270">
        <f t="shared" si="2142"/>
        <v>0</v>
      </c>
      <c r="CG321" s="270">
        <f t="shared" si="2142"/>
        <v>0</v>
      </c>
      <c r="CH321" s="270">
        <f t="shared" si="2142"/>
        <v>0</v>
      </c>
      <c r="CI321" s="270">
        <f t="shared" si="2142"/>
        <v>0</v>
      </c>
      <c r="CJ321" s="270">
        <f t="shared" si="2142"/>
        <v>0</v>
      </c>
      <c r="CK321" s="270">
        <f t="shared" si="2142"/>
        <v>0</v>
      </c>
      <c r="CL321" s="270">
        <f t="shared" si="2142"/>
        <v>0</v>
      </c>
      <c r="CM321" s="270">
        <f t="shared" si="2142"/>
        <v>0</v>
      </c>
      <c r="CN321" s="270">
        <f t="shared" si="2142"/>
        <v>0</v>
      </c>
      <c r="CO321" s="270">
        <f t="shared" si="2142"/>
        <v>0</v>
      </c>
      <c r="CP321" s="270">
        <f t="shared" si="2142"/>
        <v>0</v>
      </c>
      <c r="CQ321" s="215"/>
      <c r="CR321" s="270">
        <f t="shared" si="27"/>
        <v>-0.15</v>
      </c>
      <c r="CS321" s="215"/>
      <c r="CT321" s="270">
        <f t="shared" ref="CT321:DX321" si="2143">IF(AI320&gt;0,IF((AI320+BN321)&lt;E$10,AI320+BN321,E$10),0)</f>
        <v>0</v>
      </c>
      <c r="CU321" s="270">
        <f t="shared" si="2143"/>
        <v>0</v>
      </c>
      <c r="CV321" s="270">
        <f t="shared" si="2143"/>
        <v>0</v>
      </c>
      <c r="CW321" s="270">
        <f t="shared" si="2143"/>
        <v>0</v>
      </c>
      <c r="CX321" s="270">
        <f t="shared" si="2143"/>
        <v>0</v>
      </c>
      <c r="CY321" s="270">
        <f t="shared" si="2143"/>
        <v>0</v>
      </c>
      <c r="CZ321" s="270">
        <f t="shared" si="2143"/>
        <v>0</v>
      </c>
      <c r="DA321" s="270">
        <f t="shared" si="2143"/>
        <v>0</v>
      </c>
      <c r="DB321" s="270">
        <f t="shared" si="2143"/>
        <v>0</v>
      </c>
      <c r="DC321" s="270">
        <f t="shared" si="2143"/>
        <v>0</v>
      </c>
      <c r="DD321" s="270">
        <f t="shared" si="2143"/>
        <v>0</v>
      </c>
      <c r="DE321" s="270">
        <f t="shared" si="2143"/>
        <v>0</v>
      </c>
      <c r="DF321" s="270">
        <f t="shared" si="2143"/>
        <v>0</v>
      </c>
      <c r="DG321" s="270">
        <f t="shared" si="2143"/>
        <v>0</v>
      </c>
      <c r="DH321" s="270">
        <f t="shared" si="2143"/>
        <v>0</v>
      </c>
      <c r="DI321" s="270">
        <f t="shared" si="2143"/>
        <v>0</v>
      </c>
      <c r="DJ321" s="270">
        <f t="shared" si="2143"/>
        <v>0</v>
      </c>
      <c r="DK321" s="270">
        <f t="shared" si="2143"/>
        <v>0</v>
      </c>
      <c r="DL321" s="270">
        <f t="shared" si="2143"/>
        <v>0</v>
      </c>
      <c r="DM321" s="270">
        <f t="shared" si="2143"/>
        <v>0</v>
      </c>
      <c r="DN321" s="270">
        <f t="shared" si="2143"/>
        <v>0</v>
      </c>
      <c r="DO321" s="270">
        <f t="shared" si="2143"/>
        <v>0</v>
      </c>
      <c r="DP321" s="270">
        <f t="shared" si="2143"/>
        <v>0</v>
      </c>
      <c r="DQ321" s="270">
        <f t="shared" si="2143"/>
        <v>0</v>
      </c>
      <c r="DR321" s="270">
        <f t="shared" si="2143"/>
        <v>0</v>
      </c>
      <c r="DS321" s="270">
        <f t="shared" si="2143"/>
        <v>0</v>
      </c>
      <c r="DT321" s="270">
        <f t="shared" si="2143"/>
        <v>0</v>
      </c>
      <c r="DU321" s="270">
        <f t="shared" si="2143"/>
        <v>0</v>
      </c>
      <c r="DV321" s="270">
        <f t="shared" si="2143"/>
        <v>0</v>
      </c>
      <c r="DW321" s="270">
        <f t="shared" si="2143"/>
        <v>0</v>
      </c>
      <c r="DX321" s="270">
        <f t="shared" si="2143"/>
        <v>0</v>
      </c>
      <c r="DY321" s="270">
        <f t="shared" si="29"/>
        <v>0</v>
      </c>
      <c r="DZ321" s="274"/>
      <c r="EA321" s="275">
        <f t="shared" si="38"/>
        <v>0</v>
      </c>
      <c r="EB321" s="270">
        <f t="shared" ref="EB321:FC321" si="2144">IF(AJ319&lt;=0,0,IF($C320&lt;=SUM($EA321:EA321),0,IF(CU320+$C320-SUM($EA321:EA321)&gt;AJ319+BO320,AJ319+BO320-CU320,$C320-SUM($EA321:EA321))))</f>
        <v>0</v>
      </c>
      <c r="EC321" s="270">
        <f t="shared" si="2144"/>
        <v>0</v>
      </c>
      <c r="ED321" s="270">
        <f t="shared" si="2144"/>
        <v>0</v>
      </c>
      <c r="EE321" s="270">
        <f t="shared" si="2144"/>
        <v>0</v>
      </c>
      <c r="EF321" s="270">
        <f t="shared" si="2144"/>
        <v>0</v>
      </c>
      <c r="EG321" s="270">
        <f t="shared" si="2144"/>
        <v>0</v>
      </c>
      <c r="EH321" s="270">
        <f t="shared" si="2144"/>
        <v>0</v>
      </c>
      <c r="EI321" s="270">
        <f t="shared" si="2144"/>
        <v>0</v>
      </c>
      <c r="EJ321" s="270">
        <f t="shared" si="2144"/>
        <v>0</v>
      </c>
      <c r="EK321" s="270">
        <f t="shared" si="2144"/>
        <v>0</v>
      </c>
      <c r="EL321" s="270">
        <f t="shared" si="2144"/>
        <v>0</v>
      </c>
      <c r="EM321" s="270">
        <f t="shared" si="2144"/>
        <v>0</v>
      </c>
      <c r="EN321" s="270">
        <f t="shared" si="2144"/>
        <v>0</v>
      </c>
      <c r="EO321" s="270">
        <f t="shared" si="2144"/>
        <v>0</v>
      </c>
      <c r="EP321" s="270">
        <f t="shared" si="2144"/>
        <v>0</v>
      </c>
      <c r="EQ321" s="270">
        <f t="shared" si="2144"/>
        <v>0</v>
      </c>
      <c r="ER321" s="270">
        <f t="shared" si="2144"/>
        <v>0</v>
      </c>
      <c r="ES321" s="270">
        <f t="shared" si="2144"/>
        <v>0</v>
      </c>
      <c r="ET321" s="270">
        <f t="shared" si="2144"/>
        <v>0</v>
      </c>
      <c r="EU321" s="270">
        <f t="shared" si="2144"/>
        <v>0</v>
      </c>
      <c r="EV321" s="270">
        <f t="shared" si="2144"/>
        <v>0</v>
      </c>
      <c r="EW321" s="270">
        <f t="shared" si="2144"/>
        <v>0</v>
      </c>
      <c r="EX321" s="270">
        <f t="shared" si="2144"/>
        <v>0</v>
      </c>
      <c r="EY321" s="270">
        <f t="shared" si="2144"/>
        <v>0</v>
      </c>
      <c r="EZ321" s="270">
        <f t="shared" si="2144"/>
        <v>0</v>
      </c>
      <c r="FA321" s="270">
        <f t="shared" si="2144"/>
        <v>0</v>
      </c>
      <c r="FB321" s="270">
        <f t="shared" si="2144"/>
        <v>0</v>
      </c>
      <c r="FC321" s="270">
        <f t="shared" si="2144"/>
        <v>0</v>
      </c>
      <c r="FD321" s="271"/>
      <c r="FE321" s="271"/>
      <c r="FF321" s="271"/>
      <c r="FG321" s="215"/>
      <c r="FH321" s="215"/>
    </row>
    <row r="322" ht="11.25" customHeight="1">
      <c r="A322" s="215" t="str">
        <f t="shared" si="19"/>
        <v/>
      </c>
      <c r="B322" s="241" t="str">
        <f t="shared" si="600"/>
        <v>#N/A</v>
      </c>
      <c r="C322" s="271" t="str">
        <f>IF(A322="","",IF(Calculator!snowball,IF(($E$5-DY322)&lt;0,0,$E$5-DY322),0)+D322)</f>
        <v/>
      </c>
      <c r="D322" s="271"/>
      <c r="E322" s="270">
        <f t="shared" si="40"/>
        <v>0</v>
      </c>
      <c r="F322" s="270">
        <f t="shared" ref="F322:AG322" si="2145">CU322+EB323</f>
        <v>0</v>
      </c>
      <c r="G322" s="270">
        <f t="shared" si="2145"/>
        <v>0</v>
      </c>
      <c r="H322" s="270">
        <f t="shared" si="2145"/>
        <v>0</v>
      </c>
      <c r="I322" s="270">
        <f t="shared" si="2145"/>
        <v>0</v>
      </c>
      <c r="J322" s="270">
        <f t="shared" si="2145"/>
        <v>0</v>
      </c>
      <c r="K322" s="270">
        <f t="shared" si="2145"/>
        <v>0</v>
      </c>
      <c r="L322" s="270">
        <f t="shared" si="2145"/>
        <v>0</v>
      </c>
      <c r="M322" s="270">
        <f t="shared" si="2145"/>
        <v>0</v>
      </c>
      <c r="N322" s="270">
        <f t="shared" si="2145"/>
        <v>0</v>
      </c>
      <c r="O322" s="270">
        <f t="shared" si="2145"/>
        <v>0</v>
      </c>
      <c r="P322" s="272">
        <f t="shared" si="2145"/>
        <v>0</v>
      </c>
      <c r="Q322" s="272">
        <f t="shared" si="2145"/>
        <v>0</v>
      </c>
      <c r="R322" s="272">
        <f t="shared" si="2145"/>
        <v>0</v>
      </c>
      <c r="S322" s="272">
        <f t="shared" si="2145"/>
        <v>0</v>
      </c>
      <c r="T322" s="272">
        <f t="shared" si="2145"/>
        <v>0</v>
      </c>
      <c r="U322" s="270">
        <f t="shared" si="2145"/>
        <v>0</v>
      </c>
      <c r="V322" s="270">
        <f t="shared" si="2145"/>
        <v>0</v>
      </c>
      <c r="W322" s="270">
        <f t="shared" si="2145"/>
        <v>0</v>
      </c>
      <c r="X322" s="270">
        <f t="shared" si="2145"/>
        <v>0</v>
      </c>
      <c r="Y322" s="270">
        <f t="shared" si="2145"/>
        <v>0</v>
      </c>
      <c r="Z322" s="270">
        <f t="shared" si="2145"/>
        <v>0</v>
      </c>
      <c r="AA322" s="270">
        <f t="shared" si="2145"/>
        <v>0</v>
      </c>
      <c r="AB322" s="270">
        <f t="shared" si="2145"/>
        <v>0</v>
      </c>
      <c r="AC322" s="270">
        <f t="shared" si="2145"/>
        <v>0</v>
      </c>
      <c r="AD322" s="270">
        <f t="shared" si="2145"/>
        <v>0</v>
      </c>
      <c r="AE322" s="270">
        <f t="shared" si="2145"/>
        <v>0</v>
      </c>
      <c r="AF322" s="270">
        <f t="shared" si="2145"/>
        <v>0</v>
      </c>
      <c r="AG322" s="270">
        <f t="shared" si="2145"/>
        <v>0</v>
      </c>
      <c r="AH322" s="279">
        <f t="shared" si="602"/>
        <v>0</v>
      </c>
      <c r="AI322" s="270">
        <f t="shared" si="43"/>
        <v>0</v>
      </c>
      <c r="AJ322" s="270">
        <f t="shared" ref="AJ322:AO322" si="2146">IF(F$8=0,0,ROUND(AJ321-(F322-BO322),2))</f>
        <v>0</v>
      </c>
      <c r="AK322" s="270">
        <f t="shared" si="2146"/>
        <v>0</v>
      </c>
      <c r="AL322" s="270">
        <f t="shared" si="2146"/>
        <v>0</v>
      </c>
      <c r="AM322" s="270">
        <f t="shared" si="2146"/>
        <v>0</v>
      </c>
      <c r="AN322" s="270">
        <f t="shared" si="2146"/>
        <v>0</v>
      </c>
      <c r="AO322" s="270">
        <f t="shared" si="2146"/>
        <v>0</v>
      </c>
      <c r="AP322" s="270">
        <v>0.0</v>
      </c>
      <c r="AQ322" s="270">
        <f t="shared" ref="AQ322:AR322" si="2147">IF(M$8=0,0,ROUND(AQ321-(M322-BV322),2))</f>
        <v>0</v>
      </c>
      <c r="AR322" s="270">
        <f t="shared" si="2147"/>
        <v>0</v>
      </c>
      <c r="AS322" s="270">
        <f t="shared" si="1902"/>
        <v>-4.72</v>
      </c>
      <c r="AT322" s="270">
        <f t="shared" si="605"/>
        <v>-6.94</v>
      </c>
      <c r="AU322" s="270">
        <f t="shared" ref="AU322:BK322" si="2148">IF(Q$8=0,0,ROUND(AU321-(Q322-BY322),2))</f>
        <v>-19.13</v>
      </c>
      <c r="AV322" s="270">
        <f t="shared" si="2148"/>
        <v>0</v>
      </c>
      <c r="AW322" s="270">
        <f t="shared" si="2148"/>
        <v>0</v>
      </c>
      <c r="AX322" s="270">
        <f t="shared" si="2148"/>
        <v>0</v>
      </c>
      <c r="AY322" s="270">
        <f t="shared" si="2148"/>
        <v>0</v>
      </c>
      <c r="AZ322" s="270">
        <f t="shared" si="2148"/>
        <v>0</v>
      </c>
      <c r="BA322" s="270">
        <f t="shared" si="2148"/>
        <v>0</v>
      </c>
      <c r="BB322" s="270">
        <f t="shared" si="2148"/>
        <v>0</v>
      </c>
      <c r="BC322" s="270">
        <f t="shared" si="2148"/>
        <v>0</v>
      </c>
      <c r="BD322" s="270">
        <f t="shared" si="2148"/>
        <v>0</v>
      </c>
      <c r="BE322" s="270">
        <f t="shared" si="2148"/>
        <v>0</v>
      </c>
      <c r="BF322" s="270">
        <f t="shared" si="2148"/>
        <v>0</v>
      </c>
      <c r="BG322" s="270">
        <f t="shared" si="2148"/>
        <v>0</v>
      </c>
      <c r="BH322" s="270">
        <f t="shared" si="2148"/>
        <v>0</v>
      </c>
      <c r="BI322" s="270">
        <f t="shared" si="2148"/>
        <v>0</v>
      </c>
      <c r="BJ322" s="270">
        <f t="shared" si="2148"/>
        <v>0</v>
      </c>
      <c r="BK322" s="270">
        <f t="shared" si="2148"/>
        <v>0</v>
      </c>
      <c r="BL322" s="265">
        <f t="shared" si="16"/>
        <v>-30.79</v>
      </c>
      <c r="BM322" s="215"/>
      <c r="BN322" s="270">
        <f t="shared" ref="BN322:CP322" si="2149">ROUND(AI321*E$9/12,2)</f>
        <v>0</v>
      </c>
      <c r="BO322" s="270">
        <f t="shared" si="2149"/>
        <v>0</v>
      </c>
      <c r="BP322" s="270">
        <f t="shared" si="2149"/>
        <v>0</v>
      </c>
      <c r="BQ322" s="270">
        <f t="shared" si="2149"/>
        <v>0</v>
      </c>
      <c r="BR322" s="270">
        <f t="shared" si="2149"/>
        <v>0</v>
      </c>
      <c r="BS322" s="270">
        <f t="shared" si="2149"/>
        <v>0</v>
      </c>
      <c r="BT322" s="270">
        <f t="shared" si="2149"/>
        <v>0</v>
      </c>
      <c r="BU322" s="270">
        <f t="shared" si="2149"/>
        <v>0</v>
      </c>
      <c r="BV322" s="270">
        <f t="shared" si="2149"/>
        <v>0</v>
      </c>
      <c r="BW322" s="270">
        <f t="shared" si="2149"/>
        <v>0</v>
      </c>
      <c r="BX322" s="270">
        <f t="shared" si="2149"/>
        <v>-0.04</v>
      </c>
      <c r="BY322" s="270">
        <f t="shared" si="2149"/>
        <v>-0.05</v>
      </c>
      <c r="BZ322" s="270">
        <f t="shared" si="2149"/>
        <v>-0.06</v>
      </c>
      <c r="CA322" s="270">
        <f t="shared" si="2149"/>
        <v>0</v>
      </c>
      <c r="CB322" s="270">
        <f t="shared" si="2149"/>
        <v>0</v>
      </c>
      <c r="CC322" s="270">
        <f t="shared" si="2149"/>
        <v>0</v>
      </c>
      <c r="CD322" s="270">
        <f t="shared" si="2149"/>
        <v>0</v>
      </c>
      <c r="CE322" s="270">
        <f t="shared" si="2149"/>
        <v>0</v>
      </c>
      <c r="CF322" s="270">
        <f t="shared" si="2149"/>
        <v>0</v>
      </c>
      <c r="CG322" s="270">
        <f t="shared" si="2149"/>
        <v>0</v>
      </c>
      <c r="CH322" s="270">
        <f t="shared" si="2149"/>
        <v>0</v>
      </c>
      <c r="CI322" s="270">
        <f t="shared" si="2149"/>
        <v>0</v>
      </c>
      <c r="CJ322" s="270">
        <f t="shared" si="2149"/>
        <v>0</v>
      </c>
      <c r="CK322" s="270">
        <f t="shared" si="2149"/>
        <v>0</v>
      </c>
      <c r="CL322" s="270">
        <f t="shared" si="2149"/>
        <v>0</v>
      </c>
      <c r="CM322" s="270">
        <f t="shared" si="2149"/>
        <v>0</v>
      </c>
      <c r="CN322" s="270">
        <f t="shared" si="2149"/>
        <v>0</v>
      </c>
      <c r="CO322" s="270">
        <f t="shared" si="2149"/>
        <v>0</v>
      </c>
      <c r="CP322" s="270">
        <f t="shared" si="2149"/>
        <v>0</v>
      </c>
      <c r="CQ322" s="215"/>
      <c r="CR322" s="270">
        <f t="shared" si="27"/>
        <v>-0.15</v>
      </c>
      <c r="CS322" s="215"/>
      <c r="CT322" s="270">
        <f t="shared" ref="CT322:DX322" si="2150">IF(AI321&gt;0,IF((AI321+BN322)&lt;E$10,AI321+BN322,E$10),0)</f>
        <v>0</v>
      </c>
      <c r="CU322" s="270">
        <f t="shared" si="2150"/>
        <v>0</v>
      </c>
      <c r="CV322" s="270">
        <f t="shared" si="2150"/>
        <v>0</v>
      </c>
      <c r="CW322" s="270">
        <f t="shared" si="2150"/>
        <v>0</v>
      </c>
      <c r="CX322" s="270">
        <f t="shared" si="2150"/>
        <v>0</v>
      </c>
      <c r="CY322" s="270">
        <f t="shared" si="2150"/>
        <v>0</v>
      </c>
      <c r="CZ322" s="270">
        <f t="shared" si="2150"/>
        <v>0</v>
      </c>
      <c r="DA322" s="270">
        <f t="shared" si="2150"/>
        <v>0</v>
      </c>
      <c r="DB322" s="270">
        <f t="shared" si="2150"/>
        <v>0</v>
      </c>
      <c r="DC322" s="270">
        <f t="shared" si="2150"/>
        <v>0</v>
      </c>
      <c r="DD322" s="270">
        <f t="shared" si="2150"/>
        <v>0</v>
      </c>
      <c r="DE322" s="270">
        <f t="shared" si="2150"/>
        <v>0</v>
      </c>
      <c r="DF322" s="270">
        <f t="shared" si="2150"/>
        <v>0</v>
      </c>
      <c r="DG322" s="270">
        <f t="shared" si="2150"/>
        <v>0</v>
      </c>
      <c r="DH322" s="270">
        <f t="shared" si="2150"/>
        <v>0</v>
      </c>
      <c r="DI322" s="270">
        <f t="shared" si="2150"/>
        <v>0</v>
      </c>
      <c r="DJ322" s="270">
        <f t="shared" si="2150"/>
        <v>0</v>
      </c>
      <c r="DK322" s="270">
        <f t="shared" si="2150"/>
        <v>0</v>
      </c>
      <c r="DL322" s="270">
        <f t="shared" si="2150"/>
        <v>0</v>
      </c>
      <c r="DM322" s="270">
        <f t="shared" si="2150"/>
        <v>0</v>
      </c>
      <c r="DN322" s="270">
        <f t="shared" si="2150"/>
        <v>0</v>
      </c>
      <c r="DO322" s="270">
        <f t="shared" si="2150"/>
        <v>0</v>
      </c>
      <c r="DP322" s="270">
        <f t="shared" si="2150"/>
        <v>0</v>
      </c>
      <c r="DQ322" s="270">
        <f t="shared" si="2150"/>
        <v>0</v>
      </c>
      <c r="DR322" s="270">
        <f t="shared" si="2150"/>
        <v>0</v>
      </c>
      <c r="DS322" s="270">
        <f t="shared" si="2150"/>
        <v>0</v>
      </c>
      <c r="DT322" s="270">
        <f t="shared" si="2150"/>
        <v>0</v>
      </c>
      <c r="DU322" s="270">
        <f t="shared" si="2150"/>
        <v>0</v>
      </c>
      <c r="DV322" s="270">
        <f t="shared" si="2150"/>
        <v>0</v>
      </c>
      <c r="DW322" s="270">
        <f t="shared" si="2150"/>
        <v>0</v>
      </c>
      <c r="DX322" s="270">
        <f t="shared" si="2150"/>
        <v>0</v>
      </c>
      <c r="DY322" s="270">
        <f t="shared" si="29"/>
        <v>0</v>
      </c>
      <c r="DZ322" s="274"/>
      <c r="EA322" s="275">
        <f t="shared" si="38"/>
        <v>0</v>
      </c>
      <c r="EB322" s="270">
        <f t="shared" ref="EB322:FC322" si="2151">IF(AJ320&lt;=0,0,IF($C321&lt;=SUM($EA322:EA322),0,IF(CU321+$C321-SUM($EA322:EA322)&gt;AJ320+BO321,AJ320+BO321-CU321,$C321-SUM($EA322:EA322))))</f>
        <v>0</v>
      </c>
      <c r="EC322" s="270">
        <f t="shared" si="2151"/>
        <v>0</v>
      </c>
      <c r="ED322" s="270">
        <f t="shared" si="2151"/>
        <v>0</v>
      </c>
      <c r="EE322" s="270">
        <f t="shared" si="2151"/>
        <v>0</v>
      </c>
      <c r="EF322" s="270">
        <f t="shared" si="2151"/>
        <v>0</v>
      </c>
      <c r="EG322" s="270">
        <f t="shared" si="2151"/>
        <v>0</v>
      </c>
      <c r="EH322" s="270">
        <f t="shared" si="2151"/>
        <v>0</v>
      </c>
      <c r="EI322" s="270">
        <f t="shared" si="2151"/>
        <v>0</v>
      </c>
      <c r="EJ322" s="270">
        <f t="shared" si="2151"/>
        <v>0</v>
      </c>
      <c r="EK322" s="270">
        <f t="shared" si="2151"/>
        <v>0</v>
      </c>
      <c r="EL322" s="270">
        <f t="shared" si="2151"/>
        <v>0</v>
      </c>
      <c r="EM322" s="270">
        <f t="shared" si="2151"/>
        <v>0</v>
      </c>
      <c r="EN322" s="270">
        <f t="shared" si="2151"/>
        <v>0</v>
      </c>
      <c r="EO322" s="270">
        <f t="shared" si="2151"/>
        <v>0</v>
      </c>
      <c r="EP322" s="270">
        <f t="shared" si="2151"/>
        <v>0</v>
      </c>
      <c r="EQ322" s="270">
        <f t="shared" si="2151"/>
        <v>0</v>
      </c>
      <c r="ER322" s="270">
        <f t="shared" si="2151"/>
        <v>0</v>
      </c>
      <c r="ES322" s="270">
        <f t="shared" si="2151"/>
        <v>0</v>
      </c>
      <c r="ET322" s="270">
        <f t="shared" si="2151"/>
        <v>0</v>
      </c>
      <c r="EU322" s="270">
        <f t="shared" si="2151"/>
        <v>0</v>
      </c>
      <c r="EV322" s="270">
        <f t="shared" si="2151"/>
        <v>0</v>
      </c>
      <c r="EW322" s="270">
        <f t="shared" si="2151"/>
        <v>0</v>
      </c>
      <c r="EX322" s="270">
        <f t="shared" si="2151"/>
        <v>0</v>
      </c>
      <c r="EY322" s="270">
        <f t="shared" si="2151"/>
        <v>0</v>
      </c>
      <c r="EZ322" s="270">
        <f t="shared" si="2151"/>
        <v>0</v>
      </c>
      <c r="FA322" s="270">
        <f t="shared" si="2151"/>
        <v>0</v>
      </c>
      <c r="FB322" s="270">
        <f t="shared" si="2151"/>
        <v>0</v>
      </c>
      <c r="FC322" s="270">
        <f t="shared" si="2151"/>
        <v>0</v>
      </c>
      <c r="FD322" s="271"/>
      <c r="FE322" s="271"/>
      <c r="FF322" s="271"/>
      <c r="FG322" s="215"/>
      <c r="FH322" s="215"/>
    </row>
    <row r="323" ht="11.25" customHeight="1">
      <c r="A323" s="215" t="str">
        <f t="shared" si="19"/>
        <v/>
      </c>
      <c r="B323" s="241" t="str">
        <f t="shared" si="600"/>
        <v>#N/A</v>
      </c>
      <c r="C323" s="271" t="str">
        <f>IF(A323="","",IF(Calculator!snowball,IF(($E$5-DY323)&lt;0,0,$E$5-DY323),0)+D323)</f>
        <v/>
      </c>
      <c r="D323" s="271"/>
      <c r="E323" s="270">
        <f t="shared" si="40"/>
        <v>0</v>
      </c>
      <c r="F323" s="270">
        <f t="shared" ref="F323:AG323" si="2152">CU323+EB324</f>
        <v>0</v>
      </c>
      <c r="G323" s="270">
        <f t="shared" si="2152"/>
        <v>0</v>
      </c>
      <c r="H323" s="270">
        <f t="shared" si="2152"/>
        <v>0</v>
      </c>
      <c r="I323" s="270">
        <f t="shared" si="2152"/>
        <v>0</v>
      </c>
      <c r="J323" s="270">
        <f t="shared" si="2152"/>
        <v>0</v>
      </c>
      <c r="K323" s="270">
        <f t="shared" si="2152"/>
        <v>0</v>
      </c>
      <c r="L323" s="270">
        <f t="shared" si="2152"/>
        <v>0</v>
      </c>
      <c r="M323" s="270">
        <f t="shared" si="2152"/>
        <v>0</v>
      </c>
      <c r="N323" s="270">
        <f t="shared" si="2152"/>
        <v>0</v>
      </c>
      <c r="O323" s="270">
        <f t="shared" si="2152"/>
        <v>0</v>
      </c>
      <c r="P323" s="272">
        <f t="shared" si="2152"/>
        <v>0</v>
      </c>
      <c r="Q323" s="272">
        <f t="shared" si="2152"/>
        <v>0</v>
      </c>
      <c r="R323" s="272">
        <f t="shared" si="2152"/>
        <v>0</v>
      </c>
      <c r="S323" s="272">
        <f t="shared" si="2152"/>
        <v>0</v>
      </c>
      <c r="T323" s="272">
        <f t="shared" si="2152"/>
        <v>0</v>
      </c>
      <c r="U323" s="270">
        <f t="shared" si="2152"/>
        <v>0</v>
      </c>
      <c r="V323" s="270">
        <f t="shared" si="2152"/>
        <v>0</v>
      </c>
      <c r="W323" s="270">
        <f t="shared" si="2152"/>
        <v>0</v>
      </c>
      <c r="X323" s="270">
        <f t="shared" si="2152"/>
        <v>0</v>
      </c>
      <c r="Y323" s="270">
        <f t="shared" si="2152"/>
        <v>0</v>
      </c>
      <c r="Z323" s="270">
        <f t="shared" si="2152"/>
        <v>0</v>
      </c>
      <c r="AA323" s="270">
        <f t="shared" si="2152"/>
        <v>0</v>
      </c>
      <c r="AB323" s="270">
        <f t="shared" si="2152"/>
        <v>0</v>
      </c>
      <c r="AC323" s="270">
        <f t="shared" si="2152"/>
        <v>0</v>
      </c>
      <c r="AD323" s="270">
        <f t="shared" si="2152"/>
        <v>0</v>
      </c>
      <c r="AE323" s="270">
        <f t="shared" si="2152"/>
        <v>0</v>
      </c>
      <c r="AF323" s="270">
        <f t="shared" si="2152"/>
        <v>0</v>
      </c>
      <c r="AG323" s="270">
        <f t="shared" si="2152"/>
        <v>0</v>
      </c>
      <c r="AH323" s="279">
        <f t="shared" si="602"/>
        <v>0</v>
      </c>
      <c r="AI323" s="270">
        <f t="shared" si="43"/>
        <v>0</v>
      </c>
      <c r="AJ323" s="270">
        <f t="shared" ref="AJ323:AO323" si="2153">IF(F$8=0,0,ROUND(AJ322-(F323-BO323),2))</f>
        <v>0</v>
      </c>
      <c r="AK323" s="270">
        <f t="shared" si="2153"/>
        <v>0</v>
      </c>
      <c r="AL323" s="270">
        <f t="shared" si="2153"/>
        <v>0</v>
      </c>
      <c r="AM323" s="270">
        <f t="shared" si="2153"/>
        <v>0</v>
      </c>
      <c r="AN323" s="270">
        <f t="shared" si="2153"/>
        <v>0</v>
      </c>
      <c r="AO323" s="270">
        <f t="shared" si="2153"/>
        <v>0</v>
      </c>
      <c r="AP323" s="270">
        <v>0.0</v>
      </c>
      <c r="AQ323" s="270">
        <f t="shared" ref="AQ323:AR323" si="2154">IF(M$8=0,0,ROUND(AQ322-(M323-BV323),2))</f>
        <v>0</v>
      </c>
      <c r="AR323" s="270">
        <f t="shared" si="2154"/>
        <v>0</v>
      </c>
      <c r="AS323" s="270">
        <f t="shared" si="1902"/>
        <v>-4.87</v>
      </c>
      <c r="AT323" s="270">
        <f t="shared" si="605"/>
        <v>-6.98</v>
      </c>
      <c r="AU323" s="270">
        <f t="shared" ref="AU323:BK323" si="2155">IF(Q$8=0,0,ROUND(AU322-(Q323-BY323),2))</f>
        <v>-19.18</v>
      </c>
      <c r="AV323" s="270">
        <f t="shared" si="2155"/>
        <v>0</v>
      </c>
      <c r="AW323" s="270">
        <f t="shared" si="2155"/>
        <v>0</v>
      </c>
      <c r="AX323" s="270">
        <f t="shared" si="2155"/>
        <v>0</v>
      </c>
      <c r="AY323" s="270">
        <f t="shared" si="2155"/>
        <v>0</v>
      </c>
      <c r="AZ323" s="270">
        <f t="shared" si="2155"/>
        <v>0</v>
      </c>
      <c r="BA323" s="270">
        <f t="shared" si="2155"/>
        <v>0</v>
      </c>
      <c r="BB323" s="270">
        <f t="shared" si="2155"/>
        <v>0</v>
      </c>
      <c r="BC323" s="270">
        <f t="shared" si="2155"/>
        <v>0</v>
      </c>
      <c r="BD323" s="270">
        <f t="shared" si="2155"/>
        <v>0</v>
      </c>
      <c r="BE323" s="270">
        <f t="shared" si="2155"/>
        <v>0</v>
      </c>
      <c r="BF323" s="270">
        <f t="shared" si="2155"/>
        <v>0</v>
      </c>
      <c r="BG323" s="270">
        <f t="shared" si="2155"/>
        <v>0</v>
      </c>
      <c r="BH323" s="270">
        <f t="shared" si="2155"/>
        <v>0</v>
      </c>
      <c r="BI323" s="270">
        <f t="shared" si="2155"/>
        <v>0</v>
      </c>
      <c r="BJ323" s="270">
        <f t="shared" si="2155"/>
        <v>0</v>
      </c>
      <c r="BK323" s="270">
        <f t="shared" si="2155"/>
        <v>0</v>
      </c>
      <c r="BL323" s="265">
        <f t="shared" si="16"/>
        <v>-31.03</v>
      </c>
      <c r="BM323" s="215"/>
      <c r="BN323" s="270">
        <f t="shared" ref="BN323:CP323" si="2156">ROUND(AI322*E$9/12,2)</f>
        <v>0</v>
      </c>
      <c r="BO323" s="270">
        <f t="shared" si="2156"/>
        <v>0</v>
      </c>
      <c r="BP323" s="270">
        <f t="shared" si="2156"/>
        <v>0</v>
      </c>
      <c r="BQ323" s="270">
        <f t="shared" si="2156"/>
        <v>0</v>
      </c>
      <c r="BR323" s="270">
        <f t="shared" si="2156"/>
        <v>0</v>
      </c>
      <c r="BS323" s="270">
        <f t="shared" si="2156"/>
        <v>0</v>
      </c>
      <c r="BT323" s="270">
        <f t="shared" si="2156"/>
        <v>0</v>
      </c>
      <c r="BU323" s="270">
        <f t="shared" si="2156"/>
        <v>0</v>
      </c>
      <c r="BV323" s="270">
        <f t="shared" si="2156"/>
        <v>0</v>
      </c>
      <c r="BW323" s="270">
        <f t="shared" si="2156"/>
        <v>0</v>
      </c>
      <c r="BX323" s="270">
        <f t="shared" si="2156"/>
        <v>-0.04</v>
      </c>
      <c r="BY323" s="270">
        <f t="shared" si="2156"/>
        <v>-0.05</v>
      </c>
      <c r="BZ323" s="270">
        <f t="shared" si="2156"/>
        <v>-0.06</v>
      </c>
      <c r="CA323" s="270">
        <f t="shared" si="2156"/>
        <v>0</v>
      </c>
      <c r="CB323" s="270">
        <f t="shared" si="2156"/>
        <v>0</v>
      </c>
      <c r="CC323" s="270">
        <f t="shared" si="2156"/>
        <v>0</v>
      </c>
      <c r="CD323" s="270">
        <f t="shared" si="2156"/>
        <v>0</v>
      </c>
      <c r="CE323" s="270">
        <f t="shared" si="2156"/>
        <v>0</v>
      </c>
      <c r="CF323" s="270">
        <f t="shared" si="2156"/>
        <v>0</v>
      </c>
      <c r="CG323" s="270">
        <f t="shared" si="2156"/>
        <v>0</v>
      </c>
      <c r="CH323" s="270">
        <f t="shared" si="2156"/>
        <v>0</v>
      </c>
      <c r="CI323" s="270">
        <f t="shared" si="2156"/>
        <v>0</v>
      </c>
      <c r="CJ323" s="270">
        <f t="shared" si="2156"/>
        <v>0</v>
      </c>
      <c r="CK323" s="270">
        <f t="shared" si="2156"/>
        <v>0</v>
      </c>
      <c r="CL323" s="270">
        <f t="shared" si="2156"/>
        <v>0</v>
      </c>
      <c r="CM323" s="270">
        <f t="shared" si="2156"/>
        <v>0</v>
      </c>
      <c r="CN323" s="270">
        <f t="shared" si="2156"/>
        <v>0</v>
      </c>
      <c r="CO323" s="270">
        <f t="shared" si="2156"/>
        <v>0</v>
      </c>
      <c r="CP323" s="270">
        <f t="shared" si="2156"/>
        <v>0</v>
      </c>
      <c r="CQ323" s="215"/>
      <c r="CR323" s="270">
        <f t="shared" si="27"/>
        <v>-0.15</v>
      </c>
      <c r="CS323" s="215"/>
      <c r="CT323" s="270">
        <f t="shared" ref="CT323:DX323" si="2157">IF(AI322&gt;0,IF((AI322+BN323)&lt;E$10,AI322+BN323,E$10),0)</f>
        <v>0</v>
      </c>
      <c r="CU323" s="270">
        <f t="shared" si="2157"/>
        <v>0</v>
      </c>
      <c r="CV323" s="270">
        <f t="shared" si="2157"/>
        <v>0</v>
      </c>
      <c r="CW323" s="270">
        <f t="shared" si="2157"/>
        <v>0</v>
      </c>
      <c r="CX323" s="270">
        <f t="shared" si="2157"/>
        <v>0</v>
      </c>
      <c r="CY323" s="270">
        <f t="shared" si="2157"/>
        <v>0</v>
      </c>
      <c r="CZ323" s="270">
        <f t="shared" si="2157"/>
        <v>0</v>
      </c>
      <c r="DA323" s="270">
        <f t="shared" si="2157"/>
        <v>0</v>
      </c>
      <c r="DB323" s="270">
        <f t="shared" si="2157"/>
        <v>0</v>
      </c>
      <c r="DC323" s="270">
        <f t="shared" si="2157"/>
        <v>0</v>
      </c>
      <c r="DD323" s="270">
        <f t="shared" si="2157"/>
        <v>0</v>
      </c>
      <c r="DE323" s="270">
        <f t="shared" si="2157"/>
        <v>0</v>
      </c>
      <c r="DF323" s="270">
        <f t="shared" si="2157"/>
        <v>0</v>
      </c>
      <c r="DG323" s="270">
        <f t="shared" si="2157"/>
        <v>0</v>
      </c>
      <c r="DH323" s="270">
        <f t="shared" si="2157"/>
        <v>0</v>
      </c>
      <c r="DI323" s="270">
        <f t="shared" si="2157"/>
        <v>0</v>
      </c>
      <c r="DJ323" s="270">
        <f t="shared" si="2157"/>
        <v>0</v>
      </c>
      <c r="DK323" s="270">
        <f t="shared" si="2157"/>
        <v>0</v>
      </c>
      <c r="DL323" s="270">
        <f t="shared" si="2157"/>
        <v>0</v>
      </c>
      <c r="DM323" s="270">
        <f t="shared" si="2157"/>
        <v>0</v>
      </c>
      <c r="DN323" s="270">
        <f t="shared" si="2157"/>
        <v>0</v>
      </c>
      <c r="DO323" s="270">
        <f t="shared" si="2157"/>
        <v>0</v>
      </c>
      <c r="DP323" s="270">
        <f t="shared" si="2157"/>
        <v>0</v>
      </c>
      <c r="DQ323" s="270">
        <f t="shared" si="2157"/>
        <v>0</v>
      </c>
      <c r="DR323" s="270">
        <f t="shared" si="2157"/>
        <v>0</v>
      </c>
      <c r="DS323" s="270">
        <f t="shared" si="2157"/>
        <v>0</v>
      </c>
      <c r="DT323" s="270">
        <f t="shared" si="2157"/>
        <v>0</v>
      </c>
      <c r="DU323" s="270">
        <f t="shared" si="2157"/>
        <v>0</v>
      </c>
      <c r="DV323" s="270">
        <f t="shared" si="2157"/>
        <v>0</v>
      </c>
      <c r="DW323" s="270">
        <f t="shared" si="2157"/>
        <v>0</v>
      </c>
      <c r="DX323" s="270">
        <f t="shared" si="2157"/>
        <v>0</v>
      </c>
      <c r="DY323" s="270">
        <f t="shared" si="29"/>
        <v>0</v>
      </c>
      <c r="DZ323" s="274"/>
      <c r="EA323" s="275">
        <f t="shared" si="38"/>
        <v>0</v>
      </c>
      <c r="EB323" s="270">
        <f t="shared" ref="EB323:FC323" si="2158">IF(AJ321&lt;=0,0,IF($C322&lt;=SUM($EA323:EA323),0,IF(CU322+$C322-SUM($EA323:EA323)&gt;AJ321+BO322,AJ321+BO322-CU322,$C322-SUM($EA323:EA323))))</f>
        <v>0</v>
      </c>
      <c r="EC323" s="270">
        <f t="shared" si="2158"/>
        <v>0</v>
      </c>
      <c r="ED323" s="270">
        <f t="shared" si="2158"/>
        <v>0</v>
      </c>
      <c r="EE323" s="270">
        <f t="shared" si="2158"/>
        <v>0</v>
      </c>
      <c r="EF323" s="270">
        <f t="shared" si="2158"/>
        <v>0</v>
      </c>
      <c r="EG323" s="270">
        <f t="shared" si="2158"/>
        <v>0</v>
      </c>
      <c r="EH323" s="270">
        <f t="shared" si="2158"/>
        <v>0</v>
      </c>
      <c r="EI323" s="270">
        <f t="shared" si="2158"/>
        <v>0</v>
      </c>
      <c r="EJ323" s="270">
        <f t="shared" si="2158"/>
        <v>0</v>
      </c>
      <c r="EK323" s="270">
        <f t="shared" si="2158"/>
        <v>0</v>
      </c>
      <c r="EL323" s="270">
        <f t="shared" si="2158"/>
        <v>0</v>
      </c>
      <c r="EM323" s="270">
        <f t="shared" si="2158"/>
        <v>0</v>
      </c>
      <c r="EN323" s="270">
        <f t="shared" si="2158"/>
        <v>0</v>
      </c>
      <c r="EO323" s="270">
        <f t="shared" si="2158"/>
        <v>0</v>
      </c>
      <c r="EP323" s="270">
        <f t="shared" si="2158"/>
        <v>0</v>
      </c>
      <c r="EQ323" s="270">
        <f t="shared" si="2158"/>
        <v>0</v>
      </c>
      <c r="ER323" s="270">
        <f t="shared" si="2158"/>
        <v>0</v>
      </c>
      <c r="ES323" s="270">
        <f t="shared" si="2158"/>
        <v>0</v>
      </c>
      <c r="ET323" s="270">
        <f t="shared" si="2158"/>
        <v>0</v>
      </c>
      <c r="EU323" s="270">
        <f t="shared" si="2158"/>
        <v>0</v>
      </c>
      <c r="EV323" s="270">
        <f t="shared" si="2158"/>
        <v>0</v>
      </c>
      <c r="EW323" s="270">
        <f t="shared" si="2158"/>
        <v>0</v>
      </c>
      <c r="EX323" s="270">
        <f t="shared" si="2158"/>
        <v>0</v>
      </c>
      <c r="EY323" s="270">
        <f t="shared" si="2158"/>
        <v>0</v>
      </c>
      <c r="EZ323" s="270">
        <f t="shared" si="2158"/>
        <v>0</v>
      </c>
      <c r="FA323" s="270">
        <f t="shared" si="2158"/>
        <v>0</v>
      </c>
      <c r="FB323" s="270">
        <f t="shared" si="2158"/>
        <v>0</v>
      </c>
      <c r="FC323" s="270">
        <f t="shared" si="2158"/>
        <v>0</v>
      </c>
      <c r="FD323" s="271"/>
      <c r="FE323" s="271"/>
      <c r="FF323" s="271"/>
      <c r="FG323" s="215"/>
      <c r="FH323" s="215"/>
    </row>
    <row r="324" ht="11.25" customHeight="1">
      <c r="A324" s="215" t="str">
        <f t="shared" si="19"/>
        <v/>
      </c>
      <c r="B324" s="241" t="str">
        <f t="shared" si="600"/>
        <v>#N/A</v>
      </c>
      <c r="C324" s="271" t="str">
        <f>IF(A324="","",IF(Calculator!snowball,IF(($E$5-DY324)&lt;0,0,$E$5-DY324),0)+D324)</f>
        <v/>
      </c>
      <c r="D324" s="271"/>
      <c r="E324" s="270">
        <f t="shared" si="40"/>
        <v>0</v>
      </c>
      <c r="F324" s="270">
        <f t="shared" ref="F324:AG324" si="2159">CU324+EB325</f>
        <v>0</v>
      </c>
      <c r="G324" s="270">
        <f t="shared" si="2159"/>
        <v>0</v>
      </c>
      <c r="H324" s="270">
        <f t="shared" si="2159"/>
        <v>0</v>
      </c>
      <c r="I324" s="270">
        <f t="shared" si="2159"/>
        <v>0</v>
      </c>
      <c r="J324" s="270">
        <f t="shared" si="2159"/>
        <v>0</v>
      </c>
      <c r="K324" s="270">
        <f t="shared" si="2159"/>
        <v>0</v>
      </c>
      <c r="L324" s="270">
        <f t="shared" si="2159"/>
        <v>0</v>
      </c>
      <c r="M324" s="270">
        <f t="shared" si="2159"/>
        <v>0</v>
      </c>
      <c r="N324" s="270">
        <f t="shared" si="2159"/>
        <v>0</v>
      </c>
      <c r="O324" s="270">
        <f t="shared" si="2159"/>
        <v>0</v>
      </c>
      <c r="P324" s="272">
        <f t="shared" si="2159"/>
        <v>0</v>
      </c>
      <c r="Q324" s="272">
        <f t="shared" si="2159"/>
        <v>0</v>
      </c>
      <c r="R324" s="272">
        <f t="shared" si="2159"/>
        <v>0</v>
      </c>
      <c r="S324" s="272">
        <f t="shared" si="2159"/>
        <v>0</v>
      </c>
      <c r="T324" s="272">
        <f t="shared" si="2159"/>
        <v>0</v>
      </c>
      <c r="U324" s="270">
        <f t="shared" si="2159"/>
        <v>0</v>
      </c>
      <c r="V324" s="270">
        <f t="shared" si="2159"/>
        <v>0</v>
      </c>
      <c r="W324" s="270">
        <f t="shared" si="2159"/>
        <v>0</v>
      </c>
      <c r="X324" s="270">
        <f t="shared" si="2159"/>
        <v>0</v>
      </c>
      <c r="Y324" s="270">
        <f t="shared" si="2159"/>
        <v>0</v>
      </c>
      <c r="Z324" s="270">
        <f t="shared" si="2159"/>
        <v>0</v>
      </c>
      <c r="AA324" s="270">
        <f t="shared" si="2159"/>
        <v>0</v>
      </c>
      <c r="AB324" s="270">
        <f t="shared" si="2159"/>
        <v>0</v>
      </c>
      <c r="AC324" s="270">
        <f t="shared" si="2159"/>
        <v>0</v>
      </c>
      <c r="AD324" s="270">
        <f t="shared" si="2159"/>
        <v>0</v>
      </c>
      <c r="AE324" s="270">
        <f t="shared" si="2159"/>
        <v>0</v>
      </c>
      <c r="AF324" s="270">
        <f t="shared" si="2159"/>
        <v>0</v>
      </c>
      <c r="AG324" s="270">
        <f t="shared" si="2159"/>
        <v>0</v>
      </c>
      <c r="AH324" s="279">
        <f t="shared" si="602"/>
        <v>0</v>
      </c>
      <c r="AI324" s="270">
        <f t="shared" si="43"/>
        <v>0</v>
      </c>
      <c r="AJ324" s="270">
        <f t="shared" ref="AJ324:AO324" si="2160">IF(F$8=0,0,ROUND(AJ323-(F324-BO324),2))</f>
        <v>0</v>
      </c>
      <c r="AK324" s="270">
        <f t="shared" si="2160"/>
        <v>0</v>
      </c>
      <c r="AL324" s="270">
        <f t="shared" si="2160"/>
        <v>0</v>
      </c>
      <c r="AM324" s="270">
        <f t="shared" si="2160"/>
        <v>0</v>
      </c>
      <c r="AN324" s="270">
        <f t="shared" si="2160"/>
        <v>0</v>
      </c>
      <c r="AO324" s="270">
        <f t="shared" si="2160"/>
        <v>0</v>
      </c>
      <c r="AP324" s="270">
        <v>0.0</v>
      </c>
      <c r="AQ324" s="270">
        <f t="shared" ref="AQ324:AR324" si="2161">IF(M$8=0,0,ROUND(AQ323-(M324-BV324),2))</f>
        <v>0</v>
      </c>
      <c r="AR324" s="270">
        <f t="shared" si="2161"/>
        <v>0</v>
      </c>
      <c r="AS324" s="270">
        <f t="shared" si="1902"/>
        <v>-5.02</v>
      </c>
      <c r="AT324" s="270">
        <f t="shared" si="605"/>
        <v>-7.02</v>
      </c>
      <c r="AU324" s="270">
        <f t="shared" ref="AU324:BK324" si="2162">IF(Q$8=0,0,ROUND(AU323-(Q324-BY324),2))</f>
        <v>-19.23</v>
      </c>
      <c r="AV324" s="270">
        <f t="shared" si="2162"/>
        <v>0</v>
      </c>
      <c r="AW324" s="270">
        <f t="shared" si="2162"/>
        <v>0</v>
      </c>
      <c r="AX324" s="270">
        <f t="shared" si="2162"/>
        <v>0</v>
      </c>
      <c r="AY324" s="270">
        <f t="shared" si="2162"/>
        <v>0</v>
      </c>
      <c r="AZ324" s="270">
        <f t="shared" si="2162"/>
        <v>0</v>
      </c>
      <c r="BA324" s="270">
        <f t="shared" si="2162"/>
        <v>0</v>
      </c>
      <c r="BB324" s="270">
        <f t="shared" si="2162"/>
        <v>0</v>
      </c>
      <c r="BC324" s="270">
        <f t="shared" si="2162"/>
        <v>0</v>
      </c>
      <c r="BD324" s="270">
        <f t="shared" si="2162"/>
        <v>0</v>
      </c>
      <c r="BE324" s="270">
        <f t="shared" si="2162"/>
        <v>0</v>
      </c>
      <c r="BF324" s="270">
        <f t="shared" si="2162"/>
        <v>0</v>
      </c>
      <c r="BG324" s="270">
        <f t="shared" si="2162"/>
        <v>0</v>
      </c>
      <c r="BH324" s="270">
        <f t="shared" si="2162"/>
        <v>0</v>
      </c>
      <c r="BI324" s="270">
        <f t="shared" si="2162"/>
        <v>0</v>
      </c>
      <c r="BJ324" s="270">
        <f t="shared" si="2162"/>
        <v>0</v>
      </c>
      <c r="BK324" s="270">
        <f t="shared" si="2162"/>
        <v>0</v>
      </c>
      <c r="BL324" s="265">
        <f t="shared" si="16"/>
        <v>-31.27</v>
      </c>
      <c r="BM324" s="215"/>
      <c r="BN324" s="270">
        <f t="shared" ref="BN324:CP324" si="2163">ROUND(AI323*E$9/12,2)</f>
        <v>0</v>
      </c>
      <c r="BO324" s="270">
        <f t="shared" si="2163"/>
        <v>0</v>
      </c>
      <c r="BP324" s="270">
        <f t="shared" si="2163"/>
        <v>0</v>
      </c>
      <c r="BQ324" s="270">
        <f t="shared" si="2163"/>
        <v>0</v>
      </c>
      <c r="BR324" s="270">
        <f t="shared" si="2163"/>
        <v>0</v>
      </c>
      <c r="BS324" s="270">
        <f t="shared" si="2163"/>
        <v>0</v>
      </c>
      <c r="BT324" s="270">
        <f t="shared" si="2163"/>
        <v>0</v>
      </c>
      <c r="BU324" s="270">
        <f t="shared" si="2163"/>
        <v>0</v>
      </c>
      <c r="BV324" s="270">
        <f t="shared" si="2163"/>
        <v>0</v>
      </c>
      <c r="BW324" s="270">
        <f t="shared" si="2163"/>
        <v>0</v>
      </c>
      <c r="BX324" s="270">
        <f t="shared" si="2163"/>
        <v>-0.04</v>
      </c>
      <c r="BY324" s="270">
        <f t="shared" si="2163"/>
        <v>-0.05</v>
      </c>
      <c r="BZ324" s="270">
        <f t="shared" si="2163"/>
        <v>-0.06</v>
      </c>
      <c r="CA324" s="270">
        <f t="shared" si="2163"/>
        <v>0</v>
      </c>
      <c r="CB324" s="270">
        <f t="shared" si="2163"/>
        <v>0</v>
      </c>
      <c r="CC324" s="270">
        <f t="shared" si="2163"/>
        <v>0</v>
      </c>
      <c r="CD324" s="270">
        <f t="shared" si="2163"/>
        <v>0</v>
      </c>
      <c r="CE324" s="270">
        <f t="shared" si="2163"/>
        <v>0</v>
      </c>
      <c r="CF324" s="270">
        <f t="shared" si="2163"/>
        <v>0</v>
      </c>
      <c r="CG324" s="270">
        <f t="shared" si="2163"/>
        <v>0</v>
      </c>
      <c r="CH324" s="270">
        <f t="shared" si="2163"/>
        <v>0</v>
      </c>
      <c r="CI324" s="270">
        <f t="shared" si="2163"/>
        <v>0</v>
      </c>
      <c r="CJ324" s="270">
        <f t="shared" si="2163"/>
        <v>0</v>
      </c>
      <c r="CK324" s="270">
        <f t="shared" si="2163"/>
        <v>0</v>
      </c>
      <c r="CL324" s="270">
        <f t="shared" si="2163"/>
        <v>0</v>
      </c>
      <c r="CM324" s="270">
        <f t="shared" si="2163"/>
        <v>0</v>
      </c>
      <c r="CN324" s="270">
        <f t="shared" si="2163"/>
        <v>0</v>
      </c>
      <c r="CO324" s="270">
        <f t="shared" si="2163"/>
        <v>0</v>
      </c>
      <c r="CP324" s="270">
        <f t="shared" si="2163"/>
        <v>0</v>
      </c>
      <c r="CQ324" s="215"/>
      <c r="CR324" s="270">
        <f t="shared" si="27"/>
        <v>-0.15</v>
      </c>
      <c r="CS324" s="215"/>
      <c r="CT324" s="270">
        <f t="shared" ref="CT324:DX324" si="2164">IF(AI323&gt;0,IF((AI323+BN324)&lt;E$10,AI323+BN324,E$10),0)</f>
        <v>0</v>
      </c>
      <c r="CU324" s="270">
        <f t="shared" si="2164"/>
        <v>0</v>
      </c>
      <c r="CV324" s="270">
        <f t="shared" si="2164"/>
        <v>0</v>
      </c>
      <c r="CW324" s="270">
        <f t="shared" si="2164"/>
        <v>0</v>
      </c>
      <c r="CX324" s="270">
        <f t="shared" si="2164"/>
        <v>0</v>
      </c>
      <c r="CY324" s="270">
        <f t="shared" si="2164"/>
        <v>0</v>
      </c>
      <c r="CZ324" s="270">
        <f t="shared" si="2164"/>
        <v>0</v>
      </c>
      <c r="DA324" s="270">
        <f t="shared" si="2164"/>
        <v>0</v>
      </c>
      <c r="DB324" s="270">
        <f t="shared" si="2164"/>
        <v>0</v>
      </c>
      <c r="DC324" s="270">
        <f t="shared" si="2164"/>
        <v>0</v>
      </c>
      <c r="DD324" s="270">
        <f t="shared" si="2164"/>
        <v>0</v>
      </c>
      <c r="DE324" s="270">
        <f t="shared" si="2164"/>
        <v>0</v>
      </c>
      <c r="DF324" s="270">
        <f t="shared" si="2164"/>
        <v>0</v>
      </c>
      <c r="DG324" s="270">
        <f t="shared" si="2164"/>
        <v>0</v>
      </c>
      <c r="DH324" s="270">
        <f t="shared" si="2164"/>
        <v>0</v>
      </c>
      <c r="DI324" s="270">
        <f t="shared" si="2164"/>
        <v>0</v>
      </c>
      <c r="DJ324" s="270">
        <f t="shared" si="2164"/>
        <v>0</v>
      </c>
      <c r="DK324" s="270">
        <f t="shared" si="2164"/>
        <v>0</v>
      </c>
      <c r="DL324" s="270">
        <f t="shared" si="2164"/>
        <v>0</v>
      </c>
      <c r="DM324" s="270">
        <f t="shared" si="2164"/>
        <v>0</v>
      </c>
      <c r="DN324" s="270">
        <f t="shared" si="2164"/>
        <v>0</v>
      </c>
      <c r="DO324" s="270">
        <f t="shared" si="2164"/>
        <v>0</v>
      </c>
      <c r="DP324" s="270">
        <f t="shared" si="2164"/>
        <v>0</v>
      </c>
      <c r="DQ324" s="270">
        <f t="shared" si="2164"/>
        <v>0</v>
      </c>
      <c r="DR324" s="270">
        <f t="shared" si="2164"/>
        <v>0</v>
      </c>
      <c r="DS324" s="270">
        <f t="shared" si="2164"/>
        <v>0</v>
      </c>
      <c r="DT324" s="270">
        <f t="shared" si="2164"/>
        <v>0</v>
      </c>
      <c r="DU324" s="270">
        <f t="shared" si="2164"/>
        <v>0</v>
      </c>
      <c r="DV324" s="270">
        <f t="shared" si="2164"/>
        <v>0</v>
      </c>
      <c r="DW324" s="270">
        <f t="shared" si="2164"/>
        <v>0</v>
      </c>
      <c r="DX324" s="270">
        <f t="shared" si="2164"/>
        <v>0</v>
      </c>
      <c r="DY324" s="270">
        <f t="shared" si="29"/>
        <v>0</v>
      </c>
      <c r="DZ324" s="274"/>
      <c r="EA324" s="275">
        <f t="shared" si="38"/>
        <v>0</v>
      </c>
      <c r="EB324" s="270">
        <f t="shared" ref="EB324:FC324" si="2165">IF(AJ322&lt;=0,0,IF($C323&lt;=SUM($EA324:EA324),0,IF(CU323+$C323-SUM($EA324:EA324)&gt;AJ322+BO323,AJ322+BO323-CU323,$C323-SUM($EA324:EA324))))</f>
        <v>0</v>
      </c>
      <c r="EC324" s="270">
        <f t="shared" si="2165"/>
        <v>0</v>
      </c>
      <c r="ED324" s="270">
        <f t="shared" si="2165"/>
        <v>0</v>
      </c>
      <c r="EE324" s="270">
        <f t="shared" si="2165"/>
        <v>0</v>
      </c>
      <c r="EF324" s="270">
        <f t="shared" si="2165"/>
        <v>0</v>
      </c>
      <c r="EG324" s="270">
        <f t="shared" si="2165"/>
        <v>0</v>
      </c>
      <c r="EH324" s="270">
        <f t="shared" si="2165"/>
        <v>0</v>
      </c>
      <c r="EI324" s="270">
        <f t="shared" si="2165"/>
        <v>0</v>
      </c>
      <c r="EJ324" s="270">
        <f t="shared" si="2165"/>
        <v>0</v>
      </c>
      <c r="EK324" s="270">
        <f t="shared" si="2165"/>
        <v>0</v>
      </c>
      <c r="EL324" s="270">
        <f t="shared" si="2165"/>
        <v>0</v>
      </c>
      <c r="EM324" s="270">
        <f t="shared" si="2165"/>
        <v>0</v>
      </c>
      <c r="EN324" s="270">
        <f t="shared" si="2165"/>
        <v>0</v>
      </c>
      <c r="EO324" s="270">
        <f t="shared" si="2165"/>
        <v>0</v>
      </c>
      <c r="EP324" s="270">
        <f t="shared" si="2165"/>
        <v>0</v>
      </c>
      <c r="EQ324" s="270">
        <f t="shared" si="2165"/>
        <v>0</v>
      </c>
      <c r="ER324" s="270">
        <f t="shared" si="2165"/>
        <v>0</v>
      </c>
      <c r="ES324" s="270">
        <f t="shared" si="2165"/>
        <v>0</v>
      </c>
      <c r="ET324" s="270">
        <f t="shared" si="2165"/>
        <v>0</v>
      </c>
      <c r="EU324" s="270">
        <f t="shared" si="2165"/>
        <v>0</v>
      </c>
      <c r="EV324" s="270">
        <f t="shared" si="2165"/>
        <v>0</v>
      </c>
      <c r="EW324" s="270">
        <f t="shared" si="2165"/>
        <v>0</v>
      </c>
      <c r="EX324" s="270">
        <f t="shared" si="2165"/>
        <v>0</v>
      </c>
      <c r="EY324" s="270">
        <f t="shared" si="2165"/>
        <v>0</v>
      </c>
      <c r="EZ324" s="270">
        <f t="shared" si="2165"/>
        <v>0</v>
      </c>
      <c r="FA324" s="270">
        <f t="shared" si="2165"/>
        <v>0</v>
      </c>
      <c r="FB324" s="270">
        <f t="shared" si="2165"/>
        <v>0</v>
      </c>
      <c r="FC324" s="270">
        <f t="shared" si="2165"/>
        <v>0</v>
      </c>
      <c r="FD324" s="271"/>
      <c r="FE324" s="271"/>
      <c r="FF324" s="271"/>
      <c r="FG324" s="215"/>
      <c r="FH324" s="215"/>
    </row>
    <row r="325" ht="11.25" customHeight="1">
      <c r="A325" s="215" t="str">
        <f t="shared" si="19"/>
        <v/>
      </c>
      <c r="B325" s="241" t="str">
        <f t="shared" si="600"/>
        <v>#N/A</v>
      </c>
      <c r="C325" s="271" t="str">
        <f>IF(A325="","",IF(Calculator!snowball,IF(($E$5-DY325)&lt;0,0,$E$5-DY325),0)+D325)</f>
        <v/>
      </c>
      <c r="D325" s="271"/>
      <c r="E325" s="270">
        <f t="shared" si="40"/>
        <v>0</v>
      </c>
      <c r="F325" s="270">
        <f t="shared" ref="F325:AG325" si="2166">CU325+EB326</f>
        <v>0</v>
      </c>
      <c r="G325" s="270">
        <f t="shared" si="2166"/>
        <v>0</v>
      </c>
      <c r="H325" s="270">
        <f t="shared" si="2166"/>
        <v>0</v>
      </c>
      <c r="I325" s="270">
        <f t="shared" si="2166"/>
        <v>0</v>
      </c>
      <c r="J325" s="270">
        <f t="shared" si="2166"/>
        <v>0</v>
      </c>
      <c r="K325" s="270">
        <f t="shared" si="2166"/>
        <v>0</v>
      </c>
      <c r="L325" s="270">
        <f t="shared" si="2166"/>
        <v>0</v>
      </c>
      <c r="M325" s="270">
        <f t="shared" si="2166"/>
        <v>0</v>
      </c>
      <c r="N325" s="270">
        <f t="shared" si="2166"/>
        <v>0</v>
      </c>
      <c r="O325" s="270">
        <f t="shared" si="2166"/>
        <v>0</v>
      </c>
      <c r="P325" s="272">
        <f t="shared" si="2166"/>
        <v>0</v>
      </c>
      <c r="Q325" s="272">
        <f t="shared" si="2166"/>
        <v>0</v>
      </c>
      <c r="R325" s="272">
        <f t="shared" si="2166"/>
        <v>0</v>
      </c>
      <c r="S325" s="272">
        <f t="shared" si="2166"/>
        <v>0</v>
      </c>
      <c r="T325" s="272">
        <f t="shared" si="2166"/>
        <v>0</v>
      </c>
      <c r="U325" s="270">
        <f t="shared" si="2166"/>
        <v>0</v>
      </c>
      <c r="V325" s="270">
        <f t="shared" si="2166"/>
        <v>0</v>
      </c>
      <c r="W325" s="270">
        <f t="shared" si="2166"/>
        <v>0</v>
      </c>
      <c r="X325" s="270">
        <f t="shared" si="2166"/>
        <v>0</v>
      </c>
      <c r="Y325" s="270">
        <f t="shared" si="2166"/>
        <v>0</v>
      </c>
      <c r="Z325" s="270">
        <f t="shared" si="2166"/>
        <v>0</v>
      </c>
      <c r="AA325" s="270">
        <f t="shared" si="2166"/>
        <v>0</v>
      </c>
      <c r="AB325" s="270">
        <f t="shared" si="2166"/>
        <v>0</v>
      </c>
      <c r="AC325" s="270">
        <f t="shared" si="2166"/>
        <v>0</v>
      </c>
      <c r="AD325" s="270">
        <f t="shared" si="2166"/>
        <v>0</v>
      </c>
      <c r="AE325" s="270">
        <f t="shared" si="2166"/>
        <v>0</v>
      </c>
      <c r="AF325" s="270">
        <f t="shared" si="2166"/>
        <v>0</v>
      </c>
      <c r="AG325" s="270">
        <f t="shared" si="2166"/>
        <v>0</v>
      </c>
      <c r="AH325" s="279">
        <f t="shared" si="602"/>
        <v>0</v>
      </c>
      <c r="AI325" s="270">
        <f t="shared" si="43"/>
        <v>0</v>
      </c>
      <c r="AJ325" s="270">
        <f t="shared" ref="AJ325:AO325" si="2167">IF(F$8=0,0,ROUND(AJ324-(F325-BO325),2))</f>
        <v>0</v>
      </c>
      <c r="AK325" s="270">
        <f t="shared" si="2167"/>
        <v>0</v>
      </c>
      <c r="AL325" s="270">
        <f t="shared" si="2167"/>
        <v>0</v>
      </c>
      <c r="AM325" s="270">
        <f t="shared" si="2167"/>
        <v>0</v>
      </c>
      <c r="AN325" s="270">
        <f t="shared" si="2167"/>
        <v>0</v>
      </c>
      <c r="AO325" s="270">
        <f t="shared" si="2167"/>
        <v>0</v>
      </c>
      <c r="AP325" s="270">
        <v>0.0</v>
      </c>
      <c r="AQ325" s="270">
        <f t="shared" ref="AQ325:AR325" si="2168">IF(M$8=0,0,ROUND(AQ324-(M325-BV325),2))</f>
        <v>0</v>
      </c>
      <c r="AR325" s="270">
        <f t="shared" si="2168"/>
        <v>0</v>
      </c>
      <c r="AS325" s="270">
        <f t="shared" si="1902"/>
        <v>-5.18</v>
      </c>
      <c r="AT325" s="270">
        <f t="shared" si="605"/>
        <v>-7.07</v>
      </c>
      <c r="AU325" s="270">
        <f t="shared" ref="AU325:BK325" si="2169">IF(Q$8=0,0,ROUND(AU324-(Q325-BY325),2))</f>
        <v>-19.28</v>
      </c>
      <c r="AV325" s="270">
        <f t="shared" si="2169"/>
        <v>0</v>
      </c>
      <c r="AW325" s="270">
        <f t="shared" si="2169"/>
        <v>0</v>
      </c>
      <c r="AX325" s="270">
        <f t="shared" si="2169"/>
        <v>0</v>
      </c>
      <c r="AY325" s="270">
        <f t="shared" si="2169"/>
        <v>0</v>
      </c>
      <c r="AZ325" s="270">
        <f t="shared" si="2169"/>
        <v>0</v>
      </c>
      <c r="BA325" s="270">
        <f t="shared" si="2169"/>
        <v>0</v>
      </c>
      <c r="BB325" s="270">
        <f t="shared" si="2169"/>
        <v>0</v>
      </c>
      <c r="BC325" s="270">
        <f t="shared" si="2169"/>
        <v>0</v>
      </c>
      <c r="BD325" s="270">
        <f t="shared" si="2169"/>
        <v>0</v>
      </c>
      <c r="BE325" s="270">
        <f t="shared" si="2169"/>
        <v>0</v>
      </c>
      <c r="BF325" s="270">
        <f t="shared" si="2169"/>
        <v>0</v>
      </c>
      <c r="BG325" s="270">
        <f t="shared" si="2169"/>
        <v>0</v>
      </c>
      <c r="BH325" s="270">
        <f t="shared" si="2169"/>
        <v>0</v>
      </c>
      <c r="BI325" s="270">
        <f t="shared" si="2169"/>
        <v>0</v>
      </c>
      <c r="BJ325" s="270">
        <f t="shared" si="2169"/>
        <v>0</v>
      </c>
      <c r="BK325" s="270">
        <f t="shared" si="2169"/>
        <v>0</v>
      </c>
      <c r="BL325" s="265">
        <f t="shared" si="16"/>
        <v>-31.53</v>
      </c>
      <c r="BM325" s="215"/>
      <c r="BN325" s="270">
        <f t="shared" ref="BN325:CP325" si="2170">ROUND(AI324*E$9/12,2)</f>
        <v>0</v>
      </c>
      <c r="BO325" s="270">
        <f t="shared" si="2170"/>
        <v>0</v>
      </c>
      <c r="BP325" s="270">
        <f t="shared" si="2170"/>
        <v>0</v>
      </c>
      <c r="BQ325" s="270">
        <f t="shared" si="2170"/>
        <v>0</v>
      </c>
      <c r="BR325" s="270">
        <f t="shared" si="2170"/>
        <v>0</v>
      </c>
      <c r="BS325" s="270">
        <f t="shared" si="2170"/>
        <v>0</v>
      </c>
      <c r="BT325" s="270">
        <f t="shared" si="2170"/>
        <v>0</v>
      </c>
      <c r="BU325" s="270">
        <f t="shared" si="2170"/>
        <v>0</v>
      </c>
      <c r="BV325" s="270">
        <f t="shared" si="2170"/>
        <v>0</v>
      </c>
      <c r="BW325" s="270">
        <f t="shared" si="2170"/>
        <v>0</v>
      </c>
      <c r="BX325" s="270">
        <f t="shared" si="2170"/>
        <v>-0.05</v>
      </c>
      <c r="BY325" s="270">
        <f t="shared" si="2170"/>
        <v>-0.05</v>
      </c>
      <c r="BZ325" s="270">
        <f t="shared" si="2170"/>
        <v>-0.06</v>
      </c>
      <c r="CA325" s="270">
        <f t="shared" si="2170"/>
        <v>0</v>
      </c>
      <c r="CB325" s="270">
        <f t="shared" si="2170"/>
        <v>0</v>
      </c>
      <c r="CC325" s="270">
        <f t="shared" si="2170"/>
        <v>0</v>
      </c>
      <c r="CD325" s="270">
        <f t="shared" si="2170"/>
        <v>0</v>
      </c>
      <c r="CE325" s="270">
        <f t="shared" si="2170"/>
        <v>0</v>
      </c>
      <c r="CF325" s="270">
        <f t="shared" si="2170"/>
        <v>0</v>
      </c>
      <c r="CG325" s="270">
        <f t="shared" si="2170"/>
        <v>0</v>
      </c>
      <c r="CH325" s="270">
        <f t="shared" si="2170"/>
        <v>0</v>
      </c>
      <c r="CI325" s="270">
        <f t="shared" si="2170"/>
        <v>0</v>
      </c>
      <c r="CJ325" s="270">
        <f t="shared" si="2170"/>
        <v>0</v>
      </c>
      <c r="CK325" s="270">
        <f t="shared" si="2170"/>
        <v>0</v>
      </c>
      <c r="CL325" s="270">
        <f t="shared" si="2170"/>
        <v>0</v>
      </c>
      <c r="CM325" s="270">
        <f t="shared" si="2170"/>
        <v>0</v>
      </c>
      <c r="CN325" s="270">
        <f t="shared" si="2170"/>
        <v>0</v>
      </c>
      <c r="CO325" s="270">
        <f t="shared" si="2170"/>
        <v>0</v>
      </c>
      <c r="CP325" s="270">
        <f t="shared" si="2170"/>
        <v>0</v>
      </c>
      <c r="CQ325" s="215"/>
      <c r="CR325" s="270">
        <f t="shared" si="27"/>
        <v>-0.16</v>
      </c>
      <c r="CS325" s="215"/>
      <c r="CT325" s="270">
        <f t="shared" ref="CT325:DX325" si="2171">IF(AI324&gt;0,IF((AI324+BN325)&lt;E$10,AI324+BN325,E$10),0)</f>
        <v>0</v>
      </c>
      <c r="CU325" s="270">
        <f t="shared" si="2171"/>
        <v>0</v>
      </c>
      <c r="CV325" s="270">
        <f t="shared" si="2171"/>
        <v>0</v>
      </c>
      <c r="CW325" s="270">
        <f t="shared" si="2171"/>
        <v>0</v>
      </c>
      <c r="CX325" s="270">
        <f t="shared" si="2171"/>
        <v>0</v>
      </c>
      <c r="CY325" s="270">
        <f t="shared" si="2171"/>
        <v>0</v>
      </c>
      <c r="CZ325" s="270">
        <f t="shared" si="2171"/>
        <v>0</v>
      </c>
      <c r="DA325" s="270">
        <f t="shared" si="2171"/>
        <v>0</v>
      </c>
      <c r="DB325" s="270">
        <f t="shared" si="2171"/>
        <v>0</v>
      </c>
      <c r="DC325" s="270">
        <f t="shared" si="2171"/>
        <v>0</v>
      </c>
      <c r="DD325" s="270">
        <f t="shared" si="2171"/>
        <v>0</v>
      </c>
      <c r="DE325" s="270">
        <f t="shared" si="2171"/>
        <v>0</v>
      </c>
      <c r="DF325" s="270">
        <f t="shared" si="2171"/>
        <v>0</v>
      </c>
      <c r="DG325" s="270">
        <f t="shared" si="2171"/>
        <v>0</v>
      </c>
      <c r="DH325" s="270">
        <f t="shared" si="2171"/>
        <v>0</v>
      </c>
      <c r="DI325" s="270">
        <f t="shared" si="2171"/>
        <v>0</v>
      </c>
      <c r="DJ325" s="270">
        <f t="shared" si="2171"/>
        <v>0</v>
      </c>
      <c r="DK325" s="270">
        <f t="shared" si="2171"/>
        <v>0</v>
      </c>
      <c r="DL325" s="270">
        <f t="shared" si="2171"/>
        <v>0</v>
      </c>
      <c r="DM325" s="270">
        <f t="shared" si="2171"/>
        <v>0</v>
      </c>
      <c r="DN325" s="270">
        <f t="shared" si="2171"/>
        <v>0</v>
      </c>
      <c r="DO325" s="270">
        <f t="shared" si="2171"/>
        <v>0</v>
      </c>
      <c r="DP325" s="270">
        <f t="shared" si="2171"/>
        <v>0</v>
      </c>
      <c r="DQ325" s="270">
        <f t="shared" si="2171"/>
        <v>0</v>
      </c>
      <c r="DR325" s="270">
        <f t="shared" si="2171"/>
        <v>0</v>
      </c>
      <c r="DS325" s="270">
        <f t="shared" si="2171"/>
        <v>0</v>
      </c>
      <c r="DT325" s="270">
        <f t="shared" si="2171"/>
        <v>0</v>
      </c>
      <c r="DU325" s="270">
        <f t="shared" si="2171"/>
        <v>0</v>
      </c>
      <c r="DV325" s="270">
        <f t="shared" si="2171"/>
        <v>0</v>
      </c>
      <c r="DW325" s="270">
        <f t="shared" si="2171"/>
        <v>0</v>
      </c>
      <c r="DX325" s="270">
        <f t="shared" si="2171"/>
        <v>0</v>
      </c>
      <c r="DY325" s="270">
        <f t="shared" si="29"/>
        <v>0</v>
      </c>
      <c r="DZ325" s="274"/>
      <c r="EA325" s="275">
        <f t="shared" si="38"/>
        <v>0</v>
      </c>
      <c r="EB325" s="270">
        <f t="shared" ref="EB325:FC325" si="2172">IF(AJ323&lt;=0,0,IF($C324&lt;=SUM($EA325:EA325),0,IF(CU324+$C324-SUM($EA325:EA325)&gt;AJ323+BO324,AJ323+BO324-CU324,$C324-SUM($EA325:EA325))))</f>
        <v>0</v>
      </c>
      <c r="EC325" s="270">
        <f t="shared" si="2172"/>
        <v>0</v>
      </c>
      <c r="ED325" s="270">
        <f t="shared" si="2172"/>
        <v>0</v>
      </c>
      <c r="EE325" s="270">
        <f t="shared" si="2172"/>
        <v>0</v>
      </c>
      <c r="EF325" s="270">
        <f t="shared" si="2172"/>
        <v>0</v>
      </c>
      <c r="EG325" s="270">
        <f t="shared" si="2172"/>
        <v>0</v>
      </c>
      <c r="EH325" s="270">
        <f t="shared" si="2172"/>
        <v>0</v>
      </c>
      <c r="EI325" s="270">
        <f t="shared" si="2172"/>
        <v>0</v>
      </c>
      <c r="EJ325" s="270">
        <f t="shared" si="2172"/>
        <v>0</v>
      </c>
      <c r="EK325" s="270">
        <f t="shared" si="2172"/>
        <v>0</v>
      </c>
      <c r="EL325" s="270">
        <f t="shared" si="2172"/>
        <v>0</v>
      </c>
      <c r="EM325" s="270">
        <f t="shared" si="2172"/>
        <v>0</v>
      </c>
      <c r="EN325" s="270">
        <f t="shared" si="2172"/>
        <v>0</v>
      </c>
      <c r="EO325" s="270">
        <f t="shared" si="2172"/>
        <v>0</v>
      </c>
      <c r="EP325" s="270">
        <f t="shared" si="2172"/>
        <v>0</v>
      </c>
      <c r="EQ325" s="270">
        <f t="shared" si="2172"/>
        <v>0</v>
      </c>
      <c r="ER325" s="270">
        <f t="shared" si="2172"/>
        <v>0</v>
      </c>
      <c r="ES325" s="270">
        <f t="shared" si="2172"/>
        <v>0</v>
      </c>
      <c r="ET325" s="270">
        <f t="shared" si="2172"/>
        <v>0</v>
      </c>
      <c r="EU325" s="270">
        <f t="shared" si="2172"/>
        <v>0</v>
      </c>
      <c r="EV325" s="270">
        <f t="shared" si="2172"/>
        <v>0</v>
      </c>
      <c r="EW325" s="270">
        <f t="shared" si="2172"/>
        <v>0</v>
      </c>
      <c r="EX325" s="270">
        <f t="shared" si="2172"/>
        <v>0</v>
      </c>
      <c r="EY325" s="270">
        <f t="shared" si="2172"/>
        <v>0</v>
      </c>
      <c r="EZ325" s="270">
        <f t="shared" si="2172"/>
        <v>0</v>
      </c>
      <c r="FA325" s="270">
        <f t="shared" si="2172"/>
        <v>0</v>
      </c>
      <c r="FB325" s="270">
        <f t="shared" si="2172"/>
        <v>0</v>
      </c>
      <c r="FC325" s="270">
        <f t="shared" si="2172"/>
        <v>0</v>
      </c>
      <c r="FD325" s="271"/>
      <c r="FE325" s="271"/>
      <c r="FF325" s="271"/>
      <c r="FG325" s="215"/>
      <c r="FH325" s="215"/>
    </row>
    <row r="326" ht="11.25" customHeight="1">
      <c r="A326" s="215" t="str">
        <f t="shared" si="19"/>
        <v/>
      </c>
      <c r="B326" s="241" t="str">
        <f t="shared" si="600"/>
        <v>#N/A</v>
      </c>
      <c r="C326" s="271" t="str">
        <f>IF(A326="","",IF(Calculator!snowball,IF(($E$5-DY326)&lt;0,0,$E$5-DY326),0)+D326)</f>
        <v/>
      </c>
      <c r="D326" s="271"/>
      <c r="E326" s="270">
        <f t="shared" si="40"/>
        <v>0</v>
      </c>
      <c r="F326" s="270">
        <f t="shared" ref="F326:AG326" si="2173">CU326+EB327</f>
        <v>0</v>
      </c>
      <c r="G326" s="270">
        <f t="shared" si="2173"/>
        <v>0</v>
      </c>
      <c r="H326" s="270">
        <f t="shared" si="2173"/>
        <v>0</v>
      </c>
      <c r="I326" s="270">
        <f t="shared" si="2173"/>
        <v>0</v>
      </c>
      <c r="J326" s="270">
        <f t="shared" si="2173"/>
        <v>0</v>
      </c>
      <c r="K326" s="270">
        <f t="shared" si="2173"/>
        <v>0</v>
      </c>
      <c r="L326" s="270">
        <f t="shared" si="2173"/>
        <v>0</v>
      </c>
      <c r="M326" s="270">
        <f t="shared" si="2173"/>
        <v>0</v>
      </c>
      <c r="N326" s="270">
        <f t="shared" si="2173"/>
        <v>0</v>
      </c>
      <c r="O326" s="270">
        <f t="shared" si="2173"/>
        <v>0</v>
      </c>
      <c r="P326" s="272">
        <f t="shared" si="2173"/>
        <v>0</v>
      </c>
      <c r="Q326" s="272">
        <f t="shared" si="2173"/>
        <v>0</v>
      </c>
      <c r="R326" s="272">
        <f t="shared" si="2173"/>
        <v>0</v>
      </c>
      <c r="S326" s="272">
        <f t="shared" si="2173"/>
        <v>0</v>
      </c>
      <c r="T326" s="272">
        <f t="shared" si="2173"/>
        <v>0</v>
      </c>
      <c r="U326" s="270">
        <f t="shared" si="2173"/>
        <v>0</v>
      </c>
      <c r="V326" s="270">
        <f t="shared" si="2173"/>
        <v>0</v>
      </c>
      <c r="W326" s="270">
        <f t="shared" si="2173"/>
        <v>0</v>
      </c>
      <c r="X326" s="270">
        <f t="shared" si="2173"/>
        <v>0</v>
      </c>
      <c r="Y326" s="270">
        <f t="shared" si="2173"/>
        <v>0</v>
      </c>
      <c r="Z326" s="270">
        <f t="shared" si="2173"/>
        <v>0</v>
      </c>
      <c r="AA326" s="270">
        <f t="shared" si="2173"/>
        <v>0</v>
      </c>
      <c r="AB326" s="270">
        <f t="shared" si="2173"/>
        <v>0</v>
      </c>
      <c r="AC326" s="270">
        <f t="shared" si="2173"/>
        <v>0</v>
      </c>
      <c r="AD326" s="270">
        <f t="shared" si="2173"/>
        <v>0</v>
      </c>
      <c r="AE326" s="270">
        <f t="shared" si="2173"/>
        <v>0</v>
      </c>
      <c r="AF326" s="270">
        <f t="shared" si="2173"/>
        <v>0</v>
      </c>
      <c r="AG326" s="270">
        <f t="shared" si="2173"/>
        <v>0</v>
      </c>
      <c r="AH326" s="279">
        <f t="shared" si="602"/>
        <v>0</v>
      </c>
      <c r="AI326" s="270">
        <f t="shared" si="43"/>
        <v>0</v>
      </c>
      <c r="AJ326" s="270">
        <f t="shared" ref="AJ326:AO326" si="2174">IF(F$8=0,0,ROUND(AJ325-(F326-BO326),2))</f>
        <v>0</v>
      </c>
      <c r="AK326" s="270">
        <f t="shared" si="2174"/>
        <v>0</v>
      </c>
      <c r="AL326" s="270">
        <f t="shared" si="2174"/>
        <v>0</v>
      </c>
      <c r="AM326" s="270">
        <f t="shared" si="2174"/>
        <v>0</v>
      </c>
      <c r="AN326" s="270">
        <f t="shared" si="2174"/>
        <v>0</v>
      </c>
      <c r="AO326" s="270">
        <f t="shared" si="2174"/>
        <v>0</v>
      </c>
      <c r="AP326" s="270">
        <v>0.0</v>
      </c>
      <c r="AQ326" s="270">
        <f t="shared" ref="AQ326:AR326" si="2175">IF(M$8=0,0,ROUND(AQ325-(M326-BV326),2))</f>
        <v>0</v>
      </c>
      <c r="AR326" s="270">
        <f t="shared" si="2175"/>
        <v>0</v>
      </c>
      <c r="AS326" s="270">
        <f t="shared" si="1902"/>
        <v>-5.34</v>
      </c>
      <c r="AT326" s="270">
        <f t="shared" si="605"/>
        <v>-7.12</v>
      </c>
      <c r="AU326" s="270">
        <f t="shared" ref="AU326:BK326" si="2176">IF(Q$8=0,0,ROUND(AU325-(Q326-BY326),2))</f>
        <v>-19.33</v>
      </c>
      <c r="AV326" s="270">
        <f t="shared" si="2176"/>
        <v>0</v>
      </c>
      <c r="AW326" s="270">
        <f t="shared" si="2176"/>
        <v>0</v>
      </c>
      <c r="AX326" s="270">
        <f t="shared" si="2176"/>
        <v>0</v>
      </c>
      <c r="AY326" s="270">
        <f t="shared" si="2176"/>
        <v>0</v>
      </c>
      <c r="AZ326" s="270">
        <f t="shared" si="2176"/>
        <v>0</v>
      </c>
      <c r="BA326" s="270">
        <f t="shared" si="2176"/>
        <v>0</v>
      </c>
      <c r="BB326" s="270">
        <f t="shared" si="2176"/>
        <v>0</v>
      </c>
      <c r="BC326" s="270">
        <f t="shared" si="2176"/>
        <v>0</v>
      </c>
      <c r="BD326" s="270">
        <f t="shared" si="2176"/>
        <v>0</v>
      </c>
      <c r="BE326" s="270">
        <f t="shared" si="2176"/>
        <v>0</v>
      </c>
      <c r="BF326" s="270">
        <f t="shared" si="2176"/>
        <v>0</v>
      </c>
      <c r="BG326" s="270">
        <f t="shared" si="2176"/>
        <v>0</v>
      </c>
      <c r="BH326" s="270">
        <f t="shared" si="2176"/>
        <v>0</v>
      </c>
      <c r="BI326" s="270">
        <f t="shared" si="2176"/>
        <v>0</v>
      </c>
      <c r="BJ326" s="270">
        <f t="shared" si="2176"/>
        <v>0</v>
      </c>
      <c r="BK326" s="270">
        <f t="shared" si="2176"/>
        <v>0</v>
      </c>
      <c r="BL326" s="265">
        <f t="shared" si="16"/>
        <v>-31.79</v>
      </c>
      <c r="BM326" s="215"/>
      <c r="BN326" s="270">
        <f t="shared" ref="BN326:CP326" si="2177">ROUND(AI325*E$9/12,2)</f>
        <v>0</v>
      </c>
      <c r="BO326" s="270">
        <f t="shared" si="2177"/>
        <v>0</v>
      </c>
      <c r="BP326" s="270">
        <f t="shared" si="2177"/>
        <v>0</v>
      </c>
      <c r="BQ326" s="270">
        <f t="shared" si="2177"/>
        <v>0</v>
      </c>
      <c r="BR326" s="270">
        <f t="shared" si="2177"/>
        <v>0</v>
      </c>
      <c r="BS326" s="270">
        <f t="shared" si="2177"/>
        <v>0</v>
      </c>
      <c r="BT326" s="270">
        <f t="shared" si="2177"/>
        <v>0</v>
      </c>
      <c r="BU326" s="270">
        <f t="shared" si="2177"/>
        <v>0</v>
      </c>
      <c r="BV326" s="270">
        <f t="shared" si="2177"/>
        <v>0</v>
      </c>
      <c r="BW326" s="270">
        <f t="shared" si="2177"/>
        <v>0</v>
      </c>
      <c r="BX326" s="270">
        <f t="shared" si="2177"/>
        <v>-0.05</v>
      </c>
      <c r="BY326" s="270">
        <f t="shared" si="2177"/>
        <v>-0.05</v>
      </c>
      <c r="BZ326" s="270">
        <f t="shared" si="2177"/>
        <v>-0.06</v>
      </c>
      <c r="CA326" s="270">
        <f t="shared" si="2177"/>
        <v>0</v>
      </c>
      <c r="CB326" s="270">
        <f t="shared" si="2177"/>
        <v>0</v>
      </c>
      <c r="CC326" s="270">
        <f t="shared" si="2177"/>
        <v>0</v>
      </c>
      <c r="CD326" s="270">
        <f t="shared" si="2177"/>
        <v>0</v>
      </c>
      <c r="CE326" s="270">
        <f t="shared" si="2177"/>
        <v>0</v>
      </c>
      <c r="CF326" s="270">
        <f t="shared" si="2177"/>
        <v>0</v>
      </c>
      <c r="CG326" s="270">
        <f t="shared" si="2177"/>
        <v>0</v>
      </c>
      <c r="CH326" s="270">
        <f t="shared" si="2177"/>
        <v>0</v>
      </c>
      <c r="CI326" s="270">
        <f t="shared" si="2177"/>
        <v>0</v>
      </c>
      <c r="CJ326" s="270">
        <f t="shared" si="2177"/>
        <v>0</v>
      </c>
      <c r="CK326" s="270">
        <f t="shared" si="2177"/>
        <v>0</v>
      </c>
      <c r="CL326" s="270">
        <f t="shared" si="2177"/>
        <v>0</v>
      </c>
      <c r="CM326" s="270">
        <f t="shared" si="2177"/>
        <v>0</v>
      </c>
      <c r="CN326" s="270">
        <f t="shared" si="2177"/>
        <v>0</v>
      </c>
      <c r="CO326" s="270">
        <f t="shared" si="2177"/>
        <v>0</v>
      </c>
      <c r="CP326" s="270">
        <f t="shared" si="2177"/>
        <v>0</v>
      </c>
      <c r="CQ326" s="215"/>
      <c r="CR326" s="270">
        <f t="shared" si="27"/>
        <v>-0.16</v>
      </c>
      <c r="CS326" s="215"/>
      <c r="CT326" s="270">
        <f t="shared" ref="CT326:DX326" si="2178">IF(AI325&gt;0,IF((AI325+BN326)&lt;E$10,AI325+BN326,E$10),0)</f>
        <v>0</v>
      </c>
      <c r="CU326" s="270">
        <f t="shared" si="2178"/>
        <v>0</v>
      </c>
      <c r="CV326" s="270">
        <f t="shared" si="2178"/>
        <v>0</v>
      </c>
      <c r="CW326" s="270">
        <f t="shared" si="2178"/>
        <v>0</v>
      </c>
      <c r="CX326" s="270">
        <f t="shared" si="2178"/>
        <v>0</v>
      </c>
      <c r="CY326" s="270">
        <f t="shared" si="2178"/>
        <v>0</v>
      </c>
      <c r="CZ326" s="270">
        <f t="shared" si="2178"/>
        <v>0</v>
      </c>
      <c r="DA326" s="270">
        <f t="shared" si="2178"/>
        <v>0</v>
      </c>
      <c r="DB326" s="270">
        <f t="shared" si="2178"/>
        <v>0</v>
      </c>
      <c r="DC326" s="270">
        <f t="shared" si="2178"/>
        <v>0</v>
      </c>
      <c r="DD326" s="270">
        <f t="shared" si="2178"/>
        <v>0</v>
      </c>
      <c r="DE326" s="270">
        <f t="shared" si="2178"/>
        <v>0</v>
      </c>
      <c r="DF326" s="270">
        <f t="shared" si="2178"/>
        <v>0</v>
      </c>
      <c r="DG326" s="270">
        <f t="shared" si="2178"/>
        <v>0</v>
      </c>
      <c r="DH326" s="270">
        <f t="shared" si="2178"/>
        <v>0</v>
      </c>
      <c r="DI326" s="270">
        <f t="shared" si="2178"/>
        <v>0</v>
      </c>
      <c r="DJ326" s="270">
        <f t="shared" si="2178"/>
        <v>0</v>
      </c>
      <c r="DK326" s="270">
        <f t="shared" si="2178"/>
        <v>0</v>
      </c>
      <c r="DL326" s="270">
        <f t="shared" si="2178"/>
        <v>0</v>
      </c>
      <c r="DM326" s="270">
        <f t="shared" si="2178"/>
        <v>0</v>
      </c>
      <c r="DN326" s="270">
        <f t="shared" si="2178"/>
        <v>0</v>
      </c>
      <c r="DO326" s="270">
        <f t="shared" si="2178"/>
        <v>0</v>
      </c>
      <c r="DP326" s="270">
        <f t="shared" si="2178"/>
        <v>0</v>
      </c>
      <c r="DQ326" s="270">
        <f t="shared" si="2178"/>
        <v>0</v>
      </c>
      <c r="DR326" s="270">
        <f t="shared" si="2178"/>
        <v>0</v>
      </c>
      <c r="DS326" s="270">
        <f t="shared" si="2178"/>
        <v>0</v>
      </c>
      <c r="DT326" s="270">
        <f t="shared" si="2178"/>
        <v>0</v>
      </c>
      <c r="DU326" s="270">
        <f t="shared" si="2178"/>
        <v>0</v>
      </c>
      <c r="DV326" s="270">
        <f t="shared" si="2178"/>
        <v>0</v>
      </c>
      <c r="DW326" s="270">
        <f t="shared" si="2178"/>
        <v>0</v>
      </c>
      <c r="DX326" s="270">
        <f t="shared" si="2178"/>
        <v>0</v>
      </c>
      <c r="DY326" s="270">
        <f t="shared" si="29"/>
        <v>0</v>
      </c>
      <c r="DZ326" s="274"/>
      <c r="EA326" s="275">
        <f t="shared" si="38"/>
        <v>0</v>
      </c>
      <c r="EB326" s="270">
        <f t="shared" ref="EB326:FC326" si="2179">IF(AJ324&lt;=0,0,IF($C325&lt;=SUM($EA326:EA326),0,IF(CU325+$C325-SUM($EA326:EA326)&gt;AJ324+BO325,AJ324+BO325-CU325,$C325-SUM($EA326:EA326))))</f>
        <v>0</v>
      </c>
      <c r="EC326" s="270">
        <f t="shared" si="2179"/>
        <v>0</v>
      </c>
      <c r="ED326" s="270">
        <f t="shared" si="2179"/>
        <v>0</v>
      </c>
      <c r="EE326" s="270">
        <f t="shared" si="2179"/>
        <v>0</v>
      </c>
      <c r="EF326" s="270">
        <f t="shared" si="2179"/>
        <v>0</v>
      </c>
      <c r="EG326" s="270">
        <f t="shared" si="2179"/>
        <v>0</v>
      </c>
      <c r="EH326" s="270">
        <f t="shared" si="2179"/>
        <v>0</v>
      </c>
      <c r="EI326" s="270">
        <f t="shared" si="2179"/>
        <v>0</v>
      </c>
      <c r="EJ326" s="270">
        <f t="shared" si="2179"/>
        <v>0</v>
      </c>
      <c r="EK326" s="270">
        <f t="shared" si="2179"/>
        <v>0</v>
      </c>
      <c r="EL326" s="270">
        <f t="shared" si="2179"/>
        <v>0</v>
      </c>
      <c r="EM326" s="270">
        <f t="shared" si="2179"/>
        <v>0</v>
      </c>
      <c r="EN326" s="270">
        <f t="shared" si="2179"/>
        <v>0</v>
      </c>
      <c r="EO326" s="270">
        <f t="shared" si="2179"/>
        <v>0</v>
      </c>
      <c r="EP326" s="270">
        <f t="shared" si="2179"/>
        <v>0</v>
      </c>
      <c r="EQ326" s="270">
        <f t="shared" si="2179"/>
        <v>0</v>
      </c>
      <c r="ER326" s="270">
        <f t="shared" si="2179"/>
        <v>0</v>
      </c>
      <c r="ES326" s="270">
        <f t="shared" si="2179"/>
        <v>0</v>
      </c>
      <c r="ET326" s="270">
        <f t="shared" si="2179"/>
        <v>0</v>
      </c>
      <c r="EU326" s="270">
        <f t="shared" si="2179"/>
        <v>0</v>
      </c>
      <c r="EV326" s="270">
        <f t="shared" si="2179"/>
        <v>0</v>
      </c>
      <c r="EW326" s="270">
        <f t="shared" si="2179"/>
        <v>0</v>
      </c>
      <c r="EX326" s="270">
        <f t="shared" si="2179"/>
        <v>0</v>
      </c>
      <c r="EY326" s="270">
        <f t="shared" si="2179"/>
        <v>0</v>
      </c>
      <c r="EZ326" s="270">
        <f t="shared" si="2179"/>
        <v>0</v>
      </c>
      <c r="FA326" s="270">
        <f t="shared" si="2179"/>
        <v>0</v>
      </c>
      <c r="FB326" s="270">
        <f t="shared" si="2179"/>
        <v>0</v>
      </c>
      <c r="FC326" s="270">
        <f t="shared" si="2179"/>
        <v>0</v>
      </c>
      <c r="FD326" s="271"/>
      <c r="FE326" s="271"/>
      <c r="FF326" s="271"/>
      <c r="FG326" s="215"/>
      <c r="FH326" s="215"/>
    </row>
    <row r="327" ht="11.25" customHeight="1">
      <c r="A327" s="215" t="str">
        <f t="shared" si="19"/>
        <v/>
      </c>
      <c r="B327" s="241" t="str">
        <f t="shared" si="600"/>
        <v>#N/A</v>
      </c>
      <c r="C327" s="271" t="str">
        <f>IF(A327="","",IF(Calculator!snowball,IF(($E$5-DY327)&lt;0,0,$E$5-DY327),0)+D327)</f>
        <v/>
      </c>
      <c r="D327" s="271"/>
      <c r="E327" s="270">
        <f t="shared" si="40"/>
        <v>0</v>
      </c>
      <c r="F327" s="270">
        <f t="shared" ref="F327:AG327" si="2180">CU327+EB328</f>
        <v>0</v>
      </c>
      <c r="G327" s="270">
        <f t="shared" si="2180"/>
        <v>0</v>
      </c>
      <c r="H327" s="270">
        <f t="shared" si="2180"/>
        <v>0</v>
      </c>
      <c r="I327" s="270">
        <f t="shared" si="2180"/>
        <v>0</v>
      </c>
      <c r="J327" s="270">
        <f t="shared" si="2180"/>
        <v>0</v>
      </c>
      <c r="K327" s="270">
        <f t="shared" si="2180"/>
        <v>0</v>
      </c>
      <c r="L327" s="270">
        <f t="shared" si="2180"/>
        <v>0</v>
      </c>
      <c r="M327" s="270">
        <f t="shared" si="2180"/>
        <v>0</v>
      </c>
      <c r="N327" s="270">
        <f t="shared" si="2180"/>
        <v>0</v>
      </c>
      <c r="O327" s="270">
        <f t="shared" si="2180"/>
        <v>0</v>
      </c>
      <c r="P327" s="272">
        <f t="shared" si="2180"/>
        <v>0</v>
      </c>
      <c r="Q327" s="272">
        <f t="shared" si="2180"/>
        <v>0</v>
      </c>
      <c r="R327" s="272">
        <f t="shared" si="2180"/>
        <v>0</v>
      </c>
      <c r="S327" s="272">
        <f t="shared" si="2180"/>
        <v>0</v>
      </c>
      <c r="T327" s="272">
        <f t="shared" si="2180"/>
        <v>0</v>
      </c>
      <c r="U327" s="270">
        <f t="shared" si="2180"/>
        <v>0</v>
      </c>
      <c r="V327" s="270">
        <f t="shared" si="2180"/>
        <v>0</v>
      </c>
      <c r="W327" s="270">
        <f t="shared" si="2180"/>
        <v>0</v>
      </c>
      <c r="X327" s="270">
        <f t="shared" si="2180"/>
        <v>0</v>
      </c>
      <c r="Y327" s="270">
        <f t="shared" si="2180"/>
        <v>0</v>
      </c>
      <c r="Z327" s="270">
        <f t="shared" si="2180"/>
        <v>0</v>
      </c>
      <c r="AA327" s="270">
        <f t="shared" si="2180"/>
        <v>0</v>
      </c>
      <c r="AB327" s="270">
        <f t="shared" si="2180"/>
        <v>0</v>
      </c>
      <c r="AC327" s="270">
        <f t="shared" si="2180"/>
        <v>0</v>
      </c>
      <c r="AD327" s="270">
        <f t="shared" si="2180"/>
        <v>0</v>
      </c>
      <c r="AE327" s="270">
        <f t="shared" si="2180"/>
        <v>0</v>
      </c>
      <c r="AF327" s="270">
        <f t="shared" si="2180"/>
        <v>0</v>
      </c>
      <c r="AG327" s="270">
        <f t="shared" si="2180"/>
        <v>0</v>
      </c>
      <c r="AH327" s="279">
        <f t="shared" si="602"/>
        <v>0</v>
      </c>
      <c r="AI327" s="270">
        <f t="shared" si="43"/>
        <v>0</v>
      </c>
      <c r="AJ327" s="270">
        <f t="shared" ref="AJ327:AO327" si="2181">IF(F$8=0,0,ROUND(AJ326-(F327-BO327),2))</f>
        <v>0</v>
      </c>
      <c r="AK327" s="270">
        <f t="shared" si="2181"/>
        <v>0</v>
      </c>
      <c r="AL327" s="270">
        <f t="shared" si="2181"/>
        <v>0</v>
      </c>
      <c r="AM327" s="270">
        <f t="shared" si="2181"/>
        <v>0</v>
      </c>
      <c r="AN327" s="270">
        <f t="shared" si="2181"/>
        <v>0</v>
      </c>
      <c r="AO327" s="270">
        <f t="shared" si="2181"/>
        <v>0</v>
      </c>
      <c r="AP327" s="270">
        <v>0.0</v>
      </c>
      <c r="AQ327" s="270">
        <f t="shared" ref="AQ327:AR327" si="2182">IF(M$8=0,0,ROUND(AQ326-(M327-BV327),2))</f>
        <v>0</v>
      </c>
      <c r="AR327" s="270">
        <f t="shared" si="2182"/>
        <v>0</v>
      </c>
      <c r="AS327" s="270">
        <f t="shared" si="1902"/>
        <v>-5.51</v>
      </c>
      <c r="AT327" s="270">
        <f t="shared" si="605"/>
        <v>-7.17</v>
      </c>
      <c r="AU327" s="270">
        <f t="shared" ref="AU327:BK327" si="2183">IF(Q$8=0,0,ROUND(AU326-(Q327-BY327),2))</f>
        <v>-19.39</v>
      </c>
      <c r="AV327" s="270">
        <f t="shared" si="2183"/>
        <v>0</v>
      </c>
      <c r="AW327" s="270">
        <f t="shared" si="2183"/>
        <v>0</v>
      </c>
      <c r="AX327" s="270">
        <f t="shared" si="2183"/>
        <v>0</v>
      </c>
      <c r="AY327" s="270">
        <f t="shared" si="2183"/>
        <v>0</v>
      </c>
      <c r="AZ327" s="270">
        <f t="shared" si="2183"/>
        <v>0</v>
      </c>
      <c r="BA327" s="270">
        <f t="shared" si="2183"/>
        <v>0</v>
      </c>
      <c r="BB327" s="270">
        <f t="shared" si="2183"/>
        <v>0</v>
      </c>
      <c r="BC327" s="270">
        <f t="shared" si="2183"/>
        <v>0</v>
      </c>
      <c r="BD327" s="270">
        <f t="shared" si="2183"/>
        <v>0</v>
      </c>
      <c r="BE327" s="270">
        <f t="shared" si="2183"/>
        <v>0</v>
      </c>
      <c r="BF327" s="270">
        <f t="shared" si="2183"/>
        <v>0</v>
      </c>
      <c r="BG327" s="270">
        <f t="shared" si="2183"/>
        <v>0</v>
      </c>
      <c r="BH327" s="270">
        <f t="shared" si="2183"/>
        <v>0</v>
      </c>
      <c r="BI327" s="270">
        <f t="shared" si="2183"/>
        <v>0</v>
      </c>
      <c r="BJ327" s="270">
        <f t="shared" si="2183"/>
        <v>0</v>
      </c>
      <c r="BK327" s="270">
        <f t="shared" si="2183"/>
        <v>0</v>
      </c>
      <c r="BL327" s="265">
        <f t="shared" si="16"/>
        <v>-32.07</v>
      </c>
      <c r="BM327" s="215"/>
      <c r="BN327" s="270">
        <f t="shared" ref="BN327:CP327" si="2184">ROUND(AI326*E$9/12,2)</f>
        <v>0</v>
      </c>
      <c r="BO327" s="270">
        <f t="shared" si="2184"/>
        <v>0</v>
      </c>
      <c r="BP327" s="270">
        <f t="shared" si="2184"/>
        <v>0</v>
      </c>
      <c r="BQ327" s="270">
        <f t="shared" si="2184"/>
        <v>0</v>
      </c>
      <c r="BR327" s="270">
        <f t="shared" si="2184"/>
        <v>0</v>
      </c>
      <c r="BS327" s="270">
        <f t="shared" si="2184"/>
        <v>0</v>
      </c>
      <c r="BT327" s="270">
        <f t="shared" si="2184"/>
        <v>0</v>
      </c>
      <c r="BU327" s="270">
        <f t="shared" si="2184"/>
        <v>0</v>
      </c>
      <c r="BV327" s="270">
        <f t="shared" si="2184"/>
        <v>0</v>
      </c>
      <c r="BW327" s="270">
        <f t="shared" si="2184"/>
        <v>0</v>
      </c>
      <c r="BX327" s="270">
        <f t="shared" si="2184"/>
        <v>-0.05</v>
      </c>
      <c r="BY327" s="270">
        <f t="shared" si="2184"/>
        <v>-0.06</v>
      </c>
      <c r="BZ327" s="270">
        <f t="shared" si="2184"/>
        <v>-0.06</v>
      </c>
      <c r="CA327" s="270">
        <f t="shared" si="2184"/>
        <v>0</v>
      </c>
      <c r="CB327" s="270">
        <f t="shared" si="2184"/>
        <v>0</v>
      </c>
      <c r="CC327" s="270">
        <f t="shared" si="2184"/>
        <v>0</v>
      </c>
      <c r="CD327" s="270">
        <f t="shared" si="2184"/>
        <v>0</v>
      </c>
      <c r="CE327" s="270">
        <f t="shared" si="2184"/>
        <v>0</v>
      </c>
      <c r="CF327" s="270">
        <f t="shared" si="2184"/>
        <v>0</v>
      </c>
      <c r="CG327" s="270">
        <f t="shared" si="2184"/>
        <v>0</v>
      </c>
      <c r="CH327" s="270">
        <f t="shared" si="2184"/>
        <v>0</v>
      </c>
      <c r="CI327" s="270">
        <f t="shared" si="2184"/>
        <v>0</v>
      </c>
      <c r="CJ327" s="270">
        <f t="shared" si="2184"/>
        <v>0</v>
      </c>
      <c r="CK327" s="270">
        <f t="shared" si="2184"/>
        <v>0</v>
      </c>
      <c r="CL327" s="270">
        <f t="shared" si="2184"/>
        <v>0</v>
      </c>
      <c r="CM327" s="270">
        <f t="shared" si="2184"/>
        <v>0</v>
      </c>
      <c r="CN327" s="270">
        <f t="shared" si="2184"/>
        <v>0</v>
      </c>
      <c r="CO327" s="270">
        <f t="shared" si="2184"/>
        <v>0</v>
      </c>
      <c r="CP327" s="270">
        <f t="shared" si="2184"/>
        <v>0</v>
      </c>
      <c r="CQ327" s="215"/>
      <c r="CR327" s="270">
        <f t="shared" si="27"/>
        <v>-0.17</v>
      </c>
      <c r="CS327" s="215"/>
      <c r="CT327" s="270">
        <f t="shared" ref="CT327:DX327" si="2185">IF(AI326&gt;0,IF((AI326+BN327)&lt;E$10,AI326+BN327,E$10),0)</f>
        <v>0</v>
      </c>
      <c r="CU327" s="270">
        <f t="shared" si="2185"/>
        <v>0</v>
      </c>
      <c r="CV327" s="270">
        <f t="shared" si="2185"/>
        <v>0</v>
      </c>
      <c r="CW327" s="270">
        <f t="shared" si="2185"/>
        <v>0</v>
      </c>
      <c r="CX327" s="270">
        <f t="shared" si="2185"/>
        <v>0</v>
      </c>
      <c r="CY327" s="270">
        <f t="shared" si="2185"/>
        <v>0</v>
      </c>
      <c r="CZ327" s="270">
        <f t="shared" si="2185"/>
        <v>0</v>
      </c>
      <c r="DA327" s="270">
        <f t="shared" si="2185"/>
        <v>0</v>
      </c>
      <c r="DB327" s="270">
        <f t="shared" si="2185"/>
        <v>0</v>
      </c>
      <c r="DC327" s="270">
        <f t="shared" si="2185"/>
        <v>0</v>
      </c>
      <c r="DD327" s="270">
        <f t="shared" si="2185"/>
        <v>0</v>
      </c>
      <c r="DE327" s="270">
        <f t="shared" si="2185"/>
        <v>0</v>
      </c>
      <c r="DF327" s="270">
        <f t="shared" si="2185"/>
        <v>0</v>
      </c>
      <c r="DG327" s="270">
        <f t="shared" si="2185"/>
        <v>0</v>
      </c>
      <c r="DH327" s="270">
        <f t="shared" si="2185"/>
        <v>0</v>
      </c>
      <c r="DI327" s="270">
        <f t="shared" si="2185"/>
        <v>0</v>
      </c>
      <c r="DJ327" s="270">
        <f t="shared" si="2185"/>
        <v>0</v>
      </c>
      <c r="DK327" s="270">
        <f t="shared" si="2185"/>
        <v>0</v>
      </c>
      <c r="DL327" s="270">
        <f t="shared" si="2185"/>
        <v>0</v>
      </c>
      <c r="DM327" s="270">
        <f t="shared" si="2185"/>
        <v>0</v>
      </c>
      <c r="DN327" s="270">
        <f t="shared" si="2185"/>
        <v>0</v>
      </c>
      <c r="DO327" s="270">
        <f t="shared" si="2185"/>
        <v>0</v>
      </c>
      <c r="DP327" s="270">
        <f t="shared" si="2185"/>
        <v>0</v>
      </c>
      <c r="DQ327" s="270">
        <f t="shared" si="2185"/>
        <v>0</v>
      </c>
      <c r="DR327" s="270">
        <f t="shared" si="2185"/>
        <v>0</v>
      </c>
      <c r="DS327" s="270">
        <f t="shared" si="2185"/>
        <v>0</v>
      </c>
      <c r="DT327" s="270">
        <f t="shared" si="2185"/>
        <v>0</v>
      </c>
      <c r="DU327" s="270">
        <f t="shared" si="2185"/>
        <v>0</v>
      </c>
      <c r="DV327" s="270">
        <f t="shared" si="2185"/>
        <v>0</v>
      </c>
      <c r="DW327" s="270">
        <f t="shared" si="2185"/>
        <v>0</v>
      </c>
      <c r="DX327" s="270">
        <f t="shared" si="2185"/>
        <v>0</v>
      </c>
      <c r="DY327" s="270">
        <f t="shared" si="29"/>
        <v>0</v>
      </c>
      <c r="DZ327" s="274"/>
      <c r="EA327" s="275">
        <f t="shared" si="38"/>
        <v>0</v>
      </c>
      <c r="EB327" s="270">
        <f t="shared" ref="EB327:FC327" si="2186">IF(AJ325&lt;=0,0,IF($C326&lt;=SUM($EA327:EA327),0,IF(CU326+$C326-SUM($EA327:EA327)&gt;AJ325+BO326,AJ325+BO326-CU326,$C326-SUM($EA327:EA327))))</f>
        <v>0</v>
      </c>
      <c r="EC327" s="270">
        <f t="shared" si="2186"/>
        <v>0</v>
      </c>
      <c r="ED327" s="270">
        <f t="shared" si="2186"/>
        <v>0</v>
      </c>
      <c r="EE327" s="270">
        <f t="shared" si="2186"/>
        <v>0</v>
      </c>
      <c r="EF327" s="270">
        <f t="shared" si="2186"/>
        <v>0</v>
      </c>
      <c r="EG327" s="270">
        <f t="shared" si="2186"/>
        <v>0</v>
      </c>
      <c r="EH327" s="270">
        <f t="shared" si="2186"/>
        <v>0</v>
      </c>
      <c r="EI327" s="270">
        <f t="shared" si="2186"/>
        <v>0</v>
      </c>
      <c r="EJ327" s="270">
        <f t="shared" si="2186"/>
        <v>0</v>
      </c>
      <c r="EK327" s="270">
        <f t="shared" si="2186"/>
        <v>0</v>
      </c>
      <c r="EL327" s="270">
        <f t="shared" si="2186"/>
        <v>0</v>
      </c>
      <c r="EM327" s="270">
        <f t="shared" si="2186"/>
        <v>0</v>
      </c>
      <c r="EN327" s="270">
        <f t="shared" si="2186"/>
        <v>0</v>
      </c>
      <c r="EO327" s="270">
        <f t="shared" si="2186"/>
        <v>0</v>
      </c>
      <c r="EP327" s="270">
        <f t="shared" si="2186"/>
        <v>0</v>
      </c>
      <c r="EQ327" s="270">
        <f t="shared" si="2186"/>
        <v>0</v>
      </c>
      <c r="ER327" s="270">
        <f t="shared" si="2186"/>
        <v>0</v>
      </c>
      <c r="ES327" s="270">
        <f t="shared" si="2186"/>
        <v>0</v>
      </c>
      <c r="ET327" s="270">
        <f t="shared" si="2186"/>
        <v>0</v>
      </c>
      <c r="EU327" s="270">
        <f t="shared" si="2186"/>
        <v>0</v>
      </c>
      <c r="EV327" s="270">
        <f t="shared" si="2186"/>
        <v>0</v>
      </c>
      <c r="EW327" s="270">
        <f t="shared" si="2186"/>
        <v>0</v>
      </c>
      <c r="EX327" s="270">
        <f t="shared" si="2186"/>
        <v>0</v>
      </c>
      <c r="EY327" s="270">
        <f t="shared" si="2186"/>
        <v>0</v>
      </c>
      <c r="EZ327" s="270">
        <f t="shared" si="2186"/>
        <v>0</v>
      </c>
      <c r="FA327" s="270">
        <f t="shared" si="2186"/>
        <v>0</v>
      </c>
      <c r="FB327" s="270">
        <f t="shared" si="2186"/>
        <v>0</v>
      </c>
      <c r="FC327" s="270">
        <f t="shared" si="2186"/>
        <v>0</v>
      </c>
      <c r="FD327" s="271"/>
      <c r="FE327" s="271"/>
      <c r="FF327" s="271"/>
      <c r="FG327" s="215"/>
      <c r="FH327" s="215"/>
    </row>
    <row r="328" ht="11.25" customHeight="1">
      <c r="A328" s="215" t="str">
        <f t="shared" si="19"/>
        <v/>
      </c>
      <c r="B328" s="241" t="str">
        <f t="shared" si="600"/>
        <v>#N/A</v>
      </c>
      <c r="C328" s="271" t="str">
        <f>IF(A328="","",IF(Calculator!snowball,IF(($E$5-DY328)&lt;0,0,$E$5-DY328),0)+D328)</f>
        <v/>
      </c>
      <c r="D328" s="271"/>
      <c r="E328" s="270">
        <f t="shared" si="40"/>
        <v>0</v>
      </c>
      <c r="F328" s="270">
        <f t="shared" ref="F328:AG328" si="2187">CU328+EB329</f>
        <v>0</v>
      </c>
      <c r="G328" s="270">
        <f t="shared" si="2187"/>
        <v>0</v>
      </c>
      <c r="H328" s="270">
        <f t="shared" si="2187"/>
        <v>0</v>
      </c>
      <c r="I328" s="270">
        <f t="shared" si="2187"/>
        <v>0</v>
      </c>
      <c r="J328" s="270">
        <f t="shared" si="2187"/>
        <v>0</v>
      </c>
      <c r="K328" s="270">
        <f t="shared" si="2187"/>
        <v>0</v>
      </c>
      <c r="L328" s="270">
        <f t="shared" si="2187"/>
        <v>0</v>
      </c>
      <c r="M328" s="270">
        <f t="shared" si="2187"/>
        <v>0</v>
      </c>
      <c r="N328" s="270">
        <f t="shared" si="2187"/>
        <v>0</v>
      </c>
      <c r="O328" s="270">
        <f t="shared" si="2187"/>
        <v>0</v>
      </c>
      <c r="P328" s="272">
        <f t="shared" si="2187"/>
        <v>0</v>
      </c>
      <c r="Q328" s="272">
        <f t="shared" si="2187"/>
        <v>0</v>
      </c>
      <c r="R328" s="272">
        <f t="shared" si="2187"/>
        <v>0</v>
      </c>
      <c r="S328" s="272">
        <f t="shared" si="2187"/>
        <v>0</v>
      </c>
      <c r="T328" s="272">
        <f t="shared" si="2187"/>
        <v>0</v>
      </c>
      <c r="U328" s="270">
        <f t="shared" si="2187"/>
        <v>0</v>
      </c>
      <c r="V328" s="270">
        <f t="shared" si="2187"/>
        <v>0</v>
      </c>
      <c r="W328" s="270">
        <f t="shared" si="2187"/>
        <v>0</v>
      </c>
      <c r="X328" s="270">
        <f t="shared" si="2187"/>
        <v>0</v>
      </c>
      <c r="Y328" s="270">
        <f t="shared" si="2187"/>
        <v>0</v>
      </c>
      <c r="Z328" s="270">
        <f t="shared" si="2187"/>
        <v>0</v>
      </c>
      <c r="AA328" s="270">
        <f t="shared" si="2187"/>
        <v>0</v>
      </c>
      <c r="AB328" s="270">
        <f t="shared" si="2187"/>
        <v>0</v>
      </c>
      <c r="AC328" s="270">
        <f t="shared" si="2187"/>
        <v>0</v>
      </c>
      <c r="AD328" s="270">
        <f t="shared" si="2187"/>
        <v>0</v>
      </c>
      <c r="AE328" s="270">
        <f t="shared" si="2187"/>
        <v>0</v>
      </c>
      <c r="AF328" s="270">
        <f t="shared" si="2187"/>
        <v>0</v>
      </c>
      <c r="AG328" s="270">
        <f t="shared" si="2187"/>
        <v>0</v>
      </c>
      <c r="AH328" s="279">
        <f t="shared" si="602"/>
        <v>0</v>
      </c>
      <c r="AI328" s="270">
        <f t="shared" si="43"/>
        <v>0</v>
      </c>
      <c r="AJ328" s="270">
        <f t="shared" ref="AJ328:AO328" si="2188">IF(F$8=0,0,ROUND(AJ327-(F328-BO328),2))</f>
        <v>0</v>
      </c>
      <c r="AK328" s="270">
        <f t="shared" si="2188"/>
        <v>0</v>
      </c>
      <c r="AL328" s="270">
        <f t="shared" si="2188"/>
        <v>0</v>
      </c>
      <c r="AM328" s="270">
        <f t="shared" si="2188"/>
        <v>0</v>
      </c>
      <c r="AN328" s="270">
        <f t="shared" si="2188"/>
        <v>0</v>
      </c>
      <c r="AO328" s="270">
        <f t="shared" si="2188"/>
        <v>0</v>
      </c>
      <c r="AP328" s="270">
        <v>0.0</v>
      </c>
      <c r="AQ328" s="270">
        <f t="shared" ref="AQ328:AR328" si="2189">IF(M$8=0,0,ROUND(AQ327-(M328-BV328),2))</f>
        <v>0</v>
      </c>
      <c r="AR328" s="270">
        <f t="shared" si="2189"/>
        <v>0</v>
      </c>
      <c r="AS328" s="270">
        <f t="shared" si="1902"/>
        <v>-5.68</v>
      </c>
      <c r="AT328" s="270">
        <f t="shared" si="605"/>
        <v>-7.22</v>
      </c>
      <c r="AU328" s="270">
        <f t="shared" ref="AU328:BK328" si="2190">IF(Q$8=0,0,ROUND(AU327-(Q328-BY328),2))</f>
        <v>-19.45</v>
      </c>
      <c r="AV328" s="270">
        <f t="shared" si="2190"/>
        <v>0</v>
      </c>
      <c r="AW328" s="270">
        <f t="shared" si="2190"/>
        <v>0</v>
      </c>
      <c r="AX328" s="270">
        <f t="shared" si="2190"/>
        <v>0</v>
      </c>
      <c r="AY328" s="270">
        <f t="shared" si="2190"/>
        <v>0</v>
      </c>
      <c r="AZ328" s="270">
        <f t="shared" si="2190"/>
        <v>0</v>
      </c>
      <c r="BA328" s="270">
        <f t="shared" si="2190"/>
        <v>0</v>
      </c>
      <c r="BB328" s="270">
        <f t="shared" si="2190"/>
        <v>0</v>
      </c>
      <c r="BC328" s="270">
        <f t="shared" si="2190"/>
        <v>0</v>
      </c>
      <c r="BD328" s="270">
        <f t="shared" si="2190"/>
        <v>0</v>
      </c>
      <c r="BE328" s="270">
        <f t="shared" si="2190"/>
        <v>0</v>
      </c>
      <c r="BF328" s="270">
        <f t="shared" si="2190"/>
        <v>0</v>
      </c>
      <c r="BG328" s="270">
        <f t="shared" si="2190"/>
        <v>0</v>
      </c>
      <c r="BH328" s="270">
        <f t="shared" si="2190"/>
        <v>0</v>
      </c>
      <c r="BI328" s="270">
        <f t="shared" si="2190"/>
        <v>0</v>
      </c>
      <c r="BJ328" s="270">
        <f t="shared" si="2190"/>
        <v>0</v>
      </c>
      <c r="BK328" s="270">
        <f t="shared" si="2190"/>
        <v>0</v>
      </c>
      <c r="BL328" s="265">
        <f t="shared" si="16"/>
        <v>-32.35</v>
      </c>
      <c r="BM328" s="215"/>
      <c r="BN328" s="270">
        <f t="shared" ref="BN328:CP328" si="2191">ROUND(AI327*E$9/12,2)</f>
        <v>0</v>
      </c>
      <c r="BO328" s="270">
        <f t="shared" si="2191"/>
        <v>0</v>
      </c>
      <c r="BP328" s="270">
        <f t="shared" si="2191"/>
        <v>0</v>
      </c>
      <c r="BQ328" s="270">
        <f t="shared" si="2191"/>
        <v>0</v>
      </c>
      <c r="BR328" s="270">
        <f t="shared" si="2191"/>
        <v>0</v>
      </c>
      <c r="BS328" s="270">
        <f t="shared" si="2191"/>
        <v>0</v>
      </c>
      <c r="BT328" s="270">
        <f t="shared" si="2191"/>
        <v>0</v>
      </c>
      <c r="BU328" s="270">
        <f t="shared" si="2191"/>
        <v>0</v>
      </c>
      <c r="BV328" s="270">
        <f t="shared" si="2191"/>
        <v>0</v>
      </c>
      <c r="BW328" s="270">
        <f t="shared" si="2191"/>
        <v>0</v>
      </c>
      <c r="BX328" s="270">
        <f t="shared" si="2191"/>
        <v>-0.05</v>
      </c>
      <c r="BY328" s="270">
        <f t="shared" si="2191"/>
        <v>-0.06</v>
      </c>
      <c r="BZ328" s="270">
        <f t="shared" si="2191"/>
        <v>-0.06</v>
      </c>
      <c r="CA328" s="270">
        <f t="shared" si="2191"/>
        <v>0</v>
      </c>
      <c r="CB328" s="270">
        <f t="shared" si="2191"/>
        <v>0</v>
      </c>
      <c r="CC328" s="270">
        <f t="shared" si="2191"/>
        <v>0</v>
      </c>
      <c r="CD328" s="270">
        <f t="shared" si="2191"/>
        <v>0</v>
      </c>
      <c r="CE328" s="270">
        <f t="shared" si="2191"/>
        <v>0</v>
      </c>
      <c r="CF328" s="270">
        <f t="shared" si="2191"/>
        <v>0</v>
      </c>
      <c r="CG328" s="270">
        <f t="shared" si="2191"/>
        <v>0</v>
      </c>
      <c r="CH328" s="270">
        <f t="shared" si="2191"/>
        <v>0</v>
      </c>
      <c r="CI328" s="270">
        <f t="shared" si="2191"/>
        <v>0</v>
      </c>
      <c r="CJ328" s="270">
        <f t="shared" si="2191"/>
        <v>0</v>
      </c>
      <c r="CK328" s="270">
        <f t="shared" si="2191"/>
        <v>0</v>
      </c>
      <c r="CL328" s="270">
        <f t="shared" si="2191"/>
        <v>0</v>
      </c>
      <c r="CM328" s="270">
        <f t="shared" si="2191"/>
        <v>0</v>
      </c>
      <c r="CN328" s="270">
        <f t="shared" si="2191"/>
        <v>0</v>
      </c>
      <c r="CO328" s="270">
        <f t="shared" si="2191"/>
        <v>0</v>
      </c>
      <c r="CP328" s="270">
        <f t="shared" si="2191"/>
        <v>0</v>
      </c>
      <c r="CQ328" s="215"/>
      <c r="CR328" s="270">
        <f t="shared" si="27"/>
        <v>-0.17</v>
      </c>
      <c r="CS328" s="215"/>
      <c r="CT328" s="270">
        <f t="shared" ref="CT328:DX328" si="2192">IF(AI327&gt;0,IF((AI327+BN328)&lt;E$10,AI327+BN328,E$10),0)</f>
        <v>0</v>
      </c>
      <c r="CU328" s="270">
        <f t="shared" si="2192"/>
        <v>0</v>
      </c>
      <c r="CV328" s="270">
        <f t="shared" si="2192"/>
        <v>0</v>
      </c>
      <c r="CW328" s="270">
        <f t="shared" si="2192"/>
        <v>0</v>
      </c>
      <c r="CX328" s="270">
        <f t="shared" si="2192"/>
        <v>0</v>
      </c>
      <c r="CY328" s="270">
        <f t="shared" si="2192"/>
        <v>0</v>
      </c>
      <c r="CZ328" s="270">
        <f t="shared" si="2192"/>
        <v>0</v>
      </c>
      <c r="DA328" s="270">
        <f t="shared" si="2192"/>
        <v>0</v>
      </c>
      <c r="DB328" s="270">
        <f t="shared" si="2192"/>
        <v>0</v>
      </c>
      <c r="DC328" s="270">
        <f t="shared" si="2192"/>
        <v>0</v>
      </c>
      <c r="DD328" s="270">
        <f t="shared" si="2192"/>
        <v>0</v>
      </c>
      <c r="DE328" s="270">
        <f t="shared" si="2192"/>
        <v>0</v>
      </c>
      <c r="DF328" s="270">
        <f t="shared" si="2192"/>
        <v>0</v>
      </c>
      <c r="DG328" s="270">
        <f t="shared" si="2192"/>
        <v>0</v>
      </c>
      <c r="DH328" s="270">
        <f t="shared" si="2192"/>
        <v>0</v>
      </c>
      <c r="DI328" s="270">
        <f t="shared" si="2192"/>
        <v>0</v>
      </c>
      <c r="DJ328" s="270">
        <f t="shared" si="2192"/>
        <v>0</v>
      </c>
      <c r="DK328" s="270">
        <f t="shared" si="2192"/>
        <v>0</v>
      </c>
      <c r="DL328" s="270">
        <f t="shared" si="2192"/>
        <v>0</v>
      </c>
      <c r="DM328" s="270">
        <f t="shared" si="2192"/>
        <v>0</v>
      </c>
      <c r="DN328" s="270">
        <f t="shared" si="2192"/>
        <v>0</v>
      </c>
      <c r="DO328" s="270">
        <f t="shared" si="2192"/>
        <v>0</v>
      </c>
      <c r="DP328" s="270">
        <f t="shared" si="2192"/>
        <v>0</v>
      </c>
      <c r="DQ328" s="270">
        <f t="shared" si="2192"/>
        <v>0</v>
      </c>
      <c r="DR328" s="270">
        <f t="shared" si="2192"/>
        <v>0</v>
      </c>
      <c r="DS328" s="270">
        <f t="shared" si="2192"/>
        <v>0</v>
      </c>
      <c r="DT328" s="270">
        <f t="shared" si="2192"/>
        <v>0</v>
      </c>
      <c r="DU328" s="270">
        <f t="shared" si="2192"/>
        <v>0</v>
      </c>
      <c r="DV328" s="270">
        <f t="shared" si="2192"/>
        <v>0</v>
      </c>
      <c r="DW328" s="270">
        <f t="shared" si="2192"/>
        <v>0</v>
      </c>
      <c r="DX328" s="270">
        <f t="shared" si="2192"/>
        <v>0</v>
      </c>
      <c r="DY328" s="270">
        <f t="shared" si="29"/>
        <v>0</v>
      </c>
      <c r="DZ328" s="274"/>
      <c r="EA328" s="275">
        <f t="shared" si="38"/>
        <v>0</v>
      </c>
      <c r="EB328" s="270">
        <f t="shared" ref="EB328:FC328" si="2193">IF(AJ326&lt;=0,0,IF($C327&lt;=SUM($EA328:EA328),0,IF(CU327+$C327-SUM($EA328:EA328)&gt;AJ326+BO327,AJ326+BO327-CU327,$C327-SUM($EA328:EA328))))</f>
        <v>0</v>
      </c>
      <c r="EC328" s="270">
        <f t="shared" si="2193"/>
        <v>0</v>
      </c>
      <c r="ED328" s="270">
        <f t="shared" si="2193"/>
        <v>0</v>
      </c>
      <c r="EE328" s="270">
        <f t="shared" si="2193"/>
        <v>0</v>
      </c>
      <c r="EF328" s="270">
        <f t="shared" si="2193"/>
        <v>0</v>
      </c>
      <c r="EG328" s="270">
        <f t="shared" si="2193"/>
        <v>0</v>
      </c>
      <c r="EH328" s="270">
        <f t="shared" si="2193"/>
        <v>0</v>
      </c>
      <c r="EI328" s="270">
        <f t="shared" si="2193"/>
        <v>0</v>
      </c>
      <c r="EJ328" s="270">
        <f t="shared" si="2193"/>
        <v>0</v>
      </c>
      <c r="EK328" s="270">
        <f t="shared" si="2193"/>
        <v>0</v>
      </c>
      <c r="EL328" s="270">
        <f t="shared" si="2193"/>
        <v>0</v>
      </c>
      <c r="EM328" s="270">
        <f t="shared" si="2193"/>
        <v>0</v>
      </c>
      <c r="EN328" s="270">
        <f t="shared" si="2193"/>
        <v>0</v>
      </c>
      <c r="EO328" s="270">
        <f t="shared" si="2193"/>
        <v>0</v>
      </c>
      <c r="EP328" s="270">
        <f t="shared" si="2193"/>
        <v>0</v>
      </c>
      <c r="EQ328" s="270">
        <f t="shared" si="2193"/>
        <v>0</v>
      </c>
      <c r="ER328" s="270">
        <f t="shared" si="2193"/>
        <v>0</v>
      </c>
      <c r="ES328" s="270">
        <f t="shared" si="2193"/>
        <v>0</v>
      </c>
      <c r="ET328" s="270">
        <f t="shared" si="2193"/>
        <v>0</v>
      </c>
      <c r="EU328" s="270">
        <f t="shared" si="2193"/>
        <v>0</v>
      </c>
      <c r="EV328" s="270">
        <f t="shared" si="2193"/>
        <v>0</v>
      </c>
      <c r="EW328" s="270">
        <f t="shared" si="2193"/>
        <v>0</v>
      </c>
      <c r="EX328" s="270">
        <f t="shared" si="2193"/>
        <v>0</v>
      </c>
      <c r="EY328" s="270">
        <f t="shared" si="2193"/>
        <v>0</v>
      </c>
      <c r="EZ328" s="270">
        <f t="shared" si="2193"/>
        <v>0</v>
      </c>
      <c r="FA328" s="270">
        <f t="shared" si="2193"/>
        <v>0</v>
      </c>
      <c r="FB328" s="270">
        <f t="shared" si="2193"/>
        <v>0</v>
      </c>
      <c r="FC328" s="270">
        <f t="shared" si="2193"/>
        <v>0</v>
      </c>
      <c r="FD328" s="271"/>
      <c r="FE328" s="271"/>
      <c r="FF328" s="271"/>
      <c r="FG328" s="215"/>
      <c r="FH328" s="215"/>
    </row>
    <row r="329" ht="11.25" customHeight="1">
      <c r="A329" s="215" t="str">
        <f t="shared" si="19"/>
        <v/>
      </c>
      <c r="B329" s="241" t="str">
        <f t="shared" si="600"/>
        <v>#N/A</v>
      </c>
      <c r="C329" s="271" t="str">
        <f>IF(A329="","",IF(Calculator!snowball,IF(($E$5-DY329)&lt;0,0,$E$5-DY329),0)+D329)</f>
        <v/>
      </c>
      <c r="D329" s="271"/>
      <c r="E329" s="270">
        <f t="shared" si="40"/>
        <v>0</v>
      </c>
      <c r="F329" s="270">
        <f t="shared" ref="F329:AG329" si="2194">CU329+EB330</f>
        <v>0</v>
      </c>
      <c r="G329" s="270">
        <f t="shared" si="2194"/>
        <v>0</v>
      </c>
      <c r="H329" s="270">
        <f t="shared" si="2194"/>
        <v>0</v>
      </c>
      <c r="I329" s="270">
        <f t="shared" si="2194"/>
        <v>0</v>
      </c>
      <c r="J329" s="270">
        <f t="shared" si="2194"/>
        <v>0</v>
      </c>
      <c r="K329" s="270">
        <f t="shared" si="2194"/>
        <v>0</v>
      </c>
      <c r="L329" s="270">
        <f t="shared" si="2194"/>
        <v>0</v>
      </c>
      <c r="M329" s="270">
        <f t="shared" si="2194"/>
        <v>0</v>
      </c>
      <c r="N329" s="270">
        <f t="shared" si="2194"/>
        <v>0</v>
      </c>
      <c r="O329" s="270">
        <f t="shared" si="2194"/>
        <v>0</v>
      </c>
      <c r="P329" s="272">
        <f t="shared" si="2194"/>
        <v>0</v>
      </c>
      <c r="Q329" s="272">
        <f t="shared" si="2194"/>
        <v>0</v>
      </c>
      <c r="R329" s="272">
        <f t="shared" si="2194"/>
        <v>0</v>
      </c>
      <c r="S329" s="272">
        <f t="shared" si="2194"/>
        <v>0</v>
      </c>
      <c r="T329" s="272">
        <f t="shared" si="2194"/>
        <v>0</v>
      </c>
      <c r="U329" s="270">
        <f t="shared" si="2194"/>
        <v>0</v>
      </c>
      <c r="V329" s="270">
        <f t="shared" si="2194"/>
        <v>0</v>
      </c>
      <c r="W329" s="270">
        <f t="shared" si="2194"/>
        <v>0</v>
      </c>
      <c r="X329" s="270">
        <f t="shared" si="2194"/>
        <v>0</v>
      </c>
      <c r="Y329" s="270">
        <f t="shared" si="2194"/>
        <v>0</v>
      </c>
      <c r="Z329" s="270">
        <f t="shared" si="2194"/>
        <v>0</v>
      </c>
      <c r="AA329" s="270">
        <f t="shared" si="2194"/>
        <v>0</v>
      </c>
      <c r="AB329" s="270">
        <f t="shared" si="2194"/>
        <v>0</v>
      </c>
      <c r="AC329" s="270">
        <f t="shared" si="2194"/>
        <v>0</v>
      </c>
      <c r="AD329" s="270">
        <f t="shared" si="2194"/>
        <v>0</v>
      </c>
      <c r="AE329" s="270">
        <f t="shared" si="2194"/>
        <v>0</v>
      </c>
      <c r="AF329" s="270">
        <f t="shared" si="2194"/>
        <v>0</v>
      </c>
      <c r="AG329" s="270">
        <f t="shared" si="2194"/>
        <v>0</v>
      </c>
      <c r="AH329" s="279">
        <f t="shared" si="602"/>
        <v>0</v>
      </c>
      <c r="AI329" s="270">
        <f t="shared" si="43"/>
        <v>0</v>
      </c>
      <c r="AJ329" s="270">
        <f t="shared" ref="AJ329:AO329" si="2195">IF(F$8=0,0,ROUND(AJ328-(F329-BO329),2))</f>
        <v>0</v>
      </c>
      <c r="AK329" s="270">
        <f t="shared" si="2195"/>
        <v>0</v>
      </c>
      <c r="AL329" s="270">
        <f t="shared" si="2195"/>
        <v>0</v>
      </c>
      <c r="AM329" s="270">
        <f t="shared" si="2195"/>
        <v>0</v>
      </c>
      <c r="AN329" s="270">
        <f t="shared" si="2195"/>
        <v>0</v>
      </c>
      <c r="AO329" s="270">
        <f t="shared" si="2195"/>
        <v>0</v>
      </c>
      <c r="AP329" s="270">
        <v>0.0</v>
      </c>
      <c r="AQ329" s="270">
        <f t="shared" ref="AQ329:AR329" si="2196">IF(M$8=0,0,ROUND(AQ328-(M329-BV329),2))</f>
        <v>0</v>
      </c>
      <c r="AR329" s="270">
        <f t="shared" si="2196"/>
        <v>0</v>
      </c>
      <c r="AS329" s="270">
        <f t="shared" si="1902"/>
        <v>-5.85</v>
      </c>
      <c r="AT329" s="270">
        <f t="shared" si="605"/>
        <v>-7.27</v>
      </c>
      <c r="AU329" s="270">
        <f t="shared" ref="AU329:BK329" si="2197">IF(Q$8=0,0,ROUND(AU328-(Q329-BY329),2))</f>
        <v>-19.51</v>
      </c>
      <c r="AV329" s="270">
        <f t="shared" si="2197"/>
        <v>0</v>
      </c>
      <c r="AW329" s="270">
        <f t="shared" si="2197"/>
        <v>0</v>
      </c>
      <c r="AX329" s="270">
        <f t="shared" si="2197"/>
        <v>0</v>
      </c>
      <c r="AY329" s="270">
        <f t="shared" si="2197"/>
        <v>0</v>
      </c>
      <c r="AZ329" s="270">
        <f t="shared" si="2197"/>
        <v>0</v>
      </c>
      <c r="BA329" s="270">
        <f t="shared" si="2197"/>
        <v>0</v>
      </c>
      <c r="BB329" s="270">
        <f t="shared" si="2197"/>
        <v>0</v>
      </c>
      <c r="BC329" s="270">
        <f t="shared" si="2197"/>
        <v>0</v>
      </c>
      <c r="BD329" s="270">
        <f t="shared" si="2197"/>
        <v>0</v>
      </c>
      <c r="BE329" s="270">
        <f t="shared" si="2197"/>
        <v>0</v>
      </c>
      <c r="BF329" s="270">
        <f t="shared" si="2197"/>
        <v>0</v>
      </c>
      <c r="BG329" s="270">
        <f t="shared" si="2197"/>
        <v>0</v>
      </c>
      <c r="BH329" s="270">
        <f t="shared" si="2197"/>
        <v>0</v>
      </c>
      <c r="BI329" s="270">
        <f t="shared" si="2197"/>
        <v>0</v>
      </c>
      <c r="BJ329" s="270">
        <f t="shared" si="2197"/>
        <v>0</v>
      </c>
      <c r="BK329" s="270">
        <f t="shared" si="2197"/>
        <v>0</v>
      </c>
      <c r="BL329" s="265">
        <f t="shared" si="16"/>
        <v>-32.63</v>
      </c>
      <c r="BM329" s="215"/>
      <c r="BN329" s="270">
        <f t="shared" ref="BN329:CP329" si="2198">ROUND(AI328*E$9/12,2)</f>
        <v>0</v>
      </c>
      <c r="BO329" s="270">
        <f t="shared" si="2198"/>
        <v>0</v>
      </c>
      <c r="BP329" s="270">
        <f t="shared" si="2198"/>
        <v>0</v>
      </c>
      <c r="BQ329" s="270">
        <f t="shared" si="2198"/>
        <v>0</v>
      </c>
      <c r="BR329" s="270">
        <f t="shared" si="2198"/>
        <v>0</v>
      </c>
      <c r="BS329" s="270">
        <f t="shared" si="2198"/>
        <v>0</v>
      </c>
      <c r="BT329" s="270">
        <f t="shared" si="2198"/>
        <v>0</v>
      </c>
      <c r="BU329" s="270">
        <f t="shared" si="2198"/>
        <v>0</v>
      </c>
      <c r="BV329" s="270">
        <f t="shared" si="2198"/>
        <v>0</v>
      </c>
      <c r="BW329" s="270">
        <f t="shared" si="2198"/>
        <v>0</v>
      </c>
      <c r="BX329" s="270">
        <f t="shared" si="2198"/>
        <v>-0.05</v>
      </c>
      <c r="BY329" s="270">
        <f t="shared" si="2198"/>
        <v>-0.06</v>
      </c>
      <c r="BZ329" s="270">
        <f t="shared" si="2198"/>
        <v>-0.06</v>
      </c>
      <c r="CA329" s="270">
        <f t="shared" si="2198"/>
        <v>0</v>
      </c>
      <c r="CB329" s="270">
        <f t="shared" si="2198"/>
        <v>0</v>
      </c>
      <c r="CC329" s="270">
        <f t="shared" si="2198"/>
        <v>0</v>
      </c>
      <c r="CD329" s="270">
        <f t="shared" si="2198"/>
        <v>0</v>
      </c>
      <c r="CE329" s="270">
        <f t="shared" si="2198"/>
        <v>0</v>
      </c>
      <c r="CF329" s="270">
        <f t="shared" si="2198"/>
        <v>0</v>
      </c>
      <c r="CG329" s="270">
        <f t="shared" si="2198"/>
        <v>0</v>
      </c>
      <c r="CH329" s="270">
        <f t="shared" si="2198"/>
        <v>0</v>
      </c>
      <c r="CI329" s="270">
        <f t="shared" si="2198"/>
        <v>0</v>
      </c>
      <c r="CJ329" s="270">
        <f t="shared" si="2198"/>
        <v>0</v>
      </c>
      <c r="CK329" s="270">
        <f t="shared" si="2198"/>
        <v>0</v>
      </c>
      <c r="CL329" s="270">
        <f t="shared" si="2198"/>
        <v>0</v>
      </c>
      <c r="CM329" s="270">
        <f t="shared" si="2198"/>
        <v>0</v>
      </c>
      <c r="CN329" s="270">
        <f t="shared" si="2198"/>
        <v>0</v>
      </c>
      <c r="CO329" s="270">
        <f t="shared" si="2198"/>
        <v>0</v>
      </c>
      <c r="CP329" s="270">
        <f t="shared" si="2198"/>
        <v>0</v>
      </c>
      <c r="CQ329" s="215"/>
      <c r="CR329" s="270">
        <f t="shared" si="27"/>
        <v>-0.17</v>
      </c>
      <c r="CS329" s="215"/>
      <c r="CT329" s="270">
        <f t="shared" ref="CT329:DX329" si="2199">IF(AI328&gt;0,IF((AI328+BN329)&lt;E$10,AI328+BN329,E$10),0)</f>
        <v>0</v>
      </c>
      <c r="CU329" s="270">
        <f t="shared" si="2199"/>
        <v>0</v>
      </c>
      <c r="CV329" s="270">
        <f t="shared" si="2199"/>
        <v>0</v>
      </c>
      <c r="CW329" s="270">
        <f t="shared" si="2199"/>
        <v>0</v>
      </c>
      <c r="CX329" s="270">
        <f t="shared" si="2199"/>
        <v>0</v>
      </c>
      <c r="CY329" s="270">
        <f t="shared" si="2199"/>
        <v>0</v>
      </c>
      <c r="CZ329" s="270">
        <f t="shared" si="2199"/>
        <v>0</v>
      </c>
      <c r="DA329" s="270">
        <f t="shared" si="2199"/>
        <v>0</v>
      </c>
      <c r="DB329" s="270">
        <f t="shared" si="2199"/>
        <v>0</v>
      </c>
      <c r="DC329" s="270">
        <f t="shared" si="2199"/>
        <v>0</v>
      </c>
      <c r="DD329" s="270">
        <f t="shared" si="2199"/>
        <v>0</v>
      </c>
      <c r="DE329" s="270">
        <f t="shared" si="2199"/>
        <v>0</v>
      </c>
      <c r="DF329" s="270">
        <f t="shared" si="2199"/>
        <v>0</v>
      </c>
      <c r="DG329" s="270">
        <f t="shared" si="2199"/>
        <v>0</v>
      </c>
      <c r="DH329" s="270">
        <f t="shared" si="2199"/>
        <v>0</v>
      </c>
      <c r="DI329" s="270">
        <f t="shared" si="2199"/>
        <v>0</v>
      </c>
      <c r="DJ329" s="270">
        <f t="shared" si="2199"/>
        <v>0</v>
      </c>
      <c r="DK329" s="270">
        <f t="shared" si="2199"/>
        <v>0</v>
      </c>
      <c r="DL329" s="270">
        <f t="shared" si="2199"/>
        <v>0</v>
      </c>
      <c r="DM329" s="270">
        <f t="shared" si="2199"/>
        <v>0</v>
      </c>
      <c r="DN329" s="270">
        <f t="shared" si="2199"/>
        <v>0</v>
      </c>
      <c r="DO329" s="270">
        <f t="shared" si="2199"/>
        <v>0</v>
      </c>
      <c r="DP329" s="270">
        <f t="shared" si="2199"/>
        <v>0</v>
      </c>
      <c r="DQ329" s="270">
        <f t="shared" si="2199"/>
        <v>0</v>
      </c>
      <c r="DR329" s="270">
        <f t="shared" si="2199"/>
        <v>0</v>
      </c>
      <c r="DS329" s="270">
        <f t="shared" si="2199"/>
        <v>0</v>
      </c>
      <c r="DT329" s="270">
        <f t="shared" si="2199"/>
        <v>0</v>
      </c>
      <c r="DU329" s="270">
        <f t="shared" si="2199"/>
        <v>0</v>
      </c>
      <c r="DV329" s="270">
        <f t="shared" si="2199"/>
        <v>0</v>
      </c>
      <c r="DW329" s="270">
        <f t="shared" si="2199"/>
        <v>0</v>
      </c>
      <c r="DX329" s="270">
        <f t="shared" si="2199"/>
        <v>0</v>
      </c>
      <c r="DY329" s="270">
        <f t="shared" si="29"/>
        <v>0</v>
      </c>
      <c r="DZ329" s="274"/>
      <c r="EA329" s="275">
        <f t="shared" si="38"/>
        <v>0</v>
      </c>
      <c r="EB329" s="270">
        <f t="shared" ref="EB329:FC329" si="2200">IF(AJ327&lt;=0,0,IF($C328&lt;=SUM($EA329:EA329),0,IF(CU328+$C328-SUM($EA329:EA329)&gt;AJ327+BO328,AJ327+BO328-CU328,$C328-SUM($EA329:EA329))))</f>
        <v>0</v>
      </c>
      <c r="EC329" s="270">
        <f t="shared" si="2200"/>
        <v>0</v>
      </c>
      <c r="ED329" s="270">
        <f t="shared" si="2200"/>
        <v>0</v>
      </c>
      <c r="EE329" s="270">
        <f t="shared" si="2200"/>
        <v>0</v>
      </c>
      <c r="EF329" s="270">
        <f t="shared" si="2200"/>
        <v>0</v>
      </c>
      <c r="EG329" s="270">
        <f t="shared" si="2200"/>
        <v>0</v>
      </c>
      <c r="EH329" s="270">
        <f t="shared" si="2200"/>
        <v>0</v>
      </c>
      <c r="EI329" s="270">
        <f t="shared" si="2200"/>
        <v>0</v>
      </c>
      <c r="EJ329" s="270">
        <f t="shared" si="2200"/>
        <v>0</v>
      </c>
      <c r="EK329" s="270">
        <f t="shared" si="2200"/>
        <v>0</v>
      </c>
      <c r="EL329" s="270">
        <f t="shared" si="2200"/>
        <v>0</v>
      </c>
      <c r="EM329" s="270">
        <f t="shared" si="2200"/>
        <v>0</v>
      </c>
      <c r="EN329" s="270">
        <f t="shared" si="2200"/>
        <v>0</v>
      </c>
      <c r="EO329" s="270">
        <f t="shared" si="2200"/>
        <v>0</v>
      </c>
      <c r="EP329" s="270">
        <f t="shared" si="2200"/>
        <v>0</v>
      </c>
      <c r="EQ329" s="270">
        <f t="shared" si="2200"/>
        <v>0</v>
      </c>
      <c r="ER329" s="270">
        <f t="shared" si="2200"/>
        <v>0</v>
      </c>
      <c r="ES329" s="270">
        <f t="shared" si="2200"/>
        <v>0</v>
      </c>
      <c r="ET329" s="270">
        <f t="shared" si="2200"/>
        <v>0</v>
      </c>
      <c r="EU329" s="270">
        <f t="shared" si="2200"/>
        <v>0</v>
      </c>
      <c r="EV329" s="270">
        <f t="shared" si="2200"/>
        <v>0</v>
      </c>
      <c r="EW329" s="270">
        <f t="shared" si="2200"/>
        <v>0</v>
      </c>
      <c r="EX329" s="270">
        <f t="shared" si="2200"/>
        <v>0</v>
      </c>
      <c r="EY329" s="270">
        <f t="shared" si="2200"/>
        <v>0</v>
      </c>
      <c r="EZ329" s="270">
        <f t="shared" si="2200"/>
        <v>0</v>
      </c>
      <c r="FA329" s="270">
        <f t="shared" si="2200"/>
        <v>0</v>
      </c>
      <c r="FB329" s="270">
        <f t="shared" si="2200"/>
        <v>0</v>
      </c>
      <c r="FC329" s="270">
        <f t="shared" si="2200"/>
        <v>0</v>
      </c>
      <c r="FD329" s="271"/>
      <c r="FE329" s="271"/>
      <c r="FF329" s="271"/>
      <c r="FG329" s="215"/>
      <c r="FH329" s="215"/>
    </row>
    <row r="330" ht="11.25" customHeight="1">
      <c r="A330" s="215" t="str">
        <f t="shared" si="19"/>
        <v/>
      </c>
      <c r="B330" s="241" t="str">
        <f t="shared" si="600"/>
        <v>#N/A</v>
      </c>
      <c r="C330" s="271" t="str">
        <f>IF(A330="","",IF(Calculator!snowball,IF(($E$5-DY330)&lt;0,0,$E$5-DY330),0)+D330)</f>
        <v/>
      </c>
      <c r="D330" s="271"/>
      <c r="E330" s="270">
        <f t="shared" si="40"/>
        <v>0</v>
      </c>
      <c r="F330" s="270">
        <f t="shared" ref="F330:AG330" si="2201">CU330+EB331</f>
        <v>0</v>
      </c>
      <c r="G330" s="270">
        <f t="shared" si="2201"/>
        <v>0</v>
      </c>
      <c r="H330" s="270">
        <f t="shared" si="2201"/>
        <v>0</v>
      </c>
      <c r="I330" s="270">
        <f t="shared" si="2201"/>
        <v>0</v>
      </c>
      <c r="J330" s="270">
        <f t="shared" si="2201"/>
        <v>0</v>
      </c>
      <c r="K330" s="270">
        <f t="shared" si="2201"/>
        <v>0</v>
      </c>
      <c r="L330" s="270">
        <f t="shared" si="2201"/>
        <v>0</v>
      </c>
      <c r="M330" s="270">
        <f t="shared" si="2201"/>
        <v>0</v>
      </c>
      <c r="N330" s="270">
        <f t="shared" si="2201"/>
        <v>0</v>
      </c>
      <c r="O330" s="270">
        <f t="shared" si="2201"/>
        <v>0</v>
      </c>
      <c r="P330" s="272">
        <f t="shared" si="2201"/>
        <v>0</v>
      </c>
      <c r="Q330" s="272">
        <f t="shared" si="2201"/>
        <v>0</v>
      </c>
      <c r="R330" s="272">
        <f t="shared" si="2201"/>
        <v>0</v>
      </c>
      <c r="S330" s="272">
        <f t="shared" si="2201"/>
        <v>0</v>
      </c>
      <c r="T330" s="272">
        <f t="shared" si="2201"/>
        <v>0</v>
      </c>
      <c r="U330" s="270">
        <f t="shared" si="2201"/>
        <v>0</v>
      </c>
      <c r="V330" s="270">
        <f t="shared" si="2201"/>
        <v>0</v>
      </c>
      <c r="W330" s="270">
        <f t="shared" si="2201"/>
        <v>0</v>
      </c>
      <c r="X330" s="270">
        <f t="shared" si="2201"/>
        <v>0</v>
      </c>
      <c r="Y330" s="270">
        <f t="shared" si="2201"/>
        <v>0</v>
      </c>
      <c r="Z330" s="270">
        <f t="shared" si="2201"/>
        <v>0</v>
      </c>
      <c r="AA330" s="270">
        <f t="shared" si="2201"/>
        <v>0</v>
      </c>
      <c r="AB330" s="270">
        <f t="shared" si="2201"/>
        <v>0</v>
      </c>
      <c r="AC330" s="270">
        <f t="shared" si="2201"/>
        <v>0</v>
      </c>
      <c r="AD330" s="270">
        <f t="shared" si="2201"/>
        <v>0</v>
      </c>
      <c r="AE330" s="270">
        <f t="shared" si="2201"/>
        <v>0</v>
      </c>
      <c r="AF330" s="270">
        <f t="shared" si="2201"/>
        <v>0</v>
      </c>
      <c r="AG330" s="270">
        <f t="shared" si="2201"/>
        <v>0</v>
      </c>
      <c r="AH330" s="279">
        <f t="shared" si="602"/>
        <v>0</v>
      </c>
      <c r="AI330" s="270">
        <f t="shared" si="43"/>
        <v>0</v>
      </c>
      <c r="AJ330" s="270">
        <f t="shared" ref="AJ330:AO330" si="2202">IF(F$8=0,0,ROUND(AJ329-(F330-BO330),2))</f>
        <v>0</v>
      </c>
      <c r="AK330" s="270">
        <f t="shared" si="2202"/>
        <v>0</v>
      </c>
      <c r="AL330" s="270">
        <f t="shared" si="2202"/>
        <v>0</v>
      </c>
      <c r="AM330" s="270">
        <f t="shared" si="2202"/>
        <v>0</v>
      </c>
      <c r="AN330" s="270">
        <f t="shared" si="2202"/>
        <v>0</v>
      </c>
      <c r="AO330" s="270">
        <f t="shared" si="2202"/>
        <v>0</v>
      </c>
      <c r="AP330" s="270">
        <v>0.0</v>
      </c>
      <c r="AQ330" s="270">
        <f t="shared" ref="AQ330:AR330" si="2203">IF(M$8=0,0,ROUND(AQ329-(M330-BV330),2))</f>
        <v>0</v>
      </c>
      <c r="AR330" s="270">
        <f t="shared" si="2203"/>
        <v>0</v>
      </c>
      <c r="AS330" s="270">
        <f t="shared" si="1902"/>
        <v>-6.02</v>
      </c>
      <c r="AT330" s="270">
        <f t="shared" si="605"/>
        <v>-7.32</v>
      </c>
      <c r="AU330" s="270">
        <f t="shared" ref="AU330:BK330" si="2204">IF(Q$8=0,0,ROUND(AU329-(Q330-BY330),2))</f>
        <v>-19.57</v>
      </c>
      <c r="AV330" s="270">
        <f t="shared" si="2204"/>
        <v>0</v>
      </c>
      <c r="AW330" s="270">
        <f t="shared" si="2204"/>
        <v>0</v>
      </c>
      <c r="AX330" s="270">
        <f t="shared" si="2204"/>
        <v>0</v>
      </c>
      <c r="AY330" s="270">
        <f t="shared" si="2204"/>
        <v>0</v>
      </c>
      <c r="AZ330" s="270">
        <f t="shared" si="2204"/>
        <v>0</v>
      </c>
      <c r="BA330" s="270">
        <f t="shared" si="2204"/>
        <v>0</v>
      </c>
      <c r="BB330" s="270">
        <f t="shared" si="2204"/>
        <v>0</v>
      </c>
      <c r="BC330" s="270">
        <f t="shared" si="2204"/>
        <v>0</v>
      </c>
      <c r="BD330" s="270">
        <f t="shared" si="2204"/>
        <v>0</v>
      </c>
      <c r="BE330" s="270">
        <f t="shared" si="2204"/>
        <v>0</v>
      </c>
      <c r="BF330" s="270">
        <f t="shared" si="2204"/>
        <v>0</v>
      </c>
      <c r="BG330" s="270">
        <f t="shared" si="2204"/>
        <v>0</v>
      </c>
      <c r="BH330" s="270">
        <f t="shared" si="2204"/>
        <v>0</v>
      </c>
      <c r="BI330" s="270">
        <f t="shared" si="2204"/>
        <v>0</v>
      </c>
      <c r="BJ330" s="270">
        <f t="shared" si="2204"/>
        <v>0</v>
      </c>
      <c r="BK330" s="270">
        <f t="shared" si="2204"/>
        <v>0</v>
      </c>
      <c r="BL330" s="265">
        <f t="shared" si="16"/>
        <v>-32.91</v>
      </c>
      <c r="BM330" s="215"/>
      <c r="BN330" s="270">
        <f t="shared" ref="BN330:CP330" si="2205">ROUND(AI329*E$9/12,2)</f>
        <v>0</v>
      </c>
      <c r="BO330" s="270">
        <f t="shared" si="2205"/>
        <v>0</v>
      </c>
      <c r="BP330" s="270">
        <f t="shared" si="2205"/>
        <v>0</v>
      </c>
      <c r="BQ330" s="270">
        <f t="shared" si="2205"/>
        <v>0</v>
      </c>
      <c r="BR330" s="270">
        <f t="shared" si="2205"/>
        <v>0</v>
      </c>
      <c r="BS330" s="270">
        <f t="shared" si="2205"/>
        <v>0</v>
      </c>
      <c r="BT330" s="270">
        <f t="shared" si="2205"/>
        <v>0</v>
      </c>
      <c r="BU330" s="270">
        <f t="shared" si="2205"/>
        <v>0</v>
      </c>
      <c r="BV330" s="270">
        <f t="shared" si="2205"/>
        <v>0</v>
      </c>
      <c r="BW330" s="270">
        <f t="shared" si="2205"/>
        <v>0</v>
      </c>
      <c r="BX330" s="270">
        <f t="shared" si="2205"/>
        <v>-0.05</v>
      </c>
      <c r="BY330" s="270">
        <f t="shared" si="2205"/>
        <v>-0.06</v>
      </c>
      <c r="BZ330" s="270">
        <f t="shared" si="2205"/>
        <v>-0.06</v>
      </c>
      <c r="CA330" s="270">
        <f t="shared" si="2205"/>
        <v>0</v>
      </c>
      <c r="CB330" s="270">
        <f t="shared" si="2205"/>
        <v>0</v>
      </c>
      <c r="CC330" s="270">
        <f t="shared" si="2205"/>
        <v>0</v>
      </c>
      <c r="CD330" s="270">
        <f t="shared" si="2205"/>
        <v>0</v>
      </c>
      <c r="CE330" s="270">
        <f t="shared" si="2205"/>
        <v>0</v>
      </c>
      <c r="CF330" s="270">
        <f t="shared" si="2205"/>
        <v>0</v>
      </c>
      <c r="CG330" s="270">
        <f t="shared" si="2205"/>
        <v>0</v>
      </c>
      <c r="CH330" s="270">
        <f t="shared" si="2205"/>
        <v>0</v>
      </c>
      <c r="CI330" s="270">
        <f t="shared" si="2205"/>
        <v>0</v>
      </c>
      <c r="CJ330" s="270">
        <f t="shared" si="2205"/>
        <v>0</v>
      </c>
      <c r="CK330" s="270">
        <f t="shared" si="2205"/>
        <v>0</v>
      </c>
      <c r="CL330" s="270">
        <f t="shared" si="2205"/>
        <v>0</v>
      </c>
      <c r="CM330" s="270">
        <f t="shared" si="2205"/>
        <v>0</v>
      </c>
      <c r="CN330" s="270">
        <f t="shared" si="2205"/>
        <v>0</v>
      </c>
      <c r="CO330" s="270">
        <f t="shared" si="2205"/>
        <v>0</v>
      </c>
      <c r="CP330" s="270">
        <f t="shared" si="2205"/>
        <v>0</v>
      </c>
      <c r="CQ330" s="215"/>
      <c r="CR330" s="270">
        <f t="shared" si="27"/>
        <v>-0.17</v>
      </c>
      <c r="CS330" s="215"/>
      <c r="CT330" s="270">
        <f t="shared" ref="CT330:DX330" si="2206">IF(AI329&gt;0,IF((AI329+BN330)&lt;E$10,AI329+BN330,E$10),0)</f>
        <v>0</v>
      </c>
      <c r="CU330" s="270">
        <f t="shared" si="2206"/>
        <v>0</v>
      </c>
      <c r="CV330" s="270">
        <f t="shared" si="2206"/>
        <v>0</v>
      </c>
      <c r="CW330" s="270">
        <f t="shared" si="2206"/>
        <v>0</v>
      </c>
      <c r="CX330" s="270">
        <f t="shared" si="2206"/>
        <v>0</v>
      </c>
      <c r="CY330" s="270">
        <f t="shared" si="2206"/>
        <v>0</v>
      </c>
      <c r="CZ330" s="270">
        <f t="shared" si="2206"/>
        <v>0</v>
      </c>
      <c r="DA330" s="270">
        <f t="shared" si="2206"/>
        <v>0</v>
      </c>
      <c r="DB330" s="270">
        <f t="shared" si="2206"/>
        <v>0</v>
      </c>
      <c r="DC330" s="270">
        <f t="shared" si="2206"/>
        <v>0</v>
      </c>
      <c r="DD330" s="270">
        <f t="shared" si="2206"/>
        <v>0</v>
      </c>
      <c r="DE330" s="270">
        <f t="shared" si="2206"/>
        <v>0</v>
      </c>
      <c r="DF330" s="270">
        <f t="shared" si="2206"/>
        <v>0</v>
      </c>
      <c r="DG330" s="270">
        <f t="shared" si="2206"/>
        <v>0</v>
      </c>
      <c r="DH330" s="270">
        <f t="shared" si="2206"/>
        <v>0</v>
      </c>
      <c r="DI330" s="270">
        <f t="shared" si="2206"/>
        <v>0</v>
      </c>
      <c r="DJ330" s="270">
        <f t="shared" si="2206"/>
        <v>0</v>
      </c>
      <c r="DK330" s="270">
        <f t="shared" si="2206"/>
        <v>0</v>
      </c>
      <c r="DL330" s="270">
        <f t="shared" si="2206"/>
        <v>0</v>
      </c>
      <c r="DM330" s="270">
        <f t="shared" si="2206"/>
        <v>0</v>
      </c>
      <c r="DN330" s="270">
        <f t="shared" si="2206"/>
        <v>0</v>
      </c>
      <c r="DO330" s="270">
        <f t="shared" si="2206"/>
        <v>0</v>
      </c>
      <c r="DP330" s="270">
        <f t="shared" si="2206"/>
        <v>0</v>
      </c>
      <c r="DQ330" s="270">
        <f t="shared" si="2206"/>
        <v>0</v>
      </c>
      <c r="DR330" s="270">
        <f t="shared" si="2206"/>
        <v>0</v>
      </c>
      <c r="DS330" s="270">
        <f t="shared" si="2206"/>
        <v>0</v>
      </c>
      <c r="DT330" s="270">
        <f t="shared" si="2206"/>
        <v>0</v>
      </c>
      <c r="DU330" s="270">
        <f t="shared" si="2206"/>
        <v>0</v>
      </c>
      <c r="DV330" s="270">
        <f t="shared" si="2206"/>
        <v>0</v>
      </c>
      <c r="DW330" s="270">
        <f t="shared" si="2206"/>
        <v>0</v>
      </c>
      <c r="DX330" s="270">
        <f t="shared" si="2206"/>
        <v>0</v>
      </c>
      <c r="DY330" s="270">
        <f t="shared" si="29"/>
        <v>0</v>
      </c>
      <c r="DZ330" s="274"/>
      <c r="EA330" s="275">
        <f t="shared" si="38"/>
        <v>0</v>
      </c>
      <c r="EB330" s="270">
        <f t="shared" ref="EB330:FC330" si="2207">IF(AJ328&lt;=0,0,IF($C329&lt;=SUM($EA330:EA330),0,IF(CU329+$C329-SUM($EA330:EA330)&gt;AJ328+BO329,AJ328+BO329-CU329,$C329-SUM($EA330:EA330))))</f>
        <v>0</v>
      </c>
      <c r="EC330" s="270">
        <f t="shared" si="2207"/>
        <v>0</v>
      </c>
      <c r="ED330" s="270">
        <f t="shared" si="2207"/>
        <v>0</v>
      </c>
      <c r="EE330" s="270">
        <f t="shared" si="2207"/>
        <v>0</v>
      </c>
      <c r="EF330" s="270">
        <f t="shared" si="2207"/>
        <v>0</v>
      </c>
      <c r="EG330" s="270">
        <f t="shared" si="2207"/>
        <v>0</v>
      </c>
      <c r="EH330" s="270">
        <f t="shared" si="2207"/>
        <v>0</v>
      </c>
      <c r="EI330" s="270">
        <f t="shared" si="2207"/>
        <v>0</v>
      </c>
      <c r="EJ330" s="270">
        <f t="shared" si="2207"/>
        <v>0</v>
      </c>
      <c r="EK330" s="270">
        <f t="shared" si="2207"/>
        <v>0</v>
      </c>
      <c r="EL330" s="270">
        <f t="shared" si="2207"/>
        <v>0</v>
      </c>
      <c r="EM330" s="270">
        <f t="shared" si="2207"/>
        <v>0</v>
      </c>
      <c r="EN330" s="270">
        <f t="shared" si="2207"/>
        <v>0</v>
      </c>
      <c r="EO330" s="270">
        <f t="shared" si="2207"/>
        <v>0</v>
      </c>
      <c r="EP330" s="270">
        <f t="shared" si="2207"/>
        <v>0</v>
      </c>
      <c r="EQ330" s="270">
        <f t="shared" si="2207"/>
        <v>0</v>
      </c>
      <c r="ER330" s="270">
        <f t="shared" si="2207"/>
        <v>0</v>
      </c>
      <c r="ES330" s="270">
        <f t="shared" si="2207"/>
        <v>0</v>
      </c>
      <c r="ET330" s="270">
        <f t="shared" si="2207"/>
        <v>0</v>
      </c>
      <c r="EU330" s="270">
        <f t="shared" si="2207"/>
        <v>0</v>
      </c>
      <c r="EV330" s="270">
        <f t="shared" si="2207"/>
        <v>0</v>
      </c>
      <c r="EW330" s="270">
        <f t="shared" si="2207"/>
        <v>0</v>
      </c>
      <c r="EX330" s="270">
        <f t="shared" si="2207"/>
        <v>0</v>
      </c>
      <c r="EY330" s="270">
        <f t="shared" si="2207"/>
        <v>0</v>
      </c>
      <c r="EZ330" s="270">
        <f t="shared" si="2207"/>
        <v>0</v>
      </c>
      <c r="FA330" s="270">
        <f t="shared" si="2207"/>
        <v>0</v>
      </c>
      <c r="FB330" s="270">
        <f t="shared" si="2207"/>
        <v>0</v>
      </c>
      <c r="FC330" s="270">
        <f t="shared" si="2207"/>
        <v>0</v>
      </c>
      <c r="FD330" s="271"/>
      <c r="FE330" s="271"/>
      <c r="FF330" s="271"/>
      <c r="FG330" s="215"/>
      <c r="FH330" s="215"/>
    </row>
    <row r="331" ht="11.25" customHeight="1">
      <c r="A331" s="215" t="str">
        <f t="shared" si="19"/>
        <v/>
      </c>
      <c r="B331" s="241" t="str">
        <f t="shared" si="600"/>
        <v>#N/A</v>
      </c>
      <c r="C331" s="271" t="str">
        <f>IF(A331="","",IF(Calculator!snowball,IF(($E$5-DY331)&lt;0,0,$E$5-DY331),0)+D331)</f>
        <v/>
      </c>
      <c r="D331" s="271"/>
      <c r="E331" s="270">
        <f t="shared" si="40"/>
        <v>0</v>
      </c>
      <c r="F331" s="270">
        <f t="shared" ref="F331:AG331" si="2208">CU331+EB332</f>
        <v>0</v>
      </c>
      <c r="G331" s="270">
        <f t="shared" si="2208"/>
        <v>0</v>
      </c>
      <c r="H331" s="270">
        <f t="shared" si="2208"/>
        <v>0</v>
      </c>
      <c r="I331" s="270">
        <f t="shared" si="2208"/>
        <v>0</v>
      </c>
      <c r="J331" s="270">
        <f t="shared" si="2208"/>
        <v>0</v>
      </c>
      <c r="K331" s="270">
        <f t="shared" si="2208"/>
        <v>0</v>
      </c>
      <c r="L331" s="270">
        <f t="shared" si="2208"/>
        <v>0</v>
      </c>
      <c r="M331" s="270">
        <f t="shared" si="2208"/>
        <v>0</v>
      </c>
      <c r="N331" s="270">
        <f t="shared" si="2208"/>
        <v>0</v>
      </c>
      <c r="O331" s="270">
        <f t="shared" si="2208"/>
        <v>0</v>
      </c>
      <c r="P331" s="272">
        <f t="shared" si="2208"/>
        <v>0</v>
      </c>
      <c r="Q331" s="272">
        <f t="shared" si="2208"/>
        <v>0</v>
      </c>
      <c r="R331" s="272">
        <f t="shared" si="2208"/>
        <v>0</v>
      </c>
      <c r="S331" s="272">
        <f t="shared" si="2208"/>
        <v>0</v>
      </c>
      <c r="T331" s="272">
        <f t="shared" si="2208"/>
        <v>0</v>
      </c>
      <c r="U331" s="270">
        <f t="shared" si="2208"/>
        <v>0</v>
      </c>
      <c r="V331" s="270">
        <f t="shared" si="2208"/>
        <v>0</v>
      </c>
      <c r="W331" s="270">
        <f t="shared" si="2208"/>
        <v>0</v>
      </c>
      <c r="X331" s="270">
        <f t="shared" si="2208"/>
        <v>0</v>
      </c>
      <c r="Y331" s="270">
        <f t="shared" si="2208"/>
        <v>0</v>
      </c>
      <c r="Z331" s="270">
        <f t="shared" si="2208"/>
        <v>0</v>
      </c>
      <c r="AA331" s="270">
        <f t="shared" si="2208"/>
        <v>0</v>
      </c>
      <c r="AB331" s="270">
        <f t="shared" si="2208"/>
        <v>0</v>
      </c>
      <c r="AC331" s="270">
        <f t="shared" si="2208"/>
        <v>0</v>
      </c>
      <c r="AD331" s="270">
        <f t="shared" si="2208"/>
        <v>0</v>
      </c>
      <c r="AE331" s="270">
        <f t="shared" si="2208"/>
        <v>0</v>
      </c>
      <c r="AF331" s="270">
        <f t="shared" si="2208"/>
        <v>0</v>
      </c>
      <c r="AG331" s="270">
        <f t="shared" si="2208"/>
        <v>0</v>
      </c>
      <c r="AH331" s="279">
        <f t="shared" si="602"/>
        <v>0</v>
      </c>
      <c r="AI331" s="270">
        <f t="shared" si="43"/>
        <v>0</v>
      </c>
      <c r="AJ331" s="270">
        <f t="shared" ref="AJ331:AO331" si="2209">IF(F$8=0,0,ROUND(AJ330-(F331-BO331),2))</f>
        <v>0</v>
      </c>
      <c r="AK331" s="270">
        <f t="shared" si="2209"/>
        <v>0</v>
      </c>
      <c r="AL331" s="270">
        <f t="shared" si="2209"/>
        <v>0</v>
      </c>
      <c r="AM331" s="270">
        <f t="shared" si="2209"/>
        <v>0</v>
      </c>
      <c r="AN331" s="270">
        <f t="shared" si="2209"/>
        <v>0</v>
      </c>
      <c r="AO331" s="270">
        <f t="shared" si="2209"/>
        <v>0</v>
      </c>
      <c r="AP331" s="270">
        <v>0.0</v>
      </c>
      <c r="AQ331" s="270">
        <f t="shared" ref="AQ331:AR331" si="2210">IF(M$8=0,0,ROUND(AQ330-(M331-BV331),2))</f>
        <v>0</v>
      </c>
      <c r="AR331" s="270">
        <f t="shared" si="2210"/>
        <v>0</v>
      </c>
      <c r="AS331" s="270">
        <f t="shared" si="1902"/>
        <v>-6.2</v>
      </c>
      <c r="AT331" s="270">
        <f t="shared" si="605"/>
        <v>-7.38</v>
      </c>
      <c r="AU331" s="270">
        <f t="shared" ref="AU331:BK331" si="2211">IF(Q$8=0,0,ROUND(AU330-(Q331-BY331),2))</f>
        <v>-19.63</v>
      </c>
      <c r="AV331" s="270">
        <f t="shared" si="2211"/>
        <v>0</v>
      </c>
      <c r="AW331" s="270">
        <f t="shared" si="2211"/>
        <v>0</v>
      </c>
      <c r="AX331" s="270">
        <f t="shared" si="2211"/>
        <v>0</v>
      </c>
      <c r="AY331" s="270">
        <f t="shared" si="2211"/>
        <v>0</v>
      </c>
      <c r="AZ331" s="270">
        <f t="shared" si="2211"/>
        <v>0</v>
      </c>
      <c r="BA331" s="270">
        <f t="shared" si="2211"/>
        <v>0</v>
      </c>
      <c r="BB331" s="270">
        <f t="shared" si="2211"/>
        <v>0</v>
      </c>
      <c r="BC331" s="270">
        <f t="shared" si="2211"/>
        <v>0</v>
      </c>
      <c r="BD331" s="270">
        <f t="shared" si="2211"/>
        <v>0</v>
      </c>
      <c r="BE331" s="270">
        <f t="shared" si="2211"/>
        <v>0</v>
      </c>
      <c r="BF331" s="270">
        <f t="shared" si="2211"/>
        <v>0</v>
      </c>
      <c r="BG331" s="270">
        <f t="shared" si="2211"/>
        <v>0</v>
      </c>
      <c r="BH331" s="270">
        <f t="shared" si="2211"/>
        <v>0</v>
      </c>
      <c r="BI331" s="270">
        <f t="shared" si="2211"/>
        <v>0</v>
      </c>
      <c r="BJ331" s="270">
        <f t="shared" si="2211"/>
        <v>0</v>
      </c>
      <c r="BK331" s="270">
        <f t="shared" si="2211"/>
        <v>0</v>
      </c>
      <c r="BL331" s="265">
        <f t="shared" si="16"/>
        <v>-33.21</v>
      </c>
      <c r="BM331" s="215"/>
      <c r="BN331" s="270">
        <f t="shared" ref="BN331:CP331" si="2212">ROUND(AI330*E$9/12,2)</f>
        <v>0</v>
      </c>
      <c r="BO331" s="270">
        <f t="shared" si="2212"/>
        <v>0</v>
      </c>
      <c r="BP331" s="270">
        <f t="shared" si="2212"/>
        <v>0</v>
      </c>
      <c r="BQ331" s="270">
        <f t="shared" si="2212"/>
        <v>0</v>
      </c>
      <c r="BR331" s="270">
        <f t="shared" si="2212"/>
        <v>0</v>
      </c>
      <c r="BS331" s="270">
        <f t="shared" si="2212"/>
        <v>0</v>
      </c>
      <c r="BT331" s="270">
        <f t="shared" si="2212"/>
        <v>0</v>
      </c>
      <c r="BU331" s="270">
        <f t="shared" si="2212"/>
        <v>0</v>
      </c>
      <c r="BV331" s="270">
        <f t="shared" si="2212"/>
        <v>0</v>
      </c>
      <c r="BW331" s="270">
        <f t="shared" si="2212"/>
        <v>0</v>
      </c>
      <c r="BX331" s="270">
        <f t="shared" si="2212"/>
        <v>-0.06</v>
      </c>
      <c r="BY331" s="270">
        <f t="shared" si="2212"/>
        <v>-0.06</v>
      </c>
      <c r="BZ331" s="270">
        <f t="shared" si="2212"/>
        <v>-0.06</v>
      </c>
      <c r="CA331" s="270">
        <f t="shared" si="2212"/>
        <v>0</v>
      </c>
      <c r="CB331" s="270">
        <f t="shared" si="2212"/>
        <v>0</v>
      </c>
      <c r="CC331" s="270">
        <f t="shared" si="2212"/>
        <v>0</v>
      </c>
      <c r="CD331" s="270">
        <f t="shared" si="2212"/>
        <v>0</v>
      </c>
      <c r="CE331" s="270">
        <f t="shared" si="2212"/>
        <v>0</v>
      </c>
      <c r="CF331" s="270">
        <f t="shared" si="2212"/>
        <v>0</v>
      </c>
      <c r="CG331" s="270">
        <f t="shared" si="2212"/>
        <v>0</v>
      </c>
      <c r="CH331" s="270">
        <f t="shared" si="2212"/>
        <v>0</v>
      </c>
      <c r="CI331" s="270">
        <f t="shared" si="2212"/>
        <v>0</v>
      </c>
      <c r="CJ331" s="270">
        <f t="shared" si="2212"/>
        <v>0</v>
      </c>
      <c r="CK331" s="270">
        <f t="shared" si="2212"/>
        <v>0</v>
      </c>
      <c r="CL331" s="270">
        <f t="shared" si="2212"/>
        <v>0</v>
      </c>
      <c r="CM331" s="270">
        <f t="shared" si="2212"/>
        <v>0</v>
      </c>
      <c r="CN331" s="270">
        <f t="shared" si="2212"/>
        <v>0</v>
      </c>
      <c r="CO331" s="270">
        <f t="shared" si="2212"/>
        <v>0</v>
      </c>
      <c r="CP331" s="270">
        <f t="shared" si="2212"/>
        <v>0</v>
      </c>
      <c r="CQ331" s="215"/>
      <c r="CR331" s="270">
        <f t="shared" si="27"/>
        <v>-0.18</v>
      </c>
      <c r="CS331" s="215"/>
      <c r="CT331" s="270">
        <f t="shared" ref="CT331:DX331" si="2213">IF(AI330&gt;0,IF((AI330+BN331)&lt;E$10,AI330+BN331,E$10),0)</f>
        <v>0</v>
      </c>
      <c r="CU331" s="270">
        <f t="shared" si="2213"/>
        <v>0</v>
      </c>
      <c r="CV331" s="270">
        <f t="shared" si="2213"/>
        <v>0</v>
      </c>
      <c r="CW331" s="270">
        <f t="shared" si="2213"/>
        <v>0</v>
      </c>
      <c r="CX331" s="270">
        <f t="shared" si="2213"/>
        <v>0</v>
      </c>
      <c r="CY331" s="270">
        <f t="shared" si="2213"/>
        <v>0</v>
      </c>
      <c r="CZ331" s="270">
        <f t="shared" si="2213"/>
        <v>0</v>
      </c>
      <c r="DA331" s="270">
        <f t="shared" si="2213"/>
        <v>0</v>
      </c>
      <c r="DB331" s="270">
        <f t="shared" si="2213"/>
        <v>0</v>
      </c>
      <c r="DC331" s="270">
        <f t="shared" si="2213"/>
        <v>0</v>
      </c>
      <c r="DD331" s="270">
        <f t="shared" si="2213"/>
        <v>0</v>
      </c>
      <c r="DE331" s="270">
        <f t="shared" si="2213"/>
        <v>0</v>
      </c>
      <c r="DF331" s="270">
        <f t="shared" si="2213"/>
        <v>0</v>
      </c>
      <c r="DG331" s="270">
        <f t="shared" si="2213"/>
        <v>0</v>
      </c>
      <c r="DH331" s="270">
        <f t="shared" si="2213"/>
        <v>0</v>
      </c>
      <c r="DI331" s="270">
        <f t="shared" si="2213"/>
        <v>0</v>
      </c>
      <c r="DJ331" s="270">
        <f t="shared" si="2213"/>
        <v>0</v>
      </c>
      <c r="DK331" s="270">
        <f t="shared" si="2213"/>
        <v>0</v>
      </c>
      <c r="DL331" s="270">
        <f t="shared" si="2213"/>
        <v>0</v>
      </c>
      <c r="DM331" s="270">
        <f t="shared" si="2213"/>
        <v>0</v>
      </c>
      <c r="DN331" s="270">
        <f t="shared" si="2213"/>
        <v>0</v>
      </c>
      <c r="DO331" s="270">
        <f t="shared" si="2213"/>
        <v>0</v>
      </c>
      <c r="DP331" s="270">
        <f t="shared" si="2213"/>
        <v>0</v>
      </c>
      <c r="DQ331" s="270">
        <f t="shared" si="2213"/>
        <v>0</v>
      </c>
      <c r="DR331" s="270">
        <f t="shared" si="2213"/>
        <v>0</v>
      </c>
      <c r="DS331" s="270">
        <f t="shared" si="2213"/>
        <v>0</v>
      </c>
      <c r="DT331" s="270">
        <f t="shared" si="2213"/>
        <v>0</v>
      </c>
      <c r="DU331" s="270">
        <f t="shared" si="2213"/>
        <v>0</v>
      </c>
      <c r="DV331" s="270">
        <f t="shared" si="2213"/>
        <v>0</v>
      </c>
      <c r="DW331" s="270">
        <f t="shared" si="2213"/>
        <v>0</v>
      </c>
      <c r="DX331" s="270">
        <f t="shared" si="2213"/>
        <v>0</v>
      </c>
      <c r="DY331" s="270">
        <f t="shared" si="29"/>
        <v>0</v>
      </c>
      <c r="DZ331" s="274"/>
      <c r="EA331" s="275">
        <f t="shared" si="38"/>
        <v>0</v>
      </c>
      <c r="EB331" s="270">
        <f t="shared" ref="EB331:FC331" si="2214">IF(AJ329&lt;=0,0,IF($C330&lt;=SUM($EA331:EA331),0,IF(CU330+$C330-SUM($EA331:EA331)&gt;AJ329+BO330,AJ329+BO330-CU330,$C330-SUM($EA331:EA331))))</f>
        <v>0</v>
      </c>
      <c r="EC331" s="270">
        <f t="shared" si="2214"/>
        <v>0</v>
      </c>
      <c r="ED331" s="270">
        <f t="shared" si="2214"/>
        <v>0</v>
      </c>
      <c r="EE331" s="270">
        <f t="shared" si="2214"/>
        <v>0</v>
      </c>
      <c r="EF331" s="270">
        <f t="shared" si="2214"/>
        <v>0</v>
      </c>
      <c r="EG331" s="270">
        <f t="shared" si="2214"/>
        <v>0</v>
      </c>
      <c r="EH331" s="270">
        <f t="shared" si="2214"/>
        <v>0</v>
      </c>
      <c r="EI331" s="270">
        <f t="shared" si="2214"/>
        <v>0</v>
      </c>
      <c r="EJ331" s="270">
        <f t="shared" si="2214"/>
        <v>0</v>
      </c>
      <c r="EK331" s="270">
        <f t="shared" si="2214"/>
        <v>0</v>
      </c>
      <c r="EL331" s="270">
        <f t="shared" si="2214"/>
        <v>0</v>
      </c>
      <c r="EM331" s="270">
        <f t="shared" si="2214"/>
        <v>0</v>
      </c>
      <c r="EN331" s="270">
        <f t="shared" si="2214"/>
        <v>0</v>
      </c>
      <c r="EO331" s="270">
        <f t="shared" si="2214"/>
        <v>0</v>
      </c>
      <c r="EP331" s="270">
        <f t="shared" si="2214"/>
        <v>0</v>
      </c>
      <c r="EQ331" s="270">
        <f t="shared" si="2214"/>
        <v>0</v>
      </c>
      <c r="ER331" s="270">
        <f t="shared" si="2214"/>
        <v>0</v>
      </c>
      <c r="ES331" s="270">
        <f t="shared" si="2214"/>
        <v>0</v>
      </c>
      <c r="ET331" s="270">
        <f t="shared" si="2214"/>
        <v>0</v>
      </c>
      <c r="EU331" s="270">
        <f t="shared" si="2214"/>
        <v>0</v>
      </c>
      <c r="EV331" s="270">
        <f t="shared" si="2214"/>
        <v>0</v>
      </c>
      <c r="EW331" s="270">
        <f t="shared" si="2214"/>
        <v>0</v>
      </c>
      <c r="EX331" s="270">
        <f t="shared" si="2214"/>
        <v>0</v>
      </c>
      <c r="EY331" s="270">
        <f t="shared" si="2214"/>
        <v>0</v>
      </c>
      <c r="EZ331" s="270">
        <f t="shared" si="2214"/>
        <v>0</v>
      </c>
      <c r="FA331" s="270">
        <f t="shared" si="2214"/>
        <v>0</v>
      </c>
      <c r="FB331" s="270">
        <f t="shared" si="2214"/>
        <v>0</v>
      </c>
      <c r="FC331" s="270">
        <f t="shared" si="2214"/>
        <v>0</v>
      </c>
      <c r="FD331" s="271"/>
      <c r="FE331" s="271"/>
      <c r="FF331" s="271"/>
      <c r="FG331" s="215"/>
      <c r="FH331" s="215"/>
    </row>
    <row r="332" ht="11.25" customHeight="1">
      <c r="A332" s="215" t="str">
        <f t="shared" si="19"/>
        <v/>
      </c>
      <c r="B332" s="241" t="str">
        <f t="shared" si="600"/>
        <v>#N/A</v>
      </c>
      <c r="C332" s="271" t="str">
        <f>IF(A332="","",IF(Calculator!snowball,IF(($E$5-DY332)&lt;0,0,$E$5-DY332),0)+D332)</f>
        <v/>
      </c>
      <c r="D332" s="271"/>
      <c r="E332" s="270">
        <f t="shared" si="40"/>
        <v>0</v>
      </c>
      <c r="F332" s="270">
        <f t="shared" ref="F332:AG332" si="2215">CU332+EB333</f>
        <v>0</v>
      </c>
      <c r="G332" s="270">
        <f t="shared" si="2215"/>
        <v>0</v>
      </c>
      <c r="H332" s="270">
        <f t="shared" si="2215"/>
        <v>0</v>
      </c>
      <c r="I332" s="270">
        <f t="shared" si="2215"/>
        <v>0</v>
      </c>
      <c r="J332" s="270">
        <f t="shared" si="2215"/>
        <v>0</v>
      </c>
      <c r="K332" s="270">
        <f t="shared" si="2215"/>
        <v>0</v>
      </c>
      <c r="L332" s="270">
        <f t="shared" si="2215"/>
        <v>0</v>
      </c>
      <c r="M332" s="270">
        <f t="shared" si="2215"/>
        <v>0</v>
      </c>
      <c r="N332" s="270">
        <f t="shared" si="2215"/>
        <v>0</v>
      </c>
      <c r="O332" s="270">
        <f t="shared" si="2215"/>
        <v>0</v>
      </c>
      <c r="P332" s="272">
        <f t="shared" si="2215"/>
        <v>0</v>
      </c>
      <c r="Q332" s="272">
        <f t="shared" si="2215"/>
        <v>0</v>
      </c>
      <c r="R332" s="272">
        <f t="shared" si="2215"/>
        <v>0</v>
      </c>
      <c r="S332" s="272">
        <f t="shared" si="2215"/>
        <v>0</v>
      </c>
      <c r="T332" s="272">
        <f t="shared" si="2215"/>
        <v>0</v>
      </c>
      <c r="U332" s="270">
        <f t="shared" si="2215"/>
        <v>0</v>
      </c>
      <c r="V332" s="270">
        <f t="shared" si="2215"/>
        <v>0</v>
      </c>
      <c r="W332" s="270">
        <f t="shared" si="2215"/>
        <v>0</v>
      </c>
      <c r="X332" s="270">
        <f t="shared" si="2215"/>
        <v>0</v>
      </c>
      <c r="Y332" s="270">
        <f t="shared" si="2215"/>
        <v>0</v>
      </c>
      <c r="Z332" s="270">
        <f t="shared" si="2215"/>
        <v>0</v>
      </c>
      <c r="AA332" s="270">
        <f t="shared" si="2215"/>
        <v>0</v>
      </c>
      <c r="AB332" s="270">
        <f t="shared" si="2215"/>
        <v>0</v>
      </c>
      <c r="AC332" s="270">
        <f t="shared" si="2215"/>
        <v>0</v>
      </c>
      <c r="AD332" s="270">
        <f t="shared" si="2215"/>
        <v>0</v>
      </c>
      <c r="AE332" s="270">
        <f t="shared" si="2215"/>
        <v>0</v>
      </c>
      <c r="AF332" s="270">
        <f t="shared" si="2215"/>
        <v>0</v>
      </c>
      <c r="AG332" s="270">
        <f t="shared" si="2215"/>
        <v>0</v>
      </c>
      <c r="AH332" s="279">
        <f t="shared" si="602"/>
        <v>0</v>
      </c>
      <c r="AI332" s="270">
        <f t="shared" si="43"/>
        <v>0</v>
      </c>
      <c r="AJ332" s="270">
        <f t="shared" ref="AJ332:AO332" si="2216">IF(F$8=0,0,ROUND(AJ331-(F332-BO332),2))</f>
        <v>0</v>
      </c>
      <c r="AK332" s="270">
        <f t="shared" si="2216"/>
        <v>0</v>
      </c>
      <c r="AL332" s="270">
        <f t="shared" si="2216"/>
        <v>0</v>
      </c>
      <c r="AM332" s="270">
        <f t="shared" si="2216"/>
        <v>0</v>
      </c>
      <c r="AN332" s="270">
        <f t="shared" si="2216"/>
        <v>0</v>
      </c>
      <c r="AO332" s="270">
        <f t="shared" si="2216"/>
        <v>0</v>
      </c>
      <c r="AP332" s="270">
        <v>0.0</v>
      </c>
      <c r="AQ332" s="270">
        <f t="shared" ref="AQ332:AR332" si="2217">IF(M$8=0,0,ROUND(AQ331-(M332-BV332),2))</f>
        <v>0</v>
      </c>
      <c r="AR332" s="270">
        <f t="shared" si="2217"/>
        <v>0</v>
      </c>
      <c r="AS332" s="270">
        <f t="shared" si="1902"/>
        <v>-6.38</v>
      </c>
      <c r="AT332" s="270">
        <f t="shared" si="605"/>
        <v>-7.44</v>
      </c>
      <c r="AU332" s="270">
        <f t="shared" ref="AU332:BK332" si="2218">IF(Q$8=0,0,ROUND(AU331-(Q332-BY332),2))</f>
        <v>-19.69</v>
      </c>
      <c r="AV332" s="270">
        <f t="shared" si="2218"/>
        <v>0</v>
      </c>
      <c r="AW332" s="270">
        <f t="shared" si="2218"/>
        <v>0</v>
      </c>
      <c r="AX332" s="270">
        <f t="shared" si="2218"/>
        <v>0</v>
      </c>
      <c r="AY332" s="270">
        <f t="shared" si="2218"/>
        <v>0</v>
      </c>
      <c r="AZ332" s="270">
        <f t="shared" si="2218"/>
        <v>0</v>
      </c>
      <c r="BA332" s="270">
        <f t="shared" si="2218"/>
        <v>0</v>
      </c>
      <c r="BB332" s="270">
        <f t="shared" si="2218"/>
        <v>0</v>
      </c>
      <c r="BC332" s="270">
        <f t="shared" si="2218"/>
        <v>0</v>
      </c>
      <c r="BD332" s="270">
        <f t="shared" si="2218"/>
        <v>0</v>
      </c>
      <c r="BE332" s="270">
        <f t="shared" si="2218"/>
        <v>0</v>
      </c>
      <c r="BF332" s="270">
        <f t="shared" si="2218"/>
        <v>0</v>
      </c>
      <c r="BG332" s="270">
        <f t="shared" si="2218"/>
        <v>0</v>
      </c>
      <c r="BH332" s="270">
        <f t="shared" si="2218"/>
        <v>0</v>
      </c>
      <c r="BI332" s="270">
        <f t="shared" si="2218"/>
        <v>0</v>
      </c>
      <c r="BJ332" s="270">
        <f t="shared" si="2218"/>
        <v>0</v>
      </c>
      <c r="BK332" s="270">
        <f t="shared" si="2218"/>
        <v>0</v>
      </c>
      <c r="BL332" s="265">
        <f t="shared" si="16"/>
        <v>-33.51</v>
      </c>
      <c r="BM332" s="215"/>
      <c r="BN332" s="270">
        <f t="shared" ref="BN332:CP332" si="2219">ROUND(AI331*E$9/12,2)</f>
        <v>0</v>
      </c>
      <c r="BO332" s="270">
        <f t="shared" si="2219"/>
        <v>0</v>
      </c>
      <c r="BP332" s="270">
        <f t="shared" si="2219"/>
        <v>0</v>
      </c>
      <c r="BQ332" s="270">
        <f t="shared" si="2219"/>
        <v>0</v>
      </c>
      <c r="BR332" s="270">
        <f t="shared" si="2219"/>
        <v>0</v>
      </c>
      <c r="BS332" s="270">
        <f t="shared" si="2219"/>
        <v>0</v>
      </c>
      <c r="BT332" s="270">
        <f t="shared" si="2219"/>
        <v>0</v>
      </c>
      <c r="BU332" s="270">
        <f t="shared" si="2219"/>
        <v>0</v>
      </c>
      <c r="BV332" s="270">
        <f t="shared" si="2219"/>
        <v>0</v>
      </c>
      <c r="BW332" s="270">
        <f t="shared" si="2219"/>
        <v>0</v>
      </c>
      <c r="BX332" s="270">
        <f t="shared" si="2219"/>
        <v>-0.06</v>
      </c>
      <c r="BY332" s="270">
        <f t="shared" si="2219"/>
        <v>-0.06</v>
      </c>
      <c r="BZ332" s="270">
        <f t="shared" si="2219"/>
        <v>-0.06</v>
      </c>
      <c r="CA332" s="270">
        <f t="shared" si="2219"/>
        <v>0</v>
      </c>
      <c r="CB332" s="270">
        <f t="shared" si="2219"/>
        <v>0</v>
      </c>
      <c r="CC332" s="270">
        <f t="shared" si="2219"/>
        <v>0</v>
      </c>
      <c r="CD332" s="270">
        <f t="shared" si="2219"/>
        <v>0</v>
      </c>
      <c r="CE332" s="270">
        <f t="shared" si="2219"/>
        <v>0</v>
      </c>
      <c r="CF332" s="270">
        <f t="shared" si="2219"/>
        <v>0</v>
      </c>
      <c r="CG332" s="270">
        <f t="shared" si="2219"/>
        <v>0</v>
      </c>
      <c r="CH332" s="270">
        <f t="shared" si="2219"/>
        <v>0</v>
      </c>
      <c r="CI332" s="270">
        <f t="shared" si="2219"/>
        <v>0</v>
      </c>
      <c r="CJ332" s="270">
        <f t="shared" si="2219"/>
        <v>0</v>
      </c>
      <c r="CK332" s="270">
        <f t="shared" si="2219"/>
        <v>0</v>
      </c>
      <c r="CL332" s="270">
        <f t="shared" si="2219"/>
        <v>0</v>
      </c>
      <c r="CM332" s="270">
        <f t="shared" si="2219"/>
        <v>0</v>
      </c>
      <c r="CN332" s="270">
        <f t="shared" si="2219"/>
        <v>0</v>
      </c>
      <c r="CO332" s="270">
        <f t="shared" si="2219"/>
        <v>0</v>
      </c>
      <c r="CP332" s="270">
        <f t="shared" si="2219"/>
        <v>0</v>
      </c>
      <c r="CQ332" s="215"/>
      <c r="CR332" s="270">
        <f t="shared" si="27"/>
        <v>-0.18</v>
      </c>
      <c r="CS332" s="215"/>
      <c r="CT332" s="270">
        <f t="shared" ref="CT332:DX332" si="2220">IF(AI331&gt;0,IF((AI331+BN332)&lt;E$10,AI331+BN332,E$10),0)</f>
        <v>0</v>
      </c>
      <c r="CU332" s="270">
        <f t="shared" si="2220"/>
        <v>0</v>
      </c>
      <c r="CV332" s="270">
        <f t="shared" si="2220"/>
        <v>0</v>
      </c>
      <c r="CW332" s="270">
        <f t="shared" si="2220"/>
        <v>0</v>
      </c>
      <c r="CX332" s="270">
        <f t="shared" si="2220"/>
        <v>0</v>
      </c>
      <c r="CY332" s="270">
        <f t="shared" si="2220"/>
        <v>0</v>
      </c>
      <c r="CZ332" s="270">
        <f t="shared" si="2220"/>
        <v>0</v>
      </c>
      <c r="DA332" s="270">
        <f t="shared" si="2220"/>
        <v>0</v>
      </c>
      <c r="DB332" s="270">
        <f t="shared" si="2220"/>
        <v>0</v>
      </c>
      <c r="DC332" s="270">
        <f t="shared" si="2220"/>
        <v>0</v>
      </c>
      <c r="DD332" s="270">
        <f t="shared" si="2220"/>
        <v>0</v>
      </c>
      <c r="DE332" s="270">
        <f t="shared" si="2220"/>
        <v>0</v>
      </c>
      <c r="DF332" s="270">
        <f t="shared" si="2220"/>
        <v>0</v>
      </c>
      <c r="DG332" s="270">
        <f t="shared" si="2220"/>
        <v>0</v>
      </c>
      <c r="DH332" s="270">
        <f t="shared" si="2220"/>
        <v>0</v>
      </c>
      <c r="DI332" s="270">
        <f t="shared" si="2220"/>
        <v>0</v>
      </c>
      <c r="DJ332" s="270">
        <f t="shared" si="2220"/>
        <v>0</v>
      </c>
      <c r="DK332" s="270">
        <f t="shared" si="2220"/>
        <v>0</v>
      </c>
      <c r="DL332" s="270">
        <f t="shared" si="2220"/>
        <v>0</v>
      </c>
      <c r="DM332" s="270">
        <f t="shared" si="2220"/>
        <v>0</v>
      </c>
      <c r="DN332" s="270">
        <f t="shared" si="2220"/>
        <v>0</v>
      </c>
      <c r="DO332" s="270">
        <f t="shared" si="2220"/>
        <v>0</v>
      </c>
      <c r="DP332" s="270">
        <f t="shared" si="2220"/>
        <v>0</v>
      </c>
      <c r="DQ332" s="270">
        <f t="shared" si="2220"/>
        <v>0</v>
      </c>
      <c r="DR332" s="270">
        <f t="shared" si="2220"/>
        <v>0</v>
      </c>
      <c r="DS332" s="270">
        <f t="shared" si="2220"/>
        <v>0</v>
      </c>
      <c r="DT332" s="270">
        <f t="shared" si="2220"/>
        <v>0</v>
      </c>
      <c r="DU332" s="270">
        <f t="shared" si="2220"/>
        <v>0</v>
      </c>
      <c r="DV332" s="270">
        <f t="shared" si="2220"/>
        <v>0</v>
      </c>
      <c r="DW332" s="270">
        <f t="shared" si="2220"/>
        <v>0</v>
      </c>
      <c r="DX332" s="270">
        <f t="shared" si="2220"/>
        <v>0</v>
      </c>
      <c r="DY332" s="270">
        <f t="shared" si="29"/>
        <v>0</v>
      </c>
      <c r="DZ332" s="274"/>
      <c r="EA332" s="275">
        <f t="shared" si="38"/>
        <v>0</v>
      </c>
      <c r="EB332" s="270">
        <f t="shared" ref="EB332:FC332" si="2221">IF(AJ330&lt;=0,0,IF($C331&lt;=SUM($EA332:EA332),0,IF(CU331+$C331-SUM($EA332:EA332)&gt;AJ330+BO331,AJ330+BO331-CU331,$C331-SUM($EA332:EA332))))</f>
        <v>0</v>
      </c>
      <c r="EC332" s="270">
        <f t="shared" si="2221"/>
        <v>0</v>
      </c>
      <c r="ED332" s="270">
        <f t="shared" si="2221"/>
        <v>0</v>
      </c>
      <c r="EE332" s="270">
        <f t="shared" si="2221"/>
        <v>0</v>
      </c>
      <c r="EF332" s="270">
        <f t="shared" si="2221"/>
        <v>0</v>
      </c>
      <c r="EG332" s="270">
        <f t="shared" si="2221"/>
        <v>0</v>
      </c>
      <c r="EH332" s="270">
        <f t="shared" si="2221"/>
        <v>0</v>
      </c>
      <c r="EI332" s="270">
        <f t="shared" si="2221"/>
        <v>0</v>
      </c>
      <c r="EJ332" s="270">
        <f t="shared" si="2221"/>
        <v>0</v>
      </c>
      <c r="EK332" s="270">
        <f t="shared" si="2221"/>
        <v>0</v>
      </c>
      <c r="EL332" s="270">
        <f t="shared" si="2221"/>
        <v>0</v>
      </c>
      <c r="EM332" s="270">
        <f t="shared" si="2221"/>
        <v>0</v>
      </c>
      <c r="EN332" s="270">
        <f t="shared" si="2221"/>
        <v>0</v>
      </c>
      <c r="EO332" s="270">
        <f t="shared" si="2221"/>
        <v>0</v>
      </c>
      <c r="EP332" s="270">
        <f t="shared" si="2221"/>
        <v>0</v>
      </c>
      <c r="EQ332" s="270">
        <f t="shared" si="2221"/>
        <v>0</v>
      </c>
      <c r="ER332" s="270">
        <f t="shared" si="2221"/>
        <v>0</v>
      </c>
      <c r="ES332" s="270">
        <f t="shared" si="2221"/>
        <v>0</v>
      </c>
      <c r="ET332" s="270">
        <f t="shared" si="2221"/>
        <v>0</v>
      </c>
      <c r="EU332" s="270">
        <f t="shared" si="2221"/>
        <v>0</v>
      </c>
      <c r="EV332" s="270">
        <f t="shared" si="2221"/>
        <v>0</v>
      </c>
      <c r="EW332" s="270">
        <f t="shared" si="2221"/>
        <v>0</v>
      </c>
      <c r="EX332" s="270">
        <f t="shared" si="2221"/>
        <v>0</v>
      </c>
      <c r="EY332" s="270">
        <f t="shared" si="2221"/>
        <v>0</v>
      </c>
      <c r="EZ332" s="270">
        <f t="shared" si="2221"/>
        <v>0</v>
      </c>
      <c r="FA332" s="270">
        <f t="shared" si="2221"/>
        <v>0</v>
      </c>
      <c r="FB332" s="270">
        <f t="shared" si="2221"/>
        <v>0</v>
      </c>
      <c r="FC332" s="270">
        <f t="shared" si="2221"/>
        <v>0</v>
      </c>
      <c r="FD332" s="271"/>
      <c r="FE332" s="271"/>
      <c r="FF332" s="271"/>
      <c r="FG332" s="215"/>
      <c r="FH332" s="215"/>
    </row>
    <row r="333" ht="11.25" customHeight="1">
      <c r="A333" s="215" t="str">
        <f t="shared" si="19"/>
        <v/>
      </c>
      <c r="B333" s="241" t="str">
        <f t="shared" si="600"/>
        <v>#N/A</v>
      </c>
      <c r="C333" s="271" t="str">
        <f>IF(A333="","",IF(Calculator!snowball,IF(($E$5-DY333)&lt;0,0,$E$5-DY333),0)+D333)</f>
        <v/>
      </c>
      <c r="D333" s="271"/>
      <c r="E333" s="270">
        <f t="shared" si="40"/>
        <v>0</v>
      </c>
      <c r="F333" s="270">
        <f t="shared" ref="F333:AG333" si="2222">CU333+EB334</f>
        <v>0</v>
      </c>
      <c r="G333" s="270">
        <f t="shared" si="2222"/>
        <v>0</v>
      </c>
      <c r="H333" s="270">
        <f t="shared" si="2222"/>
        <v>0</v>
      </c>
      <c r="I333" s="270">
        <f t="shared" si="2222"/>
        <v>0</v>
      </c>
      <c r="J333" s="270">
        <f t="shared" si="2222"/>
        <v>0</v>
      </c>
      <c r="K333" s="270">
        <f t="shared" si="2222"/>
        <v>0</v>
      </c>
      <c r="L333" s="270">
        <f t="shared" si="2222"/>
        <v>0</v>
      </c>
      <c r="M333" s="270">
        <f t="shared" si="2222"/>
        <v>0</v>
      </c>
      <c r="N333" s="270">
        <f t="shared" si="2222"/>
        <v>0</v>
      </c>
      <c r="O333" s="270">
        <f t="shared" si="2222"/>
        <v>0</v>
      </c>
      <c r="P333" s="272">
        <f t="shared" si="2222"/>
        <v>0</v>
      </c>
      <c r="Q333" s="272">
        <f t="shared" si="2222"/>
        <v>0</v>
      </c>
      <c r="R333" s="272">
        <f t="shared" si="2222"/>
        <v>0</v>
      </c>
      <c r="S333" s="272">
        <f t="shared" si="2222"/>
        <v>0</v>
      </c>
      <c r="T333" s="272">
        <f t="shared" si="2222"/>
        <v>0</v>
      </c>
      <c r="U333" s="270">
        <f t="shared" si="2222"/>
        <v>0</v>
      </c>
      <c r="V333" s="270">
        <f t="shared" si="2222"/>
        <v>0</v>
      </c>
      <c r="W333" s="270">
        <f t="shared" si="2222"/>
        <v>0</v>
      </c>
      <c r="X333" s="270">
        <f t="shared" si="2222"/>
        <v>0</v>
      </c>
      <c r="Y333" s="270">
        <f t="shared" si="2222"/>
        <v>0</v>
      </c>
      <c r="Z333" s="270">
        <f t="shared" si="2222"/>
        <v>0</v>
      </c>
      <c r="AA333" s="270">
        <f t="shared" si="2222"/>
        <v>0</v>
      </c>
      <c r="AB333" s="270">
        <f t="shared" si="2222"/>
        <v>0</v>
      </c>
      <c r="AC333" s="270">
        <f t="shared" si="2222"/>
        <v>0</v>
      </c>
      <c r="AD333" s="270">
        <f t="shared" si="2222"/>
        <v>0</v>
      </c>
      <c r="AE333" s="270">
        <f t="shared" si="2222"/>
        <v>0</v>
      </c>
      <c r="AF333" s="270">
        <f t="shared" si="2222"/>
        <v>0</v>
      </c>
      <c r="AG333" s="270">
        <f t="shared" si="2222"/>
        <v>0</v>
      </c>
      <c r="AH333" s="279">
        <f t="shared" si="602"/>
        <v>0</v>
      </c>
      <c r="AI333" s="270">
        <f t="shared" si="43"/>
        <v>0</v>
      </c>
      <c r="AJ333" s="270">
        <f t="shared" ref="AJ333:AO333" si="2223">IF(F$8=0,0,ROUND(AJ332-(F333-BO333),2))</f>
        <v>0</v>
      </c>
      <c r="AK333" s="270">
        <f t="shared" si="2223"/>
        <v>0</v>
      </c>
      <c r="AL333" s="270">
        <f t="shared" si="2223"/>
        <v>0</v>
      </c>
      <c r="AM333" s="270">
        <f t="shared" si="2223"/>
        <v>0</v>
      </c>
      <c r="AN333" s="270">
        <f t="shared" si="2223"/>
        <v>0</v>
      </c>
      <c r="AO333" s="270">
        <f t="shared" si="2223"/>
        <v>0</v>
      </c>
      <c r="AP333" s="270">
        <v>0.0</v>
      </c>
      <c r="AQ333" s="270">
        <f t="shared" ref="AQ333:AR333" si="2224">IF(M$8=0,0,ROUND(AQ332-(M333-BV333),2))</f>
        <v>0</v>
      </c>
      <c r="AR333" s="270">
        <f t="shared" si="2224"/>
        <v>0</v>
      </c>
      <c r="AS333" s="270">
        <f t="shared" si="1902"/>
        <v>-6.56</v>
      </c>
      <c r="AT333" s="270">
        <f t="shared" si="605"/>
        <v>-7.5</v>
      </c>
      <c r="AU333" s="270">
        <f t="shared" ref="AU333:BK333" si="2225">IF(Q$8=0,0,ROUND(AU332-(Q333-BY333),2))</f>
        <v>-19.75</v>
      </c>
      <c r="AV333" s="270">
        <f t="shared" si="2225"/>
        <v>0</v>
      </c>
      <c r="AW333" s="270">
        <f t="shared" si="2225"/>
        <v>0</v>
      </c>
      <c r="AX333" s="270">
        <f t="shared" si="2225"/>
        <v>0</v>
      </c>
      <c r="AY333" s="270">
        <f t="shared" si="2225"/>
        <v>0</v>
      </c>
      <c r="AZ333" s="270">
        <f t="shared" si="2225"/>
        <v>0</v>
      </c>
      <c r="BA333" s="270">
        <f t="shared" si="2225"/>
        <v>0</v>
      </c>
      <c r="BB333" s="270">
        <f t="shared" si="2225"/>
        <v>0</v>
      </c>
      <c r="BC333" s="270">
        <f t="shared" si="2225"/>
        <v>0</v>
      </c>
      <c r="BD333" s="270">
        <f t="shared" si="2225"/>
        <v>0</v>
      </c>
      <c r="BE333" s="270">
        <f t="shared" si="2225"/>
        <v>0</v>
      </c>
      <c r="BF333" s="270">
        <f t="shared" si="2225"/>
        <v>0</v>
      </c>
      <c r="BG333" s="270">
        <f t="shared" si="2225"/>
        <v>0</v>
      </c>
      <c r="BH333" s="270">
        <f t="shared" si="2225"/>
        <v>0</v>
      </c>
      <c r="BI333" s="270">
        <f t="shared" si="2225"/>
        <v>0</v>
      </c>
      <c r="BJ333" s="270">
        <f t="shared" si="2225"/>
        <v>0</v>
      </c>
      <c r="BK333" s="270">
        <f t="shared" si="2225"/>
        <v>0</v>
      </c>
      <c r="BL333" s="265">
        <f t="shared" si="16"/>
        <v>-33.81</v>
      </c>
      <c r="BM333" s="215"/>
      <c r="BN333" s="270">
        <f t="shared" ref="BN333:CP333" si="2226">ROUND(AI332*E$9/12,2)</f>
        <v>0</v>
      </c>
      <c r="BO333" s="270">
        <f t="shared" si="2226"/>
        <v>0</v>
      </c>
      <c r="BP333" s="270">
        <f t="shared" si="2226"/>
        <v>0</v>
      </c>
      <c r="BQ333" s="270">
        <f t="shared" si="2226"/>
        <v>0</v>
      </c>
      <c r="BR333" s="270">
        <f t="shared" si="2226"/>
        <v>0</v>
      </c>
      <c r="BS333" s="270">
        <f t="shared" si="2226"/>
        <v>0</v>
      </c>
      <c r="BT333" s="270">
        <f t="shared" si="2226"/>
        <v>0</v>
      </c>
      <c r="BU333" s="270">
        <f t="shared" si="2226"/>
        <v>0</v>
      </c>
      <c r="BV333" s="270">
        <f t="shared" si="2226"/>
        <v>0</v>
      </c>
      <c r="BW333" s="270">
        <f t="shared" si="2226"/>
        <v>0</v>
      </c>
      <c r="BX333" s="270">
        <f t="shared" si="2226"/>
        <v>-0.06</v>
      </c>
      <c r="BY333" s="270">
        <f t="shared" si="2226"/>
        <v>-0.06</v>
      </c>
      <c r="BZ333" s="270">
        <f t="shared" si="2226"/>
        <v>-0.06</v>
      </c>
      <c r="CA333" s="270">
        <f t="shared" si="2226"/>
        <v>0</v>
      </c>
      <c r="CB333" s="270">
        <f t="shared" si="2226"/>
        <v>0</v>
      </c>
      <c r="CC333" s="270">
        <f t="shared" si="2226"/>
        <v>0</v>
      </c>
      <c r="CD333" s="270">
        <f t="shared" si="2226"/>
        <v>0</v>
      </c>
      <c r="CE333" s="270">
        <f t="shared" si="2226"/>
        <v>0</v>
      </c>
      <c r="CF333" s="270">
        <f t="shared" si="2226"/>
        <v>0</v>
      </c>
      <c r="CG333" s="270">
        <f t="shared" si="2226"/>
        <v>0</v>
      </c>
      <c r="CH333" s="270">
        <f t="shared" si="2226"/>
        <v>0</v>
      </c>
      <c r="CI333" s="270">
        <f t="shared" si="2226"/>
        <v>0</v>
      </c>
      <c r="CJ333" s="270">
        <f t="shared" si="2226"/>
        <v>0</v>
      </c>
      <c r="CK333" s="270">
        <f t="shared" si="2226"/>
        <v>0</v>
      </c>
      <c r="CL333" s="270">
        <f t="shared" si="2226"/>
        <v>0</v>
      </c>
      <c r="CM333" s="270">
        <f t="shared" si="2226"/>
        <v>0</v>
      </c>
      <c r="CN333" s="270">
        <f t="shared" si="2226"/>
        <v>0</v>
      </c>
      <c r="CO333" s="270">
        <f t="shared" si="2226"/>
        <v>0</v>
      </c>
      <c r="CP333" s="270">
        <f t="shared" si="2226"/>
        <v>0</v>
      </c>
      <c r="CQ333" s="215"/>
      <c r="CR333" s="270">
        <f t="shared" si="27"/>
        <v>-0.18</v>
      </c>
      <c r="CS333" s="215"/>
      <c r="CT333" s="270">
        <f t="shared" ref="CT333:DX333" si="2227">IF(AI332&gt;0,IF((AI332+BN333)&lt;E$10,AI332+BN333,E$10),0)</f>
        <v>0</v>
      </c>
      <c r="CU333" s="270">
        <f t="shared" si="2227"/>
        <v>0</v>
      </c>
      <c r="CV333" s="270">
        <f t="shared" si="2227"/>
        <v>0</v>
      </c>
      <c r="CW333" s="270">
        <f t="shared" si="2227"/>
        <v>0</v>
      </c>
      <c r="CX333" s="270">
        <f t="shared" si="2227"/>
        <v>0</v>
      </c>
      <c r="CY333" s="270">
        <f t="shared" si="2227"/>
        <v>0</v>
      </c>
      <c r="CZ333" s="270">
        <f t="shared" si="2227"/>
        <v>0</v>
      </c>
      <c r="DA333" s="270">
        <f t="shared" si="2227"/>
        <v>0</v>
      </c>
      <c r="DB333" s="270">
        <f t="shared" si="2227"/>
        <v>0</v>
      </c>
      <c r="DC333" s="270">
        <f t="shared" si="2227"/>
        <v>0</v>
      </c>
      <c r="DD333" s="270">
        <f t="shared" si="2227"/>
        <v>0</v>
      </c>
      <c r="DE333" s="270">
        <f t="shared" si="2227"/>
        <v>0</v>
      </c>
      <c r="DF333" s="270">
        <f t="shared" si="2227"/>
        <v>0</v>
      </c>
      <c r="DG333" s="270">
        <f t="shared" si="2227"/>
        <v>0</v>
      </c>
      <c r="DH333" s="270">
        <f t="shared" si="2227"/>
        <v>0</v>
      </c>
      <c r="DI333" s="270">
        <f t="shared" si="2227"/>
        <v>0</v>
      </c>
      <c r="DJ333" s="270">
        <f t="shared" si="2227"/>
        <v>0</v>
      </c>
      <c r="DK333" s="270">
        <f t="shared" si="2227"/>
        <v>0</v>
      </c>
      <c r="DL333" s="270">
        <f t="shared" si="2227"/>
        <v>0</v>
      </c>
      <c r="DM333" s="270">
        <f t="shared" si="2227"/>
        <v>0</v>
      </c>
      <c r="DN333" s="270">
        <f t="shared" si="2227"/>
        <v>0</v>
      </c>
      <c r="DO333" s="270">
        <f t="shared" si="2227"/>
        <v>0</v>
      </c>
      <c r="DP333" s="270">
        <f t="shared" si="2227"/>
        <v>0</v>
      </c>
      <c r="DQ333" s="270">
        <f t="shared" si="2227"/>
        <v>0</v>
      </c>
      <c r="DR333" s="270">
        <f t="shared" si="2227"/>
        <v>0</v>
      </c>
      <c r="DS333" s="270">
        <f t="shared" si="2227"/>
        <v>0</v>
      </c>
      <c r="DT333" s="270">
        <f t="shared" si="2227"/>
        <v>0</v>
      </c>
      <c r="DU333" s="270">
        <f t="shared" si="2227"/>
        <v>0</v>
      </c>
      <c r="DV333" s="270">
        <f t="shared" si="2227"/>
        <v>0</v>
      </c>
      <c r="DW333" s="270">
        <f t="shared" si="2227"/>
        <v>0</v>
      </c>
      <c r="DX333" s="270">
        <f t="shared" si="2227"/>
        <v>0</v>
      </c>
      <c r="DY333" s="270">
        <f t="shared" si="29"/>
        <v>0</v>
      </c>
      <c r="DZ333" s="274"/>
      <c r="EA333" s="275">
        <f t="shared" si="38"/>
        <v>0</v>
      </c>
      <c r="EB333" s="270">
        <f t="shared" ref="EB333:FC333" si="2228">IF(AJ331&lt;=0,0,IF($C332&lt;=SUM($EA333:EA333),0,IF(CU332+$C332-SUM($EA333:EA333)&gt;AJ331+BO332,AJ331+BO332-CU332,$C332-SUM($EA333:EA333))))</f>
        <v>0</v>
      </c>
      <c r="EC333" s="270">
        <f t="shared" si="2228"/>
        <v>0</v>
      </c>
      <c r="ED333" s="270">
        <f t="shared" si="2228"/>
        <v>0</v>
      </c>
      <c r="EE333" s="270">
        <f t="shared" si="2228"/>
        <v>0</v>
      </c>
      <c r="EF333" s="270">
        <f t="shared" si="2228"/>
        <v>0</v>
      </c>
      <c r="EG333" s="270">
        <f t="shared" si="2228"/>
        <v>0</v>
      </c>
      <c r="EH333" s="270">
        <f t="shared" si="2228"/>
        <v>0</v>
      </c>
      <c r="EI333" s="270">
        <f t="shared" si="2228"/>
        <v>0</v>
      </c>
      <c r="EJ333" s="270">
        <f t="shared" si="2228"/>
        <v>0</v>
      </c>
      <c r="EK333" s="270">
        <f t="shared" si="2228"/>
        <v>0</v>
      </c>
      <c r="EL333" s="270">
        <f t="shared" si="2228"/>
        <v>0</v>
      </c>
      <c r="EM333" s="270">
        <f t="shared" si="2228"/>
        <v>0</v>
      </c>
      <c r="EN333" s="270">
        <f t="shared" si="2228"/>
        <v>0</v>
      </c>
      <c r="EO333" s="270">
        <f t="shared" si="2228"/>
        <v>0</v>
      </c>
      <c r="EP333" s="270">
        <f t="shared" si="2228"/>
        <v>0</v>
      </c>
      <c r="EQ333" s="270">
        <f t="shared" si="2228"/>
        <v>0</v>
      </c>
      <c r="ER333" s="270">
        <f t="shared" si="2228"/>
        <v>0</v>
      </c>
      <c r="ES333" s="270">
        <f t="shared" si="2228"/>
        <v>0</v>
      </c>
      <c r="ET333" s="270">
        <f t="shared" si="2228"/>
        <v>0</v>
      </c>
      <c r="EU333" s="270">
        <f t="shared" si="2228"/>
        <v>0</v>
      </c>
      <c r="EV333" s="270">
        <f t="shared" si="2228"/>
        <v>0</v>
      </c>
      <c r="EW333" s="270">
        <f t="shared" si="2228"/>
        <v>0</v>
      </c>
      <c r="EX333" s="270">
        <f t="shared" si="2228"/>
        <v>0</v>
      </c>
      <c r="EY333" s="270">
        <f t="shared" si="2228"/>
        <v>0</v>
      </c>
      <c r="EZ333" s="270">
        <f t="shared" si="2228"/>
        <v>0</v>
      </c>
      <c r="FA333" s="270">
        <f t="shared" si="2228"/>
        <v>0</v>
      </c>
      <c r="FB333" s="270">
        <f t="shared" si="2228"/>
        <v>0</v>
      </c>
      <c r="FC333" s="270">
        <f t="shared" si="2228"/>
        <v>0</v>
      </c>
      <c r="FD333" s="271"/>
      <c r="FE333" s="271"/>
      <c r="FF333" s="271"/>
      <c r="FG333" s="215"/>
      <c r="FH333" s="215"/>
    </row>
    <row r="334" ht="11.25" customHeight="1">
      <c r="A334" s="215" t="str">
        <f t="shared" si="19"/>
        <v/>
      </c>
      <c r="B334" s="241" t="str">
        <f t="shared" si="600"/>
        <v>#N/A</v>
      </c>
      <c r="C334" s="271" t="str">
        <f>IF(A334="","",IF(Calculator!snowball,IF(($E$5-DY334)&lt;0,0,$E$5-DY334),0)+D334)</f>
        <v/>
      </c>
      <c r="D334" s="271"/>
      <c r="E334" s="270">
        <f t="shared" si="40"/>
        <v>0</v>
      </c>
      <c r="F334" s="270">
        <f t="shared" ref="F334:AG334" si="2229">CU334+EB335</f>
        <v>0</v>
      </c>
      <c r="G334" s="270">
        <f t="shared" si="2229"/>
        <v>0</v>
      </c>
      <c r="H334" s="270">
        <f t="shared" si="2229"/>
        <v>0</v>
      </c>
      <c r="I334" s="270">
        <f t="shared" si="2229"/>
        <v>0</v>
      </c>
      <c r="J334" s="270">
        <f t="shared" si="2229"/>
        <v>0</v>
      </c>
      <c r="K334" s="270">
        <f t="shared" si="2229"/>
        <v>0</v>
      </c>
      <c r="L334" s="270">
        <f t="shared" si="2229"/>
        <v>0</v>
      </c>
      <c r="M334" s="270">
        <f t="shared" si="2229"/>
        <v>0</v>
      </c>
      <c r="N334" s="270">
        <f t="shared" si="2229"/>
        <v>0</v>
      </c>
      <c r="O334" s="270">
        <f t="shared" si="2229"/>
        <v>0</v>
      </c>
      <c r="P334" s="272">
        <f t="shared" si="2229"/>
        <v>0</v>
      </c>
      <c r="Q334" s="272">
        <f t="shared" si="2229"/>
        <v>0</v>
      </c>
      <c r="R334" s="272">
        <f t="shared" si="2229"/>
        <v>0</v>
      </c>
      <c r="S334" s="272">
        <f t="shared" si="2229"/>
        <v>0</v>
      </c>
      <c r="T334" s="272">
        <f t="shared" si="2229"/>
        <v>0</v>
      </c>
      <c r="U334" s="270">
        <f t="shared" si="2229"/>
        <v>0</v>
      </c>
      <c r="V334" s="270">
        <f t="shared" si="2229"/>
        <v>0</v>
      </c>
      <c r="W334" s="270">
        <f t="shared" si="2229"/>
        <v>0</v>
      </c>
      <c r="X334" s="270">
        <f t="shared" si="2229"/>
        <v>0</v>
      </c>
      <c r="Y334" s="270">
        <f t="shared" si="2229"/>
        <v>0</v>
      </c>
      <c r="Z334" s="270">
        <f t="shared" si="2229"/>
        <v>0</v>
      </c>
      <c r="AA334" s="270">
        <f t="shared" si="2229"/>
        <v>0</v>
      </c>
      <c r="AB334" s="270">
        <f t="shared" si="2229"/>
        <v>0</v>
      </c>
      <c r="AC334" s="270">
        <f t="shared" si="2229"/>
        <v>0</v>
      </c>
      <c r="AD334" s="270">
        <f t="shared" si="2229"/>
        <v>0</v>
      </c>
      <c r="AE334" s="270">
        <f t="shared" si="2229"/>
        <v>0</v>
      </c>
      <c r="AF334" s="270">
        <f t="shared" si="2229"/>
        <v>0</v>
      </c>
      <c r="AG334" s="270">
        <f t="shared" si="2229"/>
        <v>0</v>
      </c>
      <c r="AH334" s="279">
        <f t="shared" si="602"/>
        <v>0</v>
      </c>
      <c r="AI334" s="270">
        <f t="shared" si="43"/>
        <v>0</v>
      </c>
      <c r="AJ334" s="270">
        <f t="shared" ref="AJ334:AO334" si="2230">IF(F$8=0,0,ROUND(AJ333-(F334-BO334),2))</f>
        <v>0</v>
      </c>
      <c r="AK334" s="270">
        <f t="shared" si="2230"/>
        <v>0</v>
      </c>
      <c r="AL334" s="270">
        <f t="shared" si="2230"/>
        <v>0</v>
      </c>
      <c r="AM334" s="270">
        <f t="shared" si="2230"/>
        <v>0</v>
      </c>
      <c r="AN334" s="270">
        <f t="shared" si="2230"/>
        <v>0</v>
      </c>
      <c r="AO334" s="270">
        <f t="shared" si="2230"/>
        <v>0</v>
      </c>
      <c r="AP334" s="270">
        <v>0.0</v>
      </c>
      <c r="AQ334" s="270">
        <f t="shared" ref="AQ334:AR334" si="2231">IF(M$8=0,0,ROUND(AQ333-(M334-BV334),2))</f>
        <v>0</v>
      </c>
      <c r="AR334" s="270">
        <f t="shared" si="2231"/>
        <v>0</v>
      </c>
      <c r="AS334" s="270">
        <f t="shared" si="1902"/>
        <v>-6.74</v>
      </c>
      <c r="AT334" s="270">
        <f t="shared" si="605"/>
        <v>-7.56</v>
      </c>
      <c r="AU334" s="270">
        <f t="shared" ref="AU334:BK334" si="2232">IF(Q$8=0,0,ROUND(AU333-(Q334-BY334),2))</f>
        <v>-19.81</v>
      </c>
      <c r="AV334" s="270">
        <f t="shared" si="2232"/>
        <v>0</v>
      </c>
      <c r="AW334" s="270">
        <f t="shared" si="2232"/>
        <v>0</v>
      </c>
      <c r="AX334" s="270">
        <f t="shared" si="2232"/>
        <v>0</v>
      </c>
      <c r="AY334" s="270">
        <f t="shared" si="2232"/>
        <v>0</v>
      </c>
      <c r="AZ334" s="270">
        <f t="shared" si="2232"/>
        <v>0</v>
      </c>
      <c r="BA334" s="270">
        <f t="shared" si="2232"/>
        <v>0</v>
      </c>
      <c r="BB334" s="270">
        <f t="shared" si="2232"/>
        <v>0</v>
      </c>
      <c r="BC334" s="270">
        <f t="shared" si="2232"/>
        <v>0</v>
      </c>
      <c r="BD334" s="270">
        <f t="shared" si="2232"/>
        <v>0</v>
      </c>
      <c r="BE334" s="270">
        <f t="shared" si="2232"/>
        <v>0</v>
      </c>
      <c r="BF334" s="270">
        <f t="shared" si="2232"/>
        <v>0</v>
      </c>
      <c r="BG334" s="270">
        <f t="shared" si="2232"/>
        <v>0</v>
      </c>
      <c r="BH334" s="270">
        <f t="shared" si="2232"/>
        <v>0</v>
      </c>
      <c r="BI334" s="270">
        <f t="shared" si="2232"/>
        <v>0</v>
      </c>
      <c r="BJ334" s="270">
        <f t="shared" si="2232"/>
        <v>0</v>
      </c>
      <c r="BK334" s="270">
        <f t="shared" si="2232"/>
        <v>0</v>
      </c>
      <c r="BL334" s="265">
        <f t="shared" si="16"/>
        <v>-34.11</v>
      </c>
      <c r="BM334" s="215"/>
      <c r="BN334" s="270">
        <f t="shared" ref="BN334:CP334" si="2233">ROUND(AI333*E$9/12,2)</f>
        <v>0</v>
      </c>
      <c r="BO334" s="270">
        <f t="shared" si="2233"/>
        <v>0</v>
      </c>
      <c r="BP334" s="270">
        <f t="shared" si="2233"/>
        <v>0</v>
      </c>
      <c r="BQ334" s="270">
        <f t="shared" si="2233"/>
        <v>0</v>
      </c>
      <c r="BR334" s="270">
        <f t="shared" si="2233"/>
        <v>0</v>
      </c>
      <c r="BS334" s="270">
        <f t="shared" si="2233"/>
        <v>0</v>
      </c>
      <c r="BT334" s="270">
        <f t="shared" si="2233"/>
        <v>0</v>
      </c>
      <c r="BU334" s="270">
        <f t="shared" si="2233"/>
        <v>0</v>
      </c>
      <c r="BV334" s="270">
        <f t="shared" si="2233"/>
        <v>0</v>
      </c>
      <c r="BW334" s="270">
        <f t="shared" si="2233"/>
        <v>0</v>
      </c>
      <c r="BX334" s="270">
        <f t="shared" si="2233"/>
        <v>-0.06</v>
      </c>
      <c r="BY334" s="270">
        <f t="shared" si="2233"/>
        <v>-0.06</v>
      </c>
      <c r="BZ334" s="270">
        <f t="shared" si="2233"/>
        <v>-0.06</v>
      </c>
      <c r="CA334" s="270">
        <f t="shared" si="2233"/>
        <v>0</v>
      </c>
      <c r="CB334" s="270">
        <f t="shared" si="2233"/>
        <v>0</v>
      </c>
      <c r="CC334" s="270">
        <f t="shared" si="2233"/>
        <v>0</v>
      </c>
      <c r="CD334" s="270">
        <f t="shared" si="2233"/>
        <v>0</v>
      </c>
      <c r="CE334" s="270">
        <f t="shared" si="2233"/>
        <v>0</v>
      </c>
      <c r="CF334" s="270">
        <f t="shared" si="2233"/>
        <v>0</v>
      </c>
      <c r="CG334" s="270">
        <f t="shared" si="2233"/>
        <v>0</v>
      </c>
      <c r="CH334" s="270">
        <f t="shared" si="2233"/>
        <v>0</v>
      </c>
      <c r="CI334" s="270">
        <f t="shared" si="2233"/>
        <v>0</v>
      </c>
      <c r="CJ334" s="270">
        <f t="shared" si="2233"/>
        <v>0</v>
      </c>
      <c r="CK334" s="270">
        <f t="shared" si="2233"/>
        <v>0</v>
      </c>
      <c r="CL334" s="270">
        <f t="shared" si="2233"/>
        <v>0</v>
      </c>
      <c r="CM334" s="270">
        <f t="shared" si="2233"/>
        <v>0</v>
      </c>
      <c r="CN334" s="270">
        <f t="shared" si="2233"/>
        <v>0</v>
      </c>
      <c r="CO334" s="270">
        <f t="shared" si="2233"/>
        <v>0</v>
      </c>
      <c r="CP334" s="270">
        <f t="shared" si="2233"/>
        <v>0</v>
      </c>
      <c r="CQ334" s="215"/>
      <c r="CR334" s="270">
        <f t="shared" si="27"/>
        <v>-0.18</v>
      </c>
      <c r="CS334" s="215"/>
      <c r="CT334" s="270">
        <f t="shared" ref="CT334:DX334" si="2234">IF(AI333&gt;0,IF((AI333+BN334)&lt;E$10,AI333+BN334,E$10),0)</f>
        <v>0</v>
      </c>
      <c r="CU334" s="270">
        <f t="shared" si="2234"/>
        <v>0</v>
      </c>
      <c r="CV334" s="270">
        <f t="shared" si="2234"/>
        <v>0</v>
      </c>
      <c r="CW334" s="270">
        <f t="shared" si="2234"/>
        <v>0</v>
      </c>
      <c r="CX334" s="270">
        <f t="shared" si="2234"/>
        <v>0</v>
      </c>
      <c r="CY334" s="270">
        <f t="shared" si="2234"/>
        <v>0</v>
      </c>
      <c r="CZ334" s="270">
        <f t="shared" si="2234"/>
        <v>0</v>
      </c>
      <c r="DA334" s="270">
        <f t="shared" si="2234"/>
        <v>0</v>
      </c>
      <c r="DB334" s="270">
        <f t="shared" si="2234"/>
        <v>0</v>
      </c>
      <c r="DC334" s="270">
        <f t="shared" si="2234"/>
        <v>0</v>
      </c>
      <c r="DD334" s="270">
        <f t="shared" si="2234"/>
        <v>0</v>
      </c>
      <c r="DE334" s="270">
        <f t="shared" si="2234"/>
        <v>0</v>
      </c>
      <c r="DF334" s="270">
        <f t="shared" si="2234"/>
        <v>0</v>
      </c>
      <c r="DG334" s="270">
        <f t="shared" si="2234"/>
        <v>0</v>
      </c>
      <c r="DH334" s="270">
        <f t="shared" si="2234"/>
        <v>0</v>
      </c>
      <c r="DI334" s="270">
        <f t="shared" si="2234"/>
        <v>0</v>
      </c>
      <c r="DJ334" s="270">
        <f t="shared" si="2234"/>
        <v>0</v>
      </c>
      <c r="DK334" s="270">
        <f t="shared" si="2234"/>
        <v>0</v>
      </c>
      <c r="DL334" s="270">
        <f t="shared" si="2234"/>
        <v>0</v>
      </c>
      <c r="DM334" s="270">
        <f t="shared" si="2234"/>
        <v>0</v>
      </c>
      <c r="DN334" s="270">
        <f t="shared" si="2234"/>
        <v>0</v>
      </c>
      <c r="DO334" s="270">
        <f t="shared" si="2234"/>
        <v>0</v>
      </c>
      <c r="DP334" s="270">
        <f t="shared" si="2234"/>
        <v>0</v>
      </c>
      <c r="DQ334" s="270">
        <f t="shared" si="2234"/>
        <v>0</v>
      </c>
      <c r="DR334" s="270">
        <f t="shared" si="2234"/>
        <v>0</v>
      </c>
      <c r="DS334" s="270">
        <f t="shared" si="2234"/>
        <v>0</v>
      </c>
      <c r="DT334" s="270">
        <f t="shared" si="2234"/>
        <v>0</v>
      </c>
      <c r="DU334" s="270">
        <f t="shared" si="2234"/>
        <v>0</v>
      </c>
      <c r="DV334" s="270">
        <f t="shared" si="2234"/>
        <v>0</v>
      </c>
      <c r="DW334" s="270">
        <f t="shared" si="2234"/>
        <v>0</v>
      </c>
      <c r="DX334" s="270">
        <f t="shared" si="2234"/>
        <v>0</v>
      </c>
      <c r="DY334" s="270">
        <f t="shared" si="29"/>
        <v>0</v>
      </c>
      <c r="DZ334" s="274"/>
      <c r="EA334" s="275">
        <f t="shared" si="38"/>
        <v>0</v>
      </c>
      <c r="EB334" s="270">
        <f t="shared" ref="EB334:FC334" si="2235">IF(AJ332&lt;=0,0,IF($C333&lt;=SUM($EA334:EA334),0,IF(CU333+$C333-SUM($EA334:EA334)&gt;AJ332+BO333,AJ332+BO333-CU333,$C333-SUM($EA334:EA334))))</f>
        <v>0</v>
      </c>
      <c r="EC334" s="270">
        <f t="shared" si="2235"/>
        <v>0</v>
      </c>
      <c r="ED334" s="270">
        <f t="shared" si="2235"/>
        <v>0</v>
      </c>
      <c r="EE334" s="270">
        <f t="shared" si="2235"/>
        <v>0</v>
      </c>
      <c r="EF334" s="270">
        <f t="shared" si="2235"/>
        <v>0</v>
      </c>
      <c r="EG334" s="270">
        <f t="shared" si="2235"/>
        <v>0</v>
      </c>
      <c r="EH334" s="270">
        <f t="shared" si="2235"/>
        <v>0</v>
      </c>
      <c r="EI334" s="270">
        <f t="shared" si="2235"/>
        <v>0</v>
      </c>
      <c r="EJ334" s="270">
        <f t="shared" si="2235"/>
        <v>0</v>
      </c>
      <c r="EK334" s="270">
        <f t="shared" si="2235"/>
        <v>0</v>
      </c>
      <c r="EL334" s="270">
        <f t="shared" si="2235"/>
        <v>0</v>
      </c>
      <c r="EM334" s="270">
        <f t="shared" si="2235"/>
        <v>0</v>
      </c>
      <c r="EN334" s="270">
        <f t="shared" si="2235"/>
        <v>0</v>
      </c>
      <c r="EO334" s="270">
        <f t="shared" si="2235"/>
        <v>0</v>
      </c>
      <c r="EP334" s="270">
        <f t="shared" si="2235"/>
        <v>0</v>
      </c>
      <c r="EQ334" s="270">
        <f t="shared" si="2235"/>
        <v>0</v>
      </c>
      <c r="ER334" s="270">
        <f t="shared" si="2235"/>
        <v>0</v>
      </c>
      <c r="ES334" s="270">
        <f t="shared" si="2235"/>
        <v>0</v>
      </c>
      <c r="ET334" s="270">
        <f t="shared" si="2235"/>
        <v>0</v>
      </c>
      <c r="EU334" s="270">
        <f t="shared" si="2235"/>
        <v>0</v>
      </c>
      <c r="EV334" s="270">
        <f t="shared" si="2235"/>
        <v>0</v>
      </c>
      <c r="EW334" s="270">
        <f t="shared" si="2235"/>
        <v>0</v>
      </c>
      <c r="EX334" s="270">
        <f t="shared" si="2235"/>
        <v>0</v>
      </c>
      <c r="EY334" s="270">
        <f t="shared" si="2235"/>
        <v>0</v>
      </c>
      <c r="EZ334" s="270">
        <f t="shared" si="2235"/>
        <v>0</v>
      </c>
      <c r="FA334" s="270">
        <f t="shared" si="2235"/>
        <v>0</v>
      </c>
      <c r="FB334" s="270">
        <f t="shared" si="2235"/>
        <v>0</v>
      </c>
      <c r="FC334" s="270">
        <f t="shared" si="2235"/>
        <v>0</v>
      </c>
      <c r="FD334" s="271"/>
      <c r="FE334" s="271"/>
      <c r="FF334" s="271"/>
      <c r="FG334" s="215"/>
      <c r="FH334" s="215"/>
    </row>
    <row r="335" ht="11.25" customHeight="1">
      <c r="A335" s="215" t="str">
        <f t="shared" si="19"/>
        <v/>
      </c>
      <c r="B335" s="241" t="str">
        <f t="shared" si="600"/>
        <v>#N/A</v>
      </c>
      <c r="C335" s="271" t="str">
        <f>IF(A335="","",IF(Calculator!snowball,IF(($E$5-DY335)&lt;0,0,$E$5-DY335),0)+D335)</f>
        <v/>
      </c>
      <c r="D335" s="271"/>
      <c r="E335" s="270">
        <f t="shared" si="40"/>
        <v>0</v>
      </c>
      <c r="F335" s="270">
        <f t="shared" ref="F335:AG335" si="2236">CU335+EB336</f>
        <v>0</v>
      </c>
      <c r="G335" s="270">
        <f t="shared" si="2236"/>
        <v>0</v>
      </c>
      <c r="H335" s="270">
        <f t="shared" si="2236"/>
        <v>0</v>
      </c>
      <c r="I335" s="270">
        <f t="shared" si="2236"/>
        <v>0</v>
      </c>
      <c r="J335" s="270">
        <f t="shared" si="2236"/>
        <v>0</v>
      </c>
      <c r="K335" s="270">
        <f t="shared" si="2236"/>
        <v>0</v>
      </c>
      <c r="L335" s="270">
        <f t="shared" si="2236"/>
        <v>0</v>
      </c>
      <c r="M335" s="270">
        <f t="shared" si="2236"/>
        <v>0</v>
      </c>
      <c r="N335" s="270">
        <f t="shared" si="2236"/>
        <v>0</v>
      </c>
      <c r="O335" s="270">
        <f t="shared" si="2236"/>
        <v>0</v>
      </c>
      <c r="P335" s="272">
        <f t="shared" si="2236"/>
        <v>0</v>
      </c>
      <c r="Q335" s="272">
        <f t="shared" si="2236"/>
        <v>0</v>
      </c>
      <c r="R335" s="272">
        <f t="shared" si="2236"/>
        <v>0</v>
      </c>
      <c r="S335" s="272">
        <f t="shared" si="2236"/>
        <v>0</v>
      </c>
      <c r="T335" s="272">
        <f t="shared" si="2236"/>
        <v>0</v>
      </c>
      <c r="U335" s="270">
        <f t="shared" si="2236"/>
        <v>0</v>
      </c>
      <c r="V335" s="270">
        <f t="shared" si="2236"/>
        <v>0</v>
      </c>
      <c r="W335" s="270">
        <f t="shared" si="2236"/>
        <v>0</v>
      </c>
      <c r="X335" s="270">
        <f t="shared" si="2236"/>
        <v>0</v>
      </c>
      <c r="Y335" s="270">
        <f t="shared" si="2236"/>
        <v>0</v>
      </c>
      <c r="Z335" s="270">
        <f t="shared" si="2236"/>
        <v>0</v>
      </c>
      <c r="AA335" s="270">
        <f t="shared" si="2236"/>
        <v>0</v>
      </c>
      <c r="AB335" s="270">
        <f t="shared" si="2236"/>
        <v>0</v>
      </c>
      <c r="AC335" s="270">
        <f t="shared" si="2236"/>
        <v>0</v>
      </c>
      <c r="AD335" s="270">
        <f t="shared" si="2236"/>
        <v>0</v>
      </c>
      <c r="AE335" s="270">
        <f t="shared" si="2236"/>
        <v>0</v>
      </c>
      <c r="AF335" s="270">
        <f t="shared" si="2236"/>
        <v>0</v>
      </c>
      <c r="AG335" s="270">
        <f t="shared" si="2236"/>
        <v>0</v>
      </c>
      <c r="AH335" s="279">
        <f t="shared" si="602"/>
        <v>0</v>
      </c>
      <c r="AI335" s="270">
        <f t="shared" si="43"/>
        <v>0</v>
      </c>
      <c r="AJ335" s="270">
        <f t="shared" ref="AJ335:AO335" si="2237">IF(F$8=0,0,ROUND(AJ334-(F335-BO335),2))</f>
        <v>0</v>
      </c>
      <c r="AK335" s="270">
        <f t="shared" si="2237"/>
        <v>0</v>
      </c>
      <c r="AL335" s="270">
        <f t="shared" si="2237"/>
        <v>0</v>
      </c>
      <c r="AM335" s="270">
        <f t="shared" si="2237"/>
        <v>0</v>
      </c>
      <c r="AN335" s="270">
        <f t="shared" si="2237"/>
        <v>0</v>
      </c>
      <c r="AO335" s="270">
        <f t="shared" si="2237"/>
        <v>0</v>
      </c>
      <c r="AP335" s="270">
        <v>0.0</v>
      </c>
      <c r="AQ335" s="270">
        <f t="shared" ref="AQ335:AR335" si="2238">IF(M$8=0,0,ROUND(AQ334-(M335-BV335),2))</f>
        <v>0</v>
      </c>
      <c r="AR335" s="270">
        <f t="shared" si="2238"/>
        <v>0</v>
      </c>
      <c r="AS335" s="270">
        <f t="shared" si="1902"/>
        <v>-6.92</v>
      </c>
      <c r="AT335" s="270">
        <f t="shared" si="605"/>
        <v>-7.62</v>
      </c>
      <c r="AU335" s="270">
        <f t="shared" ref="AU335:BK335" si="2239">IF(Q$8=0,0,ROUND(AU334-(Q335-BY335),2))</f>
        <v>-19.87</v>
      </c>
      <c r="AV335" s="270">
        <f t="shared" si="2239"/>
        <v>0</v>
      </c>
      <c r="AW335" s="270">
        <f t="shared" si="2239"/>
        <v>0</v>
      </c>
      <c r="AX335" s="270">
        <f t="shared" si="2239"/>
        <v>0</v>
      </c>
      <c r="AY335" s="270">
        <f t="shared" si="2239"/>
        <v>0</v>
      </c>
      <c r="AZ335" s="270">
        <f t="shared" si="2239"/>
        <v>0</v>
      </c>
      <c r="BA335" s="270">
        <f t="shared" si="2239"/>
        <v>0</v>
      </c>
      <c r="BB335" s="270">
        <f t="shared" si="2239"/>
        <v>0</v>
      </c>
      <c r="BC335" s="270">
        <f t="shared" si="2239"/>
        <v>0</v>
      </c>
      <c r="BD335" s="270">
        <f t="shared" si="2239"/>
        <v>0</v>
      </c>
      <c r="BE335" s="270">
        <f t="shared" si="2239"/>
        <v>0</v>
      </c>
      <c r="BF335" s="270">
        <f t="shared" si="2239"/>
        <v>0</v>
      </c>
      <c r="BG335" s="270">
        <f t="shared" si="2239"/>
        <v>0</v>
      </c>
      <c r="BH335" s="270">
        <f t="shared" si="2239"/>
        <v>0</v>
      </c>
      <c r="BI335" s="270">
        <f t="shared" si="2239"/>
        <v>0</v>
      </c>
      <c r="BJ335" s="270">
        <f t="shared" si="2239"/>
        <v>0</v>
      </c>
      <c r="BK335" s="270">
        <f t="shared" si="2239"/>
        <v>0</v>
      </c>
      <c r="BL335" s="265">
        <f t="shared" si="16"/>
        <v>-34.41</v>
      </c>
      <c r="BM335" s="215"/>
      <c r="BN335" s="270">
        <f t="shared" ref="BN335:CP335" si="2240">ROUND(AI334*E$9/12,2)</f>
        <v>0</v>
      </c>
      <c r="BO335" s="270">
        <f t="shared" si="2240"/>
        <v>0</v>
      </c>
      <c r="BP335" s="270">
        <f t="shared" si="2240"/>
        <v>0</v>
      </c>
      <c r="BQ335" s="270">
        <f t="shared" si="2240"/>
        <v>0</v>
      </c>
      <c r="BR335" s="270">
        <f t="shared" si="2240"/>
        <v>0</v>
      </c>
      <c r="BS335" s="270">
        <f t="shared" si="2240"/>
        <v>0</v>
      </c>
      <c r="BT335" s="270">
        <f t="shared" si="2240"/>
        <v>0</v>
      </c>
      <c r="BU335" s="270">
        <f t="shared" si="2240"/>
        <v>0</v>
      </c>
      <c r="BV335" s="270">
        <f t="shared" si="2240"/>
        <v>0</v>
      </c>
      <c r="BW335" s="270">
        <f t="shared" si="2240"/>
        <v>0</v>
      </c>
      <c r="BX335" s="270">
        <f t="shared" si="2240"/>
        <v>-0.06</v>
      </c>
      <c r="BY335" s="270">
        <f t="shared" si="2240"/>
        <v>-0.06</v>
      </c>
      <c r="BZ335" s="270">
        <f t="shared" si="2240"/>
        <v>-0.06</v>
      </c>
      <c r="CA335" s="270">
        <f t="shared" si="2240"/>
        <v>0</v>
      </c>
      <c r="CB335" s="270">
        <f t="shared" si="2240"/>
        <v>0</v>
      </c>
      <c r="CC335" s="270">
        <f t="shared" si="2240"/>
        <v>0</v>
      </c>
      <c r="CD335" s="270">
        <f t="shared" si="2240"/>
        <v>0</v>
      </c>
      <c r="CE335" s="270">
        <f t="shared" si="2240"/>
        <v>0</v>
      </c>
      <c r="CF335" s="270">
        <f t="shared" si="2240"/>
        <v>0</v>
      </c>
      <c r="CG335" s="270">
        <f t="shared" si="2240"/>
        <v>0</v>
      </c>
      <c r="CH335" s="270">
        <f t="shared" si="2240"/>
        <v>0</v>
      </c>
      <c r="CI335" s="270">
        <f t="shared" si="2240"/>
        <v>0</v>
      </c>
      <c r="CJ335" s="270">
        <f t="shared" si="2240"/>
        <v>0</v>
      </c>
      <c r="CK335" s="270">
        <f t="shared" si="2240"/>
        <v>0</v>
      </c>
      <c r="CL335" s="270">
        <f t="shared" si="2240"/>
        <v>0</v>
      </c>
      <c r="CM335" s="270">
        <f t="shared" si="2240"/>
        <v>0</v>
      </c>
      <c r="CN335" s="270">
        <f t="shared" si="2240"/>
        <v>0</v>
      </c>
      <c r="CO335" s="270">
        <f t="shared" si="2240"/>
        <v>0</v>
      </c>
      <c r="CP335" s="270">
        <f t="shared" si="2240"/>
        <v>0</v>
      </c>
      <c r="CQ335" s="215"/>
      <c r="CR335" s="270">
        <f t="shared" si="27"/>
        <v>-0.18</v>
      </c>
      <c r="CS335" s="215"/>
      <c r="CT335" s="270">
        <f t="shared" ref="CT335:DX335" si="2241">IF(AI334&gt;0,IF((AI334+BN335)&lt;E$10,AI334+BN335,E$10),0)</f>
        <v>0</v>
      </c>
      <c r="CU335" s="270">
        <f t="shared" si="2241"/>
        <v>0</v>
      </c>
      <c r="CV335" s="270">
        <f t="shared" si="2241"/>
        <v>0</v>
      </c>
      <c r="CW335" s="270">
        <f t="shared" si="2241"/>
        <v>0</v>
      </c>
      <c r="CX335" s="270">
        <f t="shared" si="2241"/>
        <v>0</v>
      </c>
      <c r="CY335" s="270">
        <f t="shared" si="2241"/>
        <v>0</v>
      </c>
      <c r="CZ335" s="270">
        <f t="shared" si="2241"/>
        <v>0</v>
      </c>
      <c r="DA335" s="270">
        <f t="shared" si="2241"/>
        <v>0</v>
      </c>
      <c r="DB335" s="270">
        <f t="shared" si="2241"/>
        <v>0</v>
      </c>
      <c r="DC335" s="270">
        <f t="shared" si="2241"/>
        <v>0</v>
      </c>
      <c r="DD335" s="270">
        <f t="shared" si="2241"/>
        <v>0</v>
      </c>
      <c r="DE335" s="270">
        <f t="shared" si="2241"/>
        <v>0</v>
      </c>
      <c r="DF335" s="270">
        <f t="shared" si="2241"/>
        <v>0</v>
      </c>
      <c r="DG335" s="270">
        <f t="shared" si="2241"/>
        <v>0</v>
      </c>
      <c r="DH335" s="270">
        <f t="shared" si="2241"/>
        <v>0</v>
      </c>
      <c r="DI335" s="270">
        <f t="shared" si="2241"/>
        <v>0</v>
      </c>
      <c r="DJ335" s="270">
        <f t="shared" si="2241"/>
        <v>0</v>
      </c>
      <c r="DK335" s="270">
        <f t="shared" si="2241"/>
        <v>0</v>
      </c>
      <c r="DL335" s="270">
        <f t="shared" si="2241"/>
        <v>0</v>
      </c>
      <c r="DM335" s="270">
        <f t="shared" si="2241"/>
        <v>0</v>
      </c>
      <c r="DN335" s="270">
        <f t="shared" si="2241"/>
        <v>0</v>
      </c>
      <c r="DO335" s="270">
        <f t="shared" si="2241"/>
        <v>0</v>
      </c>
      <c r="DP335" s="270">
        <f t="shared" si="2241"/>
        <v>0</v>
      </c>
      <c r="DQ335" s="270">
        <f t="shared" si="2241"/>
        <v>0</v>
      </c>
      <c r="DR335" s="270">
        <f t="shared" si="2241"/>
        <v>0</v>
      </c>
      <c r="DS335" s="270">
        <f t="shared" si="2241"/>
        <v>0</v>
      </c>
      <c r="DT335" s="270">
        <f t="shared" si="2241"/>
        <v>0</v>
      </c>
      <c r="DU335" s="270">
        <f t="shared" si="2241"/>
        <v>0</v>
      </c>
      <c r="DV335" s="270">
        <f t="shared" si="2241"/>
        <v>0</v>
      </c>
      <c r="DW335" s="270">
        <f t="shared" si="2241"/>
        <v>0</v>
      </c>
      <c r="DX335" s="270">
        <f t="shared" si="2241"/>
        <v>0</v>
      </c>
      <c r="DY335" s="270">
        <f t="shared" si="29"/>
        <v>0</v>
      </c>
      <c r="DZ335" s="274"/>
      <c r="EA335" s="275">
        <f t="shared" si="38"/>
        <v>0</v>
      </c>
      <c r="EB335" s="270">
        <f t="shared" ref="EB335:FC335" si="2242">IF(AJ333&lt;=0,0,IF($C334&lt;=SUM($EA335:EA335),0,IF(CU334+$C334-SUM($EA335:EA335)&gt;AJ333+BO334,AJ333+BO334-CU334,$C334-SUM($EA335:EA335))))</f>
        <v>0</v>
      </c>
      <c r="EC335" s="270">
        <f t="shared" si="2242"/>
        <v>0</v>
      </c>
      <c r="ED335" s="270">
        <f t="shared" si="2242"/>
        <v>0</v>
      </c>
      <c r="EE335" s="270">
        <f t="shared" si="2242"/>
        <v>0</v>
      </c>
      <c r="EF335" s="270">
        <f t="shared" si="2242"/>
        <v>0</v>
      </c>
      <c r="EG335" s="270">
        <f t="shared" si="2242"/>
        <v>0</v>
      </c>
      <c r="EH335" s="270">
        <f t="shared" si="2242"/>
        <v>0</v>
      </c>
      <c r="EI335" s="270">
        <f t="shared" si="2242"/>
        <v>0</v>
      </c>
      <c r="EJ335" s="270">
        <f t="shared" si="2242"/>
        <v>0</v>
      </c>
      <c r="EK335" s="270">
        <f t="shared" si="2242"/>
        <v>0</v>
      </c>
      <c r="EL335" s="270">
        <f t="shared" si="2242"/>
        <v>0</v>
      </c>
      <c r="EM335" s="270">
        <f t="shared" si="2242"/>
        <v>0</v>
      </c>
      <c r="EN335" s="270">
        <f t="shared" si="2242"/>
        <v>0</v>
      </c>
      <c r="EO335" s="270">
        <f t="shared" si="2242"/>
        <v>0</v>
      </c>
      <c r="EP335" s="270">
        <f t="shared" si="2242"/>
        <v>0</v>
      </c>
      <c r="EQ335" s="270">
        <f t="shared" si="2242"/>
        <v>0</v>
      </c>
      <c r="ER335" s="270">
        <f t="shared" si="2242"/>
        <v>0</v>
      </c>
      <c r="ES335" s="270">
        <f t="shared" si="2242"/>
        <v>0</v>
      </c>
      <c r="ET335" s="270">
        <f t="shared" si="2242"/>
        <v>0</v>
      </c>
      <c r="EU335" s="270">
        <f t="shared" si="2242"/>
        <v>0</v>
      </c>
      <c r="EV335" s="270">
        <f t="shared" si="2242"/>
        <v>0</v>
      </c>
      <c r="EW335" s="270">
        <f t="shared" si="2242"/>
        <v>0</v>
      </c>
      <c r="EX335" s="270">
        <f t="shared" si="2242"/>
        <v>0</v>
      </c>
      <c r="EY335" s="270">
        <f t="shared" si="2242"/>
        <v>0</v>
      </c>
      <c r="EZ335" s="270">
        <f t="shared" si="2242"/>
        <v>0</v>
      </c>
      <c r="FA335" s="270">
        <f t="shared" si="2242"/>
        <v>0</v>
      </c>
      <c r="FB335" s="270">
        <f t="shared" si="2242"/>
        <v>0</v>
      </c>
      <c r="FC335" s="270">
        <f t="shared" si="2242"/>
        <v>0</v>
      </c>
      <c r="FD335" s="271"/>
      <c r="FE335" s="271"/>
      <c r="FF335" s="271"/>
      <c r="FG335" s="215"/>
      <c r="FH335" s="215"/>
    </row>
    <row r="336" ht="11.25" customHeight="1">
      <c r="A336" s="215" t="str">
        <f t="shared" si="19"/>
        <v/>
      </c>
      <c r="B336" s="241" t="str">
        <f t="shared" si="600"/>
        <v>#N/A</v>
      </c>
      <c r="C336" s="271" t="str">
        <f>IF(A336="","",IF(Calculator!snowball,IF(($E$5-DY336)&lt;0,0,$E$5-DY336),0)+D336)</f>
        <v/>
      </c>
      <c r="D336" s="271"/>
      <c r="E336" s="270">
        <f t="shared" si="40"/>
        <v>0</v>
      </c>
      <c r="F336" s="270">
        <f t="shared" ref="F336:AG336" si="2243">CU336+EB337</f>
        <v>0</v>
      </c>
      <c r="G336" s="270">
        <f t="shared" si="2243"/>
        <v>0</v>
      </c>
      <c r="H336" s="270">
        <f t="shared" si="2243"/>
        <v>0</v>
      </c>
      <c r="I336" s="270">
        <f t="shared" si="2243"/>
        <v>0</v>
      </c>
      <c r="J336" s="270">
        <f t="shared" si="2243"/>
        <v>0</v>
      </c>
      <c r="K336" s="270">
        <f t="shared" si="2243"/>
        <v>0</v>
      </c>
      <c r="L336" s="270">
        <f t="shared" si="2243"/>
        <v>0</v>
      </c>
      <c r="M336" s="270">
        <f t="shared" si="2243"/>
        <v>0</v>
      </c>
      <c r="N336" s="270">
        <f t="shared" si="2243"/>
        <v>0</v>
      </c>
      <c r="O336" s="270">
        <f t="shared" si="2243"/>
        <v>0</v>
      </c>
      <c r="P336" s="272">
        <f t="shared" si="2243"/>
        <v>0</v>
      </c>
      <c r="Q336" s="272">
        <f t="shared" si="2243"/>
        <v>0</v>
      </c>
      <c r="R336" s="272">
        <f t="shared" si="2243"/>
        <v>0</v>
      </c>
      <c r="S336" s="272">
        <f t="shared" si="2243"/>
        <v>0</v>
      </c>
      <c r="T336" s="272">
        <f t="shared" si="2243"/>
        <v>0</v>
      </c>
      <c r="U336" s="270">
        <f t="shared" si="2243"/>
        <v>0</v>
      </c>
      <c r="V336" s="270">
        <f t="shared" si="2243"/>
        <v>0</v>
      </c>
      <c r="W336" s="270">
        <f t="shared" si="2243"/>
        <v>0</v>
      </c>
      <c r="X336" s="270">
        <f t="shared" si="2243"/>
        <v>0</v>
      </c>
      <c r="Y336" s="270">
        <f t="shared" si="2243"/>
        <v>0</v>
      </c>
      <c r="Z336" s="270">
        <f t="shared" si="2243"/>
        <v>0</v>
      </c>
      <c r="AA336" s="270">
        <f t="shared" si="2243"/>
        <v>0</v>
      </c>
      <c r="AB336" s="270">
        <f t="shared" si="2243"/>
        <v>0</v>
      </c>
      <c r="AC336" s="270">
        <f t="shared" si="2243"/>
        <v>0</v>
      </c>
      <c r="AD336" s="270">
        <f t="shared" si="2243"/>
        <v>0</v>
      </c>
      <c r="AE336" s="270">
        <f t="shared" si="2243"/>
        <v>0</v>
      </c>
      <c r="AF336" s="270">
        <f t="shared" si="2243"/>
        <v>0</v>
      </c>
      <c r="AG336" s="270">
        <f t="shared" si="2243"/>
        <v>0</v>
      </c>
      <c r="AH336" s="279">
        <f t="shared" si="602"/>
        <v>0</v>
      </c>
      <c r="AI336" s="270">
        <f t="shared" si="43"/>
        <v>0</v>
      </c>
      <c r="AJ336" s="270">
        <f t="shared" ref="AJ336:AO336" si="2244">IF(F$8=0,0,ROUND(AJ335-(F336-BO336),2))</f>
        <v>0</v>
      </c>
      <c r="AK336" s="270">
        <f t="shared" si="2244"/>
        <v>0</v>
      </c>
      <c r="AL336" s="270">
        <f t="shared" si="2244"/>
        <v>0</v>
      </c>
      <c r="AM336" s="270">
        <f t="shared" si="2244"/>
        <v>0</v>
      </c>
      <c r="AN336" s="270">
        <f t="shared" si="2244"/>
        <v>0</v>
      </c>
      <c r="AO336" s="270">
        <f t="shared" si="2244"/>
        <v>0</v>
      </c>
      <c r="AP336" s="270">
        <v>0.0</v>
      </c>
      <c r="AQ336" s="270">
        <f t="shared" ref="AQ336:AR336" si="2245">IF(M$8=0,0,ROUND(AQ335-(M336-BV336),2))</f>
        <v>0</v>
      </c>
      <c r="AR336" s="270">
        <f t="shared" si="2245"/>
        <v>0</v>
      </c>
      <c r="AS336" s="270">
        <f t="shared" si="1902"/>
        <v>-7.1</v>
      </c>
      <c r="AT336" s="270">
        <f t="shared" si="605"/>
        <v>-7.68</v>
      </c>
      <c r="AU336" s="270">
        <f t="shared" ref="AU336:BK336" si="2246">IF(Q$8=0,0,ROUND(AU335-(Q336-BY336),2))</f>
        <v>-19.93</v>
      </c>
      <c r="AV336" s="270">
        <f t="shared" si="2246"/>
        <v>0</v>
      </c>
      <c r="AW336" s="270">
        <f t="shared" si="2246"/>
        <v>0</v>
      </c>
      <c r="AX336" s="270">
        <f t="shared" si="2246"/>
        <v>0</v>
      </c>
      <c r="AY336" s="270">
        <f t="shared" si="2246"/>
        <v>0</v>
      </c>
      <c r="AZ336" s="270">
        <f t="shared" si="2246"/>
        <v>0</v>
      </c>
      <c r="BA336" s="270">
        <f t="shared" si="2246"/>
        <v>0</v>
      </c>
      <c r="BB336" s="270">
        <f t="shared" si="2246"/>
        <v>0</v>
      </c>
      <c r="BC336" s="270">
        <f t="shared" si="2246"/>
        <v>0</v>
      </c>
      <c r="BD336" s="270">
        <f t="shared" si="2246"/>
        <v>0</v>
      </c>
      <c r="BE336" s="270">
        <f t="shared" si="2246"/>
        <v>0</v>
      </c>
      <c r="BF336" s="270">
        <f t="shared" si="2246"/>
        <v>0</v>
      </c>
      <c r="BG336" s="270">
        <f t="shared" si="2246"/>
        <v>0</v>
      </c>
      <c r="BH336" s="270">
        <f t="shared" si="2246"/>
        <v>0</v>
      </c>
      <c r="BI336" s="270">
        <f t="shared" si="2246"/>
        <v>0</v>
      </c>
      <c r="BJ336" s="270">
        <f t="shared" si="2246"/>
        <v>0</v>
      </c>
      <c r="BK336" s="270">
        <f t="shared" si="2246"/>
        <v>0</v>
      </c>
      <c r="BL336" s="265">
        <f t="shared" si="16"/>
        <v>-34.71</v>
      </c>
      <c r="BM336" s="215"/>
      <c r="BN336" s="270">
        <f t="shared" ref="BN336:CP336" si="2247">ROUND(AI335*E$9/12,2)</f>
        <v>0</v>
      </c>
      <c r="BO336" s="270">
        <f t="shared" si="2247"/>
        <v>0</v>
      </c>
      <c r="BP336" s="270">
        <f t="shared" si="2247"/>
        <v>0</v>
      </c>
      <c r="BQ336" s="270">
        <f t="shared" si="2247"/>
        <v>0</v>
      </c>
      <c r="BR336" s="270">
        <f t="shared" si="2247"/>
        <v>0</v>
      </c>
      <c r="BS336" s="270">
        <f t="shared" si="2247"/>
        <v>0</v>
      </c>
      <c r="BT336" s="270">
        <f t="shared" si="2247"/>
        <v>0</v>
      </c>
      <c r="BU336" s="270">
        <f t="shared" si="2247"/>
        <v>0</v>
      </c>
      <c r="BV336" s="270">
        <f t="shared" si="2247"/>
        <v>0</v>
      </c>
      <c r="BW336" s="270">
        <f t="shared" si="2247"/>
        <v>0</v>
      </c>
      <c r="BX336" s="270">
        <f t="shared" si="2247"/>
        <v>-0.06</v>
      </c>
      <c r="BY336" s="270">
        <f t="shared" si="2247"/>
        <v>-0.06</v>
      </c>
      <c r="BZ336" s="270">
        <f t="shared" si="2247"/>
        <v>-0.06</v>
      </c>
      <c r="CA336" s="270">
        <f t="shared" si="2247"/>
        <v>0</v>
      </c>
      <c r="CB336" s="270">
        <f t="shared" si="2247"/>
        <v>0</v>
      </c>
      <c r="CC336" s="270">
        <f t="shared" si="2247"/>
        <v>0</v>
      </c>
      <c r="CD336" s="270">
        <f t="shared" si="2247"/>
        <v>0</v>
      </c>
      <c r="CE336" s="270">
        <f t="shared" si="2247"/>
        <v>0</v>
      </c>
      <c r="CF336" s="270">
        <f t="shared" si="2247"/>
        <v>0</v>
      </c>
      <c r="CG336" s="270">
        <f t="shared" si="2247"/>
        <v>0</v>
      </c>
      <c r="CH336" s="270">
        <f t="shared" si="2247"/>
        <v>0</v>
      </c>
      <c r="CI336" s="270">
        <f t="shared" si="2247"/>
        <v>0</v>
      </c>
      <c r="CJ336" s="270">
        <f t="shared" si="2247"/>
        <v>0</v>
      </c>
      <c r="CK336" s="270">
        <f t="shared" si="2247"/>
        <v>0</v>
      </c>
      <c r="CL336" s="270">
        <f t="shared" si="2247"/>
        <v>0</v>
      </c>
      <c r="CM336" s="270">
        <f t="shared" si="2247"/>
        <v>0</v>
      </c>
      <c r="CN336" s="270">
        <f t="shared" si="2247"/>
        <v>0</v>
      </c>
      <c r="CO336" s="270">
        <f t="shared" si="2247"/>
        <v>0</v>
      </c>
      <c r="CP336" s="270">
        <f t="shared" si="2247"/>
        <v>0</v>
      </c>
      <c r="CQ336" s="215"/>
      <c r="CR336" s="270">
        <f t="shared" si="27"/>
        <v>-0.18</v>
      </c>
      <c r="CS336" s="215"/>
      <c r="CT336" s="270">
        <f t="shared" ref="CT336:DX336" si="2248">IF(AI335&gt;0,IF((AI335+BN336)&lt;E$10,AI335+BN336,E$10),0)</f>
        <v>0</v>
      </c>
      <c r="CU336" s="270">
        <f t="shared" si="2248"/>
        <v>0</v>
      </c>
      <c r="CV336" s="270">
        <f t="shared" si="2248"/>
        <v>0</v>
      </c>
      <c r="CW336" s="270">
        <f t="shared" si="2248"/>
        <v>0</v>
      </c>
      <c r="CX336" s="270">
        <f t="shared" si="2248"/>
        <v>0</v>
      </c>
      <c r="CY336" s="270">
        <f t="shared" si="2248"/>
        <v>0</v>
      </c>
      <c r="CZ336" s="270">
        <f t="shared" si="2248"/>
        <v>0</v>
      </c>
      <c r="DA336" s="270">
        <f t="shared" si="2248"/>
        <v>0</v>
      </c>
      <c r="DB336" s="270">
        <f t="shared" si="2248"/>
        <v>0</v>
      </c>
      <c r="DC336" s="270">
        <f t="shared" si="2248"/>
        <v>0</v>
      </c>
      <c r="DD336" s="270">
        <f t="shared" si="2248"/>
        <v>0</v>
      </c>
      <c r="DE336" s="270">
        <f t="shared" si="2248"/>
        <v>0</v>
      </c>
      <c r="DF336" s="270">
        <f t="shared" si="2248"/>
        <v>0</v>
      </c>
      <c r="DG336" s="270">
        <f t="shared" si="2248"/>
        <v>0</v>
      </c>
      <c r="DH336" s="270">
        <f t="shared" si="2248"/>
        <v>0</v>
      </c>
      <c r="DI336" s="270">
        <f t="shared" si="2248"/>
        <v>0</v>
      </c>
      <c r="DJ336" s="270">
        <f t="shared" si="2248"/>
        <v>0</v>
      </c>
      <c r="DK336" s="270">
        <f t="shared" si="2248"/>
        <v>0</v>
      </c>
      <c r="DL336" s="270">
        <f t="shared" si="2248"/>
        <v>0</v>
      </c>
      <c r="DM336" s="270">
        <f t="shared" si="2248"/>
        <v>0</v>
      </c>
      <c r="DN336" s="270">
        <f t="shared" si="2248"/>
        <v>0</v>
      </c>
      <c r="DO336" s="270">
        <f t="shared" si="2248"/>
        <v>0</v>
      </c>
      <c r="DP336" s="270">
        <f t="shared" si="2248"/>
        <v>0</v>
      </c>
      <c r="DQ336" s="270">
        <f t="shared" si="2248"/>
        <v>0</v>
      </c>
      <c r="DR336" s="270">
        <f t="shared" si="2248"/>
        <v>0</v>
      </c>
      <c r="DS336" s="270">
        <f t="shared" si="2248"/>
        <v>0</v>
      </c>
      <c r="DT336" s="270">
        <f t="shared" si="2248"/>
        <v>0</v>
      </c>
      <c r="DU336" s="270">
        <f t="shared" si="2248"/>
        <v>0</v>
      </c>
      <c r="DV336" s="270">
        <f t="shared" si="2248"/>
        <v>0</v>
      </c>
      <c r="DW336" s="270">
        <f t="shared" si="2248"/>
        <v>0</v>
      </c>
      <c r="DX336" s="270">
        <f t="shared" si="2248"/>
        <v>0</v>
      </c>
      <c r="DY336" s="270">
        <f t="shared" si="29"/>
        <v>0</v>
      </c>
      <c r="DZ336" s="274"/>
      <c r="EA336" s="275">
        <f t="shared" si="38"/>
        <v>0</v>
      </c>
      <c r="EB336" s="270">
        <f t="shared" ref="EB336:FC336" si="2249">IF(AJ334&lt;=0,0,IF($C335&lt;=SUM($EA336:EA336),0,IF(CU335+$C335-SUM($EA336:EA336)&gt;AJ334+BO335,AJ334+BO335-CU335,$C335-SUM($EA336:EA336))))</f>
        <v>0</v>
      </c>
      <c r="EC336" s="270">
        <f t="shared" si="2249"/>
        <v>0</v>
      </c>
      <c r="ED336" s="270">
        <f t="shared" si="2249"/>
        <v>0</v>
      </c>
      <c r="EE336" s="270">
        <f t="shared" si="2249"/>
        <v>0</v>
      </c>
      <c r="EF336" s="270">
        <f t="shared" si="2249"/>
        <v>0</v>
      </c>
      <c r="EG336" s="270">
        <f t="shared" si="2249"/>
        <v>0</v>
      </c>
      <c r="EH336" s="270">
        <f t="shared" si="2249"/>
        <v>0</v>
      </c>
      <c r="EI336" s="270">
        <f t="shared" si="2249"/>
        <v>0</v>
      </c>
      <c r="EJ336" s="270">
        <f t="shared" si="2249"/>
        <v>0</v>
      </c>
      <c r="EK336" s="270">
        <f t="shared" si="2249"/>
        <v>0</v>
      </c>
      <c r="EL336" s="270">
        <f t="shared" si="2249"/>
        <v>0</v>
      </c>
      <c r="EM336" s="270">
        <f t="shared" si="2249"/>
        <v>0</v>
      </c>
      <c r="EN336" s="270">
        <f t="shared" si="2249"/>
        <v>0</v>
      </c>
      <c r="EO336" s="270">
        <f t="shared" si="2249"/>
        <v>0</v>
      </c>
      <c r="EP336" s="270">
        <f t="shared" si="2249"/>
        <v>0</v>
      </c>
      <c r="EQ336" s="270">
        <f t="shared" si="2249"/>
        <v>0</v>
      </c>
      <c r="ER336" s="270">
        <f t="shared" si="2249"/>
        <v>0</v>
      </c>
      <c r="ES336" s="270">
        <f t="shared" si="2249"/>
        <v>0</v>
      </c>
      <c r="ET336" s="270">
        <f t="shared" si="2249"/>
        <v>0</v>
      </c>
      <c r="EU336" s="270">
        <f t="shared" si="2249"/>
        <v>0</v>
      </c>
      <c r="EV336" s="270">
        <f t="shared" si="2249"/>
        <v>0</v>
      </c>
      <c r="EW336" s="270">
        <f t="shared" si="2249"/>
        <v>0</v>
      </c>
      <c r="EX336" s="270">
        <f t="shared" si="2249"/>
        <v>0</v>
      </c>
      <c r="EY336" s="270">
        <f t="shared" si="2249"/>
        <v>0</v>
      </c>
      <c r="EZ336" s="270">
        <f t="shared" si="2249"/>
        <v>0</v>
      </c>
      <c r="FA336" s="270">
        <f t="shared" si="2249"/>
        <v>0</v>
      </c>
      <c r="FB336" s="270">
        <f t="shared" si="2249"/>
        <v>0</v>
      </c>
      <c r="FC336" s="270">
        <f t="shared" si="2249"/>
        <v>0</v>
      </c>
      <c r="FD336" s="271"/>
      <c r="FE336" s="271"/>
      <c r="FF336" s="271"/>
      <c r="FG336" s="215"/>
      <c r="FH336" s="215"/>
    </row>
    <row r="337" ht="11.25" customHeight="1">
      <c r="A337" s="215" t="str">
        <f t="shared" si="19"/>
        <v/>
      </c>
      <c r="B337" s="241" t="str">
        <f t="shared" si="600"/>
        <v>#N/A</v>
      </c>
      <c r="C337" s="271" t="str">
        <f>IF(A337="","",IF(Calculator!snowball,IF(($E$5-DY337)&lt;0,0,$E$5-DY337),0)+D337)</f>
        <v/>
      </c>
      <c r="D337" s="271"/>
      <c r="E337" s="270">
        <f t="shared" si="40"/>
        <v>0</v>
      </c>
      <c r="F337" s="270">
        <f t="shared" ref="F337:AG337" si="2250">CU337+EB338</f>
        <v>0</v>
      </c>
      <c r="G337" s="270">
        <f t="shared" si="2250"/>
        <v>0</v>
      </c>
      <c r="H337" s="270">
        <f t="shared" si="2250"/>
        <v>0</v>
      </c>
      <c r="I337" s="270">
        <f t="shared" si="2250"/>
        <v>0</v>
      </c>
      <c r="J337" s="270">
        <f t="shared" si="2250"/>
        <v>0</v>
      </c>
      <c r="K337" s="270">
        <f t="shared" si="2250"/>
        <v>0</v>
      </c>
      <c r="L337" s="270">
        <f t="shared" si="2250"/>
        <v>0</v>
      </c>
      <c r="M337" s="270">
        <f t="shared" si="2250"/>
        <v>0</v>
      </c>
      <c r="N337" s="270">
        <f t="shared" si="2250"/>
        <v>0</v>
      </c>
      <c r="O337" s="270">
        <f t="shared" si="2250"/>
        <v>0</v>
      </c>
      <c r="P337" s="272">
        <f t="shared" si="2250"/>
        <v>0</v>
      </c>
      <c r="Q337" s="272">
        <f t="shared" si="2250"/>
        <v>0</v>
      </c>
      <c r="R337" s="272">
        <f t="shared" si="2250"/>
        <v>0</v>
      </c>
      <c r="S337" s="272">
        <f t="shared" si="2250"/>
        <v>0</v>
      </c>
      <c r="T337" s="272">
        <f t="shared" si="2250"/>
        <v>0</v>
      </c>
      <c r="U337" s="270">
        <f t="shared" si="2250"/>
        <v>0</v>
      </c>
      <c r="V337" s="270">
        <f t="shared" si="2250"/>
        <v>0</v>
      </c>
      <c r="W337" s="270">
        <f t="shared" si="2250"/>
        <v>0</v>
      </c>
      <c r="X337" s="270">
        <f t="shared" si="2250"/>
        <v>0</v>
      </c>
      <c r="Y337" s="270">
        <f t="shared" si="2250"/>
        <v>0</v>
      </c>
      <c r="Z337" s="270">
        <f t="shared" si="2250"/>
        <v>0</v>
      </c>
      <c r="AA337" s="270">
        <f t="shared" si="2250"/>
        <v>0</v>
      </c>
      <c r="AB337" s="270">
        <f t="shared" si="2250"/>
        <v>0</v>
      </c>
      <c r="AC337" s="270">
        <f t="shared" si="2250"/>
        <v>0</v>
      </c>
      <c r="AD337" s="270">
        <f t="shared" si="2250"/>
        <v>0</v>
      </c>
      <c r="AE337" s="270">
        <f t="shared" si="2250"/>
        <v>0</v>
      </c>
      <c r="AF337" s="270">
        <f t="shared" si="2250"/>
        <v>0</v>
      </c>
      <c r="AG337" s="270">
        <f t="shared" si="2250"/>
        <v>0</v>
      </c>
      <c r="AH337" s="279">
        <f t="shared" si="602"/>
        <v>0</v>
      </c>
      <c r="AI337" s="270">
        <f t="shared" si="43"/>
        <v>0</v>
      </c>
      <c r="AJ337" s="270">
        <f t="shared" ref="AJ337:AO337" si="2251">IF(F$8=0,0,ROUND(AJ336-(F337-BO337),2))</f>
        <v>0</v>
      </c>
      <c r="AK337" s="270">
        <f t="shared" si="2251"/>
        <v>0</v>
      </c>
      <c r="AL337" s="270">
        <f t="shared" si="2251"/>
        <v>0</v>
      </c>
      <c r="AM337" s="270">
        <f t="shared" si="2251"/>
        <v>0</v>
      </c>
      <c r="AN337" s="270">
        <f t="shared" si="2251"/>
        <v>0</v>
      </c>
      <c r="AO337" s="270">
        <f t="shared" si="2251"/>
        <v>0</v>
      </c>
      <c r="AP337" s="270">
        <v>0.0</v>
      </c>
      <c r="AQ337" s="270">
        <f t="shared" ref="AQ337:AR337" si="2252">IF(M$8=0,0,ROUND(AQ336-(M337-BV337),2))</f>
        <v>0</v>
      </c>
      <c r="AR337" s="270">
        <f t="shared" si="2252"/>
        <v>0</v>
      </c>
      <c r="AS337" s="270">
        <f t="shared" si="1902"/>
        <v>-7.29</v>
      </c>
      <c r="AT337" s="270">
        <f t="shared" si="605"/>
        <v>-7.75</v>
      </c>
      <c r="AU337" s="270">
        <f t="shared" ref="AU337:BK337" si="2253">IF(Q$8=0,0,ROUND(AU336-(Q337-BY337),2))</f>
        <v>-19.99</v>
      </c>
      <c r="AV337" s="270">
        <f t="shared" si="2253"/>
        <v>0</v>
      </c>
      <c r="AW337" s="270">
        <f t="shared" si="2253"/>
        <v>0</v>
      </c>
      <c r="AX337" s="270">
        <f t="shared" si="2253"/>
        <v>0</v>
      </c>
      <c r="AY337" s="270">
        <f t="shared" si="2253"/>
        <v>0</v>
      </c>
      <c r="AZ337" s="270">
        <f t="shared" si="2253"/>
        <v>0</v>
      </c>
      <c r="BA337" s="270">
        <f t="shared" si="2253"/>
        <v>0</v>
      </c>
      <c r="BB337" s="270">
        <f t="shared" si="2253"/>
        <v>0</v>
      </c>
      <c r="BC337" s="270">
        <f t="shared" si="2253"/>
        <v>0</v>
      </c>
      <c r="BD337" s="270">
        <f t="shared" si="2253"/>
        <v>0</v>
      </c>
      <c r="BE337" s="270">
        <f t="shared" si="2253"/>
        <v>0</v>
      </c>
      <c r="BF337" s="270">
        <f t="shared" si="2253"/>
        <v>0</v>
      </c>
      <c r="BG337" s="270">
        <f t="shared" si="2253"/>
        <v>0</v>
      </c>
      <c r="BH337" s="270">
        <f t="shared" si="2253"/>
        <v>0</v>
      </c>
      <c r="BI337" s="270">
        <f t="shared" si="2253"/>
        <v>0</v>
      </c>
      <c r="BJ337" s="270">
        <f t="shared" si="2253"/>
        <v>0</v>
      </c>
      <c r="BK337" s="270">
        <f t="shared" si="2253"/>
        <v>0</v>
      </c>
      <c r="BL337" s="265">
        <f t="shared" si="16"/>
        <v>-35.03</v>
      </c>
      <c r="BM337" s="215"/>
      <c r="BN337" s="270">
        <f t="shared" ref="BN337:CP337" si="2254">ROUND(AI336*E$9/12,2)</f>
        <v>0</v>
      </c>
      <c r="BO337" s="270">
        <f t="shared" si="2254"/>
        <v>0</v>
      </c>
      <c r="BP337" s="270">
        <f t="shared" si="2254"/>
        <v>0</v>
      </c>
      <c r="BQ337" s="270">
        <f t="shared" si="2254"/>
        <v>0</v>
      </c>
      <c r="BR337" s="270">
        <f t="shared" si="2254"/>
        <v>0</v>
      </c>
      <c r="BS337" s="270">
        <f t="shared" si="2254"/>
        <v>0</v>
      </c>
      <c r="BT337" s="270">
        <f t="shared" si="2254"/>
        <v>0</v>
      </c>
      <c r="BU337" s="270">
        <f t="shared" si="2254"/>
        <v>0</v>
      </c>
      <c r="BV337" s="270">
        <f t="shared" si="2254"/>
        <v>0</v>
      </c>
      <c r="BW337" s="270">
        <f t="shared" si="2254"/>
        <v>0</v>
      </c>
      <c r="BX337" s="270">
        <f t="shared" si="2254"/>
        <v>-0.07</v>
      </c>
      <c r="BY337" s="270">
        <f t="shared" si="2254"/>
        <v>-0.06</v>
      </c>
      <c r="BZ337" s="270">
        <f t="shared" si="2254"/>
        <v>-0.06</v>
      </c>
      <c r="CA337" s="270">
        <f t="shared" si="2254"/>
        <v>0</v>
      </c>
      <c r="CB337" s="270">
        <f t="shared" si="2254"/>
        <v>0</v>
      </c>
      <c r="CC337" s="270">
        <f t="shared" si="2254"/>
        <v>0</v>
      </c>
      <c r="CD337" s="270">
        <f t="shared" si="2254"/>
        <v>0</v>
      </c>
      <c r="CE337" s="270">
        <f t="shared" si="2254"/>
        <v>0</v>
      </c>
      <c r="CF337" s="270">
        <f t="shared" si="2254"/>
        <v>0</v>
      </c>
      <c r="CG337" s="270">
        <f t="shared" si="2254"/>
        <v>0</v>
      </c>
      <c r="CH337" s="270">
        <f t="shared" si="2254"/>
        <v>0</v>
      </c>
      <c r="CI337" s="270">
        <f t="shared" si="2254"/>
        <v>0</v>
      </c>
      <c r="CJ337" s="270">
        <f t="shared" si="2254"/>
        <v>0</v>
      </c>
      <c r="CK337" s="270">
        <f t="shared" si="2254"/>
        <v>0</v>
      </c>
      <c r="CL337" s="270">
        <f t="shared" si="2254"/>
        <v>0</v>
      </c>
      <c r="CM337" s="270">
        <f t="shared" si="2254"/>
        <v>0</v>
      </c>
      <c r="CN337" s="270">
        <f t="shared" si="2254"/>
        <v>0</v>
      </c>
      <c r="CO337" s="270">
        <f t="shared" si="2254"/>
        <v>0</v>
      </c>
      <c r="CP337" s="270">
        <f t="shared" si="2254"/>
        <v>0</v>
      </c>
      <c r="CQ337" s="215"/>
      <c r="CR337" s="270">
        <f t="shared" si="27"/>
        <v>-0.19</v>
      </c>
      <c r="CS337" s="215"/>
      <c r="CT337" s="270">
        <f t="shared" ref="CT337:DX337" si="2255">IF(AI336&gt;0,IF((AI336+BN337)&lt;E$10,AI336+BN337,E$10),0)</f>
        <v>0</v>
      </c>
      <c r="CU337" s="270">
        <f t="shared" si="2255"/>
        <v>0</v>
      </c>
      <c r="CV337" s="270">
        <f t="shared" si="2255"/>
        <v>0</v>
      </c>
      <c r="CW337" s="270">
        <f t="shared" si="2255"/>
        <v>0</v>
      </c>
      <c r="CX337" s="270">
        <f t="shared" si="2255"/>
        <v>0</v>
      </c>
      <c r="CY337" s="270">
        <f t="shared" si="2255"/>
        <v>0</v>
      </c>
      <c r="CZ337" s="270">
        <f t="shared" si="2255"/>
        <v>0</v>
      </c>
      <c r="DA337" s="270">
        <f t="shared" si="2255"/>
        <v>0</v>
      </c>
      <c r="DB337" s="270">
        <f t="shared" si="2255"/>
        <v>0</v>
      </c>
      <c r="DC337" s="270">
        <f t="shared" si="2255"/>
        <v>0</v>
      </c>
      <c r="DD337" s="270">
        <f t="shared" si="2255"/>
        <v>0</v>
      </c>
      <c r="DE337" s="270">
        <f t="shared" si="2255"/>
        <v>0</v>
      </c>
      <c r="DF337" s="270">
        <f t="shared" si="2255"/>
        <v>0</v>
      </c>
      <c r="DG337" s="270">
        <f t="shared" si="2255"/>
        <v>0</v>
      </c>
      <c r="DH337" s="270">
        <f t="shared" si="2255"/>
        <v>0</v>
      </c>
      <c r="DI337" s="270">
        <f t="shared" si="2255"/>
        <v>0</v>
      </c>
      <c r="DJ337" s="270">
        <f t="shared" si="2255"/>
        <v>0</v>
      </c>
      <c r="DK337" s="270">
        <f t="shared" si="2255"/>
        <v>0</v>
      </c>
      <c r="DL337" s="270">
        <f t="shared" si="2255"/>
        <v>0</v>
      </c>
      <c r="DM337" s="270">
        <f t="shared" si="2255"/>
        <v>0</v>
      </c>
      <c r="DN337" s="270">
        <f t="shared" si="2255"/>
        <v>0</v>
      </c>
      <c r="DO337" s="270">
        <f t="shared" si="2255"/>
        <v>0</v>
      </c>
      <c r="DP337" s="270">
        <f t="shared" si="2255"/>
        <v>0</v>
      </c>
      <c r="DQ337" s="270">
        <f t="shared" si="2255"/>
        <v>0</v>
      </c>
      <c r="DR337" s="270">
        <f t="shared" si="2255"/>
        <v>0</v>
      </c>
      <c r="DS337" s="270">
        <f t="shared" si="2255"/>
        <v>0</v>
      </c>
      <c r="DT337" s="270">
        <f t="shared" si="2255"/>
        <v>0</v>
      </c>
      <c r="DU337" s="270">
        <f t="shared" si="2255"/>
        <v>0</v>
      </c>
      <c r="DV337" s="270">
        <f t="shared" si="2255"/>
        <v>0</v>
      </c>
      <c r="DW337" s="270">
        <f t="shared" si="2255"/>
        <v>0</v>
      </c>
      <c r="DX337" s="270">
        <f t="shared" si="2255"/>
        <v>0</v>
      </c>
      <c r="DY337" s="270">
        <f t="shared" si="29"/>
        <v>0</v>
      </c>
      <c r="DZ337" s="274"/>
      <c r="EA337" s="275">
        <f t="shared" si="38"/>
        <v>0</v>
      </c>
      <c r="EB337" s="270">
        <f t="shared" ref="EB337:FC337" si="2256">IF(AJ335&lt;=0,0,IF($C336&lt;=SUM($EA337:EA337),0,IF(CU336+$C336-SUM($EA337:EA337)&gt;AJ335+BO336,AJ335+BO336-CU336,$C336-SUM($EA337:EA337))))</f>
        <v>0</v>
      </c>
      <c r="EC337" s="270">
        <f t="shared" si="2256"/>
        <v>0</v>
      </c>
      <c r="ED337" s="270">
        <f t="shared" si="2256"/>
        <v>0</v>
      </c>
      <c r="EE337" s="270">
        <f t="shared" si="2256"/>
        <v>0</v>
      </c>
      <c r="EF337" s="270">
        <f t="shared" si="2256"/>
        <v>0</v>
      </c>
      <c r="EG337" s="270">
        <f t="shared" si="2256"/>
        <v>0</v>
      </c>
      <c r="EH337" s="270">
        <f t="shared" si="2256"/>
        <v>0</v>
      </c>
      <c r="EI337" s="270">
        <f t="shared" si="2256"/>
        <v>0</v>
      </c>
      <c r="EJ337" s="270">
        <f t="shared" si="2256"/>
        <v>0</v>
      </c>
      <c r="EK337" s="270">
        <f t="shared" si="2256"/>
        <v>0</v>
      </c>
      <c r="EL337" s="270">
        <f t="shared" si="2256"/>
        <v>0</v>
      </c>
      <c r="EM337" s="270">
        <f t="shared" si="2256"/>
        <v>0</v>
      </c>
      <c r="EN337" s="270">
        <f t="shared" si="2256"/>
        <v>0</v>
      </c>
      <c r="EO337" s="270">
        <f t="shared" si="2256"/>
        <v>0</v>
      </c>
      <c r="EP337" s="270">
        <f t="shared" si="2256"/>
        <v>0</v>
      </c>
      <c r="EQ337" s="270">
        <f t="shared" si="2256"/>
        <v>0</v>
      </c>
      <c r="ER337" s="270">
        <f t="shared" si="2256"/>
        <v>0</v>
      </c>
      <c r="ES337" s="270">
        <f t="shared" si="2256"/>
        <v>0</v>
      </c>
      <c r="ET337" s="270">
        <f t="shared" si="2256"/>
        <v>0</v>
      </c>
      <c r="EU337" s="270">
        <f t="shared" si="2256"/>
        <v>0</v>
      </c>
      <c r="EV337" s="270">
        <f t="shared" si="2256"/>
        <v>0</v>
      </c>
      <c r="EW337" s="270">
        <f t="shared" si="2256"/>
        <v>0</v>
      </c>
      <c r="EX337" s="270">
        <f t="shared" si="2256"/>
        <v>0</v>
      </c>
      <c r="EY337" s="270">
        <f t="shared" si="2256"/>
        <v>0</v>
      </c>
      <c r="EZ337" s="270">
        <f t="shared" si="2256"/>
        <v>0</v>
      </c>
      <c r="FA337" s="270">
        <f t="shared" si="2256"/>
        <v>0</v>
      </c>
      <c r="FB337" s="270">
        <f t="shared" si="2256"/>
        <v>0</v>
      </c>
      <c r="FC337" s="270">
        <f t="shared" si="2256"/>
        <v>0</v>
      </c>
      <c r="FD337" s="271"/>
      <c r="FE337" s="271"/>
      <c r="FF337" s="271"/>
      <c r="FG337" s="215"/>
      <c r="FH337" s="215"/>
    </row>
    <row r="338" ht="11.25" customHeight="1">
      <c r="A338" s="215" t="str">
        <f t="shared" si="19"/>
        <v/>
      </c>
      <c r="B338" s="241" t="str">
        <f t="shared" si="600"/>
        <v>#N/A</v>
      </c>
      <c r="C338" s="271" t="str">
        <f>IF(A338="","",IF(Calculator!snowball,IF(($E$5-DY338)&lt;0,0,$E$5-DY338),0)+D338)</f>
        <v/>
      </c>
      <c r="D338" s="271"/>
      <c r="E338" s="270">
        <f t="shared" si="40"/>
        <v>0</v>
      </c>
      <c r="F338" s="270">
        <f t="shared" ref="F338:AG338" si="2257">CU338+EB339</f>
        <v>0</v>
      </c>
      <c r="G338" s="270">
        <f t="shared" si="2257"/>
        <v>0</v>
      </c>
      <c r="H338" s="270">
        <f t="shared" si="2257"/>
        <v>0</v>
      </c>
      <c r="I338" s="270">
        <f t="shared" si="2257"/>
        <v>0</v>
      </c>
      <c r="J338" s="270">
        <f t="shared" si="2257"/>
        <v>0</v>
      </c>
      <c r="K338" s="270">
        <f t="shared" si="2257"/>
        <v>0</v>
      </c>
      <c r="L338" s="270">
        <f t="shared" si="2257"/>
        <v>0</v>
      </c>
      <c r="M338" s="270">
        <f t="shared" si="2257"/>
        <v>0</v>
      </c>
      <c r="N338" s="270">
        <f t="shared" si="2257"/>
        <v>0</v>
      </c>
      <c r="O338" s="270">
        <f t="shared" si="2257"/>
        <v>0</v>
      </c>
      <c r="P338" s="272">
        <f t="shared" si="2257"/>
        <v>0</v>
      </c>
      <c r="Q338" s="272">
        <f t="shared" si="2257"/>
        <v>0</v>
      </c>
      <c r="R338" s="272">
        <f t="shared" si="2257"/>
        <v>0</v>
      </c>
      <c r="S338" s="272">
        <f t="shared" si="2257"/>
        <v>0</v>
      </c>
      <c r="T338" s="272">
        <f t="shared" si="2257"/>
        <v>0</v>
      </c>
      <c r="U338" s="270">
        <f t="shared" si="2257"/>
        <v>0</v>
      </c>
      <c r="V338" s="270">
        <f t="shared" si="2257"/>
        <v>0</v>
      </c>
      <c r="W338" s="270">
        <f t="shared" si="2257"/>
        <v>0</v>
      </c>
      <c r="X338" s="270">
        <f t="shared" si="2257"/>
        <v>0</v>
      </c>
      <c r="Y338" s="270">
        <f t="shared" si="2257"/>
        <v>0</v>
      </c>
      <c r="Z338" s="270">
        <f t="shared" si="2257"/>
        <v>0</v>
      </c>
      <c r="AA338" s="270">
        <f t="shared" si="2257"/>
        <v>0</v>
      </c>
      <c r="AB338" s="270">
        <f t="shared" si="2257"/>
        <v>0</v>
      </c>
      <c r="AC338" s="270">
        <f t="shared" si="2257"/>
        <v>0</v>
      </c>
      <c r="AD338" s="270">
        <f t="shared" si="2257"/>
        <v>0</v>
      </c>
      <c r="AE338" s="270">
        <f t="shared" si="2257"/>
        <v>0</v>
      </c>
      <c r="AF338" s="270">
        <f t="shared" si="2257"/>
        <v>0</v>
      </c>
      <c r="AG338" s="270">
        <f t="shared" si="2257"/>
        <v>0</v>
      </c>
      <c r="AH338" s="279">
        <f t="shared" si="602"/>
        <v>0</v>
      </c>
      <c r="AI338" s="270">
        <f t="shared" si="43"/>
        <v>0</v>
      </c>
      <c r="AJ338" s="270">
        <f t="shared" ref="AJ338:AO338" si="2258">IF(F$8=0,0,ROUND(AJ337-(F338-BO338),2))</f>
        <v>0</v>
      </c>
      <c r="AK338" s="270">
        <f t="shared" si="2258"/>
        <v>0</v>
      </c>
      <c r="AL338" s="270">
        <f t="shared" si="2258"/>
        <v>0</v>
      </c>
      <c r="AM338" s="270">
        <f t="shared" si="2258"/>
        <v>0</v>
      </c>
      <c r="AN338" s="270">
        <f t="shared" si="2258"/>
        <v>0</v>
      </c>
      <c r="AO338" s="270">
        <f t="shared" si="2258"/>
        <v>0</v>
      </c>
      <c r="AP338" s="270">
        <v>0.0</v>
      </c>
      <c r="AQ338" s="270">
        <f t="shared" ref="AQ338:AR338" si="2259">IF(M$8=0,0,ROUND(AQ337-(M338-BV338),2))</f>
        <v>0</v>
      </c>
      <c r="AR338" s="270">
        <f t="shared" si="2259"/>
        <v>0</v>
      </c>
      <c r="AS338" s="270">
        <f t="shared" si="1902"/>
        <v>-7.48</v>
      </c>
      <c r="AT338" s="270">
        <f t="shared" si="605"/>
        <v>-7.82</v>
      </c>
      <c r="AU338" s="270">
        <f t="shared" ref="AU338:BK338" si="2260">IF(Q$8=0,0,ROUND(AU337-(Q338-BY338),2))</f>
        <v>-20.05</v>
      </c>
      <c r="AV338" s="270">
        <f t="shared" si="2260"/>
        <v>0</v>
      </c>
      <c r="AW338" s="270">
        <f t="shared" si="2260"/>
        <v>0</v>
      </c>
      <c r="AX338" s="270">
        <f t="shared" si="2260"/>
        <v>0</v>
      </c>
      <c r="AY338" s="270">
        <f t="shared" si="2260"/>
        <v>0</v>
      </c>
      <c r="AZ338" s="270">
        <f t="shared" si="2260"/>
        <v>0</v>
      </c>
      <c r="BA338" s="270">
        <f t="shared" si="2260"/>
        <v>0</v>
      </c>
      <c r="BB338" s="270">
        <f t="shared" si="2260"/>
        <v>0</v>
      </c>
      <c r="BC338" s="270">
        <f t="shared" si="2260"/>
        <v>0</v>
      </c>
      <c r="BD338" s="270">
        <f t="shared" si="2260"/>
        <v>0</v>
      </c>
      <c r="BE338" s="270">
        <f t="shared" si="2260"/>
        <v>0</v>
      </c>
      <c r="BF338" s="270">
        <f t="shared" si="2260"/>
        <v>0</v>
      </c>
      <c r="BG338" s="270">
        <f t="shared" si="2260"/>
        <v>0</v>
      </c>
      <c r="BH338" s="270">
        <f t="shared" si="2260"/>
        <v>0</v>
      </c>
      <c r="BI338" s="270">
        <f t="shared" si="2260"/>
        <v>0</v>
      </c>
      <c r="BJ338" s="270">
        <f t="shared" si="2260"/>
        <v>0</v>
      </c>
      <c r="BK338" s="270">
        <f t="shared" si="2260"/>
        <v>0</v>
      </c>
      <c r="BL338" s="265">
        <f t="shared" si="16"/>
        <v>-35.35</v>
      </c>
      <c r="BM338" s="215"/>
      <c r="BN338" s="270">
        <f t="shared" ref="BN338:CP338" si="2261">ROUND(AI337*E$9/12,2)</f>
        <v>0</v>
      </c>
      <c r="BO338" s="270">
        <f t="shared" si="2261"/>
        <v>0</v>
      </c>
      <c r="BP338" s="270">
        <f t="shared" si="2261"/>
        <v>0</v>
      </c>
      <c r="BQ338" s="270">
        <f t="shared" si="2261"/>
        <v>0</v>
      </c>
      <c r="BR338" s="270">
        <f t="shared" si="2261"/>
        <v>0</v>
      </c>
      <c r="BS338" s="270">
        <f t="shared" si="2261"/>
        <v>0</v>
      </c>
      <c r="BT338" s="270">
        <f t="shared" si="2261"/>
        <v>0</v>
      </c>
      <c r="BU338" s="270">
        <f t="shared" si="2261"/>
        <v>0</v>
      </c>
      <c r="BV338" s="270">
        <f t="shared" si="2261"/>
        <v>0</v>
      </c>
      <c r="BW338" s="270">
        <f t="shared" si="2261"/>
        <v>0</v>
      </c>
      <c r="BX338" s="270">
        <f t="shared" si="2261"/>
        <v>-0.07</v>
      </c>
      <c r="BY338" s="270">
        <f t="shared" si="2261"/>
        <v>-0.06</v>
      </c>
      <c r="BZ338" s="270">
        <f t="shared" si="2261"/>
        <v>-0.06</v>
      </c>
      <c r="CA338" s="270">
        <f t="shared" si="2261"/>
        <v>0</v>
      </c>
      <c r="CB338" s="270">
        <f t="shared" si="2261"/>
        <v>0</v>
      </c>
      <c r="CC338" s="270">
        <f t="shared" si="2261"/>
        <v>0</v>
      </c>
      <c r="CD338" s="270">
        <f t="shared" si="2261"/>
        <v>0</v>
      </c>
      <c r="CE338" s="270">
        <f t="shared" si="2261"/>
        <v>0</v>
      </c>
      <c r="CF338" s="270">
        <f t="shared" si="2261"/>
        <v>0</v>
      </c>
      <c r="CG338" s="270">
        <f t="shared" si="2261"/>
        <v>0</v>
      </c>
      <c r="CH338" s="270">
        <f t="shared" si="2261"/>
        <v>0</v>
      </c>
      <c r="CI338" s="270">
        <f t="shared" si="2261"/>
        <v>0</v>
      </c>
      <c r="CJ338" s="270">
        <f t="shared" si="2261"/>
        <v>0</v>
      </c>
      <c r="CK338" s="270">
        <f t="shared" si="2261"/>
        <v>0</v>
      </c>
      <c r="CL338" s="270">
        <f t="shared" si="2261"/>
        <v>0</v>
      </c>
      <c r="CM338" s="270">
        <f t="shared" si="2261"/>
        <v>0</v>
      </c>
      <c r="CN338" s="270">
        <f t="shared" si="2261"/>
        <v>0</v>
      </c>
      <c r="CO338" s="270">
        <f t="shared" si="2261"/>
        <v>0</v>
      </c>
      <c r="CP338" s="270">
        <f t="shared" si="2261"/>
        <v>0</v>
      </c>
      <c r="CQ338" s="215"/>
      <c r="CR338" s="270">
        <f t="shared" si="27"/>
        <v>-0.19</v>
      </c>
      <c r="CS338" s="215"/>
      <c r="CT338" s="270">
        <f t="shared" ref="CT338:DX338" si="2262">IF(AI337&gt;0,IF((AI337+BN338)&lt;E$10,AI337+BN338,E$10),0)</f>
        <v>0</v>
      </c>
      <c r="CU338" s="270">
        <f t="shared" si="2262"/>
        <v>0</v>
      </c>
      <c r="CV338" s="270">
        <f t="shared" si="2262"/>
        <v>0</v>
      </c>
      <c r="CW338" s="270">
        <f t="shared" si="2262"/>
        <v>0</v>
      </c>
      <c r="CX338" s="270">
        <f t="shared" si="2262"/>
        <v>0</v>
      </c>
      <c r="CY338" s="270">
        <f t="shared" si="2262"/>
        <v>0</v>
      </c>
      <c r="CZ338" s="270">
        <f t="shared" si="2262"/>
        <v>0</v>
      </c>
      <c r="DA338" s="270">
        <f t="shared" si="2262"/>
        <v>0</v>
      </c>
      <c r="DB338" s="270">
        <f t="shared" si="2262"/>
        <v>0</v>
      </c>
      <c r="DC338" s="270">
        <f t="shared" si="2262"/>
        <v>0</v>
      </c>
      <c r="DD338" s="270">
        <f t="shared" si="2262"/>
        <v>0</v>
      </c>
      <c r="DE338" s="270">
        <f t="shared" si="2262"/>
        <v>0</v>
      </c>
      <c r="DF338" s="270">
        <f t="shared" si="2262"/>
        <v>0</v>
      </c>
      <c r="DG338" s="270">
        <f t="shared" si="2262"/>
        <v>0</v>
      </c>
      <c r="DH338" s="270">
        <f t="shared" si="2262"/>
        <v>0</v>
      </c>
      <c r="DI338" s="270">
        <f t="shared" si="2262"/>
        <v>0</v>
      </c>
      <c r="DJ338" s="270">
        <f t="shared" si="2262"/>
        <v>0</v>
      </c>
      <c r="DK338" s="270">
        <f t="shared" si="2262"/>
        <v>0</v>
      </c>
      <c r="DL338" s="270">
        <f t="shared" si="2262"/>
        <v>0</v>
      </c>
      <c r="DM338" s="270">
        <f t="shared" si="2262"/>
        <v>0</v>
      </c>
      <c r="DN338" s="270">
        <f t="shared" si="2262"/>
        <v>0</v>
      </c>
      <c r="DO338" s="270">
        <f t="shared" si="2262"/>
        <v>0</v>
      </c>
      <c r="DP338" s="270">
        <f t="shared" si="2262"/>
        <v>0</v>
      </c>
      <c r="DQ338" s="270">
        <f t="shared" si="2262"/>
        <v>0</v>
      </c>
      <c r="DR338" s="270">
        <f t="shared" si="2262"/>
        <v>0</v>
      </c>
      <c r="DS338" s="270">
        <f t="shared" si="2262"/>
        <v>0</v>
      </c>
      <c r="DT338" s="270">
        <f t="shared" si="2262"/>
        <v>0</v>
      </c>
      <c r="DU338" s="270">
        <f t="shared" si="2262"/>
        <v>0</v>
      </c>
      <c r="DV338" s="270">
        <f t="shared" si="2262"/>
        <v>0</v>
      </c>
      <c r="DW338" s="270">
        <f t="shared" si="2262"/>
        <v>0</v>
      </c>
      <c r="DX338" s="270">
        <f t="shared" si="2262"/>
        <v>0</v>
      </c>
      <c r="DY338" s="270">
        <f t="shared" si="29"/>
        <v>0</v>
      </c>
      <c r="DZ338" s="274"/>
      <c r="EA338" s="275">
        <f t="shared" si="38"/>
        <v>0</v>
      </c>
      <c r="EB338" s="270">
        <f t="shared" ref="EB338:FC338" si="2263">IF(AJ336&lt;=0,0,IF($C337&lt;=SUM($EA338:EA338),0,IF(CU337+$C337-SUM($EA338:EA338)&gt;AJ336+BO337,AJ336+BO337-CU337,$C337-SUM($EA338:EA338))))</f>
        <v>0</v>
      </c>
      <c r="EC338" s="270">
        <f t="shared" si="2263"/>
        <v>0</v>
      </c>
      <c r="ED338" s="270">
        <f t="shared" si="2263"/>
        <v>0</v>
      </c>
      <c r="EE338" s="270">
        <f t="shared" si="2263"/>
        <v>0</v>
      </c>
      <c r="EF338" s="270">
        <f t="shared" si="2263"/>
        <v>0</v>
      </c>
      <c r="EG338" s="270">
        <f t="shared" si="2263"/>
        <v>0</v>
      </c>
      <c r="EH338" s="270">
        <f t="shared" si="2263"/>
        <v>0</v>
      </c>
      <c r="EI338" s="270">
        <f t="shared" si="2263"/>
        <v>0</v>
      </c>
      <c r="EJ338" s="270">
        <f t="shared" si="2263"/>
        <v>0</v>
      </c>
      <c r="EK338" s="270">
        <f t="shared" si="2263"/>
        <v>0</v>
      </c>
      <c r="EL338" s="270">
        <f t="shared" si="2263"/>
        <v>0</v>
      </c>
      <c r="EM338" s="270">
        <f t="shared" si="2263"/>
        <v>0</v>
      </c>
      <c r="EN338" s="270">
        <f t="shared" si="2263"/>
        <v>0</v>
      </c>
      <c r="EO338" s="270">
        <f t="shared" si="2263"/>
        <v>0</v>
      </c>
      <c r="EP338" s="270">
        <f t="shared" si="2263"/>
        <v>0</v>
      </c>
      <c r="EQ338" s="270">
        <f t="shared" si="2263"/>
        <v>0</v>
      </c>
      <c r="ER338" s="270">
        <f t="shared" si="2263"/>
        <v>0</v>
      </c>
      <c r="ES338" s="270">
        <f t="shared" si="2263"/>
        <v>0</v>
      </c>
      <c r="ET338" s="270">
        <f t="shared" si="2263"/>
        <v>0</v>
      </c>
      <c r="EU338" s="270">
        <f t="shared" si="2263"/>
        <v>0</v>
      </c>
      <c r="EV338" s="270">
        <f t="shared" si="2263"/>
        <v>0</v>
      </c>
      <c r="EW338" s="270">
        <f t="shared" si="2263"/>
        <v>0</v>
      </c>
      <c r="EX338" s="270">
        <f t="shared" si="2263"/>
        <v>0</v>
      </c>
      <c r="EY338" s="270">
        <f t="shared" si="2263"/>
        <v>0</v>
      </c>
      <c r="EZ338" s="270">
        <f t="shared" si="2263"/>
        <v>0</v>
      </c>
      <c r="FA338" s="270">
        <f t="shared" si="2263"/>
        <v>0</v>
      </c>
      <c r="FB338" s="270">
        <f t="shared" si="2263"/>
        <v>0</v>
      </c>
      <c r="FC338" s="270">
        <f t="shared" si="2263"/>
        <v>0</v>
      </c>
      <c r="FD338" s="271"/>
      <c r="FE338" s="271"/>
      <c r="FF338" s="271"/>
      <c r="FG338" s="215"/>
      <c r="FH338" s="215"/>
    </row>
    <row r="339" ht="11.25" customHeight="1">
      <c r="A339" s="215" t="str">
        <f t="shared" si="19"/>
        <v/>
      </c>
      <c r="B339" s="241" t="str">
        <f t="shared" si="600"/>
        <v>#N/A</v>
      </c>
      <c r="C339" s="271" t="str">
        <f>IF(A339="","",IF(Calculator!snowball,IF(($E$5-DY339)&lt;0,0,$E$5-DY339),0)+D339)</f>
        <v/>
      </c>
      <c r="D339" s="271"/>
      <c r="E339" s="270">
        <f t="shared" si="40"/>
        <v>0</v>
      </c>
      <c r="F339" s="270">
        <f t="shared" ref="F339:AG339" si="2264">CU339+EB340</f>
        <v>0</v>
      </c>
      <c r="G339" s="270">
        <f t="shared" si="2264"/>
        <v>0</v>
      </c>
      <c r="H339" s="270">
        <f t="shared" si="2264"/>
        <v>0</v>
      </c>
      <c r="I339" s="270">
        <f t="shared" si="2264"/>
        <v>0</v>
      </c>
      <c r="J339" s="270">
        <f t="shared" si="2264"/>
        <v>0</v>
      </c>
      <c r="K339" s="270">
        <f t="shared" si="2264"/>
        <v>0</v>
      </c>
      <c r="L339" s="270">
        <f t="shared" si="2264"/>
        <v>0</v>
      </c>
      <c r="M339" s="270">
        <f t="shared" si="2264"/>
        <v>0</v>
      </c>
      <c r="N339" s="270">
        <f t="shared" si="2264"/>
        <v>0</v>
      </c>
      <c r="O339" s="270">
        <f t="shared" si="2264"/>
        <v>0</v>
      </c>
      <c r="P339" s="272">
        <f t="shared" si="2264"/>
        <v>0</v>
      </c>
      <c r="Q339" s="272">
        <f t="shared" si="2264"/>
        <v>0</v>
      </c>
      <c r="R339" s="272">
        <f t="shared" si="2264"/>
        <v>0</v>
      </c>
      <c r="S339" s="272">
        <f t="shared" si="2264"/>
        <v>0</v>
      </c>
      <c r="T339" s="272">
        <f t="shared" si="2264"/>
        <v>0</v>
      </c>
      <c r="U339" s="270">
        <f t="shared" si="2264"/>
        <v>0</v>
      </c>
      <c r="V339" s="270">
        <f t="shared" si="2264"/>
        <v>0</v>
      </c>
      <c r="W339" s="270">
        <f t="shared" si="2264"/>
        <v>0</v>
      </c>
      <c r="X339" s="270">
        <f t="shared" si="2264"/>
        <v>0</v>
      </c>
      <c r="Y339" s="270">
        <f t="shared" si="2264"/>
        <v>0</v>
      </c>
      <c r="Z339" s="270">
        <f t="shared" si="2264"/>
        <v>0</v>
      </c>
      <c r="AA339" s="270">
        <f t="shared" si="2264"/>
        <v>0</v>
      </c>
      <c r="AB339" s="270">
        <f t="shared" si="2264"/>
        <v>0</v>
      </c>
      <c r="AC339" s="270">
        <f t="shared" si="2264"/>
        <v>0</v>
      </c>
      <c r="AD339" s="270">
        <f t="shared" si="2264"/>
        <v>0</v>
      </c>
      <c r="AE339" s="270">
        <f t="shared" si="2264"/>
        <v>0</v>
      </c>
      <c r="AF339" s="270">
        <f t="shared" si="2264"/>
        <v>0</v>
      </c>
      <c r="AG339" s="270">
        <f t="shared" si="2264"/>
        <v>0</v>
      </c>
      <c r="AH339" s="279">
        <f t="shared" si="602"/>
        <v>0</v>
      </c>
      <c r="AI339" s="270">
        <f t="shared" si="43"/>
        <v>0</v>
      </c>
      <c r="AJ339" s="270">
        <f t="shared" ref="AJ339:AO339" si="2265">IF(F$8=0,0,ROUND(AJ338-(F339-BO339),2))</f>
        <v>0</v>
      </c>
      <c r="AK339" s="270">
        <f t="shared" si="2265"/>
        <v>0</v>
      </c>
      <c r="AL339" s="270">
        <f t="shared" si="2265"/>
        <v>0</v>
      </c>
      <c r="AM339" s="270">
        <f t="shared" si="2265"/>
        <v>0</v>
      </c>
      <c r="AN339" s="270">
        <f t="shared" si="2265"/>
        <v>0</v>
      </c>
      <c r="AO339" s="270">
        <f t="shared" si="2265"/>
        <v>0</v>
      </c>
      <c r="AP339" s="270">
        <v>0.0</v>
      </c>
      <c r="AQ339" s="270">
        <f t="shared" ref="AQ339:AR339" si="2266">IF(M$8=0,0,ROUND(AQ338-(M339-BV339),2))</f>
        <v>0</v>
      </c>
      <c r="AR339" s="270">
        <f t="shared" si="2266"/>
        <v>0</v>
      </c>
      <c r="AS339" s="270">
        <f t="shared" si="1902"/>
        <v>-7.67</v>
      </c>
      <c r="AT339" s="270">
        <f t="shared" si="605"/>
        <v>-7.89</v>
      </c>
      <c r="AU339" s="270">
        <f t="shared" ref="AU339:BK339" si="2267">IF(Q$8=0,0,ROUND(AU338-(Q339-BY339),2))</f>
        <v>-20.11</v>
      </c>
      <c r="AV339" s="270">
        <f t="shared" si="2267"/>
        <v>0</v>
      </c>
      <c r="AW339" s="270">
        <f t="shared" si="2267"/>
        <v>0</v>
      </c>
      <c r="AX339" s="270">
        <f t="shared" si="2267"/>
        <v>0</v>
      </c>
      <c r="AY339" s="270">
        <f t="shared" si="2267"/>
        <v>0</v>
      </c>
      <c r="AZ339" s="270">
        <f t="shared" si="2267"/>
        <v>0</v>
      </c>
      <c r="BA339" s="270">
        <f t="shared" si="2267"/>
        <v>0</v>
      </c>
      <c r="BB339" s="270">
        <f t="shared" si="2267"/>
        <v>0</v>
      </c>
      <c r="BC339" s="270">
        <f t="shared" si="2267"/>
        <v>0</v>
      </c>
      <c r="BD339" s="270">
        <f t="shared" si="2267"/>
        <v>0</v>
      </c>
      <c r="BE339" s="270">
        <f t="shared" si="2267"/>
        <v>0</v>
      </c>
      <c r="BF339" s="270">
        <f t="shared" si="2267"/>
        <v>0</v>
      </c>
      <c r="BG339" s="270">
        <f t="shared" si="2267"/>
        <v>0</v>
      </c>
      <c r="BH339" s="270">
        <f t="shared" si="2267"/>
        <v>0</v>
      </c>
      <c r="BI339" s="270">
        <f t="shared" si="2267"/>
        <v>0</v>
      </c>
      <c r="BJ339" s="270">
        <f t="shared" si="2267"/>
        <v>0</v>
      </c>
      <c r="BK339" s="270">
        <f t="shared" si="2267"/>
        <v>0</v>
      </c>
      <c r="BL339" s="265">
        <f t="shared" si="16"/>
        <v>-35.67</v>
      </c>
      <c r="BM339" s="215"/>
      <c r="BN339" s="270">
        <f t="shared" ref="BN339:CP339" si="2268">ROUND(AI338*E$9/12,2)</f>
        <v>0</v>
      </c>
      <c r="BO339" s="270">
        <f t="shared" si="2268"/>
        <v>0</v>
      </c>
      <c r="BP339" s="270">
        <f t="shared" si="2268"/>
        <v>0</v>
      </c>
      <c r="BQ339" s="270">
        <f t="shared" si="2268"/>
        <v>0</v>
      </c>
      <c r="BR339" s="270">
        <f t="shared" si="2268"/>
        <v>0</v>
      </c>
      <c r="BS339" s="270">
        <f t="shared" si="2268"/>
        <v>0</v>
      </c>
      <c r="BT339" s="270">
        <f t="shared" si="2268"/>
        <v>0</v>
      </c>
      <c r="BU339" s="270">
        <f t="shared" si="2268"/>
        <v>0</v>
      </c>
      <c r="BV339" s="270">
        <f t="shared" si="2268"/>
        <v>0</v>
      </c>
      <c r="BW339" s="270">
        <f t="shared" si="2268"/>
        <v>0</v>
      </c>
      <c r="BX339" s="270">
        <f t="shared" si="2268"/>
        <v>-0.07</v>
      </c>
      <c r="BY339" s="270">
        <f t="shared" si="2268"/>
        <v>-0.06</v>
      </c>
      <c r="BZ339" s="270">
        <f t="shared" si="2268"/>
        <v>-0.06</v>
      </c>
      <c r="CA339" s="270">
        <f t="shared" si="2268"/>
        <v>0</v>
      </c>
      <c r="CB339" s="270">
        <f t="shared" si="2268"/>
        <v>0</v>
      </c>
      <c r="CC339" s="270">
        <f t="shared" si="2268"/>
        <v>0</v>
      </c>
      <c r="CD339" s="270">
        <f t="shared" si="2268"/>
        <v>0</v>
      </c>
      <c r="CE339" s="270">
        <f t="shared" si="2268"/>
        <v>0</v>
      </c>
      <c r="CF339" s="270">
        <f t="shared" si="2268"/>
        <v>0</v>
      </c>
      <c r="CG339" s="270">
        <f t="shared" si="2268"/>
        <v>0</v>
      </c>
      <c r="CH339" s="270">
        <f t="shared" si="2268"/>
        <v>0</v>
      </c>
      <c r="CI339" s="270">
        <f t="shared" si="2268"/>
        <v>0</v>
      </c>
      <c r="CJ339" s="270">
        <f t="shared" si="2268"/>
        <v>0</v>
      </c>
      <c r="CK339" s="270">
        <f t="shared" si="2268"/>
        <v>0</v>
      </c>
      <c r="CL339" s="270">
        <f t="shared" si="2268"/>
        <v>0</v>
      </c>
      <c r="CM339" s="270">
        <f t="shared" si="2268"/>
        <v>0</v>
      </c>
      <c r="CN339" s="270">
        <f t="shared" si="2268"/>
        <v>0</v>
      </c>
      <c r="CO339" s="270">
        <f t="shared" si="2268"/>
        <v>0</v>
      </c>
      <c r="CP339" s="270">
        <f t="shared" si="2268"/>
        <v>0</v>
      </c>
      <c r="CQ339" s="215"/>
      <c r="CR339" s="270">
        <f t="shared" si="27"/>
        <v>-0.19</v>
      </c>
      <c r="CS339" s="215"/>
      <c r="CT339" s="270">
        <f t="shared" ref="CT339:DX339" si="2269">IF(AI338&gt;0,IF((AI338+BN339)&lt;E$10,AI338+BN339,E$10),0)</f>
        <v>0</v>
      </c>
      <c r="CU339" s="270">
        <f t="shared" si="2269"/>
        <v>0</v>
      </c>
      <c r="CV339" s="270">
        <f t="shared" si="2269"/>
        <v>0</v>
      </c>
      <c r="CW339" s="270">
        <f t="shared" si="2269"/>
        <v>0</v>
      </c>
      <c r="CX339" s="270">
        <f t="shared" si="2269"/>
        <v>0</v>
      </c>
      <c r="CY339" s="270">
        <f t="shared" si="2269"/>
        <v>0</v>
      </c>
      <c r="CZ339" s="270">
        <f t="shared" si="2269"/>
        <v>0</v>
      </c>
      <c r="DA339" s="270">
        <f t="shared" si="2269"/>
        <v>0</v>
      </c>
      <c r="DB339" s="270">
        <f t="shared" si="2269"/>
        <v>0</v>
      </c>
      <c r="DC339" s="270">
        <f t="shared" si="2269"/>
        <v>0</v>
      </c>
      <c r="DD339" s="270">
        <f t="shared" si="2269"/>
        <v>0</v>
      </c>
      <c r="DE339" s="270">
        <f t="shared" si="2269"/>
        <v>0</v>
      </c>
      <c r="DF339" s="270">
        <f t="shared" si="2269"/>
        <v>0</v>
      </c>
      <c r="DG339" s="270">
        <f t="shared" si="2269"/>
        <v>0</v>
      </c>
      <c r="DH339" s="270">
        <f t="shared" si="2269"/>
        <v>0</v>
      </c>
      <c r="DI339" s="270">
        <f t="shared" si="2269"/>
        <v>0</v>
      </c>
      <c r="DJ339" s="270">
        <f t="shared" si="2269"/>
        <v>0</v>
      </c>
      <c r="DK339" s="270">
        <f t="shared" si="2269"/>
        <v>0</v>
      </c>
      <c r="DL339" s="270">
        <f t="shared" si="2269"/>
        <v>0</v>
      </c>
      <c r="DM339" s="270">
        <f t="shared" si="2269"/>
        <v>0</v>
      </c>
      <c r="DN339" s="270">
        <f t="shared" si="2269"/>
        <v>0</v>
      </c>
      <c r="DO339" s="270">
        <f t="shared" si="2269"/>
        <v>0</v>
      </c>
      <c r="DP339" s="270">
        <f t="shared" si="2269"/>
        <v>0</v>
      </c>
      <c r="DQ339" s="270">
        <f t="shared" si="2269"/>
        <v>0</v>
      </c>
      <c r="DR339" s="270">
        <f t="shared" si="2269"/>
        <v>0</v>
      </c>
      <c r="DS339" s="270">
        <f t="shared" si="2269"/>
        <v>0</v>
      </c>
      <c r="DT339" s="270">
        <f t="shared" si="2269"/>
        <v>0</v>
      </c>
      <c r="DU339" s="270">
        <f t="shared" si="2269"/>
        <v>0</v>
      </c>
      <c r="DV339" s="270">
        <f t="shared" si="2269"/>
        <v>0</v>
      </c>
      <c r="DW339" s="270">
        <f t="shared" si="2269"/>
        <v>0</v>
      </c>
      <c r="DX339" s="270">
        <f t="shared" si="2269"/>
        <v>0</v>
      </c>
      <c r="DY339" s="270">
        <f t="shared" si="29"/>
        <v>0</v>
      </c>
      <c r="DZ339" s="274"/>
      <c r="EA339" s="275">
        <f t="shared" si="38"/>
        <v>0</v>
      </c>
      <c r="EB339" s="270">
        <f t="shared" ref="EB339:FC339" si="2270">IF(AJ337&lt;=0,0,IF($C338&lt;=SUM($EA339:EA339),0,IF(CU338+$C338-SUM($EA339:EA339)&gt;AJ337+BO338,AJ337+BO338-CU338,$C338-SUM($EA339:EA339))))</f>
        <v>0</v>
      </c>
      <c r="EC339" s="270">
        <f t="shared" si="2270"/>
        <v>0</v>
      </c>
      <c r="ED339" s="270">
        <f t="shared" si="2270"/>
        <v>0</v>
      </c>
      <c r="EE339" s="270">
        <f t="shared" si="2270"/>
        <v>0</v>
      </c>
      <c r="EF339" s="270">
        <f t="shared" si="2270"/>
        <v>0</v>
      </c>
      <c r="EG339" s="270">
        <f t="shared" si="2270"/>
        <v>0</v>
      </c>
      <c r="EH339" s="270">
        <f t="shared" si="2270"/>
        <v>0</v>
      </c>
      <c r="EI339" s="270">
        <f t="shared" si="2270"/>
        <v>0</v>
      </c>
      <c r="EJ339" s="270">
        <f t="shared" si="2270"/>
        <v>0</v>
      </c>
      <c r="EK339" s="270">
        <f t="shared" si="2270"/>
        <v>0</v>
      </c>
      <c r="EL339" s="270">
        <f t="shared" si="2270"/>
        <v>0</v>
      </c>
      <c r="EM339" s="270">
        <f t="shared" si="2270"/>
        <v>0</v>
      </c>
      <c r="EN339" s="270">
        <f t="shared" si="2270"/>
        <v>0</v>
      </c>
      <c r="EO339" s="270">
        <f t="shared" si="2270"/>
        <v>0</v>
      </c>
      <c r="EP339" s="270">
        <f t="shared" si="2270"/>
        <v>0</v>
      </c>
      <c r="EQ339" s="270">
        <f t="shared" si="2270"/>
        <v>0</v>
      </c>
      <c r="ER339" s="270">
        <f t="shared" si="2270"/>
        <v>0</v>
      </c>
      <c r="ES339" s="270">
        <f t="shared" si="2270"/>
        <v>0</v>
      </c>
      <c r="ET339" s="270">
        <f t="shared" si="2270"/>
        <v>0</v>
      </c>
      <c r="EU339" s="270">
        <f t="shared" si="2270"/>
        <v>0</v>
      </c>
      <c r="EV339" s="270">
        <f t="shared" si="2270"/>
        <v>0</v>
      </c>
      <c r="EW339" s="270">
        <f t="shared" si="2270"/>
        <v>0</v>
      </c>
      <c r="EX339" s="270">
        <f t="shared" si="2270"/>
        <v>0</v>
      </c>
      <c r="EY339" s="270">
        <f t="shared" si="2270"/>
        <v>0</v>
      </c>
      <c r="EZ339" s="270">
        <f t="shared" si="2270"/>
        <v>0</v>
      </c>
      <c r="FA339" s="270">
        <f t="shared" si="2270"/>
        <v>0</v>
      </c>
      <c r="FB339" s="270">
        <f t="shared" si="2270"/>
        <v>0</v>
      </c>
      <c r="FC339" s="270">
        <f t="shared" si="2270"/>
        <v>0</v>
      </c>
      <c r="FD339" s="271"/>
      <c r="FE339" s="271"/>
      <c r="FF339" s="271"/>
      <c r="FG339" s="215"/>
      <c r="FH339" s="215"/>
    </row>
    <row r="340" ht="11.25" customHeight="1">
      <c r="A340" s="215" t="str">
        <f t="shared" si="19"/>
        <v/>
      </c>
      <c r="B340" s="241" t="str">
        <f t="shared" si="600"/>
        <v>#N/A</v>
      </c>
      <c r="C340" s="271" t="str">
        <f>IF(A340="","",IF(Calculator!snowball,IF(($E$5-DY340)&lt;0,0,$E$5-DY340),0)+D340)</f>
        <v/>
      </c>
      <c r="D340" s="271"/>
      <c r="E340" s="270">
        <f t="shared" si="40"/>
        <v>0</v>
      </c>
      <c r="F340" s="270">
        <f t="shared" ref="F340:AG340" si="2271">CU340+EB341</f>
        <v>0</v>
      </c>
      <c r="G340" s="270">
        <f t="shared" si="2271"/>
        <v>0</v>
      </c>
      <c r="H340" s="270">
        <f t="shared" si="2271"/>
        <v>0</v>
      </c>
      <c r="I340" s="270">
        <f t="shared" si="2271"/>
        <v>0</v>
      </c>
      <c r="J340" s="270">
        <f t="shared" si="2271"/>
        <v>0</v>
      </c>
      <c r="K340" s="270">
        <f t="shared" si="2271"/>
        <v>0</v>
      </c>
      <c r="L340" s="270">
        <f t="shared" si="2271"/>
        <v>0</v>
      </c>
      <c r="M340" s="270">
        <f t="shared" si="2271"/>
        <v>0</v>
      </c>
      <c r="N340" s="270">
        <f t="shared" si="2271"/>
        <v>0</v>
      </c>
      <c r="O340" s="270">
        <f t="shared" si="2271"/>
        <v>0</v>
      </c>
      <c r="P340" s="272">
        <f t="shared" si="2271"/>
        <v>0</v>
      </c>
      <c r="Q340" s="272">
        <f t="shared" si="2271"/>
        <v>0</v>
      </c>
      <c r="R340" s="272">
        <f t="shared" si="2271"/>
        <v>0</v>
      </c>
      <c r="S340" s="272">
        <f t="shared" si="2271"/>
        <v>0</v>
      </c>
      <c r="T340" s="272">
        <f t="shared" si="2271"/>
        <v>0</v>
      </c>
      <c r="U340" s="270">
        <f t="shared" si="2271"/>
        <v>0</v>
      </c>
      <c r="V340" s="270">
        <f t="shared" si="2271"/>
        <v>0</v>
      </c>
      <c r="W340" s="270">
        <f t="shared" si="2271"/>
        <v>0</v>
      </c>
      <c r="X340" s="270">
        <f t="shared" si="2271"/>
        <v>0</v>
      </c>
      <c r="Y340" s="270">
        <f t="shared" si="2271"/>
        <v>0</v>
      </c>
      <c r="Z340" s="270">
        <f t="shared" si="2271"/>
        <v>0</v>
      </c>
      <c r="AA340" s="270">
        <f t="shared" si="2271"/>
        <v>0</v>
      </c>
      <c r="AB340" s="270">
        <f t="shared" si="2271"/>
        <v>0</v>
      </c>
      <c r="AC340" s="270">
        <f t="shared" si="2271"/>
        <v>0</v>
      </c>
      <c r="AD340" s="270">
        <f t="shared" si="2271"/>
        <v>0</v>
      </c>
      <c r="AE340" s="270">
        <f t="shared" si="2271"/>
        <v>0</v>
      </c>
      <c r="AF340" s="270">
        <f t="shared" si="2271"/>
        <v>0</v>
      </c>
      <c r="AG340" s="270">
        <f t="shared" si="2271"/>
        <v>0</v>
      </c>
      <c r="AH340" s="279">
        <f t="shared" si="602"/>
        <v>0</v>
      </c>
      <c r="AI340" s="270">
        <f t="shared" si="43"/>
        <v>0</v>
      </c>
      <c r="AJ340" s="270">
        <f t="shared" ref="AJ340:AO340" si="2272">IF(F$8=0,0,ROUND(AJ339-(F340-BO340),2))</f>
        <v>0</v>
      </c>
      <c r="AK340" s="270">
        <f t="shared" si="2272"/>
        <v>0</v>
      </c>
      <c r="AL340" s="270">
        <f t="shared" si="2272"/>
        <v>0</v>
      </c>
      <c r="AM340" s="270">
        <f t="shared" si="2272"/>
        <v>0</v>
      </c>
      <c r="AN340" s="270">
        <f t="shared" si="2272"/>
        <v>0</v>
      </c>
      <c r="AO340" s="270">
        <f t="shared" si="2272"/>
        <v>0</v>
      </c>
      <c r="AP340" s="270">
        <v>0.0</v>
      </c>
      <c r="AQ340" s="270">
        <f t="shared" ref="AQ340:AR340" si="2273">IF(M$8=0,0,ROUND(AQ339-(M340-BV340),2))</f>
        <v>0</v>
      </c>
      <c r="AR340" s="270">
        <f t="shared" si="2273"/>
        <v>0</v>
      </c>
      <c r="AS340" s="270">
        <f t="shared" si="1902"/>
        <v>-7.86</v>
      </c>
      <c r="AT340" s="270">
        <f t="shared" si="605"/>
        <v>-7.96</v>
      </c>
      <c r="AU340" s="270">
        <f t="shared" ref="AU340:BK340" si="2274">IF(Q$8=0,0,ROUND(AU339-(Q340-BY340),2))</f>
        <v>-20.17</v>
      </c>
      <c r="AV340" s="270">
        <f t="shared" si="2274"/>
        <v>0</v>
      </c>
      <c r="AW340" s="270">
        <f t="shared" si="2274"/>
        <v>0</v>
      </c>
      <c r="AX340" s="270">
        <f t="shared" si="2274"/>
        <v>0</v>
      </c>
      <c r="AY340" s="270">
        <f t="shared" si="2274"/>
        <v>0</v>
      </c>
      <c r="AZ340" s="270">
        <f t="shared" si="2274"/>
        <v>0</v>
      </c>
      <c r="BA340" s="270">
        <f t="shared" si="2274"/>
        <v>0</v>
      </c>
      <c r="BB340" s="270">
        <f t="shared" si="2274"/>
        <v>0</v>
      </c>
      <c r="BC340" s="270">
        <f t="shared" si="2274"/>
        <v>0</v>
      </c>
      <c r="BD340" s="270">
        <f t="shared" si="2274"/>
        <v>0</v>
      </c>
      <c r="BE340" s="270">
        <f t="shared" si="2274"/>
        <v>0</v>
      </c>
      <c r="BF340" s="270">
        <f t="shared" si="2274"/>
        <v>0</v>
      </c>
      <c r="BG340" s="270">
        <f t="shared" si="2274"/>
        <v>0</v>
      </c>
      <c r="BH340" s="270">
        <f t="shared" si="2274"/>
        <v>0</v>
      </c>
      <c r="BI340" s="270">
        <f t="shared" si="2274"/>
        <v>0</v>
      </c>
      <c r="BJ340" s="270">
        <f t="shared" si="2274"/>
        <v>0</v>
      </c>
      <c r="BK340" s="270">
        <f t="shared" si="2274"/>
        <v>0</v>
      </c>
      <c r="BL340" s="265">
        <f t="shared" si="16"/>
        <v>-35.99</v>
      </c>
      <c r="BM340" s="215"/>
      <c r="BN340" s="270">
        <f t="shared" ref="BN340:CP340" si="2275">ROUND(AI339*E$9/12,2)</f>
        <v>0</v>
      </c>
      <c r="BO340" s="270">
        <f t="shared" si="2275"/>
        <v>0</v>
      </c>
      <c r="BP340" s="270">
        <f t="shared" si="2275"/>
        <v>0</v>
      </c>
      <c r="BQ340" s="270">
        <f t="shared" si="2275"/>
        <v>0</v>
      </c>
      <c r="BR340" s="270">
        <f t="shared" si="2275"/>
        <v>0</v>
      </c>
      <c r="BS340" s="270">
        <f t="shared" si="2275"/>
        <v>0</v>
      </c>
      <c r="BT340" s="270">
        <f t="shared" si="2275"/>
        <v>0</v>
      </c>
      <c r="BU340" s="270">
        <f t="shared" si="2275"/>
        <v>0</v>
      </c>
      <c r="BV340" s="270">
        <f t="shared" si="2275"/>
        <v>0</v>
      </c>
      <c r="BW340" s="270">
        <f t="shared" si="2275"/>
        <v>0</v>
      </c>
      <c r="BX340" s="270">
        <f t="shared" si="2275"/>
        <v>-0.07</v>
      </c>
      <c r="BY340" s="270">
        <f t="shared" si="2275"/>
        <v>-0.06</v>
      </c>
      <c r="BZ340" s="270">
        <f t="shared" si="2275"/>
        <v>-0.06</v>
      </c>
      <c r="CA340" s="270">
        <f t="shared" si="2275"/>
        <v>0</v>
      </c>
      <c r="CB340" s="270">
        <f t="shared" si="2275"/>
        <v>0</v>
      </c>
      <c r="CC340" s="270">
        <f t="shared" si="2275"/>
        <v>0</v>
      </c>
      <c r="CD340" s="270">
        <f t="shared" si="2275"/>
        <v>0</v>
      </c>
      <c r="CE340" s="270">
        <f t="shared" si="2275"/>
        <v>0</v>
      </c>
      <c r="CF340" s="270">
        <f t="shared" si="2275"/>
        <v>0</v>
      </c>
      <c r="CG340" s="270">
        <f t="shared" si="2275"/>
        <v>0</v>
      </c>
      <c r="CH340" s="270">
        <f t="shared" si="2275"/>
        <v>0</v>
      </c>
      <c r="CI340" s="270">
        <f t="shared" si="2275"/>
        <v>0</v>
      </c>
      <c r="CJ340" s="270">
        <f t="shared" si="2275"/>
        <v>0</v>
      </c>
      <c r="CK340" s="270">
        <f t="shared" si="2275"/>
        <v>0</v>
      </c>
      <c r="CL340" s="270">
        <f t="shared" si="2275"/>
        <v>0</v>
      </c>
      <c r="CM340" s="270">
        <f t="shared" si="2275"/>
        <v>0</v>
      </c>
      <c r="CN340" s="270">
        <f t="shared" si="2275"/>
        <v>0</v>
      </c>
      <c r="CO340" s="270">
        <f t="shared" si="2275"/>
        <v>0</v>
      </c>
      <c r="CP340" s="270">
        <f t="shared" si="2275"/>
        <v>0</v>
      </c>
      <c r="CQ340" s="215"/>
      <c r="CR340" s="270">
        <f t="shared" si="27"/>
        <v>-0.19</v>
      </c>
      <c r="CS340" s="215"/>
      <c r="CT340" s="270">
        <f t="shared" ref="CT340:DX340" si="2276">IF(AI339&gt;0,IF((AI339+BN340)&lt;E$10,AI339+BN340,E$10),0)</f>
        <v>0</v>
      </c>
      <c r="CU340" s="270">
        <f t="shared" si="2276"/>
        <v>0</v>
      </c>
      <c r="CV340" s="270">
        <f t="shared" si="2276"/>
        <v>0</v>
      </c>
      <c r="CW340" s="270">
        <f t="shared" si="2276"/>
        <v>0</v>
      </c>
      <c r="CX340" s="270">
        <f t="shared" si="2276"/>
        <v>0</v>
      </c>
      <c r="CY340" s="270">
        <f t="shared" si="2276"/>
        <v>0</v>
      </c>
      <c r="CZ340" s="270">
        <f t="shared" si="2276"/>
        <v>0</v>
      </c>
      <c r="DA340" s="270">
        <f t="shared" si="2276"/>
        <v>0</v>
      </c>
      <c r="DB340" s="270">
        <f t="shared" si="2276"/>
        <v>0</v>
      </c>
      <c r="DC340" s="270">
        <f t="shared" si="2276"/>
        <v>0</v>
      </c>
      <c r="DD340" s="270">
        <f t="shared" si="2276"/>
        <v>0</v>
      </c>
      <c r="DE340" s="270">
        <f t="shared" si="2276"/>
        <v>0</v>
      </c>
      <c r="DF340" s="270">
        <f t="shared" si="2276"/>
        <v>0</v>
      </c>
      <c r="DG340" s="270">
        <f t="shared" si="2276"/>
        <v>0</v>
      </c>
      <c r="DH340" s="270">
        <f t="shared" si="2276"/>
        <v>0</v>
      </c>
      <c r="DI340" s="270">
        <f t="shared" si="2276"/>
        <v>0</v>
      </c>
      <c r="DJ340" s="270">
        <f t="shared" si="2276"/>
        <v>0</v>
      </c>
      <c r="DK340" s="270">
        <f t="shared" si="2276"/>
        <v>0</v>
      </c>
      <c r="DL340" s="270">
        <f t="shared" si="2276"/>
        <v>0</v>
      </c>
      <c r="DM340" s="270">
        <f t="shared" si="2276"/>
        <v>0</v>
      </c>
      <c r="DN340" s="270">
        <f t="shared" si="2276"/>
        <v>0</v>
      </c>
      <c r="DO340" s="270">
        <f t="shared" si="2276"/>
        <v>0</v>
      </c>
      <c r="DP340" s="270">
        <f t="shared" si="2276"/>
        <v>0</v>
      </c>
      <c r="DQ340" s="270">
        <f t="shared" si="2276"/>
        <v>0</v>
      </c>
      <c r="DR340" s="270">
        <f t="shared" si="2276"/>
        <v>0</v>
      </c>
      <c r="DS340" s="270">
        <f t="shared" si="2276"/>
        <v>0</v>
      </c>
      <c r="DT340" s="270">
        <f t="shared" si="2276"/>
        <v>0</v>
      </c>
      <c r="DU340" s="270">
        <f t="shared" si="2276"/>
        <v>0</v>
      </c>
      <c r="DV340" s="270">
        <f t="shared" si="2276"/>
        <v>0</v>
      </c>
      <c r="DW340" s="270">
        <f t="shared" si="2276"/>
        <v>0</v>
      </c>
      <c r="DX340" s="270">
        <f t="shared" si="2276"/>
        <v>0</v>
      </c>
      <c r="DY340" s="270">
        <f t="shared" si="29"/>
        <v>0</v>
      </c>
      <c r="DZ340" s="274"/>
      <c r="EA340" s="275">
        <f t="shared" si="38"/>
        <v>0</v>
      </c>
      <c r="EB340" s="270">
        <f t="shared" ref="EB340:FC340" si="2277">IF(AJ338&lt;=0,0,IF($C339&lt;=SUM($EA340:EA340),0,IF(CU339+$C339-SUM($EA340:EA340)&gt;AJ338+BO339,AJ338+BO339-CU339,$C339-SUM($EA340:EA340))))</f>
        <v>0</v>
      </c>
      <c r="EC340" s="270">
        <f t="shared" si="2277"/>
        <v>0</v>
      </c>
      <c r="ED340" s="270">
        <f t="shared" si="2277"/>
        <v>0</v>
      </c>
      <c r="EE340" s="270">
        <f t="shared" si="2277"/>
        <v>0</v>
      </c>
      <c r="EF340" s="270">
        <f t="shared" si="2277"/>
        <v>0</v>
      </c>
      <c r="EG340" s="270">
        <f t="shared" si="2277"/>
        <v>0</v>
      </c>
      <c r="EH340" s="270">
        <f t="shared" si="2277"/>
        <v>0</v>
      </c>
      <c r="EI340" s="270">
        <f t="shared" si="2277"/>
        <v>0</v>
      </c>
      <c r="EJ340" s="270">
        <f t="shared" si="2277"/>
        <v>0</v>
      </c>
      <c r="EK340" s="270">
        <f t="shared" si="2277"/>
        <v>0</v>
      </c>
      <c r="EL340" s="270">
        <f t="shared" si="2277"/>
        <v>0</v>
      </c>
      <c r="EM340" s="270">
        <f t="shared" si="2277"/>
        <v>0</v>
      </c>
      <c r="EN340" s="270">
        <f t="shared" si="2277"/>
        <v>0</v>
      </c>
      <c r="EO340" s="270">
        <f t="shared" si="2277"/>
        <v>0</v>
      </c>
      <c r="EP340" s="270">
        <f t="shared" si="2277"/>
        <v>0</v>
      </c>
      <c r="EQ340" s="270">
        <f t="shared" si="2277"/>
        <v>0</v>
      </c>
      <c r="ER340" s="270">
        <f t="shared" si="2277"/>
        <v>0</v>
      </c>
      <c r="ES340" s="270">
        <f t="shared" si="2277"/>
        <v>0</v>
      </c>
      <c r="ET340" s="270">
        <f t="shared" si="2277"/>
        <v>0</v>
      </c>
      <c r="EU340" s="270">
        <f t="shared" si="2277"/>
        <v>0</v>
      </c>
      <c r="EV340" s="270">
        <f t="shared" si="2277"/>
        <v>0</v>
      </c>
      <c r="EW340" s="270">
        <f t="shared" si="2277"/>
        <v>0</v>
      </c>
      <c r="EX340" s="270">
        <f t="shared" si="2277"/>
        <v>0</v>
      </c>
      <c r="EY340" s="270">
        <f t="shared" si="2277"/>
        <v>0</v>
      </c>
      <c r="EZ340" s="270">
        <f t="shared" si="2277"/>
        <v>0</v>
      </c>
      <c r="FA340" s="270">
        <f t="shared" si="2277"/>
        <v>0</v>
      </c>
      <c r="FB340" s="270">
        <f t="shared" si="2277"/>
        <v>0</v>
      </c>
      <c r="FC340" s="270">
        <f t="shared" si="2277"/>
        <v>0</v>
      </c>
      <c r="FD340" s="271"/>
      <c r="FE340" s="271"/>
      <c r="FF340" s="271"/>
      <c r="FG340" s="215"/>
      <c r="FH340" s="215"/>
    </row>
    <row r="341" ht="11.25" customHeight="1">
      <c r="A341" s="215" t="str">
        <f t="shared" si="19"/>
        <v/>
      </c>
      <c r="B341" s="241" t="str">
        <f t="shared" si="600"/>
        <v>#N/A</v>
      </c>
      <c r="C341" s="271" t="str">
        <f>IF(A341="","",IF(Calculator!snowball,IF(($E$5-DY341)&lt;0,0,$E$5-DY341),0)+D341)</f>
        <v/>
      </c>
      <c r="D341" s="271"/>
      <c r="E341" s="270">
        <f t="shared" si="40"/>
        <v>0</v>
      </c>
      <c r="F341" s="270">
        <f t="shared" ref="F341:AG341" si="2278">CU341+EB342</f>
        <v>0</v>
      </c>
      <c r="G341" s="270">
        <f t="shared" si="2278"/>
        <v>0</v>
      </c>
      <c r="H341" s="270">
        <f t="shared" si="2278"/>
        <v>0</v>
      </c>
      <c r="I341" s="270">
        <f t="shared" si="2278"/>
        <v>0</v>
      </c>
      <c r="J341" s="270">
        <f t="shared" si="2278"/>
        <v>0</v>
      </c>
      <c r="K341" s="270">
        <f t="shared" si="2278"/>
        <v>0</v>
      </c>
      <c r="L341" s="270">
        <f t="shared" si="2278"/>
        <v>0</v>
      </c>
      <c r="M341" s="270">
        <f t="shared" si="2278"/>
        <v>0</v>
      </c>
      <c r="N341" s="270">
        <f t="shared" si="2278"/>
        <v>0</v>
      </c>
      <c r="O341" s="270">
        <f t="shared" si="2278"/>
        <v>0</v>
      </c>
      <c r="P341" s="272">
        <f t="shared" si="2278"/>
        <v>0</v>
      </c>
      <c r="Q341" s="272">
        <f t="shared" si="2278"/>
        <v>0</v>
      </c>
      <c r="R341" s="272">
        <f t="shared" si="2278"/>
        <v>0</v>
      </c>
      <c r="S341" s="272">
        <f t="shared" si="2278"/>
        <v>0</v>
      </c>
      <c r="T341" s="272">
        <f t="shared" si="2278"/>
        <v>0</v>
      </c>
      <c r="U341" s="270">
        <f t="shared" si="2278"/>
        <v>0</v>
      </c>
      <c r="V341" s="270">
        <f t="shared" si="2278"/>
        <v>0</v>
      </c>
      <c r="W341" s="270">
        <f t="shared" si="2278"/>
        <v>0</v>
      </c>
      <c r="X341" s="270">
        <f t="shared" si="2278"/>
        <v>0</v>
      </c>
      <c r="Y341" s="270">
        <f t="shared" si="2278"/>
        <v>0</v>
      </c>
      <c r="Z341" s="270">
        <f t="shared" si="2278"/>
        <v>0</v>
      </c>
      <c r="AA341" s="270">
        <f t="shared" si="2278"/>
        <v>0</v>
      </c>
      <c r="AB341" s="270">
        <f t="shared" si="2278"/>
        <v>0</v>
      </c>
      <c r="AC341" s="270">
        <f t="shared" si="2278"/>
        <v>0</v>
      </c>
      <c r="AD341" s="270">
        <f t="shared" si="2278"/>
        <v>0</v>
      </c>
      <c r="AE341" s="270">
        <f t="shared" si="2278"/>
        <v>0</v>
      </c>
      <c r="AF341" s="270">
        <f t="shared" si="2278"/>
        <v>0</v>
      </c>
      <c r="AG341" s="270">
        <f t="shared" si="2278"/>
        <v>0</v>
      </c>
      <c r="AH341" s="279">
        <f t="shared" si="602"/>
        <v>0</v>
      </c>
      <c r="AI341" s="270">
        <f t="shared" si="43"/>
        <v>0</v>
      </c>
      <c r="AJ341" s="270">
        <f t="shared" ref="AJ341:AO341" si="2279">IF(F$8=0,0,ROUND(AJ340-(F341-BO341),2))</f>
        <v>0</v>
      </c>
      <c r="AK341" s="270">
        <f t="shared" si="2279"/>
        <v>0</v>
      </c>
      <c r="AL341" s="270">
        <f t="shared" si="2279"/>
        <v>0</v>
      </c>
      <c r="AM341" s="270">
        <f t="shared" si="2279"/>
        <v>0</v>
      </c>
      <c r="AN341" s="270">
        <f t="shared" si="2279"/>
        <v>0</v>
      </c>
      <c r="AO341" s="270">
        <f t="shared" si="2279"/>
        <v>0</v>
      </c>
      <c r="AP341" s="270">
        <v>0.0</v>
      </c>
      <c r="AQ341" s="270">
        <f t="shared" ref="AQ341:AR341" si="2280">IF(M$8=0,0,ROUND(AQ340-(M341-BV341),2))</f>
        <v>0</v>
      </c>
      <c r="AR341" s="270">
        <f t="shared" si="2280"/>
        <v>0</v>
      </c>
      <c r="AS341" s="270">
        <f t="shared" si="1902"/>
        <v>-8.05</v>
      </c>
      <c r="AT341" s="270">
        <f t="shared" si="605"/>
        <v>-8.03</v>
      </c>
      <c r="AU341" s="270">
        <f t="shared" ref="AU341:BK341" si="2281">IF(Q$8=0,0,ROUND(AU340-(Q341-BY341),2))</f>
        <v>-20.23</v>
      </c>
      <c r="AV341" s="270">
        <f t="shared" si="2281"/>
        <v>0</v>
      </c>
      <c r="AW341" s="270">
        <f t="shared" si="2281"/>
        <v>0</v>
      </c>
      <c r="AX341" s="270">
        <f t="shared" si="2281"/>
        <v>0</v>
      </c>
      <c r="AY341" s="270">
        <f t="shared" si="2281"/>
        <v>0</v>
      </c>
      <c r="AZ341" s="270">
        <f t="shared" si="2281"/>
        <v>0</v>
      </c>
      <c r="BA341" s="270">
        <f t="shared" si="2281"/>
        <v>0</v>
      </c>
      <c r="BB341" s="270">
        <f t="shared" si="2281"/>
        <v>0</v>
      </c>
      <c r="BC341" s="270">
        <f t="shared" si="2281"/>
        <v>0</v>
      </c>
      <c r="BD341" s="270">
        <f t="shared" si="2281"/>
        <v>0</v>
      </c>
      <c r="BE341" s="270">
        <f t="shared" si="2281"/>
        <v>0</v>
      </c>
      <c r="BF341" s="270">
        <f t="shared" si="2281"/>
        <v>0</v>
      </c>
      <c r="BG341" s="270">
        <f t="shared" si="2281"/>
        <v>0</v>
      </c>
      <c r="BH341" s="270">
        <f t="shared" si="2281"/>
        <v>0</v>
      </c>
      <c r="BI341" s="270">
        <f t="shared" si="2281"/>
        <v>0</v>
      </c>
      <c r="BJ341" s="270">
        <f t="shared" si="2281"/>
        <v>0</v>
      </c>
      <c r="BK341" s="270">
        <f t="shared" si="2281"/>
        <v>0</v>
      </c>
      <c r="BL341" s="265">
        <f t="shared" si="16"/>
        <v>-36.31</v>
      </c>
      <c r="BM341" s="215"/>
      <c r="BN341" s="270">
        <f t="shared" ref="BN341:CP341" si="2282">ROUND(AI340*E$9/12,2)</f>
        <v>0</v>
      </c>
      <c r="BO341" s="270">
        <f t="shared" si="2282"/>
        <v>0</v>
      </c>
      <c r="BP341" s="270">
        <f t="shared" si="2282"/>
        <v>0</v>
      </c>
      <c r="BQ341" s="270">
        <f t="shared" si="2282"/>
        <v>0</v>
      </c>
      <c r="BR341" s="270">
        <f t="shared" si="2282"/>
        <v>0</v>
      </c>
      <c r="BS341" s="270">
        <f t="shared" si="2282"/>
        <v>0</v>
      </c>
      <c r="BT341" s="270">
        <f t="shared" si="2282"/>
        <v>0</v>
      </c>
      <c r="BU341" s="270">
        <f t="shared" si="2282"/>
        <v>0</v>
      </c>
      <c r="BV341" s="270">
        <f t="shared" si="2282"/>
        <v>0</v>
      </c>
      <c r="BW341" s="270">
        <f t="shared" si="2282"/>
        <v>0</v>
      </c>
      <c r="BX341" s="270">
        <f t="shared" si="2282"/>
        <v>-0.07</v>
      </c>
      <c r="BY341" s="270">
        <f t="shared" si="2282"/>
        <v>-0.06</v>
      </c>
      <c r="BZ341" s="270">
        <f t="shared" si="2282"/>
        <v>-0.06</v>
      </c>
      <c r="CA341" s="270">
        <f t="shared" si="2282"/>
        <v>0</v>
      </c>
      <c r="CB341" s="270">
        <f t="shared" si="2282"/>
        <v>0</v>
      </c>
      <c r="CC341" s="270">
        <f t="shared" si="2282"/>
        <v>0</v>
      </c>
      <c r="CD341" s="270">
        <f t="shared" si="2282"/>
        <v>0</v>
      </c>
      <c r="CE341" s="270">
        <f t="shared" si="2282"/>
        <v>0</v>
      </c>
      <c r="CF341" s="270">
        <f t="shared" si="2282"/>
        <v>0</v>
      </c>
      <c r="CG341" s="270">
        <f t="shared" si="2282"/>
        <v>0</v>
      </c>
      <c r="CH341" s="270">
        <f t="shared" si="2282"/>
        <v>0</v>
      </c>
      <c r="CI341" s="270">
        <f t="shared" si="2282"/>
        <v>0</v>
      </c>
      <c r="CJ341" s="270">
        <f t="shared" si="2282"/>
        <v>0</v>
      </c>
      <c r="CK341" s="270">
        <f t="shared" si="2282"/>
        <v>0</v>
      </c>
      <c r="CL341" s="270">
        <f t="shared" si="2282"/>
        <v>0</v>
      </c>
      <c r="CM341" s="270">
        <f t="shared" si="2282"/>
        <v>0</v>
      </c>
      <c r="CN341" s="270">
        <f t="shared" si="2282"/>
        <v>0</v>
      </c>
      <c r="CO341" s="270">
        <f t="shared" si="2282"/>
        <v>0</v>
      </c>
      <c r="CP341" s="270">
        <f t="shared" si="2282"/>
        <v>0</v>
      </c>
      <c r="CQ341" s="215"/>
      <c r="CR341" s="270">
        <f t="shared" si="27"/>
        <v>-0.19</v>
      </c>
      <c r="CS341" s="215"/>
      <c r="CT341" s="270">
        <f t="shared" ref="CT341:DX341" si="2283">IF(AI340&gt;0,IF((AI340+BN341)&lt;E$10,AI340+BN341,E$10),0)</f>
        <v>0</v>
      </c>
      <c r="CU341" s="270">
        <f t="shared" si="2283"/>
        <v>0</v>
      </c>
      <c r="CV341" s="270">
        <f t="shared" si="2283"/>
        <v>0</v>
      </c>
      <c r="CW341" s="270">
        <f t="shared" si="2283"/>
        <v>0</v>
      </c>
      <c r="CX341" s="270">
        <f t="shared" si="2283"/>
        <v>0</v>
      </c>
      <c r="CY341" s="270">
        <f t="shared" si="2283"/>
        <v>0</v>
      </c>
      <c r="CZ341" s="270">
        <f t="shared" si="2283"/>
        <v>0</v>
      </c>
      <c r="DA341" s="270">
        <f t="shared" si="2283"/>
        <v>0</v>
      </c>
      <c r="DB341" s="270">
        <f t="shared" si="2283"/>
        <v>0</v>
      </c>
      <c r="DC341" s="270">
        <f t="shared" si="2283"/>
        <v>0</v>
      </c>
      <c r="DD341" s="270">
        <f t="shared" si="2283"/>
        <v>0</v>
      </c>
      <c r="DE341" s="270">
        <f t="shared" si="2283"/>
        <v>0</v>
      </c>
      <c r="DF341" s="270">
        <f t="shared" si="2283"/>
        <v>0</v>
      </c>
      <c r="DG341" s="270">
        <f t="shared" si="2283"/>
        <v>0</v>
      </c>
      <c r="DH341" s="270">
        <f t="shared" si="2283"/>
        <v>0</v>
      </c>
      <c r="DI341" s="270">
        <f t="shared" si="2283"/>
        <v>0</v>
      </c>
      <c r="DJ341" s="270">
        <f t="shared" si="2283"/>
        <v>0</v>
      </c>
      <c r="DK341" s="270">
        <f t="shared" si="2283"/>
        <v>0</v>
      </c>
      <c r="DL341" s="270">
        <f t="shared" si="2283"/>
        <v>0</v>
      </c>
      <c r="DM341" s="270">
        <f t="shared" si="2283"/>
        <v>0</v>
      </c>
      <c r="DN341" s="270">
        <f t="shared" si="2283"/>
        <v>0</v>
      </c>
      <c r="DO341" s="270">
        <f t="shared" si="2283"/>
        <v>0</v>
      </c>
      <c r="DP341" s="270">
        <f t="shared" si="2283"/>
        <v>0</v>
      </c>
      <c r="DQ341" s="270">
        <f t="shared" si="2283"/>
        <v>0</v>
      </c>
      <c r="DR341" s="270">
        <f t="shared" si="2283"/>
        <v>0</v>
      </c>
      <c r="DS341" s="270">
        <f t="shared" si="2283"/>
        <v>0</v>
      </c>
      <c r="DT341" s="270">
        <f t="shared" si="2283"/>
        <v>0</v>
      </c>
      <c r="DU341" s="270">
        <f t="shared" si="2283"/>
        <v>0</v>
      </c>
      <c r="DV341" s="270">
        <f t="shared" si="2283"/>
        <v>0</v>
      </c>
      <c r="DW341" s="270">
        <f t="shared" si="2283"/>
        <v>0</v>
      </c>
      <c r="DX341" s="270">
        <f t="shared" si="2283"/>
        <v>0</v>
      </c>
      <c r="DY341" s="270">
        <f t="shared" si="29"/>
        <v>0</v>
      </c>
      <c r="DZ341" s="274"/>
      <c r="EA341" s="275">
        <f t="shared" si="38"/>
        <v>0</v>
      </c>
      <c r="EB341" s="270">
        <f t="shared" ref="EB341:FC341" si="2284">IF(AJ339&lt;=0,0,IF($C340&lt;=SUM($EA341:EA341),0,IF(CU340+$C340-SUM($EA341:EA341)&gt;AJ339+BO340,AJ339+BO340-CU340,$C340-SUM($EA341:EA341))))</f>
        <v>0</v>
      </c>
      <c r="EC341" s="270">
        <f t="shared" si="2284"/>
        <v>0</v>
      </c>
      <c r="ED341" s="270">
        <f t="shared" si="2284"/>
        <v>0</v>
      </c>
      <c r="EE341" s="270">
        <f t="shared" si="2284"/>
        <v>0</v>
      </c>
      <c r="EF341" s="270">
        <f t="shared" si="2284"/>
        <v>0</v>
      </c>
      <c r="EG341" s="270">
        <f t="shared" si="2284"/>
        <v>0</v>
      </c>
      <c r="EH341" s="270">
        <f t="shared" si="2284"/>
        <v>0</v>
      </c>
      <c r="EI341" s="270">
        <f t="shared" si="2284"/>
        <v>0</v>
      </c>
      <c r="EJ341" s="270">
        <f t="shared" si="2284"/>
        <v>0</v>
      </c>
      <c r="EK341" s="270">
        <f t="shared" si="2284"/>
        <v>0</v>
      </c>
      <c r="EL341" s="270">
        <f t="shared" si="2284"/>
        <v>0</v>
      </c>
      <c r="EM341" s="270">
        <f t="shared" si="2284"/>
        <v>0</v>
      </c>
      <c r="EN341" s="270">
        <f t="shared" si="2284"/>
        <v>0</v>
      </c>
      <c r="EO341" s="270">
        <f t="shared" si="2284"/>
        <v>0</v>
      </c>
      <c r="EP341" s="270">
        <f t="shared" si="2284"/>
        <v>0</v>
      </c>
      <c r="EQ341" s="270">
        <f t="shared" si="2284"/>
        <v>0</v>
      </c>
      <c r="ER341" s="270">
        <f t="shared" si="2284"/>
        <v>0</v>
      </c>
      <c r="ES341" s="270">
        <f t="shared" si="2284"/>
        <v>0</v>
      </c>
      <c r="ET341" s="270">
        <f t="shared" si="2284"/>
        <v>0</v>
      </c>
      <c r="EU341" s="270">
        <f t="shared" si="2284"/>
        <v>0</v>
      </c>
      <c r="EV341" s="270">
        <f t="shared" si="2284"/>
        <v>0</v>
      </c>
      <c r="EW341" s="270">
        <f t="shared" si="2284"/>
        <v>0</v>
      </c>
      <c r="EX341" s="270">
        <f t="shared" si="2284"/>
        <v>0</v>
      </c>
      <c r="EY341" s="270">
        <f t="shared" si="2284"/>
        <v>0</v>
      </c>
      <c r="EZ341" s="270">
        <f t="shared" si="2284"/>
        <v>0</v>
      </c>
      <c r="FA341" s="270">
        <f t="shared" si="2284"/>
        <v>0</v>
      </c>
      <c r="FB341" s="270">
        <f t="shared" si="2284"/>
        <v>0</v>
      </c>
      <c r="FC341" s="270">
        <f t="shared" si="2284"/>
        <v>0</v>
      </c>
      <c r="FD341" s="271"/>
      <c r="FE341" s="271"/>
      <c r="FF341" s="271"/>
      <c r="FG341" s="215"/>
      <c r="FH341" s="215"/>
    </row>
    <row r="342" ht="11.25" customHeight="1">
      <c r="A342" s="215" t="str">
        <f t="shared" si="19"/>
        <v/>
      </c>
      <c r="B342" s="241" t="str">
        <f t="shared" si="600"/>
        <v>#N/A</v>
      </c>
      <c r="C342" s="271" t="str">
        <f>IF(A342="","",IF(Calculator!snowball,IF(($E$5-DY342)&lt;0,0,$E$5-DY342),0)+D342)</f>
        <v/>
      </c>
      <c r="D342" s="271"/>
      <c r="E342" s="270">
        <f t="shared" si="40"/>
        <v>0</v>
      </c>
      <c r="F342" s="270">
        <f t="shared" ref="F342:AG342" si="2285">CU342+EB343</f>
        <v>0</v>
      </c>
      <c r="G342" s="270">
        <f t="shared" si="2285"/>
        <v>0</v>
      </c>
      <c r="H342" s="270">
        <f t="shared" si="2285"/>
        <v>0</v>
      </c>
      <c r="I342" s="270">
        <f t="shared" si="2285"/>
        <v>0</v>
      </c>
      <c r="J342" s="270">
        <f t="shared" si="2285"/>
        <v>0</v>
      </c>
      <c r="K342" s="270">
        <f t="shared" si="2285"/>
        <v>0</v>
      </c>
      <c r="L342" s="270">
        <f t="shared" si="2285"/>
        <v>0</v>
      </c>
      <c r="M342" s="270">
        <f t="shared" si="2285"/>
        <v>0</v>
      </c>
      <c r="N342" s="270">
        <f t="shared" si="2285"/>
        <v>0</v>
      </c>
      <c r="O342" s="270">
        <f t="shared" si="2285"/>
        <v>0</v>
      </c>
      <c r="P342" s="272">
        <f t="shared" si="2285"/>
        <v>0</v>
      </c>
      <c r="Q342" s="272">
        <f t="shared" si="2285"/>
        <v>0</v>
      </c>
      <c r="R342" s="272">
        <f t="shared" si="2285"/>
        <v>0</v>
      </c>
      <c r="S342" s="272">
        <f t="shared" si="2285"/>
        <v>0</v>
      </c>
      <c r="T342" s="272">
        <f t="shared" si="2285"/>
        <v>0</v>
      </c>
      <c r="U342" s="270">
        <f t="shared" si="2285"/>
        <v>0</v>
      </c>
      <c r="V342" s="270">
        <f t="shared" si="2285"/>
        <v>0</v>
      </c>
      <c r="W342" s="270">
        <f t="shared" si="2285"/>
        <v>0</v>
      </c>
      <c r="X342" s="270">
        <f t="shared" si="2285"/>
        <v>0</v>
      </c>
      <c r="Y342" s="270">
        <f t="shared" si="2285"/>
        <v>0</v>
      </c>
      <c r="Z342" s="270">
        <f t="shared" si="2285"/>
        <v>0</v>
      </c>
      <c r="AA342" s="270">
        <f t="shared" si="2285"/>
        <v>0</v>
      </c>
      <c r="AB342" s="270">
        <f t="shared" si="2285"/>
        <v>0</v>
      </c>
      <c r="AC342" s="270">
        <f t="shared" si="2285"/>
        <v>0</v>
      </c>
      <c r="AD342" s="270">
        <f t="shared" si="2285"/>
        <v>0</v>
      </c>
      <c r="AE342" s="270">
        <f t="shared" si="2285"/>
        <v>0</v>
      </c>
      <c r="AF342" s="270">
        <f t="shared" si="2285"/>
        <v>0</v>
      </c>
      <c r="AG342" s="270">
        <f t="shared" si="2285"/>
        <v>0</v>
      </c>
      <c r="AH342" s="279">
        <f t="shared" si="602"/>
        <v>0</v>
      </c>
      <c r="AI342" s="270">
        <f t="shared" si="43"/>
        <v>0</v>
      </c>
      <c r="AJ342" s="270">
        <f t="shared" ref="AJ342:AO342" si="2286">IF(F$8=0,0,ROUND(AJ341-(F342-BO342),2))</f>
        <v>0</v>
      </c>
      <c r="AK342" s="270">
        <f t="shared" si="2286"/>
        <v>0</v>
      </c>
      <c r="AL342" s="270">
        <f t="shared" si="2286"/>
        <v>0</v>
      </c>
      <c r="AM342" s="270">
        <f t="shared" si="2286"/>
        <v>0</v>
      </c>
      <c r="AN342" s="270">
        <f t="shared" si="2286"/>
        <v>0</v>
      </c>
      <c r="AO342" s="270">
        <f t="shared" si="2286"/>
        <v>0</v>
      </c>
      <c r="AP342" s="270">
        <v>0.0</v>
      </c>
      <c r="AQ342" s="270">
        <f t="shared" ref="AQ342:AR342" si="2287">IF(M$8=0,0,ROUND(AQ341-(M342-BV342),2))</f>
        <v>0</v>
      </c>
      <c r="AR342" s="270">
        <f t="shared" si="2287"/>
        <v>0</v>
      </c>
      <c r="AS342" s="270">
        <f t="shared" si="1902"/>
        <v>-8.24</v>
      </c>
      <c r="AT342" s="270">
        <f t="shared" si="605"/>
        <v>-8.1</v>
      </c>
      <c r="AU342" s="270">
        <f t="shared" ref="AU342:BK342" si="2288">IF(Q$8=0,0,ROUND(AU341-(Q342-BY342),2))</f>
        <v>-20.29</v>
      </c>
      <c r="AV342" s="270">
        <f t="shared" si="2288"/>
        <v>0</v>
      </c>
      <c r="AW342" s="270">
        <f t="shared" si="2288"/>
        <v>0</v>
      </c>
      <c r="AX342" s="270">
        <f t="shared" si="2288"/>
        <v>0</v>
      </c>
      <c r="AY342" s="270">
        <f t="shared" si="2288"/>
        <v>0</v>
      </c>
      <c r="AZ342" s="270">
        <f t="shared" si="2288"/>
        <v>0</v>
      </c>
      <c r="BA342" s="270">
        <f t="shared" si="2288"/>
        <v>0</v>
      </c>
      <c r="BB342" s="270">
        <f t="shared" si="2288"/>
        <v>0</v>
      </c>
      <c r="BC342" s="270">
        <f t="shared" si="2288"/>
        <v>0</v>
      </c>
      <c r="BD342" s="270">
        <f t="shared" si="2288"/>
        <v>0</v>
      </c>
      <c r="BE342" s="270">
        <f t="shared" si="2288"/>
        <v>0</v>
      </c>
      <c r="BF342" s="270">
        <f t="shared" si="2288"/>
        <v>0</v>
      </c>
      <c r="BG342" s="270">
        <f t="shared" si="2288"/>
        <v>0</v>
      </c>
      <c r="BH342" s="270">
        <f t="shared" si="2288"/>
        <v>0</v>
      </c>
      <c r="BI342" s="270">
        <f t="shared" si="2288"/>
        <v>0</v>
      </c>
      <c r="BJ342" s="270">
        <f t="shared" si="2288"/>
        <v>0</v>
      </c>
      <c r="BK342" s="270">
        <f t="shared" si="2288"/>
        <v>0</v>
      </c>
      <c r="BL342" s="265">
        <f t="shared" si="16"/>
        <v>-36.63</v>
      </c>
      <c r="BM342" s="215"/>
      <c r="BN342" s="270">
        <f t="shared" ref="BN342:CP342" si="2289">ROUND(AI341*E$9/12,2)</f>
        <v>0</v>
      </c>
      <c r="BO342" s="270">
        <f t="shared" si="2289"/>
        <v>0</v>
      </c>
      <c r="BP342" s="270">
        <f t="shared" si="2289"/>
        <v>0</v>
      </c>
      <c r="BQ342" s="270">
        <f t="shared" si="2289"/>
        <v>0</v>
      </c>
      <c r="BR342" s="270">
        <f t="shared" si="2289"/>
        <v>0</v>
      </c>
      <c r="BS342" s="270">
        <f t="shared" si="2289"/>
        <v>0</v>
      </c>
      <c r="BT342" s="270">
        <f t="shared" si="2289"/>
        <v>0</v>
      </c>
      <c r="BU342" s="270">
        <f t="shared" si="2289"/>
        <v>0</v>
      </c>
      <c r="BV342" s="270">
        <f t="shared" si="2289"/>
        <v>0</v>
      </c>
      <c r="BW342" s="270">
        <f t="shared" si="2289"/>
        <v>0</v>
      </c>
      <c r="BX342" s="270">
        <f t="shared" si="2289"/>
        <v>-0.07</v>
      </c>
      <c r="BY342" s="270">
        <f t="shared" si="2289"/>
        <v>-0.06</v>
      </c>
      <c r="BZ342" s="270">
        <f t="shared" si="2289"/>
        <v>-0.06</v>
      </c>
      <c r="CA342" s="270">
        <f t="shared" si="2289"/>
        <v>0</v>
      </c>
      <c r="CB342" s="270">
        <f t="shared" si="2289"/>
        <v>0</v>
      </c>
      <c r="CC342" s="270">
        <f t="shared" si="2289"/>
        <v>0</v>
      </c>
      <c r="CD342" s="270">
        <f t="shared" si="2289"/>
        <v>0</v>
      </c>
      <c r="CE342" s="270">
        <f t="shared" si="2289"/>
        <v>0</v>
      </c>
      <c r="CF342" s="270">
        <f t="shared" si="2289"/>
        <v>0</v>
      </c>
      <c r="CG342" s="270">
        <f t="shared" si="2289"/>
        <v>0</v>
      </c>
      <c r="CH342" s="270">
        <f t="shared" si="2289"/>
        <v>0</v>
      </c>
      <c r="CI342" s="270">
        <f t="shared" si="2289"/>
        <v>0</v>
      </c>
      <c r="CJ342" s="270">
        <f t="shared" si="2289"/>
        <v>0</v>
      </c>
      <c r="CK342" s="270">
        <f t="shared" si="2289"/>
        <v>0</v>
      </c>
      <c r="CL342" s="270">
        <f t="shared" si="2289"/>
        <v>0</v>
      </c>
      <c r="CM342" s="270">
        <f t="shared" si="2289"/>
        <v>0</v>
      </c>
      <c r="CN342" s="270">
        <f t="shared" si="2289"/>
        <v>0</v>
      </c>
      <c r="CO342" s="270">
        <f t="shared" si="2289"/>
        <v>0</v>
      </c>
      <c r="CP342" s="270">
        <f t="shared" si="2289"/>
        <v>0</v>
      </c>
      <c r="CQ342" s="215"/>
      <c r="CR342" s="270">
        <f t="shared" si="27"/>
        <v>-0.19</v>
      </c>
      <c r="CS342" s="215"/>
      <c r="CT342" s="270">
        <f t="shared" ref="CT342:DX342" si="2290">IF(AI341&gt;0,IF((AI341+BN342)&lt;E$10,AI341+BN342,E$10),0)</f>
        <v>0</v>
      </c>
      <c r="CU342" s="270">
        <f t="shared" si="2290"/>
        <v>0</v>
      </c>
      <c r="CV342" s="270">
        <f t="shared" si="2290"/>
        <v>0</v>
      </c>
      <c r="CW342" s="270">
        <f t="shared" si="2290"/>
        <v>0</v>
      </c>
      <c r="CX342" s="270">
        <f t="shared" si="2290"/>
        <v>0</v>
      </c>
      <c r="CY342" s="270">
        <f t="shared" si="2290"/>
        <v>0</v>
      </c>
      <c r="CZ342" s="270">
        <f t="shared" si="2290"/>
        <v>0</v>
      </c>
      <c r="DA342" s="270">
        <f t="shared" si="2290"/>
        <v>0</v>
      </c>
      <c r="DB342" s="270">
        <f t="shared" si="2290"/>
        <v>0</v>
      </c>
      <c r="DC342" s="270">
        <f t="shared" si="2290"/>
        <v>0</v>
      </c>
      <c r="DD342" s="270">
        <f t="shared" si="2290"/>
        <v>0</v>
      </c>
      <c r="DE342" s="270">
        <f t="shared" si="2290"/>
        <v>0</v>
      </c>
      <c r="DF342" s="270">
        <f t="shared" si="2290"/>
        <v>0</v>
      </c>
      <c r="DG342" s="270">
        <f t="shared" si="2290"/>
        <v>0</v>
      </c>
      <c r="DH342" s="270">
        <f t="shared" si="2290"/>
        <v>0</v>
      </c>
      <c r="DI342" s="270">
        <f t="shared" si="2290"/>
        <v>0</v>
      </c>
      <c r="DJ342" s="270">
        <f t="shared" si="2290"/>
        <v>0</v>
      </c>
      <c r="DK342" s="270">
        <f t="shared" si="2290"/>
        <v>0</v>
      </c>
      <c r="DL342" s="270">
        <f t="shared" si="2290"/>
        <v>0</v>
      </c>
      <c r="DM342" s="270">
        <f t="shared" si="2290"/>
        <v>0</v>
      </c>
      <c r="DN342" s="270">
        <f t="shared" si="2290"/>
        <v>0</v>
      </c>
      <c r="DO342" s="270">
        <f t="shared" si="2290"/>
        <v>0</v>
      </c>
      <c r="DP342" s="270">
        <f t="shared" si="2290"/>
        <v>0</v>
      </c>
      <c r="DQ342" s="270">
        <f t="shared" si="2290"/>
        <v>0</v>
      </c>
      <c r="DR342" s="270">
        <f t="shared" si="2290"/>
        <v>0</v>
      </c>
      <c r="DS342" s="270">
        <f t="shared" si="2290"/>
        <v>0</v>
      </c>
      <c r="DT342" s="270">
        <f t="shared" si="2290"/>
        <v>0</v>
      </c>
      <c r="DU342" s="270">
        <f t="shared" si="2290"/>
        <v>0</v>
      </c>
      <c r="DV342" s="270">
        <f t="shared" si="2290"/>
        <v>0</v>
      </c>
      <c r="DW342" s="270">
        <f t="shared" si="2290"/>
        <v>0</v>
      </c>
      <c r="DX342" s="270">
        <f t="shared" si="2290"/>
        <v>0</v>
      </c>
      <c r="DY342" s="270">
        <f t="shared" si="29"/>
        <v>0</v>
      </c>
      <c r="DZ342" s="274"/>
      <c r="EA342" s="275">
        <f t="shared" si="38"/>
        <v>0</v>
      </c>
      <c r="EB342" s="270">
        <f t="shared" ref="EB342:FC342" si="2291">IF(AJ340&lt;=0,0,IF($C341&lt;=SUM($EA342:EA342),0,IF(CU341+$C341-SUM($EA342:EA342)&gt;AJ340+BO341,AJ340+BO341-CU341,$C341-SUM($EA342:EA342))))</f>
        <v>0</v>
      </c>
      <c r="EC342" s="270">
        <f t="shared" si="2291"/>
        <v>0</v>
      </c>
      <c r="ED342" s="270">
        <f t="shared" si="2291"/>
        <v>0</v>
      </c>
      <c r="EE342" s="270">
        <f t="shared" si="2291"/>
        <v>0</v>
      </c>
      <c r="EF342" s="270">
        <f t="shared" si="2291"/>
        <v>0</v>
      </c>
      <c r="EG342" s="270">
        <f t="shared" si="2291"/>
        <v>0</v>
      </c>
      <c r="EH342" s="270">
        <f t="shared" si="2291"/>
        <v>0</v>
      </c>
      <c r="EI342" s="270">
        <f t="shared" si="2291"/>
        <v>0</v>
      </c>
      <c r="EJ342" s="270">
        <f t="shared" si="2291"/>
        <v>0</v>
      </c>
      <c r="EK342" s="270">
        <f t="shared" si="2291"/>
        <v>0</v>
      </c>
      <c r="EL342" s="270">
        <f t="shared" si="2291"/>
        <v>0</v>
      </c>
      <c r="EM342" s="270">
        <f t="shared" si="2291"/>
        <v>0</v>
      </c>
      <c r="EN342" s="270">
        <f t="shared" si="2291"/>
        <v>0</v>
      </c>
      <c r="EO342" s="270">
        <f t="shared" si="2291"/>
        <v>0</v>
      </c>
      <c r="EP342" s="270">
        <f t="shared" si="2291"/>
        <v>0</v>
      </c>
      <c r="EQ342" s="270">
        <f t="shared" si="2291"/>
        <v>0</v>
      </c>
      <c r="ER342" s="270">
        <f t="shared" si="2291"/>
        <v>0</v>
      </c>
      <c r="ES342" s="270">
        <f t="shared" si="2291"/>
        <v>0</v>
      </c>
      <c r="ET342" s="270">
        <f t="shared" si="2291"/>
        <v>0</v>
      </c>
      <c r="EU342" s="270">
        <f t="shared" si="2291"/>
        <v>0</v>
      </c>
      <c r="EV342" s="270">
        <f t="shared" si="2291"/>
        <v>0</v>
      </c>
      <c r="EW342" s="270">
        <f t="shared" si="2291"/>
        <v>0</v>
      </c>
      <c r="EX342" s="270">
        <f t="shared" si="2291"/>
        <v>0</v>
      </c>
      <c r="EY342" s="270">
        <f t="shared" si="2291"/>
        <v>0</v>
      </c>
      <c r="EZ342" s="270">
        <f t="shared" si="2291"/>
        <v>0</v>
      </c>
      <c r="FA342" s="270">
        <f t="shared" si="2291"/>
        <v>0</v>
      </c>
      <c r="FB342" s="270">
        <f t="shared" si="2291"/>
        <v>0</v>
      </c>
      <c r="FC342" s="270">
        <f t="shared" si="2291"/>
        <v>0</v>
      </c>
      <c r="FD342" s="271"/>
      <c r="FE342" s="271"/>
      <c r="FF342" s="271"/>
      <c r="FG342" s="215"/>
      <c r="FH342" s="215"/>
    </row>
    <row r="343" ht="11.25" customHeight="1">
      <c r="A343" s="215" t="str">
        <f t="shared" si="19"/>
        <v/>
      </c>
      <c r="B343" s="241" t="str">
        <f t="shared" si="600"/>
        <v>#N/A</v>
      </c>
      <c r="C343" s="271" t="str">
        <f>IF(A343="","",IF(Calculator!snowball,IF(($E$5-DY343)&lt;0,0,$E$5-DY343),0)+D343)</f>
        <v/>
      </c>
      <c r="D343" s="271"/>
      <c r="E343" s="270">
        <f t="shared" si="40"/>
        <v>0</v>
      </c>
      <c r="F343" s="270">
        <f t="shared" ref="F343:AG343" si="2292">CU343+EB344</f>
        <v>0</v>
      </c>
      <c r="G343" s="270">
        <f t="shared" si="2292"/>
        <v>0</v>
      </c>
      <c r="H343" s="270">
        <f t="shared" si="2292"/>
        <v>0</v>
      </c>
      <c r="I343" s="270">
        <f t="shared" si="2292"/>
        <v>0</v>
      </c>
      <c r="J343" s="270">
        <f t="shared" si="2292"/>
        <v>0</v>
      </c>
      <c r="K343" s="270">
        <f t="shared" si="2292"/>
        <v>0</v>
      </c>
      <c r="L343" s="270">
        <f t="shared" si="2292"/>
        <v>0</v>
      </c>
      <c r="M343" s="270">
        <f t="shared" si="2292"/>
        <v>0</v>
      </c>
      <c r="N343" s="270">
        <f t="shared" si="2292"/>
        <v>0</v>
      </c>
      <c r="O343" s="270">
        <f t="shared" si="2292"/>
        <v>0</v>
      </c>
      <c r="P343" s="272">
        <f t="shared" si="2292"/>
        <v>0</v>
      </c>
      <c r="Q343" s="272">
        <f t="shared" si="2292"/>
        <v>0</v>
      </c>
      <c r="R343" s="272">
        <f t="shared" si="2292"/>
        <v>0</v>
      </c>
      <c r="S343" s="272">
        <f t="shared" si="2292"/>
        <v>0</v>
      </c>
      <c r="T343" s="272">
        <f t="shared" si="2292"/>
        <v>0</v>
      </c>
      <c r="U343" s="270">
        <f t="shared" si="2292"/>
        <v>0</v>
      </c>
      <c r="V343" s="270">
        <f t="shared" si="2292"/>
        <v>0</v>
      </c>
      <c r="W343" s="270">
        <f t="shared" si="2292"/>
        <v>0</v>
      </c>
      <c r="X343" s="270">
        <f t="shared" si="2292"/>
        <v>0</v>
      </c>
      <c r="Y343" s="270">
        <f t="shared" si="2292"/>
        <v>0</v>
      </c>
      <c r="Z343" s="270">
        <f t="shared" si="2292"/>
        <v>0</v>
      </c>
      <c r="AA343" s="270">
        <f t="shared" si="2292"/>
        <v>0</v>
      </c>
      <c r="AB343" s="270">
        <f t="shared" si="2292"/>
        <v>0</v>
      </c>
      <c r="AC343" s="270">
        <f t="shared" si="2292"/>
        <v>0</v>
      </c>
      <c r="AD343" s="270">
        <f t="shared" si="2292"/>
        <v>0</v>
      </c>
      <c r="AE343" s="270">
        <f t="shared" si="2292"/>
        <v>0</v>
      </c>
      <c r="AF343" s="270">
        <f t="shared" si="2292"/>
        <v>0</v>
      </c>
      <c r="AG343" s="270">
        <f t="shared" si="2292"/>
        <v>0</v>
      </c>
      <c r="AH343" s="279">
        <f t="shared" si="602"/>
        <v>0</v>
      </c>
      <c r="AI343" s="270">
        <f t="shared" si="43"/>
        <v>0</v>
      </c>
      <c r="AJ343" s="270">
        <f t="shared" ref="AJ343:AO343" si="2293">IF(F$8=0,0,ROUND(AJ342-(F343-BO343),2))</f>
        <v>0</v>
      </c>
      <c r="AK343" s="270">
        <f t="shared" si="2293"/>
        <v>0</v>
      </c>
      <c r="AL343" s="270">
        <f t="shared" si="2293"/>
        <v>0</v>
      </c>
      <c r="AM343" s="270">
        <f t="shared" si="2293"/>
        <v>0</v>
      </c>
      <c r="AN343" s="270">
        <f t="shared" si="2293"/>
        <v>0</v>
      </c>
      <c r="AO343" s="270">
        <f t="shared" si="2293"/>
        <v>0</v>
      </c>
      <c r="AP343" s="270">
        <v>0.0</v>
      </c>
      <c r="AQ343" s="270">
        <f t="shared" ref="AQ343:AR343" si="2294">IF(M$8=0,0,ROUND(AQ342-(M343-BV343),2))</f>
        <v>0</v>
      </c>
      <c r="AR343" s="270">
        <f t="shared" si="2294"/>
        <v>0</v>
      </c>
      <c r="AS343" s="270">
        <f t="shared" si="1902"/>
        <v>-8.44</v>
      </c>
      <c r="AT343" s="270">
        <f t="shared" si="605"/>
        <v>-8.18</v>
      </c>
      <c r="AU343" s="270">
        <f t="shared" ref="AU343:BK343" si="2295">IF(Q$8=0,0,ROUND(AU342-(Q343-BY343),2))</f>
        <v>-20.35</v>
      </c>
      <c r="AV343" s="270">
        <f t="shared" si="2295"/>
        <v>0</v>
      </c>
      <c r="AW343" s="270">
        <f t="shared" si="2295"/>
        <v>0</v>
      </c>
      <c r="AX343" s="270">
        <f t="shared" si="2295"/>
        <v>0</v>
      </c>
      <c r="AY343" s="270">
        <f t="shared" si="2295"/>
        <v>0</v>
      </c>
      <c r="AZ343" s="270">
        <f t="shared" si="2295"/>
        <v>0</v>
      </c>
      <c r="BA343" s="270">
        <f t="shared" si="2295"/>
        <v>0</v>
      </c>
      <c r="BB343" s="270">
        <f t="shared" si="2295"/>
        <v>0</v>
      </c>
      <c r="BC343" s="270">
        <f t="shared" si="2295"/>
        <v>0</v>
      </c>
      <c r="BD343" s="270">
        <f t="shared" si="2295"/>
        <v>0</v>
      </c>
      <c r="BE343" s="270">
        <f t="shared" si="2295"/>
        <v>0</v>
      </c>
      <c r="BF343" s="270">
        <f t="shared" si="2295"/>
        <v>0</v>
      </c>
      <c r="BG343" s="270">
        <f t="shared" si="2295"/>
        <v>0</v>
      </c>
      <c r="BH343" s="270">
        <f t="shared" si="2295"/>
        <v>0</v>
      </c>
      <c r="BI343" s="270">
        <f t="shared" si="2295"/>
        <v>0</v>
      </c>
      <c r="BJ343" s="270">
        <f t="shared" si="2295"/>
        <v>0</v>
      </c>
      <c r="BK343" s="270">
        <f t="shared" si="2295"/>
        <v>0</v>
      </c>
      <c r="BL343" s="265">
        <f t="shared" si="16"/>
        <v>-36.97</v>
      </c>
      <c r="BM343" s="215"/>
      <c r="BN343" s="270">
        <f t="shared" ref="BN343:CP343" si="2296">ROUND(AI342*E$9/12,2)</f>
        <v>0</v>
      </c>
      <c r="BO343" s="270">
        <f t="shared" si="2296"/>
        <v>0</v>
      </c>
      <c r="BP343" s="270">
        <f t="shared" si="2296"/>
        <v>0</v>
      </c>
      <c r="BQ343" s="270">
        <f t="shared" si="2296"/>
        <v>0</v>
      </c>
      <c r="BR343" s="270">
        <f t="shared" si="2296"/>
        <v>0</v>
      </c>
      <c r="BS343" s="270">
        <f t="shared" si="2296"/>
        <v>0</v>
      </c>
      <c r="BT343" s="270">
        <f t="shared" si="2296"/>
        <v>0</v>
      </c>
      <c r="BU343" s="270">
        <f t="shared" si="2296"/>
        <v>0</v>
      </c>
      <c r="BV343" s="270">
        <f t="shared" si="2296"/>
        <v>0</v>
      </c>
      <c r="BW343" s="270">
        <f t="shared" si="2296"/>
        <v>0</v>
      </c>
      <c r="BX343" s="270">
        <f t="shared" si="2296"/>
        <v>-0.08</v>
      </c>
      <c r="BY343" s="270">
        <f t="shared" si="2296"/>
        <v>-0.06</v>
      </c>
      <c r="BZ343" s="270">
        <f t="shared" si="2296"/>
        <v>-0.06</v>
      </c>
      <c r="CA343" s="270">
        <f t="shared" si="2296"/>
        <v>0</v>
      </c>
      <c r="CB343" s="270">
        <f t="shared" si="2296"/>
        <v>0</v>
      </c>
      <c r="CC343" s="270">
        <f t="shared" si="2296"/>
        <v>0</v>
      </c>
      <c r="CD343" s="270">
        <f t="shared" si="2296"/>
        <v>0</v>
      </c>
      <c r="CE343" s="270">
        <f t="shared" si="2296"/>
        <v>0</v>
      </c>
      <c r="CF343" s="270">
        <f t="shared" si="2296"/>
        <v>0</v>
      </c>
      <c r="CG343" s="270">
        <f t="shared" si="2296"/>
        <v>0</v>
      </c>
      <c r="CH343" s="270">
        <f t="shared" si="2296"/>
        <v>0</v>
      </c>
      <c r="CI343" s="270">
        <f t="shared" si="2296"/>
        <v>0</v>
      </c>
      <c r="CJ343" s="270">
        <f t="shared" si="2296"/>
        <v>0</v>
      </c>
      <c r="CK343" s="270">
        <f t="shared" si="2296"/>
        <v>0</v>
      </c>
      <c r="CL343" s="270">
        <f t="shared" si="2296"/>
        <v>0</v>
      </c>
      <c r="CM343" s="270">
        <f t="shared" si="2296"/>
        <v>0</v>
      </c>
      <c r="CN343" s="270">
        <f t="shared" si="2296"/>
        <v>0</v>
      </c>
      <c r="CO343" s="270">
        <f t="shared" si="2296"/>
        <v>0</v>
      </c>
      <c r="CP343" s="270">
        <f t="shared" si="2296"/>
        <v>0</v>
      </c>
      <c r="CQ343" s="215"/>
      <c r="CR343" s="270">
        <f t="shared" si="27"/>
        <v>-0.2</v>
      </c>
      <c r="CS343" s="215"/>
      <c r="CT343" s="270">
        <f t="shared" ref="CT343:DX343" si="2297">IF(AI342&gt;0,IF((AI342+BN343)&lt;E$10,AI342+BN343,E$10),0)</f>
        <v>0</v>
      </c>
      <c r="CU343" s="270">
        <f t="shared" si="2297"/>
        <v>0</v>
      </c>
      <c r="CV343" s="270">
        <f t="shared" si="2297"/>
        <v>0</v>
      </c>
      <c r="CW343" s="270">
        <f t="shared" si="2297"/>
        <v>0</v>
      </c>
      <c r="CX343" s="270">
        <f t="shared" si="2297"/>
        <v>0</v>
      </c>
      <c r="CY343" s="270">
        <f t="shared" si="2297"/>
        <v>0</v>
      </c>
      <c r="CZ343" s="270">
        <f t="shared" si="2297"/>
        <v>0</v>
      </c>
      <c r="DA343" s="270">
        <f t="shared" si="2297"/>
        <v>0</v>
      </c>
      <c r="DB343" s="270">
        <f t="shared" si="2297"/>
        <v>0</v>
      </c>
      <c r="DC343" s="270">
        <f t="shared" si="2297"/>
        <v>0</v>
      </c>
      <c r="DD343" s="270">
        <f t="shared" si="2297"/>
        <v>0</v>
      </c>
      <c r="DE343" s="270">
        <f t="shared" si="2297"/>
        <v>0</v>
      </c>
      <c r="DF343" s="270">
        <f t="shared" si="2297"/>
        <v>0</v>
      </c>
      <c r="DG343" s="270">
        <f t="shared" si="2297"/>
        <v>0</v>
      </c>
      <c r="DH343" s="270">
        <f t="shared" si="2297"/>
        <v>0</v>
      </c>
      <c r="DI343" s="270">
        <f t="shared" si="2297"/>
        <v>0</v>
      </c>
      <c r="DJ343" s="270">
        <f t="shared" si="2297"/>
        <v>0</v>
      </c>
      <c r="DK343" s="270">
        <f t="shared" si="2297"/>
        <v>0</v>
      </c>
      <c r="DL343" s="270">
        <f t="shared" si="2297"/>
        <v>0</v>
      </c>
      <c r="DM343" s="270">
        <f t="shared" si="2297"/>
        <v>0</v>
      </c>
      <c r="DN343" s="270">
        <f t="shared" si="2297"/>
        <v>0</v>
      </c>
      <c r="DO343" s="270">
        <f t="shared" si="2297"/>
        <v>0</v>
      </c>
      <c r="DP343" s="270">
        <f t="shared" si="2297"/>
        <v>0</v>
      </c>
      <c r="DQ343" s="270">
        <f t="shared" si="2297"/>
        <v>0</v>
      </c>
      <c r="DR343" s="270">
        <f t="shared" si="2297"/>
        <v>0</v>
      </c>
      <c r="DS343" s="270">
        <f t="shared" si="2297"/>
        <v>0</v>
      </c>
      <c r="DT343" s="270">
        <f t="shared" si="2297"/>
        <v>0</v>
      </c>
      <c r="DU343" s="270">
        <f t="shared" si="2297"/>
        <v>0</v>
      </c>
      <c r="DV343" s="270">
        <f t="shared" si="2297"/>
        <v>0</v>
      </c>
      <c r="DW343" s="270">
        <f t="shared" si="2297"/>
        <v>0</v>
      </c>
      <c r="DX343" s="270">
        <f t="shared" si="2297"/>
        <v>0</v>
      </c>
      <c r="DY343" s="270">
        <f t="shared" si="29"/>
        <v>0</v>
      </c>
      <c r="DZ343" s="274"/>
      <c r="EA343" s="275">
        <f t="shared" si="38"/>
        <v>0</v>
      </c>
      <c r="EB343" s="270">
        <f t="shared" ref="EB343:FC343" si="2298">IF(AJ341&lt;=0,0,IF($C342&lt;=SUM($EA343:EA343),0,IF(CU342+$C342-SUM($EA343:EA343)&gt;AJ341+BO342,AJ341+BO342-CU342,$C342-SUM($EA343:EA343))))</f>
        <v>0</v>
      </c>
      <c r="EC343" s="270">
        <f t="shared" si="2298"/>
        <v>0</v>
      </c>
      <c r="ED343" s="270">
        <f t="shared" si="2298"/>
        <v>0</v>
      </c>
      <c r="EE343" s="270">
        <f t="shared" si="2298"/>
        <v>0</v>
      </c>
      <c r="EF343" s="270">
        <f t="shared" si="2298"/>
        <v>0</v>
      </c>
      <c r="EG343" s="270">
        <f t="shared" si="2298"/>
        <v>0</v>
      </c>
      <c r="EH343" s="270">
        <f t="shared" si="2298"/>
        <v>0</v>
      </c>
      <c r="EI343" s="270">
        <f t="shared" si="2298"/>
        <v>0</v>
      </c>
      <c r="EJ343" s="270">
        <f t="shared" si="2298"/>
        <v>0</v>
      </c>
      <c r="EK343" s="270">
        <f t="shared" si="2298"/>
        <v>0</v>
      </c>
      <c r="EL343" s="270">
        <f t="shared" si="2298"/>
        <v>0</v>
      </c>
      <c r="EM343" s="270">
        <f t="shared" si="2298"/>
        <v>0</v>
      </c>
      <c r="EN343" s="270">
        <f t="shared" si="2298"/>
        <v>0</v>
      </c>
      <c r="EO343" s="270">
        <f t="shared" si="2298"/>
        <v>0</v>
      </c>
      <c r="EP343" s="270">
        <f t="shared" si="2298"/>
        <v>0</v>
      </c>
      <c r="EQ343" s="270">
        <f t="shared" si="2298"/>
        <v>0</v>
      </c>
      <c r="ER343" s="270">
        <f t="shared" si="2298"/>
        <v>0</v>
      </c>
      <c r="ES343" s="270">
        <f t="shared" si="2298"/>
        <v>0</v>
      </c>
      <c r="ET343" s="270">
        <f t="shared" si="2298"/>
        <v>0</v>
      </c>
      <c r="EU343" s="270">
        <f t="shared" si="2298"/>
        <v>0</v>
      </c>
      <c r="EV343" s="270">
        <f t="shared" si="2298"/>
        <v>0</v>
      </c>
      <c r="EW343" s="270">
        <f t="shared" si="2298"/>
        <v>0</v>
      </c>
      <c r="EX343" s="270">
        <f t="shared" si="2298"/>
        <v>0</v>
      </c>
      <c r="EY343" s="270">
        <f t="shared" si="2298"/>
        <v>0</v>
      </c>
      <c r="EZ343" s="270">
        <f t="shared" si="2298"/>
        <v>0</v>
      </c>
      <c r="FA343" s="270">
        <f t="shared" si="2298"/>
        <v>0</v>
      </c>
      <c r="FB343" s="270">
        <f t="shared" si="2298"/>
        <v>0</v>
      </c>
      <c r="FC343" s="270">
        <f t="shared" si="2298"/>
        <v>0</v>
      </c>
      <c r="FD343" s="271"/>
      <c r="FE343" s="271"/>
      <c r="FF343" s="271"/>
      <c r="FG343" s="215"/>
      <c r="FH343" s="215"/>
    </row>
    <row r="344" ht="11.25" customHeight="1">
      <c r="A344" s="215" t="str">
        <f t="shared" si="19"/>
        <v/>
      </c>
      <c r="B344" s="241" t="str">
        <f t="shared" si="600"/>
        <v>#N/A</v>
      </c>
      <c r="C344" s="271" t="str">
        <f>IF(A344="","",IF(Calculator!snowball,IF(($E$5-DY344)&lt;0,0,$E$5-DY344),0)+D344)</f>
        <v/>
      </c>
      <c r="D344" s="271"/>
      <c r="E344" s="270">
        <f t="shared" si="40"/>
        <v>0</v>
      </c>
      <c r="F344" s="270">
        <f t="shared" ref="F344:AG344" si="2299">CU344+EB345</f>
        <v>0</v>
      </c>
      <c r="G344" s="270">
        <f t="shared" si="2299"/>
        <v>0</v>
      </c>
      <c r="H344" s="270">
        <f t="shared" si="2299"/>
        <v>0</v>
      </c>
      <c r="I344" s="270">
        <f t="shared" si="2299"/>
        <v>0</v>
      </c>
      <c r="J344" s="270">
        <f t="shared" si="2299"/>
        <v>0</v>
      </c>
      <c r="K344" s="270">
        <f t="shared" si="2299"/>
        <v>0</v>
      </c>
      <c r="L344" s="270">
        <f t="shared" si="2299"/>
        <v>0</v>
      </c>
      <c r="M344" s="270">
        <f t="shared" si="2299"/>
        <v>0</v>
      </c>
      <c r="N344" s="270">
        <f t="shared" si="2299"/>
        <v>0</v>
      </c>
      <c r="O344" s="270">
        <f t="shared" si="2299"/>
        <v>0</v>
      </c>
      <c r="P344" s="272">
        <f t="shared" si="2299"/>
        <v>0</v>
      </c>
      <c r="Q344" s="272">
        <f t="shared" si="2299"/>
        <v>0</v>
      </c>
      <c r="R344" s="272">
        <f t="shared" si="2299"/>
        <v>0</v>
      </c>
      <c r="S344" s="272">
        <f t="shared" si="2299"/>
        <v>0</v>
      </c>
      <c r="T344" s="272">
        <f t="shared" si="2299"/>
        <v>0</v>
      </c>
      <c r="U344" s="270">
        <f t="shared" si="2299"/>
        <v>0</v>
      </c>
      <c r="V344" s="270">
        <f t="shared" si="2299"/>
        <v>0</v>
      </c>
      <c r="W344" s="270">
        <f t="shared" si="2299"/>
        <v>0</v>
      </c>
      <c r="X344" s="270">
        <f t="shared" si="2299"/>
        <v>0</v>
      </c>
      <c r="Y344" s="270">
        <f t="shared" si="2299"/>
        <v>0</v>
      </c>
      <c r="Z344" s="270">
        <f t="shared" si="2299"/>
        <v>0</v>
      </c>
      <c r="AA344" s="270">
        <f t="shared" si="2299"/>
        <v>0</v>
      </c>
      <c r="AB344" s="270">
        <f t="shared" si="2299"/>
        <v>0</v>
      </c>
      <c r="AC344" s="270">
        <f t="shared" si="2299"/>
        <v>0</v>
      </c>
      <c r="AD344" s="270">
        <f t="shared" si="2299"/>
        <v>0</v>
      </c>
      <c r="AE344" s="270">
        <f t="shared" si="2299"/>
        <v>0</v>
      </c>
      <c r="AF344" s="270">
        <f t="shared" si="2299"/>
        <v>0</v>
      </c>
      <c r="AG344" s="270">
        <f t="shared" si="2299"/>
        <v>0</v>
      </c>
      <c r="AH344" s="279">
        <f t="shared" si="602"/>
        <v>0</v>
      </c>
      <c r="AI344" s="270">
        <f t="shared" si="43"/>
        <v>0</v>
      </c>
      <c r="AJ344" s="270">
        <f t="shared" ref="AJ344:AO344" si="2300">IF(F$8=0,0,ROUND(AJ343-(F344-BO344),2))</f>
        <v>0</v>
      </c>
      <c r="AK344" s="270">
        <f t="shared" si="2300"/>
        <v>0</v>
      </c>
      <c r="AL344" s="270">
        <f t="shared" si="2300"/>
        <v>0</v>
      </c>
      <c r="AM344" s="270">
        <f t="shared" si="2300"/>
        <v>0</v>
      </c>
      <c r="AN344" s="270">
        <f t="shared" si="2300"/>
        <v>0</v>
      </c>
      <c r="AO344" s="270">
        <f t="shared" si="2300"/>
        <v>0</v>
      </c>
      <c r="AP344" s="270">
        <v>0.0</v>
      </c>
      <c r="AQ344" s="270">
        <f t="shared" ref="AQ344:AR344" si="2301">IF(M$8=0,0,ROUND(AQ343-(M344-BV344),2))</f>
        <v>0</v>
      </c>
      <c r="AR344" s="270">
        <f t="shared" si="2301"/>
        <v>0</v>
      </c>
      <c r="AS344" s="270">
        <f t="shared" si="1902"/>
        <v>-8.64</v>
      </c>
      <c r="AT344" s="270">
        <f t="shared" si="605"/>
        <v>-8.26</v>
      </c>
      <c r="AU344" s="270">
        <f t="shared" ref="AU344:BK344" si="2302">IF(Q$8=0,0,ROUND(AU343-(Q344-BY344),2))</f>
        <v>-20.41</v>
      </c>
      <c r="AV344" s="270">
        <f t="shared" si="2302"/>
        <v>0</v>
      </c>
      <c r="AW344" s="270">
        <f t="shared" si="2302"/>
        <v>0</v>
      </c>
      <c r="AX344" s="270">
        <f t="shared" si="2302"/>
        <v>0</v>
      </c>
      <c r="AY344" s="270">
        <f t="shared" si="2302"/>
        <v>0</v>
      </c>
      <c r="AZ344" s="270">
        <f t="shared" si="2302"/>
        <v>0</v>
      </c>
      <c r="BA344" s="270">
        <f t="shared" si="2302"/>
        <v>0</v>
      </c>
      <c r="BB344" s="270">
        <f t="shared" si="2302"/>
        <v>0</v>
      </c>
      <c r="BC344" s="270">
        <f t="shared" si="2302"/>
        <v>0</v>
      </c>
      <c r="BD344" s="270">
        <f t="shared" si="2302"/>
        <v>0</v>
      </c>
      <c r="BE344" s="270">
        <f t="shared" si="2302"/>
        <v>0</v>
      </c>
      <c r="BF344" s="270">
        <f t="shared" si="2302"/>
        <v>0</v>
      </c>
      <c r="BG344" s="270">
        <f t="shared" si="2302"/>
        <v>0</v>
      </c>
      <c r="BH344" s="270">
        <f t="shared" si="2302"/>
        <v>0</v>
      </c>
      <c r="BI344" s="270">
        <f t="shared" si="2302"/>
        <v>0</v>
      </c>
      <c r="BJ344" s="270">
        <f t="shared" si="2302"/>
        <v>0</v>
      </c>
      <c r="BK344" s="270">
        <f t="shared" si="2302"/>
        <v>0</v>
      </c>
      <c r="BL344" s="265">
        <f t="shared" si="16"/>
        <v>-37.31</v>
      </c>
      <c r="BM344" s="215"/>
      <c r="BN344" s="270">
        <f t="shared" ref="BN344:CP344" si="2303">ROUND(AI343*E$9/12,2)</f>
        <v>0</v>
      </c>
      <c r="BO344" s="270">
        <f t="shared" si="2303"/>
        <v>0</v>
      </c>
      <c r="BP344" s="270">
        <f t="shared" si="2303"/>
        <v>0</v>
      </c>
      <c r="BQ344" s="270">
        <f t="shared" si="2303"/>
        <v>0</v>
      </c>
      <c r="BR344" s="270">
        <f t="shared" si="2303"/>
        <v>0</v>
      </c>
      <c r="BS344" s="270">
        <f t="shared" si="2303"/>
        <v>0</v>
      </c>
      <c r="BT344" s="270">
        <f t="shared" si="2303"/>
        <v>0</v>
      </c>
      <c r="BU344" s="270">
        <f t="shared" si="2303"/>
        <v>0</v>
      </c>
      <c r="BV344" s="270">
        <f t="shared" si="2303"/>
        <v>0</v>
      </c>
      <c r="BW344" s="270">
        <f t="shared" si="2303"/>
        <v>0</v>
      </c>
      <c r="BX344" s="270">
        <f t="shared" si="2303"/>
        <v>-0.08</v>
      </c>
      <c r="BY344" s="270">
        <f t="shared" si="2303"/>
        <v>-0.06</v>
      </c>
      <c r="BZ344" s="270">
        <f t="shared" si="2303"/>
        <v>-0.06</v>
      </c>
      <c r="CA344" s="270">
        <f t="shared" si="2303"/>
        <v>0</v>
      </c>
      <c r="CB344" s="270">
        <f t="shared" si="2303"/>
        <v>0</v>
      </c>
      <c r="CC344" s="270">
        <f t="shared" si="2303"/>
        <v>0</v>
      </c>
      <c r="CD344" s="270">
        <f t="shared" si="2303"/>
        <v>0</v>
      </c>
      <c r="CE344" s="270">
        <f t="shared" si="2303"/>
        <v>0</v>
      </c>
      <c r="CF344" s="270">
        <f t="shared" si="2303"/>
        <v>0</v>
      </c>
      <c r="CG344" s="270">
        <f t="shared" si="2303"/>
        <v>0</v>
      </c>
      <c r="CH344" s="270">
        <f t="shared" si="2303"/>
        <v>0</v>
      </c>
      <c r="CI344" s="270">
        <f t="shared" si="2303"/>
        <v>0</v>
      </c>
      <c r="CJ344" s="270">
        <f t="shared" si="2303"/>
        <v>0</v>
      </c>
      <c r="CK344" s="270">
        <f t="shared" si="2303"/>
        <v>0</v>
      </c>
      <c r="CL344" s="270">
        <f t="shared" si="2303"/>
        <v>0</v>
      </c>
      <c r="CM344" s="270">
        <f t="shared" si="2303"/>
        <v>0</v>
      </c>
      <c r="CN344" s="270">
        <f t="shared" si="2303"/>
        <v>0</v>
      </c>
      <c r="CO344" s="270">
        <f t="shared" si="2303"/>
        <v>0</v>
      </c>
      <c r="CP344" s="270">
        <f t="shared" si="2303"/>
        <v>0</v>
      </c>
      <c r="CQ344" s="215"/>
      <c r="CR344" s="270">
        <f t="shared" si="27"/>
        <v>-0.2</v>
      </c>
      <c r="CS344" s="215"/>
      <c r="CT344" s="270">
        <f t="shared" ref="CT344:DX344" si="2304">IF(AI343&gt;0,IF((AI343+BN344)&lt;E$10,AI343+BN344,E$10),0)</f>
        <v>0</v>
      </c>
      <c r="CU344" s="270">
        <f t="shared" si="2304"/>
        <v>0</v>
      </c>
      <c r="CV344" s="270">
        <f t="shared" si="2304"/>
        <v>0</v>
      </c>
      <c r="CW344" s="270">
        <f t="shared" si="2304"/>
        <v>0</v>
      </c>
      <c r="CX344" s="270">
        <f t="shared" si="2304"/>
        <v>0</v>
      </c>
      <c r="CY344" s="270">
        <f t="shared" si="2304"/>
        <v>0</v>
      </c>
      <c r="CZ344" s="270">
        <f t="shared" si="2304"/>
        <v>0</v>
      </c>
      <c r="DA344" s="270">
        <f t="shared" si="2304"/>
        <v>0</v>
      </c>
      <c r="DB344" s="270">
        <f t="shared" si="2304"/>
        <v>0</v>
      </c>
      <c r="DC344" s="270">
        <f t="shared" si="2304"/>
        <v>0</v>
      </c>
      <c r="DD344" s="270">
        <f t="shared" si="2304"/>
        <v>0</v>
      </c>
      <c r="DE344" s="270">
        <f t="shared" si="2304"/>
        <v>0</v>
      </c>
      <c r="DF344" s="270">
        <f t="shared" si="2304"/>
        <v>0</v>
      </c>
      <c r="DG344" s="270">
        <f t="shared" si="2304"/>
        <v>0</v>
      </c>
      <c r="DH344" s="270">
        <f t="shared" si="2304"/>
        <v>0</v>
      </c>
      <c r="DI344" s="270">
        <f t="shared" si="2304"/>
        <v>0</v>
      </c>
      <c r="DJ344" s="270">
        <f t="shared" si="2304"/>
        <v>0</v>
      </c>
      <c r="DK344" s="270">
        <f t="shared" si="2304"/>
        <v>0</v>
      </c>
      <c r="DL344" s="270">
        <f t="shared" si="2304"/>
        <v>0</v>
      </c>
      <c r="DM344" s="270">
        <f t="shared" si="2304"/>
        <v>0</v>
      </c>
      <c r="DN344" s="270">
        <f t="shared" si="2304"/>
        <v>0</v>
      </c>
      <c r="DO344" s="270">
        <f t="shared" si="2304"/>
        <v>0</v>
      </c>
      <c r="DP344" s="270">
        <f t="shared" si="2304"/>
        <v>0</v>
      </c>
      <c r="DQ344" s="270">
        <f t="shared" si="2304"/>
        <v>0</v>
      </c>
      <c r="DR344" s="270">
        <f t="shared" si="2304"/>
        <v>0</v>
      </c>
      <c r="DS344" s="270">
        <f t="shared" si="2304"/>
        <v>0</v>
      </c>
      <c r="DT344" s="270">
        <f t="shared" si="2304"/>
        <v>0</v>
      </c>
      <c r="DU344" s="270">
        <f t="shared" si="2304"/>
        <v>0</v>
      </c>
      <c r="DV344" s="270">
        <f t="shared" si="2304"/>
        <v>0</v>
      </c>
      <c r="DW344" s="270">
        <f t="shared" si="2304"/>
        <v>0</v>
      </c>
      <c r="DX344" s="270">
        <f t="shared" si="2304"/>
        <v>0</v>
      </c>
      <c r="DY344" s="270">
        <f t="shared" si="29"/>
        <v>0</v>
      </c>
      <c r="DZ344" s="274"/>
      <c r="EA344" s="275">
        <f t="shared" si="38"/>
        <v>0</v>
      </c>
      <c r="EB344" s="270">
        <f t="shared" ref="EB344:FC344" si="2305">IF(AJ342&lt;=0,0,IF($C343&lt;=SUM($EA344:EA344),0,IF(CU343+$C343-SUM($EA344:EA344)&gt;AJ342+BO343,AJ342+BO343-CU343,$C343-SUM($EA344:EA344))))</f>
        <v>0</v>
      </c>
      <c r="EC344" s="270">
        <f t="shared" si="2305"/>
        <v>0</v>
      </c>
      <c r="ED344" s="270">
        <f t="shared" si="2305"/>
        <v>0</v>
      </c>
      <c r="EE344" s="270">
        <f t="shared" si="2305"/>
        <v>0</v>
      </c>
      <c r="EF344" s="270">
        <f t="shared" si="2305"/>
        <v>0</v>
      </c>
      <c r="EG344" s="270">
        <f t="shared" si="2305"/>
        <v>0</v>
      </c>
      <c r="EH344" s="270">
        <f t="shared" si="2305"/>
        <v>0</v>
      </c>
      <c r="EI344" s="270">
        <f t="shared" si="2305"/>
        <v>0</v>
      </c>
      <c r="EJ344" s="270">
        <f t="shared" si="2305"/>
        <v>0</v>
      </c>
      <c r="EK344" s="270">
        <f t="shared" si="2305"/>
        <v>0</v>
      </c>
      <c r="EL344" s="270">
        <f t="shared" si="2305"/>
        <v>0</v>
      </c>
      <c r="EM344" s="270">
        <f t="shared" si="2305"/>
        <v>0</v>
      </c>
      <c r="EN344" s="270">
        <f t="shared" si="2305"/>
        <v>0</v>
      </c>
      <c r="EO344" s="270">
        <f t="shared" si="2305"/>
        <v>0</v>
      </c>
      <c r="EP344" s="270">
        <f t="shared" si="2305"/>
        <v>0</v>
      </c>
      <c r="EQ344" s="270">
        <f t="shared" si="2305"/>
        <v>0</v>
      </c>
      <c r="ER344" s="270">
        <f t="shared" si="2305"/>
        <v>0</v>
      </c>
      <c r="ES344" s="270">
        <f t="shared" si="2305"/>
        <v>0</v>
      </c>
      <c r="ET344" s="270">
        <f t="shared" si="2305"/>
        <v>0</v>
      </c>
      <c r="EU344" s="270">
        <f t="shared" si="2305"/>
        <v>0</v>
      </c>
      <c r="EV344" s="270">
        <f t="shared" si="2305"/>
        <v>0</v>
      </c>
      <c r="EW344" s="270">
        <f t="shared" si="2305"/>
        <v>0</v>
      </c>
      <c r="EX344" s="270">
        <f t="shared" si="2305"/>
        <v>0</v>
      </c>
      <c r="EY344" s="270">
        <f t="shared" si="2305"/>
        <v>0</v>
      </c>
      <c r="EZ344" s="270">
        <f t="shared" si="2305"/>
        <v>0</v>
      </c>
      <c r="FA344" s="270">
        <f t="shared" si="2305"/>
        <v>0</v>
      </c>
      <c r="FB344" s="270">
        <f t="shared" si="2305"/>
        <v>0</v>
      </c>
      <c r="FC344" s="270">
        <f t="shared" si="2305"/>
        <v>0</v>
      </c>
      <c r="FD344" s="271"/>
      <c r="FE344" s="271"/>
      <c r="FF344" s="271"/>
      <c r="FG344" s="215"/>
      <c r="FH344" s="215"/>
    </row>
    <row r="345" ht="11.25" customHeight="1">
      <c r="A345" s="215" t="str">
        <f t="shared" si="19"/>
        <v/>
      </c>
      <c r="B345" s="241" t="str">
        <f t="shared" si="600"/>
        <v>#N/A</v>
      </c>
      <c r="C345" s="271" t="str">
        <f>IF(A345="","",IF(Calculator!snowball,IF(($E$5-DY345)&lt;0,0,$E$5-DY345),0)+D345)</f>
        <v/>
      </c>
      <c r="D345" s="271"/>
      <c r="E345" s="270">
        <f t="shared" si="40"/>
        <v>0</v>
      </c>
      <c r="F345" s="270">
        <f t="shared" ref="F345:AG345" si="2306">CU345+EB346</f>
        <v>0</v>
      </c>
      <c r="G345" s="270">
        <f t="shared" si="2306"/>
        <v>0</v>
      </c>
      <c r="H345" s="270">
        <f t="shared" si="2306"/>
        <v>0</v>
      </c>
      <c r="I345" s="270">
        <f t="shared" si="2306"/>
        <v>0</v>
      </c>
      <c r="J345" s="270">
        <f t="shared" si="2306"/>
        <v>0</v>
      </c>
      <c r="K345" s="270">
        <f t="shared" si="2306"/>
        <v>0</v>
      </c>
      <c r="L345" s="270">
        <f t="shared" si="2306"/>
        <v>0</v>
      </c>
      <c r="M345" s="270">
        <f t="shared" si="2306"/>
        <v>0</v>
      </c>
      <c r="N345" s="270">
        <f t="shared" si="2306"/>
        <v>0</v>
      </c>
      <c r="O345" s="270">
        <f t="shared" si="2306"/>
        <v>0</v>
      </c>
      <c r="P345" s="272">
        <f t="shared" si="2306"/>
        <v>0</v>
      </c>
      <c r="Q345" s="272">
        <f t="shared" si="2306"/>
        <v>0</v>
      </c>
      <c r="R345" s="272">
        <f t="shared" si="2306"/>
        <v>0</v>
      </c>
      <c r="S345" s="272">
        <f t="shared" si="2306"/>
        <v>0</v>
      </c>
      <c r="T345" s="272">
        <f t="shared" si="2306"/>
        <v>0</v>
      </c>
      <c r="U345" s="270">
        <f t="shared" si="2306"/>
        <v>0</v>
      </c>
      <c r="V345" s="270">
        <f t="shared" si="2306"/>
        <v>0</v>
      </c>
      <c r="W345" s="270">
        <f t="shared" si="2306"/>
        <v>0</v>
      </c>
      <c r="X345" s="270">
        <f t="shared" si="2306"/>
        <v>0</v>
      </c>
      <c r="Y345" s="270">
        <f t="shared" si="2306"/>
        <v>0</v>
      </c>
      <c r="Z345" s="270">
        <f t="shared" si="2306"/>
        <v>0</v>
      </c>
      <c r="AA345" s="270">
        <f t="shared" si="2306"/>
        <v>0</v>
      </c>
      <c r="AB345" s="270">
        <f t="shared" si="2306"/>
        <v>0</v>
      </c>
      <c r="AC345" s="270">
        <f t="shared" si="2306"/>
        <v>0</v>
      </c>
      <c r="AD345" s="270">
        <f t="shared" si="2306"/>
        <v>0</v>
      </c>
      <c r="AE345" s="270">
        <f t="shared" si="2306"/>
        <v>0</v>
      </c>
      <c r="AF345" s="270">
        <f t="shared" si="2306"/>
        <v>0</v>
      </c>
      <c r="AG345" s="270">
        <f t="shared" si="2306"/>
        <v>0</v>
      </c>
      <c r="AH345" s="279">
        <f t="shared" si="602"/>
        <v>0</v>
      </c>
      <c r="AI345" s="270">
        <f t="shared" si="43"/>
        <v>0</v>
      </c>
      <c r="AJ345" s="270">
        <f t="shared" ref="AJ345:AO345" si="2307">IF(F$8=0,0,ROUND(AJ344-(F345-BO345),2))</f>
        <v>0</v>
      </c>
      <c r="AK345" s="270">
        <f t="shared" si="2307"/>
        <v>0</v>
      </c>
      <c r="AL345" s="270">
        <f t="shared" si="2307"/>
        <v>0</v>
      </c>
      <c r="AM345" s="270">
        <f t="shared" si="2307"/>
        <v>0</v>
      </c>
      <c r="AN345" s="270">
        <f t="shared" si="2307"/>
        <v>0</v>
      </c>
      <c r="AO345" s="270">
        <f t="shared" si="2307"/>
        <v>0</v>
      </c>
      <c r="AP345" s="270">
        <v>0.0</v>
      </c>
      <c r="AQ345" s="270">
        <f t="shared" ref="AQ345:AR345" si="2308">IF(M$8=0,0,ROUND(AQ344-(M345-BV345),2))</f>
        <v>0</v>
      </c>
      <c r="AR345" s="270">
        <f t="shared" si="2308"/>
        <v>0</v>
      </c>
      <c r="AS345" s="270">
        <f t="shared" si="1902"/>
        <v>-8.84</v>
      </c>
      <c r="AT345" s="270">
        <f t="shared" si="605"/>
        <v>-8.34</v>
      </c>
      <c r="AU345" s="270">
        <f t="shared" ref="AU345:BK345" si="2309">IF(Q$8=0,0,ROUND(AU344-(Q345-BY345),2))</f>
        <v>-20.47</v>
      </c>
      <c r="AV345" s="270">
        <f t="shared" si="2309"/>
        <v>0</v>
      </c>
      <c r="AW345" s="270">
        <f t="shared" si="2309"/>
        <v>0</v>
      </c>
      <c r="AX345" s="270">
        <f t="shared" si="2309"/>
        <v>0</v>
      </c>
      <c r="AY345" s="270">
        <f t="shared" si="2309"/>
        <v>0</v>
      </c>
      <c r="AZ345" s="270">
        <f t="shared" si="2309"/>
        <v>0</v>
      </c>
      <c r="BA345" s="270">
        <f t="shared" si="2309"/>
        <v>0</v>
      </c>
      <c r="BB345" s="270">
        <f t="shared" si="2309"/>
        <v>0</v>
      </c>
      <c r="BC345" s="270">
        <f t="shared" si="2309"/>
        <v>0</v>
      </c>
      <c r="BD345" s="270">
        <f t="shared" si="2309"/>
        <v>0</v>
      </c>
      <c r="BE345" s="270">
        <f t="shared" si="2309"/>
        <v>0</v>
      </c>
      <c r="BF345" s="270">
        <f t="shared" si="2309"/>
        <v>0</v>
      </c>
      <c r="BG345" s="270">
        <f t="shared" si="2309"/>
        <v>0</v>
      </c>
      <c r="BH345" s="270">
        <f t="shared" si="2309"/>
        <v>0</v>
      </c>
      <c r="BI345" s="270">
        <f t="shared" si="2309"/>
        <v>0</v>
      </c>
      <c r="BJ345" s="270">
        <f t="shared" si="2309"/>
        <v>0</v>
      </c>
      <c r="BK345" s="270">
        <f t="shared" si="2309"/>
        <v>0</v>
      </c>
      <c r="BL345" s="265">
        <f t="shared" si="16"/>
        <v>-37.65</v>
      </c>
      <c r="BM345" s="215"/>
      <c r="BN345" s="270">
        <f t="shared" ref="BN345:CP345" si="2310">ROUND(AI344*E$9/12,2)</f>
        <v>0</v>
      </c>
      <c r="BO345" s="270">
        <f t="shared" si="2310"/>
        <v>0</v>
      </c>
      <c r="BP345" s="270">
        <f t="shared" si="2310"/>
        <v>0</v>
      </c>
      <c r="BQ345" s="270">
        <f t="shared" si="2310"/>
        <v>0</v>
      </c>
      <c r="BR345" s="270">
        <f t="shared" si="2310"/>
        <v>0</v>
      </c>
      <c r="BS345" s="270">
        <f t="shared" si="2310"/>
        <v>0</v>
      </c>
      <c r="BT345" s="270">
        <f t="shared" si="2310"/>
        <v>0</v>
      </c>
      <c r="BU345" s="270">
        <f t="shared" si="2310"/>
        <v>0</v>
      </c>
      <c r="BV345" s="270">
        <f t="shared" si="2310"/>
        <v>0</v>
      </c>
      <c r="BW345" s="270">
        <f t="shared" si="2310"/>
        <v>0</v>
      </c>
      <c r="BX345" s="270">
        <f t="shared" si="2310"/>
        <v>-0.08</v>
      </c>
      <c r="BY345" s="270">
        <f t="shared" si="2310"/>
        <v>-0.06</v>
      </c>
      <c r="BZ345" s="270">
        <f t="shared" si="2310"/>
        <v>-0.06</v>
      </c>
      <c r="CA345" s="270">
        <f t="shared" si="2310"/>
        <v>0</v>
      </c>
      <c r="CB345" s="270">
        <f t="shared" si="2310"/>
        <v>0</v>
      </c>
      <c r="CC345" s="270">
        <f t="shared" si="2310"/>
        <v>0</v>
      </c>
      <c r="CD345" s="270">
        <f t="shared" si="2310"/>
        <v>0</v>
      </c>
      <c r="CE345" s="270">
        <f t="shared" si="2310"/>
        <v>0</v>
      </c>
      <c r="CF345" s="270">
        <f t="shared" si="2310"/>
        <v>0</v>
      </c>
      <c r="CG345" s="270">
        <f t="shared" si="2310"/>
        <v>0</v>
      </c>
      <c r="CH345" s="270">
        <f t="shared" si="2310"/>
        <v>0</v>
      </c>
      <c r="CI345" s="270">
        <f t="shared" si="2310"/>
        <v>0</v>
      </c>
      <c r="CJ345" s="270">
        <f t="shared" si="2310"/>
        <v>0</v>
      </c>
      <c r="CK345" s="270">
        <f t="shared" si="2310"/>
        <v>0</v>
      </c>
      <c r="CL345" s="270">
        <f t="shared" si="2310"/>
        <v>0</v>
      </c>
      <c r="CM345" s="270">
        <f t="shared" si="2310"/>
        <v>0</v>
      </c>
      <c r="CN345" s="270">
        <f t="shared" si="2310"/>
        <v>0</v>
      </c>
      <c r="CO345" s="270">
        <f t="shared" si="2310"/>
        <v>0</v>
      </c>
      <c r="CP345" s="270">
        <f t="shared" si="2310"/>
        <v>0</v>
      </c>
      <c r="CQ345" s="215"/>
      <c r="CR345" s="270">
        <f t="shared" si="27"/>
        <v>-0.2</v>
      </c>
      <c r="CS345" s="215"/>
      <c r="CT345" s="270">
        <f t="shared" ref="CT345:DX345" si="2311">IF(AI344&gt;0,IF((AI344+BN345)&lt;E$10,AI344+BN345,E$10),0)</f>
        <v>0</v>
      </c>
      <c r="CU345" s="270">
        <f t="shared" si="2311"/>
        <v>0</v>
      </c>
      <c r="CV345" s="270">
        <f t="shared" si="2311"/>
        <v>0</v>
      </c>
      <c r="CW345" s="270">
        <f t="shared" si="2311"/>
        <v>0</v>
      </c>
      <c r="CX345" s="270">
        <f t="shared" si="2311"/>
        <v>0</v>
      </c>
      <c r="CY345" s="270">
        <f t="shared" si="2311"/>
        <v>0</v>
      </c>
      <c r="CZ345" s="270">
        <f t="shared" si="2311"/>
        <v>0</v>
      </c>
      <c r="DA345" s="270">
        <f t="shared" si="2311"/>
        <v>0</v>
      </c>
      <c r="DB345" s="270">
        <f t="shared" si="2311"/>
        <v>0</v>
      </c>
      <c r="DC345" s="270">
        <f t="shared" si="2311"/>
        <v>0</v>
      </c>
      <c r="DD345" s="270">
        <f t="shared" si="2311"/>
        <v>0</v>
      </c>
      <c r="DE345" s="270">
        <f t="shared" si="2311"/>
        <v>0</v>
      </c>
      <c r="DF345" s="270">
        <f t="shared" si="2311"/>
        <v>0</v>
      </c>
      <c r="DG345" s="270">
        <f t="shared" si="2311"/>
        <v>0</v>
      </c>
      <c r="DH345" s="270">
        <f t="shared" si="2311"/>
        <v>0</v>
      </c>
      <c r="DI345" s="270">
        <f t="shared" si="2311"/>
        <v>0</v>
      </c>
      <c r="DJ345" s="270">
        <f t="shared" si="2311"/>
        <v>0</v>
      </c>
      <c r="DK345" s="270">
        <f t="shared" si="2311"/>
        <v>0</v>
      </c>
      <c r="DL345" s="270">
        <f t="shared" si="2311"/>
        <v>0</v>
      </c>
      <c r="DM345" s="270">
        <f t="shared" si="2311"/>
        <v>0</v>
      </c>
      <c r="DN345" s="270">
        <f t="shared" si="2311"/>
        <v>0</v>
      </c>
      <c r="DO345" s="270">
        <f t="shared" si="2311"/>
        <v>0</v>
      </c>
      <c r="DP345" s="270">
        <f t="shared" si="2311"/>
        <v>0</v>
      </c>
      <c r="DQ345" s="270">
        <f t="shared" si="2311"/>
        <v>0</v>
      </c>
      <c r="DR345" s="270">
        <f t="shared" si="2311"/>
        <v>0</v>
      </c>
      <c r="DS345" s="270">
        <f t="shared" si="2311"/>
        <v>0</v>
      </c>
      <c r="DT345" s="270">
        <f t="shared" si="2311"/>
        <v>0</v>
      </c>
      <c r="DU345" s="270">
        <f t="shared" si="2311"/>
        <v>0</v>
      </c>
      <c r="DV345" s="270">
        <f t="shared" si="2311"/>
        <v>0</v>
      </c>
      <c r="DW345" s="270">
        <f t="shared" si="2311"/>
        <v>0</v>
      </c>
      <c r="DX345" s="270">
        <f t="shared" si="2311"/>
        <v>0</v>
      </c>
      <c r="DY345" s="270">
        <f t="shared" si="29"/>
        <v>0</v>
      </c>
      <c r="DZ345" s="274"/>
      <c r="EA345" s="275">
        <f t="shared" si="38"/>
        <v>0</v>
      </c>
      <c r="EB345" s="270">
        <f t="shared" ref="EB345:FC345" si="2312">IF(AJ343&lt;=0,0,IF($C344&lt;=SUM($EA345:EA345),0,IF(CU344+$C344-SUM($EA345:EA345)&gt;AJ343+BO344,AJ343+BO344-CU344,$C344-SUM($EA345:EA345))))</f>
        <v>0</v>
      </c>
      <c r="EC345" s="270">
        <f t="shared" si="2312"/>
        <v>0</v>
      </c>
      <c r="ED345" s="270">
        <f t="shared" si="2312"/>
        <v>0</v>
      </c>
      <c r="EE345" s="270">
        <f t="shared" si="2312"/>
        <v>0</v>
      </c>
      <c r="EF345" s="270">
        <f t="shared" si="2312"/>
        <v>0</v>
      </c>
      <c r="EG345" s="270">
        <f t="shared" si="2312"/>
        <v>0</v>
      </c>
      <c r="EH345" s="270">
        <f t="shared" si="2312"/>
        <v>0</v>
      </c>
      <c r="EI345" s="270">
        <f t="shared" si="2312"/>
        <v>0</v>
      </c>
      <c r="EJ345" s="270">
        <f t="shared" si="2312"/>
        <v>0</v>
      </c>
      <c r="EK345" s="270">
        <f t="shared" si="2312"/>
        <v>0</v>
      </c>
      <c r="EL345" s="270">
        <f t="shared" si="2312"/>
        <v>0</v>
      </c>
      <c r="EM345" s="270">
        <f t="shared" si="2312"/>
        <v>0</v>
      </c>
      <c r="EN345" s="270">
        <f t="shared" si="2312"/>
        <v>0</v>
      </c>
      <c r="EO345" s="270">
        <f t="shared" si="2312"/>
        <v>0</v>
      </c>
      <c r="EP345" s="270">
        <f t="shared" si="2312"/>
        <v>0</v>
      </c>
      <c r="EQ345" s="270">
        <f t="shared" si="2312"/>
        <v>0</v>
      </c>
      <c r="ER345" s="270">
        <f t="shared" si="2312"/>
        <v>0</v>
      </c>
      <c r="ES345" s="270">
        <f t="shared" si="2312"/>
        <v>0</v>
      </c>
      <c r="ET345" s="270">
        <f t="shared" si="2312"/>
        <v>0</v>
      </c>
      <c r="EU345" s="270">
        <f t="shared" si="2312"/>
        <v>0</v>
      </c>
      <c r="EV345" s="270">
        <f t="shared" si="2312"/>
        <v>0</v>
      </c>
      <c r="EW345" s="270">
        <f t="shared" si="2312"/>
        <v>0</v>
      </c>
      <c r="EX345" s="270">
        <f t="shared" si="2312"/>
        <v>0</v>
      </c>
      <c r="EY345" s="270">
        <f t="shared" si="2312"/>
        <v>0</v>
      </c>
      <c r="EZ345" s="270">
        <f t="shared" si="2312"/>
        <v>0</v>
      </c>
      <c r="FA345" s="270">
        <f t="shared" si="2312"/>
        <v>0</v>
      </c>
      <c r="FB345" s="270">
        <f t="shared" si="2312"/>
        <v>0</v>
      </c>
      <c r="FC345" s="270">
        <f t="shared" si="2312"/>
        <v>0</v>
      </c>
      <c r="FD345" s="271"/>
      <c r="FE345" s="271"/>
      <c r="FF345" s="271"/>
      <c r="FG345" s="215"/>
      <c r="FH345" s="215"/>
    </row>
    <row r="346" ht="11.25" customHeight="1">
      <c r="A346" s="215" t="str">
        <f t="shared" si="19"/>
        <v/>
      </c>
      <c r="B346" s="241" t="str">
        <f t="shared" si="600"/>
        <v>#N/A</v>
      </c>
      <c r="C346" s="271" t="str">
        <f>IF(A346="","",IF(Calculator!snowball,IF(($E$5-DY346)&lt;0,0,$E$5-DY346),0)+D346)</f>
        <v/>
      </c>
      <c r="D346" s="271"/>
      <c r="E346" s="270">
        <f t="shared" si="40"/>
        <v>0</v>
      </c>
      <c r="F346" s="270">
        <f t="shared" ref="F346:AG346" si="2313">CU346+EB347</f>
        <v>0</v>
      </c>
      <c r="G346" s="270">
        <f t="shared" si="2313"/>
        <v>0</v>
      </c>
      <c r="H346" s="270">
        <f t="shared" si="2313"/>
        <v>0</v>
      </c>
      <c r="I346" s="270">
        <f t="shared" si="2313"/>
        <v>0</v>
      </c>
      <c r="J346" s="270">
        <f t="shared" si="2313"/>
        <v>0</v>
      </c>
      <c r="K346" s="270">
        <f t="shared" si="2313"/>
        <v>0</v>
      </c>
      <c r="L346" s="270">
        <f t="shared" si="2313"/>
        <v>0</v>
      </c>
      <c r="M346" s="270">
        <f t="shared" si="2313"/>
        <v>0</v>
      </c>
      <c r="N346" s="270">
        <f t="shared" si="2313"/>
        <v>0</v>
      </c>
      <c r="O346" s="270">
        <f t="shared" si="2313"/>
        <v>0</v>
      </c>
      <c r="P346" s="272">
        <f t="shared" si="2313"/>
        <v>0</v>
      </c>
      <c r="Q346" s="272">
        <f t="shared" si="2313"/>
        <v>0</v>
      </c>
      <c r="R346" s="272">
        <f t="shared" si="2313"/>
        <v>0</v>
      </c>
      <c r="S346" s="272">
        <f t="shared" si="2313"/>
        <v>0</v>
      </c>
      <c r="T346" s="272">
        <f t="shared" si="2313"/>
        <v>0</v>
      </c>
      <c r="U346" s="270">
        <f t="shared" si="2313"/>
        <v>0</v>
      </c>
      <c r="V346" s="270">
        <f t="shared" si="2313"/>
        <v>0</v>
      </c>
      <c r="W346" s="270">
        <f t="shared" si="2313"/>
        <v>0</v>
      </c>
      <c r="X346" s="270">
        <f t="shared" si="2313"/>
        <v>0</v>
      </c>
      <c r="Y346" s="270">
        <f t="shared" si="2313"/>
        <v>0</v>
      </c>
      <c r="Z346" s="270">
        <f t="shared" si="2313"/>
        <v>0</v>
      </c>
      <c r="AA346" s="270">
        <f t="shared" si="2313"/>
        <v>0</v>
      </c>
      <c r="AB346" s="270">
        <f t="shared" si="2313"/>
        <v>0</v>
      </c>
      <c r="AC346" s="270">
        <f t="shared" si="2313"/>
        <v>0</v>
      </c>
      <c r="AD346" s="270">
        <f t="shared" si="2313"/>
        <v>0</v>
      </c>
      <c r="AE346" s="270">
        <f t="shared" si="2313"/>
        <v>0</v>
      </c>
      <c r="AF346" s="270">
        <f t="shared" si="2313"/>
        <v>0</v>
      </c>
      <c r="AG346" s="270">
        <f t="shared" si="2313"/>
        <v>0</v>
      </c>
      <c r="AH346" s="279">
        <f t="shared" si="602"/>
        <v>0</v>
      </c>
      <c r="AI346" s="270">
        <f t="shared" si="43"/>
        <v>0</v>
      </c>
      <c r="AJ346" s="270">
        <f t="shared" ref="AJ346:AO346" si="2314">IF(F$8=0,0,ROUND(AJ345-(F346-BO346),2))</f>
        <v>0</v>
      </c>
      <c r="AK346" s="270">
        <f t="shared" si="2314"/>
        <v>0</v>
      </c>
      <c r="AL346" s="270">
        <f t="shared" si="2314"/>
        <v>0</v>
      </c>
      <c r="AM346" s="270">
        <f t="shared" si="2314"/>
        <v>0</v>
      </c>
      <c r="AN346" s="270">
        <f t="shared" si="2314"/>
        <v>0</v>
      </c>
      <c r="AO346" s="270">
        <f t="shared" si="2314"/>
        <v>0</v>
      </c>
      <c r="AP346" s="270">
        <v>0.0</v>
      </c>
      <c r="AQ346" s="270">
        <f t="shared" ref="AQ346:AR346" si="2315">IF(M$8=0,0,ROUND(AQ345-(M346-BV346),2))</f>
        <v>0</v>
      </c>
      <c r="AR346" s="270">
        <f t="shared" si="2315"/>
        <v>0</v>
      </c>
      <c r="AS346" s="270">
        <f t="shared" si="1902"/>
        <v>-9.04</v>
      </c>
      <c r="AT346" s="270">
        <f t="shared" si="605"/>
        <v>-8.42</v>
      </c>
      <c r="AU346" s="270">
        <f t="shared" ref="AU346:BK346" si="2316">IF(Q$8=0,0,ROUND(AU345-(Q346-BY346),2))</f>
        <v>-20.53</v>
      </c>
      <c r="AV346" s="270">
        <f t="shared" si="2316"/>
        <v>0</v>
      </c>
      <c r="AW346" s="270">
        <f t="shared" si="2316"/>
        <v>0</v>
      </c>
      <c r="AX346" s="270">
        <f t="shared" si="2316"/>
        <v>0</v>
      </c>
      <c r="AY346" s="270">
        <f t="shared" si="2316"/>
        <v>0</v>
      </c>
      <c r="AZ346" s="270">
        <f t="shared" si="2316"/>
        <v>0</v>
      </c>
      <c r="BA346" s="270">
        <f t="shared" si="2316"/>
        <v>0</v>
      </c>
      <c r="BB346" s="270">
        <f t="shared" si="2316"/>
        <v>0</v>
      </c>
      <c r="BC346" s="270">
        <f t="shared" si="2316"/>
        <v>0</v>
      </c>
      <c r="BD346" s="270">
        <f t="shared" si="2316"/>
        <v>0</v>
      </c>
      <c r="BE346" s="270">
        <f t="shared" si="2316"/>
        <v>0</v>
      </c>
      <c r="BF346" s="270">
        <f t="shared" si="2316"/>
        <v>0</v>
      </c>
      <c r="BG346" s="270">
        <f t="shared" si="2316"/>
        <v>0</v>
      </c>
      <c r="BH346" s="270">
        <f t="shared" si="2316"/>
        <v>0</v>
      </c>
      <c r="BI346" s="270">
        <f t="shared" si="2316"/>
        <v>0</v>
      </c>
      <c r="BJ346" s="270">
        <f t="shared" si="2316"/>
        <v>0</v>
      </c>
      <c r="BK346" s="270">
        <f t="shared" si="2316"/>
        <v>0</v>
      </c>
      <c r="BL346" s="265">
        <f t="shared" si="16"/>
        <v>-37.99</v>
      </c>
      <c r="BM346" s="215"/>
      <c r="BN346" s="270">
        <f t="shared" ref="BN346:CP346" si="2317">ROUND(AI345*E$9/12,2)</f>
        <v>0</v>
      </c>
      <c r="BO346" s="270">
        <f t="shared" si="2317"/>
        <v>0</v>
      </c>
      <c r="BP346" s="270">
        <f t="shared" si="2317"/>
        <v>0</v>
      </c>
      <c r="BQ346" s="270">
        <f t="shared" si="2317"/>
        <v>0</v>
      </c>
      <c r="BR346" s="270">
        <f t="shared" si="2317"/>
        <v>0</v>
      </c>
      <c r="BS346" s="270">
        <f t="shared" si="2317"/>
        <v>0</v>
      </c>
      <c r="BT346" s="270">
        <f t="shared" si="2317"/>
        <v>0</v>
      </c>
      <c r="BU346" s="270">
        <f t="shared" si="2317"/>
        <v>0</v>
      </c>
      <c r="BV346" s="270">
        <f t="shared" si="2317"/>
        <v>0</v>
      </c>
      <c r="BW346" s="270">
        <f t="shared" si="2317"/>
        <v>0</v>
      </c>
      <c r="BX346" s="270">
        <f t="shared" si="2317"/>
        <v>-0.08</v>
      </c>
      <c r="BY346" s="270">
        <f t="shared" si="2317"/>
        <v>-0.06</v>
      </c>
      <c r="BZ346" s="270">
        <f t="shared" si="2317"/>
        <v>-0.06</v>
      </c>
      <c r="CA346" s="270">
        <f t="shared" si="2317"/>
        <v>0</v>
      </c>
      <c r="CB346" s="270">
        <f t="shared" si="2317"/>
        <v>0</v>
      </c>
      <c r="CC346" s="270">
        <f t="shared" si="2317"/>
        <v>0</v>
      </c>
      <c r="CD346" s="270">
        <f t="shared" si="2317"/>
        <v>0</v>
      </c>
      <c r="CE346" s="270">
        <f t="shared" si="2317"/>
        <v>0</v>
      </c>
      <c r="CF346" s="270">
        <f t="shared" si="2317"/>
        <v>0</v>
      </c>
      <c r="CG346" s="270">
        <f t="shared" si="2317"/>
        <v>0</v>
      </c>
      <c r="CH346" s="270">
        <f t="shared" si="2317"/>
        <v>0</v>
      </c>
      <c r="CI346" s="270">
        <f t="shared" si="2317"/>
        <v>0</v>
      </c>
      <c r="CJ346" s="270">
        <f t="shared" si="2317"/>
        <v>0</v>
      </c>
      <c r="CK346" s="270">
        <f t="shared" si="2317"/>
        <v>0</v>
      </c>
      <c r="CL346" s="270">
        <f t="shared" si="2317"/>
        <v>0</v>
      </c>
      <c r="CM346" s="270">
        <f t="shared" si="2317"/>
        <v>0</v>
      </c>
      <c r="CN346" s="270">
        <f t="shared" si="2317"/>
        <v>0</v>
      </c>
      <c r="CO346" s="270">
        <f t="shared" si="2317"/>
        <v>0</v>
      </c>
      <c r="CP346" s="270">
        <f t="shared" si="2317"/>
        <v>0</v>
      </c>
      <c r="CQ346" s="215"/>
      <c r="CR346" s="270">
        <f t="shared" si="27"/>
        <v>-0.2</v>
      </c>
      <c r="CS346" s="215"/>
      <c r="CT346" s="270">
        <f t="shared" ref="CT346:DX346" si="2318">IF(AI345&gt;0,IF((AI345+BN346)&lt;E$10,AI345+BN346,E$10),0)</f>
        <v>0</v>
      </c>
      <c r="CU346" s="270">
        <f t="shared" si="2318"/>
        <v>0</v>
      </c>
      <c r="CV346" s="270">
        <f t="shared" si="2318"/>
        <v>0</v>
      </c>
      <c r="CW346" s="270">
        <f t="shared" si="2318"/>
        <v>0</v>
      </c>
      <c r="CX346" s="270">
        <f t="shared" si="2318"/>
        <v>0</v>
      </c>
      <c r="CY346" s="270">
        <f t="shared" si="2318"/>
        <v>0</v>
      </c>
      <c r="CZ346" s="270">
        <f t="shared" si="2318"/>
        <v>0</v>
      </c>
      <c r="DA346" s="270">
        <f t="shared" si="2318"/>
        <v>0</v>
      </c>
      <c r="DB346" s="270">
        <f t="shared" si="2318"/>
        <v>0</v>
      </c>
      <c r="DC346" s="270">
        <f t="shared" si="2318"/>
        <v>0</v>
      </c>
      <c r="DD346" s="270">
        <f t="shared" si="2318"/>
        <v>0</v>
      </c>
      <c r="DE346" s="270">
        <f t="shared" si="2318"/>
        <v>0</v>
      </c>
      <c r="DF346" s="270">
        <f t="shared" si="2318"/>
        <v>0</v>
      </c>
      <c r="DG346" s="270">
        <f t="shared" si="2318"/>
        <v>0</v>
      </c>
      <c r="DH346" s="270">
        <f t="shared" si="2318"/>
        <v>0</v>
      </c>
      <c r="DI346" s="270">
        <f t="shared" si="2318"/>
        <v>0</v>
      </c>
      <c r="DJ346" s="270">
        <f t="shared" si="2318"/>
        <v>0</v>
      </c>
      <c r="DK346" s="270">
        <f t="shared" si="2318"/>
        <v>0</v>
      </c>
      <c r="DL346" s="270">
        <f t="shared" si="2318"/>
        <v>0</v>
      </c>
      <c r="DM346" s="270">
        <f t="shared" si="2318"/>
        <v>0</v>
      </c>
      <c r="DN346" s="270">
        <f t="shared" si="2318"/>
        <v>0</v>
      </c>
      <c r="DO346" s="270">
        <f t="shared" si="2318"/>
        <v>0</v>
      </c>
      <c r="DP346" s="270">
        <f t="shared" si="2318"/>
        <v>0</v>
      </c>
      <c r="DQ346" s="270">
        <f t="shared" si="2318"/>
        <v>0</v>
      </c>
      <c r="DR346" s="270">
        <f t="shared" si="2318"/>
        <v>0</v>
      </c>
      <c r="DS346" s="270">
        <f t="shared" si="2318"/>
        <v>0</v>
      </c>
      <c r="DT346" s="270">
        <f t="shared" si="2318"/>
        <v>0</v>
      </c>
      <c r="DU346" s="270">
        <f t="shared" si="2318"/>
        <v>0</v>
      </c>
      <c r="DV346" s="270">
        <f t="shared" si="2318"/>
        <v>0</v>
      </c>
      <c r="DW346" s="270">
        <f t="shared" si="2318"/>
        <v>0</v>
      </c>
      <c r="DX346" s="270">
        <f t="shared" si="2318"/>
        <v>0</v>
      </c>
      <c r="DY346" s="270">
        <f t="shared" si="29"/>
        <v>0</v>
      </c>
      <c r="DZ346" s="274"/>
      <c r="EA346" s="275">
        <f t="shared" si="38"/>
        <v>0</v>
      </c>
      <c r="EB346" s="270">
        <f t="shared" ref="EB346:FC346" si="2319">IF(AJ344&lt;=0,0,IF($C345&lt;=SUM($EA346:EA346),0,IF(CU345+$C345-SUM($EA346:EA346)&gt;AJ344+BO345,AJ344+BO345-CU345,$C345-SUM($EA346:EA346))))</f>
        <v>0</v>
      </c>
      <c r="EC346" s="270">
        <f t="shared" si="2319"/>
        <v>0</v>
      </c>
      <c r="ED346" s="270">
        <f t="shared" si="2319"/>
        <v>0</v>
      </c>
      <c r="EE346" s="270">
        <f t="shared" si="2319"/>
        <v>0</v>
      </c>
      <c r="EF346" s="270">
        <f t="shared" si="2319"/>
        <v>0</v>
      </c>
      <c r="EG346" s="270">
        <f t="shared" si="2319"/>
        <v>0</v>
      </c>
      <c r="EH346" s="270">
        <f t="shared" si="2319"/>
        <v>0</v>
      </c>
      <c r="EI346" s="270">
        <f t="shared" si="2319"/>
        <v>0</v>
      </c>
      <c r="EJ346" s="270">
        <f t="shared" si="2319"/>
        <v>0</v>
      </c>
      <c r="EK346" s="270">
        <f t="shared" si="2319"/>
        <v>0</v>
      </c>
      <c r="EL346" s="270">
        <f t="shared" si="2319"/>
        <v>0</v>
      </c>
      <c r="EM346" s="270">
        <f t="shared" si="2319"/>
        <v>0</v>
      </c>
      <c r="EN346" s="270">
        <f t="shared" si="2319"/>
        <v>0</v>
      </c>
      <c r="EO346" s="270">
        <f t="shared" si="2319"/>
        <v>0</v>
      </c>
      <c r="EP346" s="270">
        <f t="shared" si="2319"/>
        <v>0</v>
      </c>
      <c r="EQ346" s="270">
        <f t="shared" si="2319"/>
        <v>0</v>
      </c>
      <c r="ER346" s="270">
        <f t="shared" si="2319"/>
        <v>0</v>
      </c>
      <c r="ES346" s="270">
        <f t="shared" si="2319"/>
        <v>0</v>
      </c>
      <c r="ET346" s="270">
        <f t="shared" si="2319"/>
        <v>0</v>
      </c>
      <c r="EU346" s="270">
        <f t="shared" si="2319"/>
        <v>0</v>
      </c>
      <c r="EV346" s="270">
        <f t="shared" si="2319"/>
        <v>0</v>
      </c>
      <c r="EW346" s="270">
        <f t="shared" si="2319"/>
        <v>0</v>
      </c>
      <c r="EX346" s="270">
        <f t="shared" si="2319"/>
        <v>0</v>
      </c>
      <c r="EY346" s="270">
        <f t="shared" si="2319"/>
        <v>0</v>
      </c>
      <c r="EZ346" s="270">
        <f t="shared" si="2319"/>
        <v>0</v>
      </c>
      <c r="FA346" s="270">
        <f t="shared" si="2319"/>
        <v>0</v>
      </c>
      <c r="FB346" s="270">
        <f t="shared" si="2319"/>
        <v>0</v>
      </c>
      <c r="FC346" s="270">
        <f t="shared" si="2319"/>
        <v>0</v>
      </c>
      <c r="FD346" s="271"/>
      <c r="FE346" s="271"/>
      <c r="FF346" s="271"/>
      <c r="FG346" s="215"/>
      <c r="FH346" s="215"/>
    </row>
    <row r="347" ht="11.25" customHeight="1">
      <c r="A347" s="215" t="str">
        <f t="shared" si="19"/>
        <v/>
      </c>
      <c r="B347" s="241" t="str">
        <f t="shared" si="600"/>
        <v>#N/A</v>
      </c>
      <c r="C347" s="271" t="str">
        <f>IF(A347="","",IF(Calculator!snowball,IF(($E$5-DY347)&lt;0,0,$E$5-DY347),0)+D347)</f>
        <v/>
      </c>
      <c r="D347" s="271"/>
      <c r="E347" s="270">
        <f t="shared" si="40"/>
        <v>0</v>
      </c>
      <c r="F347" s="270">
        <f t="shared" ref="F347:AG347" si="2320">CU347+EB348</f>
        <v>0</v>
      </c>
      <c r="G347" s="270">
        <f t="shared" si="2320"/>
        <v>0</v>
      </c>
      <c r="H347" s="270">
        <f t="shared" si="2320"/>
        <v>0</v>
      </c>
      <c r="I347" s="270">
        <f t="shared" si="2320"/>
        <v>0</v>
      </c>
      <c r="J347" s="270">
        <f t="shared" si="2320"/>
        <v>0</v>
      </c>
      <c r="K347" s="270">
        <f t="shared" si="2320"/>
        <v>0</v>
      </c>
      <c r="L347" s="270">
        <f t="shared" si="2320"/>
        <v>0</v>
      </c>
      <c r="M347" s="270">
        <f t="shared" si="2320"/>
        <v>0</v>
      </c>
      <c r="N347" s="270">
        <f t="shared" si="2320"/>
        <v>0</v>
      </c>
      <c r="O347" s="270">
        <f t="shared" si="2320"/>
        <v>0</v>
      </c>
      <c r="P347" s="272">
        <f t="shared" si="2320"/>
        <v>0</v>
      </c>
      <c r="Q347" s="272">
        <f t="shared" si="2320"/>
        <v>0</v>
      </c>
      <c r="R347" s="272">
        <f t="shared" si="2320"/>
        <v>0</v>
      </c>
      <c r="S347" s="272">
        <f t="shared" si="2320"/>
        <v>0</v>
      </c>
      <c r="T347" s="272">
        <f t="shared" si="2320"/>
        <v>0</v>
      </c>
      <c r="U347" s="270">
        <f t="shared" si="2320"/>
        <v>0</v>
      </c>
      <c r="V347" s="270">
        <f t="shared" si="2320"/>
        <v>0</v>
      </c>
      <c r="W347" s="270">
        <f t="shared" si="2320"/>
        <v>0</v>
      </c>
      <c r="X347" s="270">
        <f t="shared" si="2320"/>
        <v>0</v>
      </c>
      <c r="Y347" s="270">
        <f t="shared" si="2320"/>
        <v>0</v>
      </c>
      <c r="Z347" s="270">
        <f t="shared" si="2320"/>
        <v>0</v>
      </c>
      <c r="AA347" s="270">
        <f t="shared" si="2320"/>
        <v>0</v>
      </c>
      <c r="AB347" s="270">
        <f t="shared" si="2320"/>
        <v>0</v>
      </c>
      <c r="AC347" s="270">
        <f t="shared" si="2320"/>
        <v>0</v>
      </c>
      <c r="AD347" s="270">
        <f t="shared" si="2320"/>
        <v>0</v>
      </c>
      <c r="AE347" s="270">
        <f t="shared" si="2320"/>
        <v>0</v>
      </c>
      <c r="AF347" s="270">
        <f t="shared" si="2320"/>
        <v>0</v>
      </c>
      <c r="AG347" s="270">
        <f t="shared" si="2320"/>
        <v>0</v>
      </c>
      <c r="AH347" s="279">
        <f t="shared" si="602"/>
        <v>0</v>
      </c>
      <c r="AI347" s="270">
        <f t="shared" si="43"/>
        <v>0</v>
      </c>
      <c r="AJ347" s="270">
        <f t="shared" ref="AJ347:AO347" si="2321">IF(F$8=0,0,ROUND(AJ346-(F347-BO347),2))</f>
        <v>0</v>
      </c>
      <c r="AK347" s="270">
        <f t="shared" si="2321"/>
        <v>0</v>
      </c>
      <c r="AL347" s="270">
        <f t="shared" si="2321"/>
        <v>0</v>
      </c>
      <c r="AM347" s="270">
        <f t="shared" si="2321"/>
        <v>0</v>
      </c>
      <c r="AN347" s="270">
        <f t="shared" si="2321"/>
        <v>0</v>
      </c>
      <c r="AO347" s="270">
        <f t="shared" si="2321"/>
        <v>0</v>
      </c>
      <c r="AP347" s="270">
        <v>0.0</v>
      </c>
      <c r="AQ347" s="270">
        <f t="shared" ref="AQ347:AR347" si="2322">IF(M$8=0,0,ROUND(AQ346-(M347-BV347),2))</f>
        <v>0</v>
      </c>
      <c r="AR347" s="270">
        <f t="shared" si="2322"/>
        <v>0</v>
      </c>
      <c r="AS347" s="270">
        <f t="shared" si="1902"/>
        <v>-9.25</v>
      </c>
      <c r="AT347" s="270">
        <f t="shared" si="605"/>
        <v>-8.5</v>
      </c>
      <c r="AU347" s="270">
        <f t="shared" ref="AU347:BK347" si="2323">IF(Q$8=0,0,ROUND(AU346-(Q347-BY347),2))</f>
        <v>-20.6</v>
      </c>
      <c r="AV347" s="270">
        <f t="shared" si="2323"/>
        <v>0</v>
      </c>
      <c r="AW347" s="270">
        <f t="shared" si="2323"/>
        <v>0</v>
      </c>
      <c r="AX347" s="270">
        <f t="shared" si="2323"/>
        <v>0</v>
      </c>
      <c r="AY347" s="270">
        <f t="shared" si="2323"/>
        <v>0</v>
      </c>
      <c r="AZ347" s="270">
        <f t="shared" si="2323"/>
        <v>0</v>
      </c>
      <c r="BA347" s="270">
        <f t="shared" si="2323"/>
        <v>0</v>
      </c>
      <c r="BB347" s="270">
        <f t="shared" si="2323"/>
        <v>0</v>
      </c>
      <c r="BC347" s="270">
        <f t="shared" si="2323"/>
        <v>0</v>
      </c>
      <c r="BD347" s="270">
        <f t="shared" si="2323"/>
        <v>0</v>
      </c>
      <c r="BE347" s="270">
        <f t="shared" si="2323"/>
        <v>0</v>
      </c>
      <c r="BF347" s="270">
        <f t="shared" si="2323"/>
        <v>0</v>
      </c>
      <c r="BG347" s="270">
        <f t="shared" si="2323"/>
        <v>0</v>
      </c>
      <c r="BH347" s="270">
        <f t="shared" si="2323"/>
        <v>0</v>
      </c>
      <c r="BI347" s="270">
        <f t="shared" si="2323"/>
        <v>0</v>
      </c>
      <c r="BJ347" s="270">
        <f t="shared" si="2323"/>
        <v>0</v>
      </c>
      <c r="BK347" s="270">
        <f t="shared" si="2323"/>
        <v>0</v>
      </c>
      <c r="BL347" s="265">
        <f t="shared" si="16"/>
        <v>-38.35</v>
      </c>
      <c r="BM347" s="215"/>
      <c r="BN347" s="270">
        <f t="shared" ref="BN347:CP347" si="2324">ROUND(AI346*E$9/12,2)</f>
        <v>0</v>
      </c>
      <c r="BO347" s="270">
        <f t="shared" si="2324"/>
        <v>0</v>
      </c>
      <c r="BP347" s="270">
        <f t="shared" si="2324"/>
        <v>0</v>
      </c>
      <c r="BQ347" s="270">
        <f t="shared" si="2324"/>
        <v>0</v>
      </c>
      <c r="BR347" s="270">
        <f t="shared" si="2324"/>
        <v>0</v>
      </c>
      <c r="BS347" s="270">
        <f t="shared" si="2324"/>
        <v>0</v>
      </c>
      <c r="BT347" s="270">
        <f t="shared" si="2324"/>
        <v>0</v>
      </c>
      <c r="BU347" s="270">
        <f t="shared" si="2324"/>
        <v>0</v>
      </c>
      <c r="BV347" s="270">
        <f t="shared" si="2324"/>
        <v>0</v>
      </c>
      <c r="BW347" s="270">
        <f t="shared" si="2324"/>
        <v>0</v>
      </c>
      <c r="BX347" s="270">
        <f t="shared" si="2324"/>
        <v>-0.08</v>
      </c>
      <c r="BY347" s="270">
        <f t="shared" si="2324"/>
        <v>-0.07</v>
      </c>
      <c r="BZ347" s="270">
        <f t="shared" si="2324"/>
        <v>-0.06</v>
      </c>
      <c r="CA347" s="270">
        <f t="shared" si="2324"/>
        <v>0</v>
      </c>
      <c r="CB347" s="270">
        <f t="shared" si="2324"/>
        <v>0</v>
      </c>
      <c r="CC347" s="270">
        <f t="shared" si="2324"/>
        <v>0</v>
      </c>
      <c r="CD347" s="270">
        <f t="shared" si="2324"/>
        <v>0</v>
      </c>
      <c r="CE347" s="270">
        <f t="shared" si="2324"/>
        <v>0</v>
      </c>
      <c r="CF347" s="270">
        <f t="shared" si="2324"/>
        <v>0</v>
      </c>
      <c r="CG347" s="270">
        <f t="shared" si="2324"/>
        <v>0</v>
      </c>
      <c r="CH347" s="270">
        <f t="shared" si="2324"/>
        <v>0</v>
      </c>
      <c r="CI347" s="270">
        <f t="shared" si="2324"/>
        <v>0</v>
      </c>
      <c r="CJ347" s="270">
        <f t="shared" si="2324"/>
        <v>0</v>
      </c>
      <c r="CK347" s="270">
        <f t="shared" si="2324"/>
        <v>0</v>
      </c>
      <c r="CL347" s="270">
        <f t="shared" si="2324"/>
        <v>0</v>
      </c>
      <c r="CM347" s="270">
        <f t="shared" si="2324"/>
        <v>0</v>
      </c>
      <c r="CN347" s="270">
        <f t="shared" si="2324"/>
        <v>0</v>
      </c>
      <c r="CO347" s="270">
        <f t="shared" si="2324"/>
        <v>0</v>
      </c>
      <c r="CP347" s="270">
        <f t="shared" si="2324"/>
        <v>0</v>
      </c>
      <c r="CQ347" s="215"/>
      <c r="CR347" s="270">
        <f t="shared" si="27"/>
        <v>-0.21</v>
      </c>
      <c r="CS347" s="215"/>
      <c r="CT347" s="270">
        <f t="shared" ref="CT347:DX347" si="2325">IF(AI346&gt;0,IF((AI346+BN347)&lt;E$10,AI346+BN347,E$10),0)</f>
        <v>0</v>
      </c>
      <c r="CU347" s="270">
        <f t="shared" si="2325"/>
        <v>0</v>
      </c>
      <c r="CV347" s="270">
        <f t="shared" si="2325"/>
        <v>0</v>
      </c>
      <c r="CW347" s="270">
        <f t="shared" si="2325"/>
        <v>0</v>
      </c>
      <c r="CX347" s="270">
        <f t="shared" si="2325"/>
        <v>0</v>
      </c>
      <c r="CY347" s="270">
        <f t="shared" si="2325"/>
        <v>0</v>
      </c>
      <c r="CZ347" s="270">
        <f t="shared" si="2325"/>
        <v>0</v>
      </c>
      <c r="DA347" s="270">
        <f t="shared" si="2325"/>
        <v>0</v>
      </c>
      <c r="DB347" s="270">
        <f t="shared" si="2325"/>
        <v>0</v>
      </c>
      <c r="DC347" s="270">
        <f t="shared" si="2325"/>
        <v>0</v>
      </c>
      <c r="DD347" s="270">
        <f t="shared" si="2325"/>
        <v>0</v>
      </c>
      <c r="DE347" s="270">
        <f t="shared" si="2325"/>
        <v>0</v>
      </c>
      <c r="DF347" s="270">
        <f t="shared" si="2325"/>
        <v>0</v>
      </c>
      <c r="DG347" s="270">
        <f t="shared" si="2325"/>
        <v>0</v>
      </c>
      <c r="DH347" s="270">
        <f t="shared" si="2325"/>
        <v>0</v>
      </c>
      <c r="DI347" s="270">
        <f t="shared" si="2325"/>
        <v>0</v>
      </c>
      <c r="DJ347" s="270">
        <f t="shared" si="2325"/>
        <v>0</v>
      </c>
      <c r="DK347" s="270">
        <f t="shared" si="2325"/>
        <v>0</v>
      </c>
      <c r="DL347" s="270">
        <f t="shared" si="2325"/>
        <v>0</v>
      </c>
      <c r="DM347" s="270">
        <f t="shared" si="2325"/>
        <v>0</v>
      </c>
      <c r="DN347" s="270">
        <f t="shared" si="2325"/>
        <v>0</v>
      </c>
      <c r="DO347" s="270">
        <f t="shared" si="2325"/>
        <v>0</v>
      </c>
      <c r="DP347" s="270">
        <f t="shared" si="2325"/>
        <v>0</v>
      </c>
      <c r="DQ347" s="270">
        <f t="shared" si="2325"/>
        <v>0</v>
      </c>
      <c r="DR347" s="270">
        <f t="shared" si="2325"/>
        <v>0</v>
      </c>
      <c r="DS347" s="270">
        <f t="shared" si="2325"/>
        <v>0</v>
      </c>
      <c r="DT347" s="270">
        <f t="shared" si="2325"/>
        <v>0</v>
      </c>
      <c r="DU347" s="270">
        <f t="shared" si="2325"/>
        <v>0</v>
      </c>
      <c r="DV347" s="270">
        <f t="shared" si="2325"/>
        <v>0</v>
      </c>
      <c r="DW347" s="270">
        <f t="shared" si="2325"/>
        <v>0</v>
      </c>
      <c r="DX347" s="270">
        <f t="shared" si="2325"/>
        <v>0</v>
      </c>
      <c r="DY347" s="270">
        <f t="shared" si="29"/>
        <v>0</v>
      </c>
      <c r="DZ347" s="274"/>
      <c r="EA347" s="275">
        <f t="shared" si="38"/>
        <v>0</v>
      </c>
      <c r="EB347" s="270">
        <f t="shared" ref="EB347:FC347" si="2326">IF(AJ345&lt;=0,0,IF($C346&lt;=SUM($EA347:EA347),0,IF(CU346+$C346-SUM($EA347:EA347)&gt;AJ345+BO346,AJ345+BO346-CU346,$C346-SUM($EA347:EA347))))</f>
        <v>0</v>
      </c>
      <c r="EC347" s="270">
        <f t="shared" si="2326"/>
        <v>0</v>
      </c>
      <c r="ED347" s="270">
        <f t="shared" si="2326"/>
        <v>0</v>
      </c>
      <c r="EE347" s="270">
        <f t="shared" si="2326"/>
        <v>0</v>
      </c>
      <c r="EF347" s="270">
        <f t="shared" si="2326"/>
        <v>0</v>
      </c>
      <c r="EG347" s="270">
        <f t="shared" si="2326"/>
        <v>0</v>
      </c>
      <c r="EH347" s="270">
        <f t="shared" si="2326"/>
        <v>0</v>
      </c>
      <c r="EI347" s="270">
        <f t="shared" si="2326"/>
        <v>0</v>
      </c>
      <c r="EJ347" s="270">
        <f t="shared" si="2326"/>
        <v>0</v>
      </c>
      <c r="EK347" s="270">
        <f t="shared" si="2326"/>
        <v>0</v>
      </c>
      <c r="EL347" s="270">
        <f t="shared" si="2326"/>
        <v>0</v>
      </c>
      <c r="EM347" s="270">
        <f t="shared" si="2326"/>
        <v>0</v>
      </c>
      <c r="EN347" s="270">
        <f t="shared" si="2326"/>
        <v>0</v>
      </c>
      <c r="EO347" s="270">
        <f t="shared" si="2326"/>
        <v>0</v>
      </c>
      <c r="EP347" s="270">
        <f t="shared" si="2326"/>
        <v>0</v>
      </c>
      <c r="EQ347" s="270">
        <f t="shared" si="2326"/>
        <v>0</v>
      </c>
      <c r="ER347" s="270">
        <f t="shared" si="2326"/>
        <v>0</v>
      </c>
      <c r="ES347" s="270">
        <f t="shared" si="2326"/>
        <v>0</v>
      </c>
      <c r="ET347" s="270">
        <f t="shared" si="2326"/>
        <v>0</v>
      </c>
      <c r="EU347" s="270">
        <f t="shared" si="2326"/>
        <v>0</v>
      </c>
      <c r="EV347" s="270">
        <f t="shared" si="2326"/>
        <v>0</v>
      </c>
      <c r="EW347" s="270">
        <f t="shared" si="2326"/>
        <v>0</v>
      </c>
      <c r="EX347" s="270">
        <f t="shared" si="2326"/>
        <v>0</v>
      </c>
      <c r="EY347" s="270">
        <f t="shared" si="2326"/>
        <v>0</v>
      </c>
      <c r="EZ347" s="270">
        <f t="shared" si="2326"/>
        <v>0</v>
      </c>
      <c r="FA347" s="270">
        <f t="shared" si="2326"/>
        <v>0</v>
      </c>
      <c r="FB347" s="270">
        <f t="shared" si="2326"/>
        <v>0</v>
      </c>
      <c r="FC347" s="270">
        <f t="shared" si="2326"/>
        <v>0</v>
      </c>
      <c r="FD347" s="271"/>
      <c r="FE347" s="271"/>
      <c r="FF347" s="271"/>
      <c r="FG347" s="215"/>
      <c r="FH347" s="215"/>
    </row>
    <row r="348" ht="11.25" customHeight="1">
      <c r="A348" s="215" t="str">
        <f t="shared" si="19"/>
        <v/>
      </c>
      <c r="B348" s="241" t="str">
        <f t="shared" si="600"/>
        <v>#N/A</v>
      </c>
      <c r="C348" s="271" t="str">
        <f>IF(A348="","",IF(Calculator!snowball,IF(($E$5-DY348)&lt;0,0,$E$5-DY348),0)+D348)</f>
        <v/>
      </c>
      <c r="D348" s="271"/>
      <c r="E348" s="270">
        <f t="shared" si="40"/>
        <v>0</v>
      </c>
      <c r="F348" s="270">
        <f t="shared" ref="F348:AG348" si="2327">CU348+EB349</f>
        <v>0</v>
      </c>
      <c r="G348" s="270">
        <f t="shared" si="2327"/>
        <v>0</v>
      </c>
      <c r="H348" s="270">
        <f t="shared" si="2327"/>
        <v>0</v>
      </c>
      <c r="I348" s="270">
        <f t="shared" si="2327"/>
        <v>0</v>
      </c>
      <c r="J348" s="270">
        <f t="shared" si="2327"/>
        <v>0</v>
      </c>
      <c r="K348" s="270">
        <f t="shared" si="2327"/>
        <v>0</v>
      </c>
      <c r="L348" s="270">
        <f t="shared" si="2327"/>
        <v>0</v>
      </c>
      <c r="M348" s="270">
        <f t="shared" si="2327"/>
        <v>0</v>
      </c>
      <c r="N348" s="270">
        <f t="shared" si="2327"/>
        <v>0</v>
      </c>
      <c r="O348" s="270">
        <f t="shared" si="2327"/>
        <v>0</v>
      </c>
      <c r="P348" s="272">
        <f t="shared" si="2327"/>
        <v>0</v>
      </c>
      <c r="Q348" s="272">
        <f t="shared" si="2327"/>
        <v>0</v>
      </c>
      <c r="R348" s="272">
        <f t="shared" si="2327"/>
        <v>0</v>
      </c>
      <c r="S348" s="272">
        <f t="shared" si="2327"/>
        <v>0</v>
      </c>
      <c r="T348" s="272">
        <f t="shared" si="2327"/>
        <v>0</v>
      </c>
      <c r="U348" s="270">
        <f t="shared" si="2327"/>
        <v>0</v>
      </c>
      <c r="V348" s="270">
        <f t="shared" si="2327"/>
        <v>0</v>
      </c>
      <c r="W348" s="270">
        <f t="shared" si="2327"/>
        <v>0</v>
      </c>
      <c r="X348" s="270">
        <f t="shared" si="2327"/>
        <v>0</v>
      </c>
      <c r="Y348" s="270">
        <f t="shared" si="2327"/>
        <v>0</v>
      </c>
      <c r="Z348" s="270">
        <f t="shared" si="2327"/>
        <v>0</v>
      </c>
      <c r="AA348" s="270">
        <f t="shared" si="2327"/>
        <v>0</v>
      </c>
      <c r="AB348" s="270">
        <f t="shared" si="2327"/>
        <v>0</v>
      </c>
      <c r="AC348" s="270">
        <f t="shared" si="2327"/>
        <v>0</v>
      </c>
      <c r="AD348" s="270">
        <f t="shared" si="2327"/>
        <v>0</v>
      </c>
      <c r="AE348" s="270">
        <f t="shared" si="2327"/>
        <v>0</v>
      </c>
      <c r="AF348" s="270">
        <f t="shared" si="2327"/>
        <v>0</v>
      </c>
      <c r="AG348" s="270">
        <f t="shared" si="2327"/>
        <v>0</v>
      </c>
      <c r="AH348" s="279">
        <f t="shared" si="602"/>
        <v>0</v>
      </c>
      <c r="AI348" s="270">
        <f t="shared" si="43"/>
        <v>0</v>
      </c>
      <c r="AJ348" s="270">
        <f t="shared" ref="AJ348:AO348" si="2328">IF(F$8=0,0,ROUND(AJ347-(F348-BO348),2))</f>
        <v>0</v>
      </c>
      <c r="AK348" s="270">
        <f t="shared" si="2328"/>
        <v>0</v>
      </c>
      <c r="AL348" s="270">
        <f t="shared" si="2328"/>
        <v>0</v>
      </c>
      <c r="AM348" s="270">
        <f t="shared" si="2328"/>
        <v>0</v>
      </c>
      <c r="AN348" s="270">
        <f t="shared" si="2328"/>
        <v>0</v>
      </c>
      <c r="AO348" s="270">
        <f t="shared" si="2328"/>
        <v>0</v>
      </c>
      <c r="AP348" s="270">
        <v>0.0</v>
      </c>
      <c r="AQ348" s="270">
        <f t="shared" ref="AQ348:AR348" si="2329">IF(M$8=0,0,ROUND(AQ347-(M348-BV348),2))</f>
        <v>0</v>
      </c>
      <c r="AR348" s="270">
        <f t="shared" si="2329"/>
        <v>0</v>
      </c>
      <c r="AS348" s="270">
        <f t="shared" si="1902"/>
        <v>-9.46</v>
      </c>
      <c r="AT348" s="270">
        <f t="shared" si="605"/>
        <v>-8.58</v>
      </c>
      <c r="AU348" s="270">
        <f t="shared" ref="AU348:BK348" si="2330">IF(Q$8=0,0,ROUND(AU347-(Q348-BY348),2))</f>
        <v>-20.67</v>
      </c>
      <c r="AV348" s="270">
        <f t="shared" si="2330"/>
        <v>0</v>
      </c>
      <c r="AW348" s="270">
        <f t="shared" si="2330"/>
        <v>0</v>
      </c>
      <c r="AX348" s="270">
        <f t="shared" si="2330"/>
        <v>0</v>
      </c>
      <c r="AY348" s="270">
        <f t="shared" si="2330"/>
        <v>0</v>
      </c>
      <c r="AZ348" s="270">
        <f t="shared" si="2330"/>
        <v>0</v>
      </c>
      <c r="BA348" s="270">
        <f t="shared" si="2330"/>
        <v>0</v>
      </c>
      <c r="BB348" s="270">
        <f t="shared" si="2330"/>
        <v>0</v>
      </c>
      <c r="BC348" s="270">
        <f t="shared" si="2330"/>
        <v>0</v>
      </c>
      <c r="BD348" s="270">
        <f t="shared" si="2330"/>
        <v>0</v>
      </c>
      <c r="BE348" s="270">
        <f t="shared" si="2330"/>
        <v>0</v>
      </c>
      <c r="BF348" s="270">
        <f t="shared" si="2330"/>
        <v>0</v>
      </c>
      <c r="BG348" s="270">
        <f t="shared" si="2330"/>
        <v>0</v>
      </c>
      <c r="BH348" s="270">
        <f t="shared" si="2330"/>
        <v>0</v>
      </c>
      <c r="BI348" s="270">
        <f t="shared" si="2330"/>
        <v>0</v>
      </c>
      <c r="BJ348" s="270">
        <f t="shared" si="2330"/>
        <v>0</v>
      </c>
      <c r="BK348" s="270">
        <f t="shared" si="2330"/>
        <v>0</v>
      </c>
      <c r="BL348" s="265">
        <f t="shared" si="16"/>
        <v>-38.71</v>
      </c>
      <c r="BM348" s="215"/>
      <c r="BN348" s="270">
        <f t="shared" ref="BN348:CP348" si="2331">ROUND(AI347*E$9/12,2)</f>
        <v>0</v>
      </c>
      <c r="BO348" s="270">
        <f t="shared" si="2331"/>
        <v>0</v>
      </c>
      <c r="BP348" s="270">
        <f t="shared" si="2331"/>
        <v>0</v>
      </c>
      <c r="BQ348" s="270">
        <f t="shared" si="2331"/>
        <v>0</v>
      </c>
      <c r="BR348" s="270">
        <f t="shared" si="2331"/>
        <v>0</v>
      </c>
      <c r="BS348" s="270">
        <f t="shared" si="2331"/>
        <v>0</v>
      </c>
      <c r="BT348" s="270">
        <f t="shared" si="2331"/>
        <v>0</v>
      </c>
      <c r="BU348" s="270">
        <f t="shared" si="2331"/>
        <v>0</v>
      </c>
      <c r="BV348" s="270">
        <f t="shared" si="2331"/>
        <v>0</v>
      </c>
      <c r="BW348" s="270">
        <f t="shared" si="2331"/>
        <v>0</v>
      </c>
      <c r="BX348" s="270">
        <f t="shared" si="2331"/>
        <v>-0.08</v>
      </c>
      <c r="BY348" s="270">
        <f t="shared" si="2331"/>
        <v>-0.07</v>
      </c>
      <c r="BZ348" s="270">
        <f t="shared" si="2331"/>
        <v>-0.06</v>
      </c>
      <c r="CA348" s="270">
        <f t="shared" si="2331"/>
        <v>0</v>
      </c>
      <c r="CB348" s="270">
        <f t="shared" si="2331"/>
        <v>0</v>
      </c>
      <c r="CC348" s="270">
        <f t="shared" si="2331"/>
        <v>0</v>
      </c>
      <c r="CD348" s="270">
        <f t="shared" si="2331"/>
        <v>0</v>
      </c>
      <c r="CE348" s="270">
        <f t="shared" si="2331"/>
        <v>0</v>
      </c>
      <c r="CF348" s="270">
        <f t="shared" si="2331"/>
        <v>0</v>
      </c>
      <c r="CG348" s="270">
        <f t="shared" si="2331"/>
        <v>0</v>
      </c>
      <c r="CH348" s="270">
        <f t="shared" si="2331"/>
        <v>0</v>
      </c>
      <c r="CI348" s="270">
        <f t="shared" si="2331"/>
        <v>0</v>
      </c>
      <c r="CJ348" s="270">
        <f t="shared" si="2331"/>
        <v>0</v>
      </c>
      <c r="CK348" s="270">
        <f t="shared" si="2331"/>
        <v>0</v>
      </c>
      <c r="CL348" s="270">
        <f t="shared" si="2331"/>
        <v>0</v>
      </c>
      <c r="CM348" s="270">
        <f t="shared" si="2331"/>
        <v>0</v>
      </c>
      <c r="CN348" s="270">
        <f t="shared" si="2331"/>
        <v>0</v>
      </c>
      <c r="CO348" s="270">
        <f t="shared" si="2331"/>
        <v>0</v>
      </c>
      <c r="CP348" s="270">
        <f t="shared" si="2331"/>
        <v>0</v>
      </c>
      <c r="CQ348" s="215"/>
      <c r="CR348" s="270">
        <f t="shared" si="27"/>
        <v>-0.21</v>
      </c>
      <c r="CS348" s="215"/>
      <c r="CT348" s="270">
        <f t="shared" ref="CT348:DX348" si="2332">IF(AI347&gt;0,IF((AI347+BN348)&lt;E$10,AI347+BN348,E$10),0)</f>
        <v>0</v>
      </c>
      <c r="CU348" s="270">
        <f t="shared" si="2332"/>
        <v>0</v>
      </c>
      <c r="CV348" s="270">
        <f t="shared" si="2332"/>
        <v>0</v>
      </c>
      <c r="CW348" s="270">
        <f t="shared" si="2332"/>
        <v>0</v>
      </c>
      <c r="CX348" s="270">
        <f t="shared" si="2332"/>
        <v>0</v>
      </c>
      <c r="CY348" s="270">
        <f t="shared" si="2332"/>
        <v>0</v>
      </c>
      <c r="CZ348" s="270">
        <f t="shared" si="2332"/>
        <v>0</v>
      </c>
      <c r="DA348" s="270">
        <f t="shared" si="2332"/>
        <v>0</v>
      </c>
      <c r="DB348" s="270">
        <f t="shared" si="2332"/>
        <v>0</v>
      </c>
      <c r="DC348" s="270">
        <f t="shared" si="2332"/>
        <v>0</v>
      </c>
      <c r="DD348" s="270">
        <f t="shared" si="2332"/>
        <v>0</v>
      </c>
      <c r="DE348" s="270">
        <f t="shared" si="2332"/>
        <v>0</v>
      </c>
      <c r="DF348" s="270">
        <f t="shared" si="2332"/>
        <v>0</v>
      </c>
      <c r="DG348" s="270">
        <f t="shared" si="2332"/>
        <v>0</v>
      </c>
      <c r="DH348" s="270">
        <f t="shared" si="2332"/>
        <v>0</v>
      </c>
      <c r="DI348" s="270">
        <f t="shared" si="2332"/>
        <v>0</v>
      </c>
      <c r="DJ348" s="270">
        <f t="shared" si="2332"/>
        <v>0</v>
      </c>
      <c r="DK348" s="270">
        <f t="shared" si="2332"/>
        <v>0</v>
      </c>
      <c r="DL348" s="270">
        <f t="shared" si="2332"/>
        <v>0</v>
      </c>
      <c r="DM348" s="270">
        <f t="shared" si="2332"/>
        <v>0</v>
      </c>
      <c r="DN348" s="270">
        <f t="shared" si="2332"/>
        <v>0</v>
      </c>
      <c r="DO348" s="270">
        <f t="shared" si="2332"/>
        <v>0</v>
      </c>
      <c r="DP348" s="270">
        <f t="shared" si="2332"/>
        <v>0</v>
      </c>
      <c r="DQ348" s="270">
        <f t="shared" si="2332"/>
        <v>0</v>
      </c>
      <c r="DR348" s="270">
        <f t="shared" si="2332"/>
        <v>0</v>
      </c>
      <c r="DS348" s="270">
        <f t="shared" si="2332"/>
        <v>0</v>
      </c>
      <c r="DT348" s="270">
        <f t="shared" si="2332"/>
        <v>0</v>
      </c>
      <c r="DU348" s="270">
        <f t="shared" si="2332"/>
        <v>0</v>
      </c>
      <c r="DV348" s="270">
        <f t="shared" si="2332"/>
        <v>0</v>
      </c>
      <c r="DW348" s="270">
        <f t="shared" si="2332"/>
        <v>0</v>
      </c>
      <c r="DX348" s="270">
        <f t="shared" si="2332"/>
        <v>0</v>
      </c>
      <c r="DY348" s="270">
        <f t="shared" si="29"/>
        <v>0</v>
      </c>
      <c r="DZ348" s="274"/>
      <c r="EA348" s="275">
        <f t="shared" si="38"/>
        <v>0</v>
      </c>
      <c r="EB348" s="270">
        <f t="shared" ref="EB348:FC348" si="2333">IF(AJ346&lt;=0,0,IF($C347&lt;=SUM($EA348:EA348),0,IF(CU347+$C347-SUM($EA348:EA348)&gt;AJ346+BO347,AJ346+BO347-CU347,$C347-SUM($EA348:EA348))))</f>
        <v>0</v>
      </c>
      <c r="EC348" s="270">
        <f t="shared" si="2333"/>
        <v>0</v>
      </c>
      <c r="ED348" s="270">
        <f t="shared" si="2333"/>
        <v>0</v>
      </c>
      <c r="EE348" s="270">
        <f t="shared" si="2333"/>
        <v>0</v>
      </c>
      <c r="EF348" s="270">
        <f t="shared" si="2333"/>
        <v>0</v>
      </c>
      <c r="EG348" s="270">
        <f t="shared" si="2333"/>
        <v>0</v>
      </c>
      <c r="EH348" s="270">
        <f t="shared" si="2333"/>
        <v>0</v>
      </c>
      <c r="EI348" s="270">
        <f t="shared" si="2333"/>
        <v>0</v>
      </c>
      <c r="EJ348" s="270">
        <f t="shared" si="2333"/>
        <v>0</v>
      </c>
      <c r="EK348" s="270">
        <f t="shared" si="2333"/>
        <v>0</v>
      </c>
      <c r="EL348" s="270">
        <f t="shared" si="2333"/>
        <v>0</v>
      </c>
      <c r="EM348" s="270">
        <f t="shared" si="2333"/>
        <v>0</v>
      </c>
      <c r="EN348" s="270">
        <f t="shared" si="2333"/>
        <v>0</v>
      </c>
      <c r="EO348" s="270">
        <f t="shared" si="2333"/>
        <v>0</v>
      </c>
      <c r="EP348" s="270">
        <f t="shared" si="2333"/>
        <v>0</v>
      </c>
      <c r="EQ348" s="270">
        <f t="shared" si="2333"/>
        <v>0</v>
      </c>
      <c r="ER348" s="270">
        <f t="shared" si="2333"/>
        <v>0</v>
      </c>
      <c r="ES348" s="270">
        <f t="shared" si="2333"/>
        <v>0</v>
      </c>
      <c r="ET348" s="270">
        <f t="shared" si="2333"/>
        <v>0</v>
      </c>
      <c r="EU348" s="270">
        <f t="shared" si="2333"/>
        <v>0</v>
      </c>
      <c r="EV348" s="270">
        <f t="shared" si="2333"/>
        <v>0</v>
      </c>
      <c r="EW348" s="270">
        <f t="shared" si="2333"/>
        <v>0</v>
      </c>
      <c r="EX348" s="270">
        <f t="shared" si="2333"/>
        <v>0</v>
      </c>
      <c r="EY348" s="270">
        <f t="shared" si="2333"/>
        <v>0</v>
      </c>
      <c r="EZ348" s="270">
        <f t="shared" si="2333"/>
        <v>0</v>
      </c>
      <c r="FA348" s="270">
        <f t="shared" si="2333"/>
        <v>0</v>
      </c>
      <c r="FB348" s="270">
        <f t="shared" si="2333"/>
        <v>0</v>
      </c>
      <c r="FC348" s="270">
        <f t="shared" si="2333"/>
        <v>0</v>
      </c>
      <c r="FD348" s="271"/>
      <c r="FE348" s="271"/>
      <c r="FF348" s="271"/>
      <c r="FG348" s="215"/>
      <c r="FH348" s="215"/>
    </row>
    <row r="349" ht="11.25" customHeight="1">
      <c r="A349" s="215" t="str">
        <f t="shared" si="19"/>
        <v/>
      </c>
      <c r="B349" s="241" t="str">
        <f t="shared" si="600"/>
        <v>#N/A</v>
      </c>
      <c r="C349" s="271" t="str">
        <f>IF(A349="","",IF(Calculator!snowball,IF(($E$5-DY349)&lt;0,0,$E$5-DY349),0)+D349)</f>
        <v/>
      </c>
      <c r="D349" s="271"/>
      <c r="E349" s="270">
        <f t="shared" si="40"/>
        <v>0</v>
      </c>
      <c r="F349" s="270">
        <f t="shared" ref="F349:AG349" si="2334">CU349+EB350</f>
        <v>0</v>
      </c>
      <c r="G349" s="270">
        <f t="shared" si="2334"/>
        <v>0</v>
      </c>
      <c r="H349" s="270">
        <f t="shared" si="2334"/>
        <v>0</v>
      </c>
      <c r="I349" s="270">
        <f t="shared" si="2334"/>
        <v>0</v>
      </c>
      <c r="J349" s="270">
        <f t="shared" si="2334"/>
        <v>0</v>
      </c>
      <c r="K349" s="270">
        <f t="shared" si="2334"/>
        <v>0</v>
      </c>
      <c r="L349" s="270">
        <f t="shared" si="2334"/>
        <v>0</v>
      </c>
      <c r="M349" s="270">
        <f t="shared" si="2334"/>
        <v>0</v>
      </c>
      <c r="N349" s="270">
        <f t="shared" si="2334"/>
        <v>0</v>
      </c>
      <c r="O349" s="270">
        <f t="shared" si="2334"/>
        <v>0</v>
      </c>
      <c r="P349" s="272">
        <f t="shared" si="2334"/>
        <v>0</v>
      </c>
      <c r="Q349" s="272">
        <f t="shared" si="2334"/>
        <v>0</v>
      </c>
      <c r="R349" s="272">
        <f t="shared" si="2334"/>
        <v>0</v>
      </c>
      <c r="S349" s="272">
        <f t="shared" si="2334"/>
        <v>0</v>
      </c>
      <c r="T349" s="272">
        <f t="shared" si="2334"/>
        <v>0</v>
      </c>
      <c r="U349" s="270">
        <f t="shared" si="2334"/>
        <v>0</v>
      </c>
      <c r="V349" s="270">
        <f t="shared" si="2334"/>
        <v>0</v>
      </c>
      <c r="W349" s="270">
        <f t="shared" si="2334"/>
        <v>0</v>
      </c>
      <c r="X349" s="270">
        <f t="shared" si="2334"/>
        <v>0</v>
      </c>
      <c r="Y349" s="270">
        <f t="shared" si="2334"/>
        <v>0</v>
      </c>
      <c r="Z349" s="270">
        <f t="shared" si="2334"/>
        <v>0</v>
      </c>
      <c r="AA349" s="270">
        <f t="shared" si="2334"/>
        <v>0</v>
      </c>
      <c r="AB349" s="270">
        <f t="shared" si="2334"/>
        <v>0</v>
      </c>
      <c r="AC349" s="270">
        <f t="shared" si="2334"/>
        <v>0</v>
      </c>
      <c r="AD349" s="270">
        <f t="shared" si="2334"/>
        <v>0</v>
      </c>
      <c r="AE349" s="270">
        <f t="shared" si="2334"/>
        <v>0</v>
      </c>
      <c r="AF349" s="270">
        <f t="shared" si="2334"/>
        <v>0</v>
      </c>
      <c r="AG349" s="270">
        <f t="shared" si="2334"/>
        <v>0</v>
      </c>
      <c r="AH349" s="279">
        <f t="shared" si="602"/>
        <v>0</v>
      </c>
      <c r="AI349" s="270">
        <f t="shared" si="43"/>
        <v>0</v>
      </c>
      <c r="AJ349" s="270">
        <f t="shared" ref="AJ349:AO349" si="2335">IF(F$8=0,0,ROUND(AJ348-(F349-BO349),2))</f>
        <v>0</v>
      </c>
      <c r="AK349" s="270">
        <f t="shared" si="2335"/>
        <v>0</v>
      </c>
      <c r="AL349" s="270">
        <f t="shared" si="2335"/>
        <v>0</v>
      </c>
      <c r="AM349" s="270">
        <f t="shared" si="2335"/>
        <v>0</v>
      </c>
      <c r="AN349" s="270">
        <f t="shared" si="2335"/>
        <v>0</v>
      </c>
      <c r="AO349" s="270">
        <f t="shared" si="2335"/>
        <v>0</v>
      </c>
      <c r="AP349" s="270">
        <v>0.0</v>
      </c>
      <c r="AQ349" s="270">
        <f t="shared" ref="AQ349:AR349" si="2336">IF(M$8=0,0,ROUND(AQ348-(M349-BV349),2))</f>
        <v>0</v>
      </c>
      <c r="AR349" s="270">
        <f t="shared" si="2336"/>
        <v>0</v>
      </c>
      <c r="AS349" s="270">
        <f t="shared" si="1902"/>
        <v>-9.68</v>
      </c>
      <c r="AT349" s="270">
        <f t="shared" si="605"/>
        <v>-8.67</v>
      </c>
      <c r="AU349" s="270">
        <f t="shared" ref="AU349:BK349" si="2337">IF(Q$8=0,0,ROUND(AU348-(Q349-BY349),2))</f>
        <v>-20.74</v>
      </c>
      <c r="AV349" s="270">
        <f t="shared" si="2337"/>
        <v>0</v>
      </c>
      <c r="AW349" s="270">
        <f t="shared" si="2337"/>
        <v>0</v>
      </c>
      <c r="AX349" s="270">
        <f t="shared" si="2337"/>
        <v>0</v>
      </c>
      <c r="AY349" s="270">
        <f t="shared" si="2337"/>
        <v>0</v>
      </c>
      <c r="AZ349" s="270">
        <f t="shared" si="2337"/>
        <v>0</v>
      </c>
      <c r="BA349" s="270">
        <f t="shared" si="2337"/>
        <v>0</v>
      </c>
      <c r="BB349" s="270">
        <f t="shared" si="2337"/>
        <v>0</v>
      </c>
      <c r="BC349" s="270">
        <f t="shared" si="2337"/>
        <v>0</v>
      </c>
      <c r="BD349" s="270">
        <f t="shared" si="2337"/>
        <v>0</v>
      </c>
      <c r="BE349" s="270">
        <f t="shared" si="2337"/>
        <v>0</v>
      </c>
      <c r="BF349" s="270">
        <f t="shared" si="2337"/>
        <v>0</v>
      </c>
      <c r="BG349" s="270">
        <f t="shared" si="2337"/>
        <v>0</v>
      </c>
      <c r="BH349" s="270">
        <f t="shared" si="2337"/>
        <v>0</v>
      </c>
      <c r="BI349" s="270">
        <f t="shared" si="2337"/>
        <v>0</v>
      </c>
      <c r="BJ349" s="270">
        <f t="shared" si="2337"/>
        <v>0</v>
      </c>
      <c r="BK349" s="270">
        <f t="shared" si="2337"/>
        <v>0</v>
      </c>
      <c r="BL349" s="265">
        <f t="shared" si="16"/>
        <v>-39.09</v>
      </c>
      <c r="BM349" s="215"/>
      <c r="BN349" s="270">
        <f t="shared" ref="BN349:CP349" si="2338">ROUND(AI348*E$9/12,2)</f>
        <v>0</v>
      </c>
      <c r="BO349" s="270">
        <f t="shared" si="2338"/>
        <v>0</v>
      </c>
      <c r="BP349" s="270">
        <f t="shared" si="2338"/>
        <v>0</v>
      </c>
      <c r="BQ349" s="270">
        <f t="shared" si="2338"/>
        <v>0</v>
      </c>
      <c r="BR349" s="270">
        <f t="shared" si="2338"/>
        <v>0</v>
      </c>
      <c r="BS349" s="270">
        <f t="shared" si="2338"/>
        <v>0</v>
      </c>
      <c r="BT349" s="270">
        <f t="shared" si="2338"/>
        <v>0</v>
      </c>
      <c r="BU349" s="270">
        <f t="shared" si="2338"/>
        <v>0</v>
      </c>
      <c r="BV349" s="270">
        <f t="shared" si="2338"/>
        <v>0</v>
      </c>
      <c r="BW349" s="270">
        <f t="shared" si="2338"/>
        <v>0</v>
      </c>
      <c r="BX349" s="270">
        <f t="shared" si="2338"/>
        <v>-0.09</v>
      </c>
      <c r="BY349" s="270">
        <f t="shared" si="2338"/>
        <v>-0.07</v>
      </c>
      <c r="BZ349" s="270">
        <f t="shared" si="2338"/>
        <v>-0.06</v>
      </c>
      <c r="CA349" s="270">
        <f t="shared" si="2338"/>
        <v>0</v>
      </c>
      <c r="CB349" s="270">
        <f t="shared" si="2338"/>
        <v>0</v>
      </c>
      <c r="CC349" s="270">
        <f t="shared" si="2338"/>
        <v>0</v>
      </c>
      <c r="CD349" s="270">
        <f t="shared" si="2338"/>
        <v>0</v>
      </c>
      <c r="CE349" s="270">
        <f t="shared" si="2338"/>
        <v>0</v>
      </c>
      <c r="CF349" s="270">
        <f t="shared" si="2338"/>
        <v>0</v>
      </c>
      <c r="CG349" s="270">
        <f t="shared" si="2338"/>
        <v>0</v>
      </c>
      <c r="CH349" s="270">
        <f t="shared" si="2338"/>
        <v>0</v>
      </c>
      <c r="CI349" s="270">
        <f t="shared" si="2338"/>
        <v>0</v>
      </c>
      <c r="CJ349" s="270">
        <f t="shared" si="2338"/>
        <v>0</v>
      </c>
      <c r="CK349" s="270">
        <f t="shared" si="2338"/>
        <v>0</v>
      </c>
      <c r="CL349" s="270">
        <f t="shared" si="2338"/>
        <v>0</v>
      </c>
      <c r="CM349" s="270">
        <f t="shared" si="2338"/>
        <v>0</v>
      </c>
      <c r="CN349" s="270">
        <f t="shared" si="2338"/>
        <v>0</v>
      </c>
      <c r="CO349" s="270">
        <f t="shared" si="2338"/>
        <v>0</v>
      </c>
      <c r="CP349" s="270">
        <f t="shared" si="2338"/>
        <v>0</v>
      </c>
      <c r="CQ349" s="215"/>
      <c r="CR349" s="270">
        <f t="shared" si="27"/>
        <v>-0.22</v>
      </c>
      <c r="CS349" s="215"/>
      <c r="CT349" s="270">
        <f t="shared" ref="CT349:DX349" si="2339">IF(AI348&gt;0,IF((AI348+BN349)&lt;E$10,AI348+BN349,E$10),0)</f>
        <v>0</v>
      </c>
      <c r="CU349" s="270">
        <f t="shared" si="2339"/>
        <v>0</v>
      </c>
      <c r="CV349" s="270">
        <f t="shared" si="2339"/>
        <v>0</v>
      </c>
      <c r="CW349" s="270">
        <f t="shared" si="2339"/>
        <v>0</v>
      </c>
      <c r="CX349" s="270">
        <f t="shared" si="2339"/>
        <v>0</v>
      </c>
      <c r="CY349" s="270">
        <f t="shared" si="2339"/>
        <v>0</v>
      </c>
      <c r="CZ349" s="270">
        <f t="shared" si="2339"/>
        <v>0</v>
      </c>
      <c r="DA349" s="270">
        <f t="shared" si="2339"/>
        <v>0</v>
      </c>
      <c r="DB349" s="270">
        <f t="shared" si="2339"/>
        <v>0</v>
      </c>
      <c r="DC349" s="270">
        <f t="shared" si="2339"/>
        <v>0</v>
      </c>
      <c r="DD349" s="270">
        <f t="shared" si="2339"/>
        <v>0</v>
      </c>
      <c r="DE349" s="270">
        <f t="shared" si="2339"/>
        <v>0</v>
      </c>
      <c r="DF349" s="270">
        <f t="shared" si="2339"/>
        <v>0</v>
      </c>
      <c r="DG349" s="270">
        <f t="shared" si="2339"/>
        <v>0</v>
      </c>
      <c r="DH349" s="270">
        <f t="shared" si="2339"/>
        <v>0</v>
      </c>
      <c r="DI349" s="270">
        <f t="shared" si="2339"/>
        <v>0</v>
      </c>
      <c r="DJ349" s="270">
        <f t="shared" si="2339"/>
        <v>0</v>
      </c>
      <c r="DK349" s="270">
        <f t="shared" si="2339"/>
        <v>0</v>
      </c>
      <c r="DL349" s="270">
        <f t="shared" si="2339"/>
        <v>0</v>
      </c>
      <c r="DM349" s="270">
        <f t="shared" si="2339"/>
        <v>0</v>
      </c>
      <c r="DN349" s="270">
        <f t="shared" si="2339"/>
        <v>0</v>
      </c>
      <c r="DO349" s="270">
        <f t="shared" si="2339"/>
        <v>0</v>
      </c>
      <c r="DP349" s="270">
        <f t="shared" si="2339"/>
        <v>0</v>
      </c>
      <c r="DQ349" s="270">
        <f t="shared" si="2339"/>
        <v>0</v>
      </c>
      <c r="DR349" s="270">
        <f t="shared" si="2339"/>
        <v>0</v>
      </c>
      <c r="DS349" s="270">
        <f t="shared" si="2339"/>
        <v>0</v>
      </c>
      <c r="DT349" s="270">
        <f t="shared" si="2339"/>
        <v>0</v>
      </c>
      <c r="DU349" s="270">
        <f t="shared" si="2339"/>
        <v>0</v>
      </c>
      <c r="DV349" s="270">
        <f t="shared" si="2339"/>
        <v>0</v>
      </c>
      <c r="DW349" s="270">
        <f t="shared" si="2339"/>
        <v>0</v>
      </c>
      <c r="DX349" s="270">
        <f t="shared" si="2339"/>
        <v>0</v>
      </c>
      <c r="DY349" s="270">
        <f t="shared" si="29"/>
        <v>0</v>
      </c>
      <c r="DZ349" s="274"/>
      <c r="EA349" s="275">
        <f t="shared" si="38"/>
        <v>0</v>
      </c>
      <c r="EB349" s="270">
        <f t="shared" ref="EB349:FC349" si="2340">IF(AJ347&lt;=0,0,IF($C348&lt;=SUM($EA349:EA349),0,IF(CU348+$C348-SUM($EA349:EA349)&gt;AJ347+BO348,AJ347+BO348-CU348,$C348-SUM($EA349:EA349))))</f>
        <v>0</v>
      </c>
      <c r="EC349" s="270">
        <f t="shared" si="2340"/>
        <v>0</v>
      </c>
      <c r="ED349" s="270">
        <f t="shared" si="2340"/>
        <v>0</v>
      </c>
      <c r="EE349" s="270">
        <f t="shared" si="2340"/>
        <v>0</v>
      </c>
      <c r="EF349" s="270">
        <f t="shared" si="2340"/>
        <v>0</v>
      </c>
      <c r="EG349" s="270">
        <f t="shared" si="2340"/>
        <v>0</v>
      </c>
      <c r="EH349" s="270">
        <f t="shared" si="2340"/>
        <v>0</v>
      </c>
      <c r="EI349" s="270">
        <f t="shared" si="2340"/>
        <v>0</v>
      </c>
      <c r="EJ349" s="270">
        <f t="shared" si="2340"/>
        <v>0</v>
      </c>
      <c r="EK349" s="270">
        <f t="shared" si="2340"/>
        <v>0</v>
      </c>
      <c r="EL349" s="270">
        <f t="shared" si="2340"/>
        <v>0</v>
      </c>
      <c r="EM349" s="270">
        <f t="shared" si="2340"/>
        <v>0</v>
      </c>
      <c r="EN349" s="270">
        <f t="shared" si="2340"/>
        <v>0</v>
      </c>
      <c r="EO349" s="270">
        <f t="shared" si="2340"/>
        <v>0</v>
      </c>
      <c r="EP349" s="270">
        <f t="shared" si="2340"/>
        <v>0</v>
      </c>
      <c r="EQ349" s="270">
        <f t="shared" si="2340"/>
        <v>0</v>
      </c>
      <c r="ER349" s="270">
        <f t="shared" si="2340"/>
        <v>0</v>
      </c>
      <c r="ES349" s="270">
        <f t="shared" si="2340"/>
        <v>0</v>
      </c>
      <c r="ET349" s="270">
        <f t="shared" si="2340"/>
        <v>0</v>
      </c>
      <c r="EU349" s="270">
        <f t="shared" si="2340"/>
        <v>0</v>
      </c>
      <c r="EV349" s="270">
        <f t="shared" si="2340"/>
        <v>0</v>
      </c>
      <c r="EW349" s="270">
        <f t="shared" si="2340"/>
        <v>0</v>
      </c>
      <c r="EX349" s="270">
        <f t="shared" si="2340"/>
        <v>0</v>
      </c>
      <c r="EY349" s="270">
        <f t="shared" si="2340"/>
        <v>0</v>
      </c>
      <c r="EZ349" s="270">
        <f t="shared" si="2340"/>
        <v>0</v>
      </c>
      <c r="FA349" s="270">
        <f t="shared" si="2340"/>
        <v>0</v>
      </c>
      <c r="FB349" s="270">
        <f t="shared" si="2340"/>
        <v>0</v>
      </c>
      <c r="FC349" s="270">
        <f t="shared" si="2340"/>
        <v>0</v>
      </c>
      <c r="FD349" s="271"/>
      <c r="FE349" s="271"/>
      <c r="FF349" s="271"/>
      <c r="FG349" s="215"/>
      <c r="FH349" s="215"/>
    </row>
    <row r="350" ht="11.25" customHeight="1">
      <c r="A350" s="215" t="str">
        <f t="shared" si="19"/>
        <v/>
      </c>
      <c r="B350" s="241" t="str">
        <f t="shared" si="600"/>
        <v>#N/A</v>
      </c>
      <c r="C350" s="271" t="str">
        <f>IF(A350="","",IF(Calculator!snowball,IF(($E$5-DY350)&lt;0,0,$E$5-DY350),0)+D350)</f>
        <v/>
      </c>
      <c r="D350" s="271"/>
      <c r="E350" s="270">
        <f t="shared" si="40"/>
        <v>0</v>
      </c>
      <c r="F350" s="270">
        <f t="shared" ref="F350:AG350" si="2341">CU350+EB351</f>
        <v>0</v>
      </c>
      <c r="G350" s="270">
        <f t="shared" si="2341"/>
        <v>0</v>
      </c>
      <c r="H350" s="270">
        <f t="shared" si="2341"/>
        <v>0</v>
      </c>
      <c r="I350" s="270">
        <f t="shared" si="2341"/>
        <v>0</v>
      </c>
      <c r="J350" s="270">
        <f t="shared" si="2341"/>
        <v>0</v>
      </c>
      <c r="K350" s="270">
        <f t="shared" si="2341"/>
        <v>0</v>
      </c>
      <c r="L350" s="270">
        <f t="shared" si="2341"/>
        <v>0</v>
      </c>
      <c r="M350" s="270">
        <f t="shared" si="2341"/>
        <v>0</v>
      </c>
      <c r="N350" s="270">
        <f t="shared" si="2341"/>
        <v>0</v>
      </c>
      <c r="O350" s="270">
        <f t="shared" si="2341"/>
        <v>0</v>
      </c>
      <c r="P350" s="272">
        <f t="shared" si="2341"/>
        <v>0</v>
      </c>
      <c r="Q350" s="272">
        <f t="shared" si="2341"/>
        <v>0</v>
      </c>
      <c r="R350" s="272">
        <f t="shared" si="2341"/>
        <v>0</v>
      </c>
      <c r="S350" s="272">
        <f t="shared" si="2341"/>
        <v>0</v>
      </c>
      <c r="T350" s="272">
        <f t="shared" si="2341"/>
        <v>0</v>
      </c>
      <c r="U350" s="270">
        <f t="shared" si="2341"/>
        <v>0</v>
      </c>
      <c r="V350" s="270">
        <f t="shared" si="2341"/>
        <v>0</v>
      </c>
      <c r="W350" s="270">
        <f t="shared" si="2341"/>
        <v>0</v>
      </c>
      <c r="X350" s="270">
        <f t="shared" si="2341"/>
        <v>0</v>
      </c>
      <c r="Y350" s="270">
        <f t="shared" si="2341"/>
        <v>0</v>
      </c>
      <c r="Z350" s="270">
        <f t="shared" si="2341"/>
        <v>0</v>
      </c>
      <c r="AA350" s="270">
        <f t="shared" si="2341"/>
        <v>0</v>
      </c>
      <c r="AB350" s="270">
        <f t="shared" si="2341"/>
        <v>0</v>
      </c>
      <c r="AC350" s="270">
        <f t="shared" si="2341"/>
        <v>0</v>
      </c>
      <c r="AD350" s="270">
        <f t="shared" si="2341"/>
        <v>0</v>
      </c>
      <c r="AE350" s="270">
        <f t="shared" si="2341"/>
        <v>0</v>
      </c>
      <c r="AF350" s="270">
        <f t="shared" si="2341"/>
        <v>0</v>
      </c>
      <c r="AG350" s="270">
        <f t="shared" si="2341"/>
        <v>0</v>
      </c>
      <c r="AH350" s="279">
        <f t="shared" si="602"/>
        <v>0</v>
      </c>
      <c r="AI350" s="270">
        <f t="shared" si="43"/>
        <v>0</v>
      </c>
      <c r="AJ350" s="270">
        <f t="shared" ref="AJ350:AO350" si="2342">IF(F$8=0,0,ROUND(AJ349-(F350-BO350),2))</f>
        <v>0</v>
      </c>
      <c r="AK350" s="270">
        <f t="shared" si="2342"/>
        <v>0</v>
      </c>
      <c r="AL350" s="270">
        <f t="shared" si="2342"/>
        <v>0</v>
      </c>
      <c r="AM350" s="270">
        <f t="shared" si="2342"/>
        <v>0</v>
      </c>
      <c r="AN350" s="270">
        <f t="shared" si="2342"/>
        <v>0</v>
      </c>
      <c r="AO350" s="270">
        <f t="shared" si="2342"/>
        <v>0</v>
      </c>
      <c r="AP350" s="270">
        <v>0.0</v>
      </c>
      <c r="AQ350" s="270">
        <f t="shared" ref="AQ350:AR350" si="2343">IF(M$8=0,0,ROUND(AQ349-(M350-BV350),2))</f>
        <v>0</v>
      </c>
      <c r="AR350" s="270">
        <f t="shared" si="2343"/>
        <v>0</v>
      </c>
      <c r="AS350" s="270">
        <f t="shared" si="1902"/>
        <v>-9.9</v>
      </c>
      <c r="AT350" s="270">
        <f t="shared" si="605"/>
        <v>-8.76</v>
      </c>
      <c r="AU350" s="270">
        <f t="shared" ref="AU350:BK350" si="2344">IF(Q$8=0,0,ROUND(AU349-(Q350-BY350),2))</f>
        <v>-20.81</v>
      </c>
      <c r="AV350" s="270">
        <f t="shared" si="2344"/>
        <v>0</v>
      </c>
      <c r="AW350" s="270">
        <f t="shared" si="2344"/>
        <v>0</v>
      </c>
      <c r="AX350" s="270">
        <f t="shared" si="2344"/>
        <v>0</v>
      </c>
      <c r="AY350" s="270">
        <f t="shared" si="2344"/>
        <v>0</v>
      </c>
      <c r="AZ350" s="270">
        <f t="shared" si="2344"/>
        <v>0</v>
      </c>
      <c r="BA350" s="270">
        <f t="shared" si="2344"/>
        <v>0</v>
      </c>
      <c r="BB350" s="270">
        <f t="shared" si="2344"/>
        <v>0</v>
      </c>
      <c r="BC350" s="270">
        <f t="shared" si="2344"/>
        <v>0</v>
      </c>
      <c r="BD350" s="270">
        <f t="shared" si="2344"/>
        <v>0</v>
      </c>
      <c r="BE350" s="270">
        <f t="shared" si="2344"/>
        <v>0</v>
      </c>
      <c r="BF350" s="270">
        <f t="shared" si="2344"/>
        <v>0</v>
      </c>
      <c r="BG350" s="270">
        <f t="shared" si="2344"/>
        <v>0</v>
      </c>
      <c r="BH350" s="270">
        <f t="shared" si="2344"/>
        <v>0</v>
      </c>
      <c r="BI350" s="270">
        <f t="shared" si="2344"/>
        <v>0</v>
      </c>
      <c r="BJ350" s="270">
        <f t="shared" si="2344"/>
        <v>0</v>
      </c>
      <c r="BK350" s="270">
        <f t="shared" si="2344"/>
        <v>0</v>
      </c>
      <c r="BL350" s="265">
        <f t="shared" si="16"/>
        <v>-39.47</v>
      </c>
      <c r="BM350" s="215"/>
      <c r="BN350" s="270">
        <f t="shared" ref="BN350:CP350" si="2345">ROUND(AI349*E$9/12,2)</f>
        <v>0</v>
      </c>
      <c r="BO350" s="270">
        <f t="shared" si="2345"/>
        <v>0</v>
      </c>
      <c r="BP350" s="270">
        <f t="shared" si="2345"/>
        <v>0</v>
      </c>
      <c r="BQ350" s="270">
        <f t="shared" si="2345"/>
        <v>0</v>
      </c>
      <c r="BR350" s="270">
        <f t="shared" si="2345"/>
        <v>0</v>
      </c>
      <c r="BS350" s="270">
        <f t="shared" si="2345"/>
        <v>0</v>
      </c>
      <c r="BT350" s="270">
        <f t="shared" si="2345"/>
        <v>0</v>
      </c>
      <c r="BU350" s="270">
        <f t="shared" si="2345"/>
        <v>0</v>
      </c>
      <c r="BV350" s="270">
        <f t="shared" si="2345"/>
        <v>0</v>
      </c>
      <c r="BW350" s="270">
        <f t="shared" si="2345"/>
        <v>0</v>
      </c>
      <c r="BX350" s="270">
        <f t="shared" si="2345"/>
        <v>-0.09</v>
      </c>
      <c r="BY350" s="270">
        <f t="shared" si="2345"/>
        <v>-0.07</v>
      </c>
      <c r="BZ350" s="270">
        <f t="shared" si="2345"/>
        <v>-0.06</v>
      </c>
      <c r="CA350" s="270">
        <f t="shared" si="2345"/>
        <v>0</v>
      </c>
      <c r="CB350" s="270">
        <f t="shared" si="2345"/>
        <v>0</v>
      </c>
      <c r="CC350" s="270">
        <f t="shared" si="2345"/>
        <v>0</v>
      </c>
      <c r="CD350" s="270">
        <f t="shared" si="2345"/>
        <v>0</v>
      </c>
      <c r="CE350" s="270">
        <f t="shared" si="2345"/>
        <v>0</v>
      </c>
      <c r="CF350" s="270">
        <f t="shared" si="2345"/>
        <v>0</v>
      </c>
      <c r="CG350" s="270">
        <f t="shared" si="2345"/>
        <v>0</v>
      </c>
      <c r="CH350" s="270">
        <f t="shared" si="2345"/>
        <v>0</v>
      </c>
      <c r="CI350" s="270">
        <f t="shared" si="2345"/>
        <v>0</v>
      </c>
      <c r="CJ350" s="270">
        <f t="shared" si="2345"/>
        <v>0</v>
      </c>
      <c r="CK350" s="270">
        <f t="shared" si="2345"/>
        <v>0</v>
      </c>
      <c r="CL350" s="270">
        <f t="shared" si="2345"/>
        <v>0</v>
      </c>
      <c r="CM350" s="270">
        <f t="shared" si="2345"/>
        <v>0</v>
      </c>
      <c r="CN350" s="270">
        <f t="shared" si="2345"/>
        <v>0</v>
      </c>
      <c r="CO350" s="270">
        <f t="shared" si="2345"/>
        <v>0</v>
      </c>
      <c r="CP350" s="270">
        <f t="shared" si="2345"/>
        <v>0</v>
      </c>
      <c r="CQ350" s="215"/>
      <c r="CR350" s="270">
        <f t="shared" si="27"/>
        <v>-0.22</v>
      </c>
      <c r="CS350" s="215"/>
      <c r="CT350" s="270">
        <f t="shared" ref="CT350:DX350" si="2346">IF(AI349&gt;0,IF((AI349+BN350)&lt;E$10,AI349+BN350,E$10),0)</f>
        <v>0</v>
      </c>
      <c r="CU350" s="270">
        <f t="shared" si="2346"/>
        <v>0</v>
      </c>
      <c r="CV350" s="270">
        <f t="shared" si="2346"/>
        <v>0</v>
      </c>
      <c r="CW350" s="270">
        <f t="shared" si="2346"/>
        <v>0</v>
      </c>
      <c r="CX350" s="270">
        <f t="shared" si="2346"/>
        <v>0</v>
      </c>
      <c r="CY350" s="270">
        <f t="shared" si="2346"/>
        <v>0</v>
      </c>
      <c r="CZ350" s="270">
        <f t="shared" si="2346"/>
        <v>0</v>
      </c>
      <c r="DA350" s="270">
        <f t="shared" si="2346"/>
        <v>0</v>
      </c>
      <c r="DB350" s="270">
        <f t="shared" si="2346"/>
        <v>0</v>
      </c>
      <c r="DC350" s="270">
        <f t="shared" si="2346"/>
        <v>0</v>
      </c>
      <c r="DD350" s="270">
        <f t="shared" si="2346"/>
        <v>0</v>
      </c>
      <c r="DE350" s="270">
        <f t="shared" si="2346"/>
        <v>0</v>
      </c>
      <c r="DF350" s="270">
        <f t="shared" si="2346"/>
        <v>0</v>
      </c>
      <c r="DG350" s="270">
        <f t="shared" si="2346"/>
        <v>0</v>
      </c>
      <c r="DH350" s="270">
        <f t="shared" si="2346"/>
        <v>0</v>
      </c>
      <c r="DI350" s="270">
        <f t="shared" si="2346"/>
        <v>0</v>
      </c>
      <c r="DJ350" s="270">
        <f t="shared" si="2346"/>
        <v>0</v>
      </c>
      <c r="DK350" s="270">
        <f t="shared" si="2346"/>
        <v>0</v>
      </c>
      <c r="DL350" s="270">
        <f t="shared" si="2346"/>
        <v>0</v>
      </c>
      <c r="DM350" s="270">
        <f t="shared" si="2346"/>
        <v>0</v>
      </c>
      <c r="DN350" s="270">
        <f t="shared" si="2346"/>
        <v>0</v>
      </c>
      <c r="DO350" s="270">
        <f t="shared" si="2346"/>
        <v>0</v>
      </c>
      <c r="DP350" s="270">
        <f t="shared" si="2346"/>
        <v>0</v>
      </c>
      <c r="DQ350" s="270">
        <f t="shared" si="2346"/>
        <v>0</v>
      </c>
      <c r="DR350" s="270">
        <f t="shared" si="2346"/>
        <v>0</v>
      </c>
      <c r="DS350" s="270">
        <f t="shared" si="2346"/>
        <v>0</v>
      </c>
      <c r="DT350" s="270">
        <f t="shared" si="2346"/>
        <v>0</v>
      </c>
      <c r="DU350" s="270">
        <f t="shared" si="2346"/>
        <v>0</v>
      </c>
      <c r="DV350" s="270">
        <f t="shared" si="2346"/>
        <v>0</v>
      </c>
      <c r="DW350" s="270">
        <f t="shared" si="2346"/>
        <v>0</v>
      </c>
      <c r="DX350" s="270">
        <f t="shared" si="2346"/>
        <v>0</v>
      </c>
      <c r="DY350" s="270">
        <f t="shared" si="29"/>
        <v>0</v>
      </c>
      <c r="DZ350" s="274"/>
      <c r="EA350" s="275">
        <f t="shared" si="38"/>
        <v>0</v>
      </c>
      <c r="EB350" s="270">
        <f t="shared" ref="EB350:FC350" si="2347">IF(AJ348&lt;=0,0,IF($C349&lt;=SUM($EA350:EA350),0,IF(CU349+$C349-SUM($EA350:EA350)&gt;AJ348+BO349,AJ348+BO349-CU349,$C349-SUM($EA350:EA350))))</f>
        <v>0</v>
      </c>
      <c r="EC350" s="270">
        <f t="shared" si="2347"/>
        <v>0</v>
      </c>
      <c r="ED350" s="270">
        <f t="shared" si="2347"/>
        <v>0</v>
      </c>
      <c r="EE350" s="270">
        <f t="shared" si="2347"/>
        <v>0</v>
      </c>
      <c r="EF350" s="270">
        <f t="shared" si="2347"/>
        <v>0</v>
      </c>
      <c r="EG350" s="270">
        <f t="shared" si="2347"/>
        <v>0</v>
      </c>
      <c r="EH350" s="270">
        <f t="shared" si="2347"/>
        <v>0</v>
      </c>
      <c r="EI350" s="270">
        <f t="shared" si="2347"/>
        <v>0</v>
      </c>
      <c r="EJ350" s="270">
        <f t="shared" si="2347"/>
        <v>0</v>
      </c>
      <c r="EK350" s="270">
        <f t="shared" si="2347"/>
        <v>0</v>
      </c>
      <c r="EL350" s="270">
        <f t="shared" si="2347"/>
        <v>0</v>
      </c>
      <c r="EM350" s="270">
        <f t="shared" si="2347"/>
        <v>0</v>
      </c>
      <c r="EN350" s="270">
        <f t="shared" si="2347"/>
        <v>0</v>
      </c>
      <c r="EO350" s="270">
        <f t="shared" si="2347"/>
        <v>0</v>
      </c>
      <c r="EP350" s="270">
        <f t="shared" si="2347"/>
        <v>0</v>
      </c>
      <c r="EQ350" s="270">
        <f t="shared" si="2347"/>
        <v>0</v>
      </c>
      <c r="ER350" s="270">
        <f t="shared" si="2347"/>
        <v>0</v>
      </c>
      <c r="ES350" s="270">
        <f t="shared" si="2347"/>
        <v>0</v>
      </c>
      <c r="ET350" s="270">
        <f t="shared" si="2347"/>
        <v>0</v>
      </c>
      <c r="EU350" s="270">
        <f t="shared" si="2347"/>
        <v>0</v>
      </c>
      <c r="EV350" s="270">
        <f t="shared" si="2347"/>
        <v>0</v>
      </c>
      <c r="EW350" s="270">
        <f t="shared" si="2347"/>
        <v>0</v>
      </c>
      <c r="EX350" s="270">
        <f t="shared" si="2347"/>
        <v>0</v>
      </c>
      <c r="EY350" s="270">
        <f t="shared" si="2347"/>
        <v>0</v>
      </c>
      <c r="EZ350" s="270">
        <f t="shared" si="2347"/>
        <v>0</v>
      </c>
      <c r="FA350" s="270">
        <f t="shared" si="2347"/>
        <v>0</v>
      </c>
      <c r="FB350" s="270">
        <f t="shared" si="2347"/>
        <v>0</v>
      </c>
      <c r="FC350" s="270">
        <f t="shared" si="2347"/>
        <v>0</v>
      </c>
      <c r="FD350" s="271"/>
      <c r="FE350" s="271"/>
      <c r="FF350" s="271"/>
      <c r="FG350" s="215"/>
      <c r="FH350" s="215"/>
    </row>
    <row r="351" ht="11.25" customHeight="1">
      <c r="A351" s="215" t="str">
        <f t="shared" si="19"/>
        <v/>
      </c>
      <c r="B351" s="241" t="str">
        <f t="shared" si="600"/>
        <v>#N/A</v>
      </c>
      <c r="C351" s="271" t="str">
        <f>IF(A351="","",IF(Calculator!snowball,IF(($E$5-DY351)&lt;0,0,$E$5-DY351),0)+D351)</f>
        <v/>
      </c>
      <c r="D351" s="271"/>
      <c r="E351" s="270">
        <f t="shared" si="40"/>
        <v>0</v>
      </c>
      <c r="F351" s="270">
        <f t="shared" ref="F351:AG351" si="2348">CU351+EB352</f>
        <v>0</v>
      </c>
      <c r="G351" s="270">
        <f t="shared" si="2348"/>
        <v>0</v>
      </c>
      <c r="H351" s="270">
        <f t="shared" si="2348"/>
        <v>0</v>
      </c>
      <c r="I351" s="270">
        <f t="shared" si="2348"/>
        <v>0</v>
      </c>
      <c r="J351" s="270">
        <f t="shared" si="2348"/>
        <v>0</v>
      </c>
      <c r="K351" s="270">
        <f t="shared" si="2348"/>
        <v>0</v>
      </c>
      <c r="L351" s="270">
        <f t="shared" si="2348"/>
        <v>0</v>
      </c>
      <c r="M351" s="270">
        <f t="shared" si="2348"/>
        <v>0</v>
      </c>
      <c r="N351" s="270">
        <f t="shared" si="2348"/>
        <v>0</v>
      </c>
      <c r="O351" s="270">
        <f t="shared" si="2348"/>
        <v>0</v>
      </c>
      <c r="P351" s="272">
        <f t="shared" si="2348"/>
        <v>0</v>
      </c>
      <c r="Q351" s="272">
        <f t="shared" si="2348"/>
        <v>0</v>
      </c>
      <c r="R351" s="272">
        <f t="shared" si="2348"/>
        <v>0</v>
      </c>
      <c r="S351" s="272">
        <f t="shared" si="2348"/>
        <v>0</v>
      </c>
      <c r="T351" s="272">
        <f t="shared" si="2348"/>
        <v>0</v>
      </c>
      <c r="U351" s="270">
        <f t="shared" si="2348"/>
        <v>0</v>
      </c>
      <c r="V351" s="270">
        <f t="shared" si="2348"/>
        <v>0</v>
      </c>
      <c r="W351" s="270">
        <f t="shared" si="2348"/>
        <v>0</v>
      </c>
      <c r="X351" s="270">
        <f t="shared" si="2348"/>
        <v>0</v>
      </c>
      <c r="Y351" s="270">
        <f t="shared" si="2348"/>
        <v>0</v>
      </c>
      <c r="Z351" s="270">
        <f t="shared" si="2348"/>
        <v>0</v>
      </c>
      <c r="AA351" s="270">
        <f t="shared" si="2348"/>
        <v>0</v>
      </c>
      <c r="AB351" s="270">
        <f t="shared" si="2348"/>
        <v>0</v>
      </c>
      <c r="AC351" s="270">
        <f t="shared" si="2348"/>
        <v>0</v>
      </c>
      <c r="AD351" s="270">
        <f t="shared" si="2348"/>
        <v>0</v>
      </c>
      <c r="AE351" s="270">
        <f t="shared" si="2348"/>
        <v>0</v>
      </c>
      <c r="AF351" s="270">
        <f t="shared" si="2348"/>
        <v>0</v>
      </c>
      <c r="AG351" s="270">
        <f t="shared" si="2348"/>
        <v>0</v>
      </c>
      <c r="AH351" s="279">
        <f t="shared" si="602"/>
        <v>0</v>
      </c>
      <c r="AI351" s="270">
        <f t="shared" si="43"/>
        <v>0</v>
      </c>
      <c r="AJ351" s="270">
        <f t="shared" ref="AJ351:AO351" si="2349">IF(F$8=0,0,ROUND(AJ350-(F351-BO351),2))</f>
        <v>0</v>
      </c>
      <c r="AK351" s="270">
        <f t="shared" si="2349"/>
        <v>0</v>
      </c>
      <c r="AL351" s="270">
        <f t="shared" si="2349"/>
        <v>0</v>
      </c>
      <c r="AM351" s="270">
        <f t="shared" si="2349"/>
        <v>0</v>
      </c>
      <c r="AN351" s="270">
        <f t="shared" si="2349"/>
        <v>0</v>
      </c>
      <c r="AO351" s="270">
        <f t="shared" si="2349"/>
        <v>0</v>
      </c>
      <c r="AP351" s="270">
        <v>0.0</v>
      </c>
      <c r="AQ351" s="270">
        <f t="shared" ref="AQ351:AR351" si="2350">IF(M$8=0,0,ROUND(AQ350-(M351-BV351),2))</f>
        <v>0</v>
      </c>
      <c r="AR351" s="270">
        <f t="shared" si="2350"/>
        <v>0</v>
      </c>
      <c r="AS351" s="270">
        <f t="shared" si="1902"/>
        <v>-10.13</v>
      </c>
      <c r="AT351" s="270">
        <f t="shared" si="605"/>
        <v>-8.85</v>
      </c>
      <c r="AU351" s="270">
        <f t="shared" ref="AU351:BK351" si="2351">IF(Q$8=0,0,ROUND(AU350-(Q351-BY351),2))</f>
        <v>-20.88</v>
      </c>
      <c r="AV351" s="270">
        <f t="shared" si="2351"/>
        <v>0</v>
      </c>
      <c r="AW351" s="270">
        <f t="shared" si="2351"/>
        <v>0</v>
      </c>
      <c r="AX351" s="270">
        <f t="shared" si="2351"/>
        <v>0</v>
      </c>
      <c r="AY351" s="270">
        <f t="shared" si="2351"/>
        <v>0</v>
      </c>
      <c r="AZ351" s="270">
        <f t="shared" si="2351"/>
        <v>0</v>
      </c>
      <c r="BA351" s="270">
        <f t="shared" si="2351"/>
        <v>0</v>
      </c>
      <c r="BB351" s="270">
        <f t="shared" si="2351"/>
        <v>0</v>
      </c>
      <c r="BC351" s="270">
        <f t="shared" si="2351"/>
        <v>0</v>
      </c>
      <c r="BD351" s="270">
        <f t="shared" si="2351"/>
        <v>0</v>
      </c>
      <c r="BE351" s="270">
        <f t="shared" si="2351"/>
        <v>0</v>
      </c>
      <c r="BF351" s="270">
        <f t="shared" si="2351"/>
        <v>0</v>
      </c>
      <c r="BG351" s="270">
        <f t="shared" si="2351"/>
        <v>0</v>
      </c>
      <c r="BH351" s="270">
        <f t="shared" si="2351"/>
        <v>0</v>
      </c>
      <c r="BI351" s="270">
        <f t="shared" si="2351"/>
        <v>0</v>
      </c>
      <c r="BJ351" s="270">
        <f t="shared" si="2351"/>
        <v>0</v>
      </c>
      <c r="BK351" s="270">
        <f t="shared" si="2351"/>
        <v>0</v>
      </c>
      <c r="BL351" s="265">
        <f t="shared" si="16"/>
        <v>-39.86</v>
      </c>
      <c r="BM351" s="215"/>
      <c r="BN351" s="270">
        <f t="shared" ref="BN351:CP351" si="2352">ROUND(AI350*E$9/12,2)</f>
        <v>0</v>
      </c>
      <c r="BO351" s="270">
        <f t="shared" si="2352"/>
        <v>0</v>
      </c>
      <c r="BP351" s="270">
        <f t="shared" si="2352"/>
        <v>0</v>
      </c>
      <c r="BQ351" s="270">
        <f t="shared" si="2352"/>
        <v>0</v>
      </c>
      <c r="BR351" s="270">
        <f t="shared" si="2352"/>
        <v>0</v>
      </c>
      <c r="BS351" s="270">
        <f t="shared" si="2352"/>
        <v>0</v>
      </c>
      <c r="BT351" s="270">
        <f t="shared" si="2352"/>
        <v>0</v>
      </c>
      <c r="BU351" s="270">
        <f t="shared" si="2352"/>
        <v>0</v>
      </c>
      <c r="BV351" s="270">
        <f t="shared" si="2352"/>
        <v>0</v>
      </c>
      <c r="BW351" s="270">
        <f t="shared" si="2352"/>
        <v>0</v>
      </c>
      <c r="BX351" s="270">
        <f t="shared" si="2352"/>
        <v>-0.09</v>
      </c>
      <c r="BY351" s="270">
        <f t="shared" si="2352"/>
        <v>-0.07</v>
      </c>
      <c r="BZ351" s="270">
        <f t="shared" si="2352"/>
        <v>-0.07</v>
      </c>
      <c r="CA351" s="270">
        <f t="shared" si="2352"/>
        <v>0</v>
      </c>
      <c r="CB351" s="270">
        <f t="shared" si="2352"/>
        <v>0</v>
      </c>
      <c r="CC351" s="270">
        <f t="shared" si="2352"/>
        <v>0</v>
      </c>
      <c r="CD351" s="270">
        <f t="shared" si="2352"/>
        <v>0</v>
      </c>
      <c r="CE351" s="270">
        <f t="shared" si="2352"/>
        <v>0</v>
      </c>
      <c r="CF351" s="270">
        <f t="shared" si="2352"/>
        <v>0</v>
      </c>
      <c r="CG351" s="270">
        <f t="shared" si="2352"/>
        <v>0</v>
      </c>
      <c r="CH351" s="270">
        <f t="shared" si="2352"/>
        <v>0</v>
      </c>
      <c r="CI351" s="270">
        <f t="shared" si="2352"/>
        <v>0</v>
      </c>
      <c r="CJ351" s="270">
        <f t="shared" si="2352"/>
        <v>0</v>
      </c>
      <c r="CK351" s="270">
        <f t="shared" si="2352"/>
        <v>0</v>
      </c>
      <c r="CL351" s="270">
        <f t="shared" si="2352"/>
        <v>0</v>
      </c>
      <c r="CM351" s="270">
        <f t="shared" si="2352"/>
        <v>0</v>
      </c>
      <c r="CN351" s="270">
        <f t="shared" si="2352"/>
        <v>0</v>
      </c>
      <c r="CO351" s="270">
        <f t="shared" si="2352"/>
        <v>0</v>
      </c>
      <c r="CP351" s="270">
        <f t="shared" si="2352"/>
        <v>0</v>
      </c>
      <c r="CQ351" s="215"/>
      <c r="CR351" s="270">
        <f t="shared" si="27"/>
        <v>-0.23</v>
      </c>
      <c r="CS351" s="215"/>
      <c r="CT351" s="270">
        <f t="shared" ref="CT351:DX351" si="2353">IF(AI350&gt;0,IF((AI350+BN351)&lt;E$10,AI350+BN351,E$10),0)</f>
        <v>0</v>
      </c>
      <c r="CU351" s="270">
        <f t="shared" si="2353"/>
        <v>0</v>
      </c>
      <c r="CV351" s="270">
        <f t="shared" si="2353"/>
        <v>0</v>
      </c>
      <c r="CW351" s="270">
        <f t="shared" si="2353"/>
        <v>0</v>
      </c>
      <c r="CX351" s="270">
        <f t="shared" si="2353"/>
        <v>0</v>
      </c>
      <c r="CY351" s="270">
        <f t="shared" si="2353"/>
        <v>0</v>
      </c>
      <c r="CZ351" s="270">
        <f t="shared" si="2353"/>
        <v>0</v>
      </c>
      <c r="DA351" s="270">
        <f t="shared" si="2353"/>
        <v>0</v>
      </c>
      <c r="DB351" s="270">
        <f t="shared" si="2353"/>
        <v>0</v>
      </c>
      <c r="DC351" s="270">
        <f t="shared" si="2353"/>
        <v>0</v>
      </c>
      <c r="DD351" s="270">
        <f t="shared" si="2353"/>
        <v>0</v>
      </c>
      <c r="DE351" s="270">
        <f t="shared" si="2353"/>
        <v>0</v>
      </c>
      <c r="DF351" s="270">
        <f t="shared" si="2353"/>
        <v>0</v>
      </c>
      <c r="DG351" s="270">
        <f t="shared" si="2353"/>
        <v>0</v>
      </c>
      <c r="DH351" s="270">
        <f t="shared" si="2353"/>
        <v>0</v>
      </c>
      <c r="DI351" s="270">
        <f t="shared" si="2353"/>
        <v>0</v>
      </c>
      <c r="DJ351" s="270">
        <f t="shared" si="2353"/>
        <v>0</v>
      </c>
      <c r="DK351" s="270">
        <f t="shared" si="2353"/>
        <v>0</v>
      </c>
      <c r="DL351" s="270">
        <f t="shared" si="2353"/>
        <v>0</v>
      </c>
      <c r="DM351" s="270">
        <f t="shared" si="2353"/>
        <v>0</v>
      </c>
      <c r="DN351" s="270">
        <f t="shared" si="2353"/>
        <v>0</v>
      </c>
      <c r="DO351" s="270">
        <f t="shared" si="2353"/>
        <v>0</v>
      </c>
      <c r="DP351" s="270">
        <f t="shared" si="2353"/>
        <v>0</v>
      </c>
      <c r="DQ351" s="270">
        <f t="shared" si="2353"/>
        <v>0</v>
      </c>
      <c r="DR351" s="270">
        <f t="shared" si="2353"/>
        <v>0</v>
      </c>
      <c r="DS351" s="270">
        <f t="shared" si="2353"/>
        <v>0</v>
      </c>
      <c r="DT351" s="270">
        <f t="shared" si="2353"/>
        <v>0</v>
      </c>
      <c r="DU351" s="270">
        <f t="shared" si="2353"/>
        <v>0</v>
      </c>
      <c r="DV351" s="270">
        <f t="shared" si="2353"/>
        <v>0</v>
      </c>
      <c r="DW351" s="270">
        <f t="shared" si="2353"/>
        <v>0</v>
      </c>
      <c r="DX351" s="270">
        <f t="shared" si="2353"/>
        <v>0</v>
      </c>
      <c r="DY351" s="270">
        <f t="shared" si="29"/>
        <v>0</v>
      </c>
      <c r="DZ351" s="274"/>
      <c r="EA351" s="275">
        <f t="shared" si="38"/>
        <v>0</v>
      </c>
      <c r="EB351" s="270">
        <f t="shared" ref="EB351:FC351" si="2354">IF(AJ349&lt;=0,0,IF($C350&lt;=SUM($EA351:EA351),0,IF(CU350+$C350-SUM($EA351:EA351)&gt;AJ349+BO350,AJ349+BO350-CU350,$C350-SUM($EA351:EA351))))</f>
        <v>0</v>
      </c>
      <c r="EC351" s="270">
        <f t="shared" si="2354"/>
        <v>0</v>
      </c>
      <c r="ED351" s="270">
        <f t="shared" si="2354"/>
        <v>0</v>
      </c>
      <c r="EE351" s="270">
        <f t="shared" si="2354"/>
        <v>0</v>
      </c>
      <c r="EF351" s="270">
        <f t="shared" si="2354"/>
        <v>0</v>
      </c>
      <c r="EG351" s="270">
        <f t="shared" si="2354"/>
        <v>0</v>
      </c>
      <c r="EH351" s="270">
        <f t="shared" si="2354"/>
        <v>0</v>
      </c>
      <c r="EI351" s="270">
        <f t="shared" si="2354"/>
        <v>0</v>
      </c>
      <c r="EJ351" s="270">
        <f t="shared" si="2354"/>
        <v>0</v>
      </c>
      <c r="EK351" s="270">
        <f t="shared" si="2354"/>
        <v>0</v>
      </c>
      <c r="EL351" s="270">
        <f t="shared" si="2354"/>
        <v>0</v>
      </c>
      <c r="EM351" s="270">
        <f t="shared" si="2354"/>
        <v>0</v>
      </c>
      <c r="EN351" s="270">
        <f t="shared" si="2354"/>
        <v>0</v>
      </c>
      <c r="EO351" s="270">
        <f t="shared" si="2354"/>
        <v>0</v>
      </c>
      <c r="EP351" s="270">
        <f t="shared" si="2354"/>
        <v>0</v>
      </c>
      <c r="EQ351" s="270">
        <f t="shared" si="2354"/>
        <v>0</v>
      </c>
      <c r="ER351" s="270">
        <f t="shared" si="2354"/>
        <v>0</v>
      </c>
      <c r="ES351" s="270">
        <f t="shared" si="2354"/>
        <v>0</v>
      </c>
      <c r="ET351" s="270">
        <f t="shared" si="2354"/>
        <v>0</v>
      </c>
      <c r="EU351" s="270">
        <f t="shared" si="2354"/>
        <v>0</v>
      </c>
      <c r="EV351" s="270">
        <f t="shared" si="2354"/>
        <v>0</v>
      </c>
      <c r="EW351" s="270">
        <f t="shared" si="2354"/>
        <v>0</v>
      </c>
      <c r="EX351" s="270">
        <f t="shared" si="2354"/>
        <v>0</v>
      </c>
      <c r="EY351" s="270">
        <f t="shared" si="2354"/>
        <v>0</v>
      </c>
      <c r="EZ351" s="270">
        <f t="shared" si="2354"/>
        <v>0</v>
      </c>
      <c r="FA351" s="270">
        <f t="shared" si="2354"/>
        <v>0</v>
      </c>
      <c r="FB351" s="270">
        <f t="shared" si="2354"/>
        <v>0</v>
      </c>
      <c r="FC351" s="270">
        <f t="shared" si="2354"/>
        <v>0</v>
      </c>
      <c r="FD351" s="271"/>
      <c r="FE351" s="271"/>
      <c r="FF351" s="271"/>
      <c r="FG351" s="215"/>
      <c r="FH351" s="215"/>
    </row>
    <row r="352" ht="11.25" customHeight="1">
      <c r="A352" s="215" t="str">
        <f t="shared" si="19"/>
        <v/>
      </c>
      <c r="B352" s="241" t="str">
        <f t="shared" si="600"/>
        <v>#N/A</v>
      </c>
      <c r="C352" s="271" t="str">
        <f>IF(A352="","",IF(Calculator!snowball,IF(($E$5-DY352)&lt;0,0,$E$5-DY352),0)+D352)</f>
        <v/>
      </c>
      <c r="D352" s="271"/>
      <c r="E352" s="270">
        <f t="shared" si="40"/>
        <v>0</v>
      </c>
      <c r="F352" s="270">
        <f t="shared" ref="F352:AG352" si="2355">CU352+EB353</f>
        <v>0</v>
      </c>
      <c r="G352" s="270">
        <f t="shared" si="2355"/>
        <v>0</v>
      </c>
      <c r="H352" s="270">
        <f t="shared" si="2355"/>
        <v>0</v>
      </c>
      <c r="I352" s="270">
        <f t="shared" si="2355"/>
        <v>0</v>
      </c>
      <c r="J352" s="270">
        <f t="shared" si="2355"/>
        <v>0</v>
      </c>
      <c r="K352" s="270">
        <f t="shared" si="2355"/>
        <v>0</v>
      </c>
      <c r="L352" s="270">
        <f t="shared" si="2355"/>
        <v>0</v>
      </c>
      <c r="M352" s="270">
        <f t="shared" si="2355"/>
        <v>0</v>
      </c>
      <c r="N352" s="270">
        <f t="shared" si="2355"/>
        <v>0</v>
      </c>
      <c r="O352" s="270">
        <f t="shared" si="2355"/>
        <v>0</v>
      </c>
      <c r="P352" s="272">
        <f t="shared" si="2355"/>
        <v>0</v>
      </c>
      <c r="Q352" s="272">
        <f t="shared" si="2355"/>
        <v>0</v>
      </c>
      <c r="R352" s="272">
        <f t="shared" si="2355"/>
        <v>0</v>
      </c>
      <c r="S352" s="272">
        <f t="shared" si="2355"/>
        <v>0</v>
      </c>
      <c r="T352" s="272">
        <f t="shared" si="2355"/>
        <v>0</v>
      </c>
      <c r="U352" s="270">
        <f t="shared" si="2355"/>
        <v>0</v>
      </c>
      <c r="V352" s="270">
        <f t="shared" si="2355"/>
        <v>0</v>
      </c>
      <c r="W352" s="270">
        <f t="shared" si="2355"/>
        <v>0</v>
      </c>
      <c r="X352" s="270">
        <f t="shared" si="2355"/>
        <v>0</v>
      </c>
      <c r="Y352" s="270">
        <f t="shared" si="2355"/>
        <v>0</v>
      </c>
      <c r="Z352" s="270">
        <f t="shared" si="2355"/>
        <v>0</v>
      </c>
      <c r="AA352" s="270">
        <f t="shared" si="2355"/>
        <v>0</v>
      </c>
      <c r="AB352" s="270">
        <f t="shared" si="2355"/>
        <v>0</v>
      </c>
      <c r="AC352" s="270">
        <f t="shared" si="2355"/>
        <v>0</v>
      </c>
      <c r="AD352" s="270">
        <f t="shared" si="2355"/>
        <v>0</v>
      </c>
      <c r="AE352" s="270">
        <f t="shared" si="2355"/>
        <v>0</v>
      </c>
      <c r="AF352" s="270">
        <f t="shared" si="2355"/>
        <v>0</v>
      </c>
      <c r="AG352" s="270">
        <f t="shared" si="2355"/>
        <v>0</v>
      </c>
      <c r="AH352" s="279">
        <f t="shared" si="602"/>
        <v>0</v>
      </c>
      <c r="AI352" s="270">
        <f t="shared" si="43"/>
        <v>0</v>
      </c>
      <c r="AJ352" s="270">
        <f t="shared" ref="AJ352:AO352" si="2356">IF(F$8=0,0,ROUND(AJ351-(F352-BO352),2))</f>
        <v>0</v>
      </c>
      <c r="AK352" s="270">
        <f t="shared" si="2356"/>
        <v>0</v>
      </c>
      <c r="AL352" s="270">
        <f t="shared" si="2356"/>
        <v>0</v>
      </c>
      <c r="AM352" s="270">
        <f t="shared" si="2356"/>
        <v>0</v>
      </c>
      <c r="AN352" s="270">
        <f t="shared" si="2356"/>
        <v>0</v>
      </c>
      <c r="AO352" s="270">
        <f t="shared" si="2356"/>
        <v>0</v>
      </c>
      <c r="AP352" s="270">
        <v>0.0</v>
      </c>
      <c r="AQ352" s="270">
        <f t="shared" ref="AQ352:AR352" si="2357">IF(M$8=0,0,ROUND(AQ351-(M352-BV352),2))</f>
        <v>0</v>
      </c>
      <c r="AR352" s="270">
        <f t="shared" si="2357"/>
        <v>0</v>
      </c>
      <c r="AS352" s="270">
        <f t="shared" si="1902"/>
        <v>-10.36</v>
      </c>
      <c r="AT352" s="270">
        <f t="shared" si="605"/>
        <v>-8.94</v>
      </c>
      <c r="AU352" s="270">
        <f t="shared" ref="AU352:BK352" si="2358">IF(Q$8=0,0,ROUND(AU351-(Q352-BY352),2))</f>
        <v>-20.95</v>
      </c>
      <c r="AV352" s="270">
        <f t="shared" si="2358"/>
        <v>0</v>
      </c>
      <c r="AW352" s="270">
        <f t="shared" si="2358"/>
        <v>0</v>
      </c>
      <c r="AX352" s="270">
        <f t="shared" si="2358"/>
        <v>0</v>
      </c>
      <c r="AY352" s="270">
        <f t="shared" si="2358"/>
        <v>0</v>
      </c>
      <c r="AZ352" s="270">
        <f t="shared" si="2358"/>
        <v>0</v>
      </c>
      <c r="BA352" s="270">
        <f t="shared" si="2358"/>
        <v>0</v>
      </c>
      <c r="BB352" s="270">
        <f t="shared" si="2358"/>
        <v>0</v>
      </c>
      <c r="BC352" s="270">
        <f t="shared" si="2358"/>
        <v>0</v>
      </c>
      <c r="BD352" s="270">
        <f t="shared" si="2358"/>
        <v>0</v>
      </c>
      <c r="BE352" s="270">
        <f t="shared" si="2358"/>
        <v>0</v>
      </c>
      <c r="BF352" s="270">
        <f t="shared" si="2358"/>
        <v>0</v>
      </c>
      <c r="BG352" s="270">
        <f t="shared" si="2358"/>
        <v>0</v>
      </c>
      <c r="BH352" s="270">
        <f t="shared" si="2358"/>
        <v>0</v>
      </c>
      <c r="BI352" s="270">
        <f t="shared" si="2358"/>
        <v>0</v>
      </c>
      <c r="BJ352" s="270">
        <f t="shared" si="2358"/>
        <v>0</v>
      </c>
      <c r="BK352" s="270">
        <f t="shared" si="2358"/>
        <v>0</v>
      </c>
      <c r="BL352" s="265">
        <f t="shared" si="16"/>
        <v>-40.25</v>
      </c>
      <c r="BM352" s="215"/>
      <c r="BN352" s="270">
        <f t="shared" ref="BN352:CP352" si="2359">ROUND(AI351*E$9/12,2)</f>
        <v>0</v>
      </c>
      <c r="BO352" s="270">
        <f t="shared" si="2359"/>
        <v>0</v>
      </c>
      <c r="BP352" s="270">
        <f t="shared" si="2359"/>
        <v>0</v>
      </c>
      <c r="BQ352" s="270">
        <f t="shared" si="2359"/>
        <v>0</v>
      </c>
      <c r="BR352" s="270">
        <f t="shared" si="2359"/>
        <v>0</v>
      </c>
      <c r="BS352" s="270">
        <f t="shared" si="2359"/>
        <v>0</v>
      </c>
      <c r="BT352" s="270">
        <f t="shared" si="2359"/>
        <v>0</v>
      </c>
      <c r="BU352" s="270">
        <f t="shared" si="2359"/>
        <v>0</v>
      </c>
      <c r="BV352" s="270">
        <f t="shared" si="2359"/>
        <v>0</v>
      </c>
      <c r="BW352" s="270">
        <f t="shared" si="2359"/>
        <v>0</v>
      </c>
      <c r="BX352" s="270">
        <f t="shared" si="2359"/>
        <v>-0.09</v>
      </c>
      <c r="BY352" s="270">
        <f t="shared" si="2359"/>
        <v>-0.07</v>
      </c>
      <c r="BZ352" s="270">
        <f t="shared" si="2359"/>
        <v>-0.07</v>
      </c>
      <c r="CA352" s="270">
        <f t="shared" si="2359"/>
        <v>0</v>
      </c>
      <c r="CB352" s="270">
        <f t="shared" si="2359"/>
        <v>0</v>
      </c>
      <c r="CC352" s="270">
        <f t="shared" si="2359"/>
        <v>0</v>
      </c>
      <c r="CD352" s="270">
        <f t="shared" si="2359"/>
        <v>0</v>
      </c>
      <c r="CE352" s="270">
        <f t="shared" si="2359"/>
        <v>0</v>
      </c>
      <c r="CF352" s="270">
        <f t="shared" si="2359"/>
        <v>0</v>
      </c>
      <c r="CG352" s="270">
        <f t="shared" si="2359"/>
        <v>0</v>
      </c>
      <c r="CH352" s="270">
        <f t="shared" si="2359"/>
        <v>0</v>
      </c>
      <c r="CI352" s="270">
        <f t="shared" si="2359"/>
        <v>0</v>
      </c>
      <c r="CJ352" s="270">
        <f t="shared" si="2359"/>
        <v>0</v>
      </c>
      <c r="CK352" s="270">
        <f t="shared" si="2359"/>
        <v>0</v>
      </c>
      <c r="CL352" s="270">
        <f t="shared" si="2359"/>
        <v>0</v>
      </c>
      <c r="CM352" s="270">
        <f t="shared" si="2359"/>
        <v>0</v>
      </c>
      <c r="CN352" s="270">
        <f t="shared" si="2359"/>
        <v>0</v>
      </c>
      <c r="CO352" s="270">
        <f t="shared" si="2359"/>
        <v>0</v>
      </c>
      <c r="CP352" s="270">
        <f t="shared" si="2359"/>
        <v>0</v>
      </c>
      <c r="CQ352" s="215"/>
      <c r="CR352" s="270">
        <f t="shared" si="27"/>
        <v>-0.23</v>
      </c>
      <c r="CS352" s="215"/>
      <c r="CT352" s="270">
        <f t="shared" ref="CT352:DX352" si="2360">IF(AI351&gt;0,IF((AI351+BN352)&lt;E$10,AI351+BN352,E$10),0)</f>
        <v>0</v>
      </c>
      <c r="CU352" s="270">
        <f t="shared" si="2360"/>
        <v>0</v>
      </c>
      <c r="CV352" s="270">
        <f t="shared" si="2360"/>
        <v>0</v>
      </c>
      <c r="CW352" s="270">
        <f t="shared" si="2360"/>
        <v>0</v>
      </c>
      <c r="CX352" s="270">
        <f t="shared" si="2360"/>
        <v>0</v>
      </c>
      <c r="CY352" s="270">
        <f t="shared" si="2360"/>
        <v>0</v>
      </c>
      <c r="CZ352" s="270">
        <f t="shared" si="2360"/>
        <v>0</v>
      </c>
      <c r="DA352" s="270">
        <f t="shared" si="2360"/>
        <v>0</v>
      </c>
      <c r="DB352" s="270">
        <f t="shared" si="2360"/>
        <v>0</v>
      </c>
      <c r="DC352" s="270">
        <f t="shared" si="2360"/>
        <v>0</v>
      </c>
      <c r="DD352" s="270">
        <f t="shared" si="2360"/>
        <v>0</v>
      </c>
      <c r="DE352" s="270">
        <f t="shared" si="2360"/>
        <v>0</v>
      </c>
      <c r="DF352" s="270">
        <f t="shared" si="2360"/>
        <v>0</v>
      </c>
      <c r="DG352" s="270">
        <f t="shared" si="2360"/>
        <v>0</v>
      </c>
      <c r="DH352" s="270">
        <f t="shared" si="2360"/>
        <v>0</v>
      </c>
      <c r="DI352" s="270">
        <f t="shared" si="2360"/>
        <v>0</v>
      </c>
      <c r="DJ352" s="270">
        <f t="shared" si="2360"/>
        <v>0</v>
      </c>
      <c r="DK352" s="270">
        <f t="shared" si="2360"/>
        <v>0</v>
      </c>
      <c r="DL352" s="270">
        <f t="shared" si="2360"/>
        <v>0</v>
      </c>
      <c r="DM352" s="270">
        <f t="shared" si="2360"/>
        <v>0</v>
      </c>
      <c r="DN352" s="270">
        <f t="shared" si="2360"/>
        <v>0</v>
      </c>
      <c r="DO352" s="270">
        <f t="shared" si="2360"/>
        <v>0</v>
      </c>
      <c r="DP352" s="270">
        <f t="shared" si="2360"/>
        <v>0</v>
      </c>
      <c r="DQ352" s="270">
        <f t="shared" si="2360"/>
        <v>0</v>
      </c>
      <c r="DR352" s="270">
        <f t="shared" si="2360"/>
        <v>0</v>
      </c>
      <c r="DS352" s="270">
        <f t="shared" si="2360"/>
        <v>0</v>
      </c>
      <c r="DT352" s="270">
        <f t="shared" si="2360"/>
        <v>0</v>
      </c>
      <c r="DU352" s="270">
        <f t="shared" si="2360"/>
        <v>0</v>
      </c>
      <c r="DV352" s="270">
        <f t="shared" si="2360"/>
        <v>0</v>
      </c>
      <c r="DW352" s="270">
        <f t="shared" si="2360"/>
        <v>0</v>
      </c>
      <c r="DX352" s="270">
        <f t="shared" si="2360"/>
        <v>0</v>
      </c>
      <c r="DY352" s="270">
        <f t="shared" si="29"/>
        <v>0</v>
      </c>
      <c r="DZ352" s="274"/>
      <c r="EA352" s="275">
        <f t="shared" si="38"/>
        <v>0</v>
      </c>
      <c r="EB352" s="270">
        <f t="shared" ref="EB352:FC352" si="2361">IF(AJ350&lt;=0,0,IF($C351&lt;=SUM($EA352:EA352),0,IF(CU351+$C351-SUM($EA352:EA352)&gt;AJ350+BO351,AJ350+BO351-CU351,$C351-SUM($EA352:EA352))))</f>
        <v>0</v>
      </c>
      <c r="EC352" s="270">
        <f t="shared" si="2361"/>
        <v>0</v>
      </c>
      <c r="ED352" s="270">
        <f t="shared" si="2361"/>
        <v>0</v>
      </c>
      <c r="EE352" s="270">
        <f t="shared" si="2361"/>
        <v>0</v>
      </c>
      <c r="EF352" s="270">
        <f t="shared" si="2361"/>
        <v>0</v>
      </c>
      <c r="EG352" s="270">
        <f t="shared" si="2361"/>
        <v>0</v>
      </c>
      <c r="EH352" s="270">
        <f t="shared" si="2361"/>
        <v>0</v>
      </c>
      <c r="EI352" s="270">
        <f t="shared" si="2361"/>
        <v>0</v>
      </c>
      <c r="EJ352" s="270">
        <f t="shared" si="2361"/>
        <v>0</v>
      </c>
      <c r="EK352" s="270">
        <f t="shared" si="2361"/>
        <v>0</v>
      </c>
      <c r="EL352" s="270">
        <f t="shared" si="2361"/>
        <v>0</v>
      </c>
      <c r="EM352" s="270">
        <f t="shared" si="2361"/>
        <v>0</v>
      </c>
      <c r="EN352" s="270">
        <f t="shared" si="2361"/>
        <v>0</v>
      </c>
      <c r="EO352" s="270">
        <f t="shared" si="2361"/>
        <v>0</v>
      </c>
      <c r="EP352" s="270">
        <f t="shared" si="2361"/>
        <v>0</v>
      </c>
      <c r="EQ352" s="270">
        <f t="shared" si="2361"/>
        <v>0</v>
      </c>
      <c r="ER352" s="270">
        <f t="shared" si="2361"/>
        <v>0</v>
      </c>
      <c r="ES352" s="270">
        <f t="shared" si="2361"/>
        <v>0</v>
      </c>
      <c r="ET352" s="270">
        <f t="shared" si="2361"/>
        <v>0</v>
      </c>
      <c r="EU352" s="270">
        <f t="shared" si="2361"/>
        <v>0</v>
      </c>
      <c r="EV352" s="270">
        <f t="shared" si="2361"/>
        <v>0</v>
      </c>
      <c r="EW352" s="270">
        <f t="shared" si="2361"/>
        <v>0</v>
      </c>
      <c r="EX352" s="270">
        <f t="shared" si="2361"/>
        <v>0</v>
      </c>
      <c r="EY352" s="270">
        <f t="shared" si="2361"/>
        <v>0</v>
      </c>
      <c r="EZ352" s="270">
        <f t="shared" si="2361"/>
        <v>0</v>
      </c>
      <c r="FA352" s="270">
        <f t="shared" si="2361"/>
        <v>0</v>
      </c>
      <c r="FB352" s="270">
        <f t="shared" si="2361"/>
        <v>0</v>
      </c>
      <c r="FC352" s="270">
        <f t="shared" si="2361"/>
        <v>0</v>
      </c>
      <c r="FD352" s="271"/>
      <c r="FE352" s="271"/>
      <c r="FF352" s="271"/>
      <c r="FG352" s="215"/>
      <c r="FH352" s="215"/>
    </row>
    <row r="353" ht="11.25" customHeight="1">
      <c r="A353" s="215" t="str">
        <f t="shared" si="19"/>
        <v/>
      </c>
      <c r="B353" s="241" t="str">
        <f t="shared" si="600"/>
        <v>#N/A</v>
      </c>
      <c r="C353" s="271" t="str">
        <f>IF(A353="","",IF(Calculator!snowball,IF(($E$5-DY353)&lt;0,0,$E$5-DY353),0)+D353)</f>
        <v/>
      </c>
      <c r="D353" s="271"/>
      <c r="E353" s="270">
        <f t="shared" si="40"/>
        <v>0</v>
      </c>
      <c r="F353" s="270">
        <f t="shared" ref="F353:AG353" si="2362">CU353+EB354</f>
        <v>0</v>
      </c>
      <c r="G353" s="270">
        <f t="shared" si="2362"/>
        <v>0</v>
      </c>
      <c r="H353" s="270">
        <f t="shared" si="2362"/>
        <v>0</v>
      </c>
      <c r="I353" s="270">
        <f t="shared" si="2362"/>
        <v>0</v>
      </c>
      <c r="J353" s="270">
        <f t="shared" si="2362"/>
        <v>0</v>
      </c>
      <c r="K353" s="270">
        <f t="shared" si="2362"/>
        <v>0</v>
      </c>
      <c r="L353" s="270">
        <f t="shared" si="2362"/>
        <v>0</v>
      </c>
      <c r="M353" s="270">
        <f t="shared" si="2362"/>
        <v>0</v>
      </c>
      <c r="N353" s="270">
        <f t="shared" si="2362"/>
        <v>0</v>
      </c>
      <c r="O353" s="270">
        <f t="shared" si="2362"/>
        <v>0</v>
      </c>
      <c r="P353" s="272">
        <f t="shared" si="2362"/>
        <v>0</v>
      </c>
      <c r="Q353" s="272">
        <f t="shared" si="2362"/>
        <v>0</v>
      </c>
      <c r="R353" s="272">
        <f t="shared" si="2362"/>
        <v>0</v>
      </c>
      <c r="S353" s="272">
        <f t="shared" si="2362"/>
        <v>0</v>
      </c>
      <c r="T353" s="272">
        <f t="shared" si="2362"/>
        <v>0</v>
      </c>
      <c r="U353" s="270">
        <f t="shared" si="2362"/>
        <v>0</v>
      </c>
      <c r="V353" s="270">
        <f t="shared" si="2362"/>
        <v>0</v>
      </c>
      <c r="W353" s="270">
        <f t="shared" si="2362"/>
        <v>0</v>
      </c>
      <c r="X353" s="270">
        <f t="shared" si="2362"/>
        <v>0</v>
      </c>
      <c r="Y353" s="270">
        <f t="shared" si="2362"/>
        <v>0</v>
      </c>
      <c r="Z353" s="270">
        <f t="shared" si="2362"/>
        <v>0</v>
      </c>
      <c r="AA353" s="270">
        <f t="shared" si="2362"/>
        <v>0</v>
      </c>
      <c r="AB353" s="270">
        <f t="shared" si="2362"/>
        <v>0</v>
      </c>
      <c r="AC353" s="270">
        <f t="shared" si="2362"/>
        <v>0</v>
      </c>
      <c r="AD353" s="270">
        <f t="shared" si="2362"/>
        <v>0</v>
      </c>
      <c r="AE353" s="270">
        <f t="shared" si="2362"/>
        <v>0</v>
      </c>
      <c r="AF353" s="270">
        <f t="shared" si="2362"/>
        <v>0</v>
      </c>
      <c r="AG353" s="270">
        <f t="shared" si="2362"/>
        <v>0</v>
      </c>
      <c r="AH353" s="279">
        <f t="shared" si="602"/>
        <v>0</v>
      </c>
      <c r="AI353" s="270">
        <f t="shared" si="43"/>
        <v>0</v>
      </c>
      <c r="AJ353" s="270">
        <f t="shared" ref="AJ353:AO353" si="2363">IF(F$8=0,0,ROUND(AJ352-(F353-BO353),2))</f>
        <v>0</v>
      </c>
      <c r="AK353" s="270">
        <f t="shared" si="2363"/>
        <v>0</v>
      </c>
      <c r="AL353" s="270">
        <f t="shared" si="2363"/>
        <v>0</v>
      </c>
      <c r="AM353" s="270">
        <f t="shared" si="2363"/>
        <v>0</v>
      </c>
      <c r="AN353" s="270">
        <f t="shared" si="2363"/>
        <v>0</v>
      </c>
      <c r="AO353" s="270">
        <f t="shared" si="2363"/>
        <v>0</v>
      </c>
      <c r="AP353" s="270">
        <v>0.0</v>
      </c>
      <c r="AQ353" s="270">
        <f t="shared" ref="AQ353:AR353" si="2364">IF(M$8=0,0,ROUND(AQ352-(M353-BV353),2))</f>
        <v>0</v>
      </c>
      <c r="AR353" s="270">
        <f t="shared" si="2364"/>
        <v>0</v>
      </c>
      <c r="AS353" s="270">
        <f t="shared" si="1902"/>
        <v>-10.59</v>
      </c>
      <c r="AT353" s="270">
        <f t="shared" si="605"/>
        <v>-9.03</v>
      </c>
      <c r="AU353" s="270">
        <f t="shared" ref="AU353:BK353" si="2365">IF(Q$8=0,0,ROUND(AU352-(Q353-BY353),2))</f>
        <v>-21.02</v>
      </c>
      <c r="AV353" s="270">
        <f t="shared" si="2365"/>
        <v>0</v>
      </c>
      <c r="AW353" s="270">
        <f t="shared" si="2365"/>
        <v>0</v>
      </c>
      <c r="AX353" s="270">
        <f t="shared" si="2365"/>
        <v>0</v>
      </c>
      <c r="AY353" s="270">
        <f t="shared" si="2365"/>
        <v>0</v>
      </c>
      <c r="AZ353" s="270">
        <f t="shared" si="2365"/>
        <v>0</v>
      </c>
      <c r="BA353" s="270">
        <f t="shared" si="2365"/>
        <v>0</v>
      </c>
      <c r="BB353" s="270">
        <f t="shared" si="2365"/>
        <v>0</v>
      </c>
      <c r="BC353" s="270">
        <f t="shared" si="2365"/>
        <v>0</v>
      </c>
      <c r="BD353" s="270">
        <f t="shared" si="2365"/>
        <v>0</v>
      </c>
      <c r="BE353" s="270">
        <f t="shared" si="2365"/>
        <v>0</v>
      </c>
      <c r="BF353" s="270">
        <f t="shared" si="2365"/>
        <v>0</v>
      </c>
      <c r="BG353" s="270">
        <f t="shared" si="2365"/>
        <v>0</v>
      </c>
      <c r="BH353" s="270">
        <f t="shared" si="2365"/>
        <v>0</v>
      </c>
      <c r="BI353" s="270">
        <f t="shared" si="2365"/>
        <v>0</v>
      </c>
      <c r="BJ353" s="270">
        <f t="shared" si="2365"/>
        <v>0</v>
      </c>
      <c r="BK353" s="270">
        <f t="shared" si="2365"/>
        <v>0</v>
      </c>
      <c r="BL353" s="265">
        <f t="shared" si="16"/>
        <v>-40.64</v>
      </c>
      <c r="BM353" s="215"/>
      <c r="BN353" s="270">
        <f t="shared" ref="BN353:CP353" si="2366">ROUND(AI352*E$9/12,2)</f>
        <v>0</v>
      </c>
      <c r="BO353" s="270">
        <f t="shared" si="2366"/>
        <v>0</v>
      </c>
      <c r="BP353" s="270">
        <f t="shared" si="2366"/>
        <v>0</v>
      </c>
      <c r="BQ353" s="270">
        <f t="shared" si="2366"/>
        <v>0</v>
      </c>
      <c r="BR353" s="270">
        <f t="shared" si="2366"/>
        <v>0</v>
      </c>
      <c r="BS353" s="270">
        <f t="shared" si="2366"/>
        <v>0</v>
      </c>
      <c r="BT353" s="270">
        <f t="shared" si="2366"/>
        <v>0</v>
      </c>
      <c r="BU353" s="270">
        <f t="shared" si="2366"/>
        <v>0</v>
      </c>
      <c r="BV353" s="270">
        <f t="shared" si="2366"/>
        <v>0</v>
      </c>
      <c r="BW353" s="270">
        <f t="shared" si="2366"/>
        <v>0</v>
      </c>
      <c r="BX353" s="270">
        <f t="shared" si="2366"/>
        <v>-0.09</v>
      </c>
      <c r="BY353" s="270">
        <f t="shared" si="2366"/>
        <v>-0.07</v>
      </c>
      <c r="BZ353" s="270">
        <f t="shared" si="2366"/>
        <v>-0.07</v>
      </c>
      <c r="CA353" s="270">
        <f t="shared" si="2366"/>
        <v>0</v>
      </c>
      <c r="CB353" s="270">
        <f t="shared" si="2366"/>
        <v>0</v>
      </c>
      <c r="CC353" s="270">
        <f t="shared" si="2366"/>
        <v>0</v>
      </c>
      <c r="CD353" s="270">
        <f t="shared" si="2366"/>
        <v>0</v>
      </c>
      <c r="CE353" s="270">
        <f t="shared" si="2366"/>
        <v>0</v>
      </c>
      <c r="CF353" s="270">
        <f t="shared" si="2366"/>
        <v>0</v>
      </c>
      <c r="CG353" s="270">
        <f t="shared" si="2366"/>
        <v>0</v>
      </c>
      <c r="CH353" s="270">
        <f t="shared" si="2366"/>
        <v>0</v>
      </c>
      <c r="CI353" s="270">
        <f t="shared" si="2366"/>
        <v>0</v>
      </c>
      <c r="CJ353" s="270">
        <f t="shared" si="2366"/>
        <v>0</v>
      </c>
      <c r="CK353" s="270">
        <f t="shared" si="2366"/>
        <v>0</v>
      </c>
      <c r="CL353" s="270">
        <f t="shared" si="2366"/>
        <v>0</v>
      </c>
      <c r="CM353" s="270">
        <f t="shared" si="2366"/>
        <v>0</v>
      </c>
      <c r="CN353" s="270">
        <f t="shared" si="2366"/>
        <v>0</v>
      </c>
      <c r="CO353" s="270">
        <f t="shared" si="2366"/>
        <v>0</v>
      </c>
      <c r="CP353" s="270">
        <f t="shared" si="2366"/>
        <v>0</v>
      </c>
      <c r="CQ353" s="215"/>
      <c r="CR353" s="270">
        <f t="shared" si="27"/>
        <v>-0.23</v>
      </c>
      <c r="CS353" s="215"/>
      <c r="CT353" s="270">
        <f t="shared" ref="CT353:DX353" si="2367">IF(AI352&gt;0,IF((AI352+BN353)&lt;E$10,AI352+BN353,E$10),0)</f>
        <v>0</v>
      </c>
      <c r="CU353" s="270">
        <f t="shared" si="2367"/>
        <v>0</v>
      </c>
      <c r="CV353" s="270">
        <f t="shared" si="2367"/>
        <v>0</v>
      </c>
      <c r="CW353" s="270">
        <f t="shared" si="2367"/>
        <v>0</v>
      </c>
      <c r="CX353" s="270">
        <f t="shared" si="2367"/>
        <v>0</v>
      </c>
      <c r="CY353" s="270">
        <f t="shared" si="2367"/>
        <v>0</v>
      </c>
      <c r="CZ353" s="270">
        <f t="shared" si="2367"/>
        <v>0</v>
      </c>
      <c r="DA353" s="270">
        <f t="shared" si="2367"/>
        <v>0</v>
      </c>
      <c r="DB353" s="270">
        <f t="shared" si="2367"/>
        <v>0</v>
      </c>
      <c r="DC353" s="270">
        <f t="shared" si="2367"/>
        <v>0</v>
      </c>
      <c r="DD353" s="270">
        <f t="shared" si="2367"/>
        <v>0</v>
      </c>
      <c r="DE353" s="270">
        <f t="shared" si="2367"/>
        <v>0</v>
      </c>
      <c r="DF353" s="270">
        <f t="shared" si="2367"/>
        <v>0</v>
      </c>
      <c r="DG353" s="270">
        <f t="shared" si="2367"/>
        <v>0</v>
      </c>
      <c r="DH353" s="270">
        <f t="shared" si="2367"/>
        <v>0</v>
      </c>
      <c r="DI353" s="270">
        <f t="shared" si="2367"/>
        <v>0</v>
      </c>
      <c r="DJ353" s="270">
        <f t="shared" si="2367"/>
        <v>0</v>
      </c>
      <c r="DK353" s="270">
        <f t="shared" si="2367"/>
        <v>0</v>
      </c>
      <c r="DL353" s="270">
        <f t="shared" si="2367"/>
        <v>0</v>
      </c>
      <c r="DM353" s="270">
        <f t="shared" si="2367"/>
        <v>0</v>
      </c>
      <c r="DN353" s="270">
        <f t="shared" si="2367"/>
        <v>0</v>
      </c>
      <c r="DO353" s="270">
        <f t="shared" si="2367"/>
        <v>0</v>
      </c>
      <c r="DP353" s="270">
        <f t="shared" si="2367"/>
        <v>0</v>
      </c>
      <c r="DQ353" s="270">
        <f t="shared" si="2367"/>
        <v>0</v>
      </c>
      <c r="DR353" s="270">
        <f t="shared" si="2367"/>
        <v>0</v>
      </c>
      <c r="DS353" s="270">
        <f t="shared" si="2367"/>
        <v>0</v>
      </c>
      <c r="DT353" s="270">
        <f t="shared" si="2367"/>
        <v>0</v>
      </c>
      <c r="DU353" s="270">
        <f t="shared" si="2367"/>
        <v>0</v>
      </c>
      <c r="DV353" s="270">
        <f t="shared" si="2367"/>
        <v>0</v>
      </c>
      <c r="DW353" s="270">
        <f t="shared" si="2367"/>
        <v>0</v>
      </c>
      <c r="DX353" s="270">
        <f t="shared" si="2367"/>
        <v>0</v>
      </c>
      <c r="DY353" s="270">
        <f t="shared" si="29"/>
        <v>0</v>
      </c>
      <c r="DZ353" s="274"/>
      <c r="EA353" s="275">
        <f t="shared" si="38"/>
        <v>0</v>
      </c>
      <c r="EB353" s="270">
        <f t="shared" ref="EB353:FC353" si="2368">IF(AJ351&lt;=0,0,IF($C352&lt;=SUM($EA353:EA353),0,IF(CU352+$C352-SUM($EA353:EA353)&gt;AJ351+BO352,AJ351+BO352-CU352,$C352-SUM($EA353:EA353))))</f>
        <v>0</v>
      </c>
      <c r="EC353" s="270">
        <f t="shared" si="2368"/>
        <v>0</v>
      </c>
      <c r="ED353" s="270">
        <f t="shared" si="2368"/>
        <v>0</v>
      </c>
      <c r="EE353" s="270">
        <f t="shared" si="2368"/>
        <v>0</v>
      </c>
      <c r="EF353" s="270">
        <f t="shared" si="2368"/>
        <v>0</v>
      </c>
      <c r="EG353" s="270">
        <f t="shared" si="2368"/>
        <v>0</v>
      </c>
      <c r="EH353" s="270">
        <f t="shared" si="2368"/>
        <v>0</v>
      </c>
      <c r="EI353" s="270">
        <f t="shared" si="2368"/>
        <v>0</v>
      </c>
      <c r="EJ353" s="270">
        <f t="shared" si="2368"/>
        <v>0</v>
      </c>
      <c r="EK353" s="270">
        <f t="shared" si="2368"/>
        <v>0</v>
      </c>
      <c r="EL353" s="270">
        <f t="shared" si="2368"/>
        <v>0</v>
      </c>
      <c r="EM353" s="270">
        <f t="shared" si="2368"/>
        <v>0</v>
      </c>
      <c r="EN353" s="270">
        <f t="shared" si="2368"/>
        <v>0</v>
      </c>
      <c r="EO353" s="270">
        <f t="shared" si="2368"/>
        <v>0</v>
      </c>
      <c r="EP353" s="270">
        <f t="shared" si="2368"/>
        <v>0</v>
      </c>
      <c r="EQ353" s="270">
        <f t="shared" si="2368"/>
        <v>0</v>
      </c>
      <c r="ER353" s="270">
        <f t="shared" si="2368"/>
        <v>0</v>
      </c>
      <c r="ES353" s="270">
        <f t="shared" si="2368"/>
        <v>0</v>
      </c>
      <c r="ET353" s="270">
        <f t="shared" si="2368"/>
        <v>0</v>
      </c>
      <c r="EU353" s="270">
        <f t="shared" si="2368"/>
        <v>0</v>
      </c>
      <c r="EV353" s="270">
        <f t="shared" si="2368"/>
        <v>0</v>
      </c>
      <c r="EW353" s="270">
        <f t="shared" si="2368"/>
        <v>0</v>
      </c>
      <c r="EX353" s="270">
        <f t="shared" si="2368"/>
        <v>0</v>
      </c>
      <c r="EY353" s="270">
        <f t="shared" si="2368"/>
        <v>0</v>
      </c>
      <c r="EZ353" s="270">
        <f t="shared" si="2368"/>
        <v>0</v>
      </c>
      <c r="FA353" s="270">
        <f t="shared" si="2368"/>
        <v>0</v>
      </c>
      <c r="FB353" s="270">
        <f t="shared" si="2368"/>
        <v>0</v>
      </c>
      <c r="FC353" s="270">
        <f t="shared" si="2368"/>
        <v>0</v>
      </c>
      <c r="FD353" s="271"/>
      <c r="FE353" s="271"/>
      <c r="FF353" s="271"/>
      <c r="FG353" s="215"/>
      <c r="FH353" s="215"/>
    </row>
    <row r="354" ht="11.25" customHeight="1">
      <c r="A354" s="215" t="str">
        <f t="shared" si="19"/>
        <v/>
      </c>
      <c r="B354" s="241" t="str">
        <f t="shared" si="600"/>
        <v>#N/A</v>
      </c>
      <c r="C354" s="271" t="str">
        <f>IF(A354="","",IF(Calculator!snowball,IF(($E$5-DY354)&lt;0,0,$E$5-DY354),0)+D354)</f>
        <v/>
      </c>
      <c r="D354" s="271"/>
      <c r="E354" s="270">
        <f t="shared" si="40"/>
        <v>0</v>
      </c>
      <c r="F354" s="270">
        <f t="shared" ref="F354:AG354" si="2369">CU354+EB355</f>
        <v>0</v>
      </c>
      <c r="G354" s="270">
        <f t="shared" si="2369"/>
        <v>0</v>
      </c>
      <c r="H354" s="270">
        <f t="shared" si="2369"/>
        <v>0</v>
      </c>
      <c r="I354" s="270">
        <f t="shared" si="2369"/>
        <v>0</v>
      </c>
      <c r="J354" s="270">
        <f t="shared" si="2369"/>
        <v>0</v>
      </c>
      <c r="K354" s="270">
        <f t="shared" si="2369"/>
        <v>0</v>
      </c>
      <c r="L354" s="270">
        <f t="shared" si="2369"/>
        <v>0</v>
      </c>
      <c r="M354" s="270">
        <f t="shared" si="2369"/>
        <v>0</v>
      </c>
      <c r="N354" s="270">
        <f t="shared" si="2369"/>
        <v>0</v>
      </c>
      <c r="O354" s="270">
        <f t="shared" si="2369"/>
        <v>0</v>
      </c>
      <c r="P354" s="272">
        <f t="shared" si="2369"/>
        <v>0</v>
      </c>
      <c r="Q354" s="272">
        <f t="shared" si="2369"/>
        <v>0</v>
      </c>
      <c r="R354" s="272">
        <f t="shared" si="2369"/>
        <v>0</v>
      </c>
      <c r="S354" s="272">
        <f t="shared" si="2369"/>
        <v>0</v>
      </c>
      <c r="T354" s="272">
        <f t="shared" si="2369"/>
        <v>0</v>
      </c>
      <c r="U354" s="270">
        <f t="shared" si="2369"/>
        <v>0</v>
      </c>
      <c r="V354" s="270">
        <f t="shared" si="2369"/>
        <v>0</v>
      </c>
      <c r="W354" s="270">
        <f t="shared" si="2369"/>
        <v>0</v>
      </c>
      <c r="X354" s="270">
        <f t="shared" si="2369"/>
        <v>0</v>
      </c>
      <c r="Y354" s="270">
        <f t="shared" si="2369"/>
        <v>0</v>
      </c>
      <c r="Z354" s="270">
        <f t="shared" si="2369"/>
        <v>0</v>
      </c>
      <c r="AA354" s="270">
        <f t="shared" si="2369"/>
        <v>0</v>
      </c>
      <c r="AB354" s="270">
        <f t="shared" si="2369"/>
        <v>0</v>
      </c>
      <c r="AC354" s="270">
        <f t="shared" si="2369"/>
        <v>0</v>
      </c>
      <c r="AD354" s="270">
        <f t="shared" si="2369"/>
        <v>0</v>
      </c>
      <c r="AE354" s="270">
        <f t="shared" si="2369"/>
        <v>0</v>
      </c>
      <c r="AF354" s="270">
        <f t="shared" si="2369"/>
        <v>0</v>
      </c>
      <c r="AG354" s="270">
        <f t="shared" si="2369"/>
        <v>0</v>
      </c>
      <c r="AH354" s="279">
        <f t="shared" si="602"/>
        <v>0</v>
      </c>
      <c r="AI354" s="270">
        <f t="shared" si="43"/>
        <v>0</v>
      </c>
      <c r="AJ354" s="270">
        <f t="shared" ref="AJ354:AO354" si="2370">IF(F$8=0,0,ROUND(AJ353-(F354-BO354),2))</f>
        <v>0</v>
      </c>
      <c r="AK354" s="270">
        <f t="shared" si="2370"/>
        <v>0</v>
      </c>
      <c r="AL354" s="270">
        <f t="shared" si="2370"/>
        <v>0</v>
      </c>
      <c r="AM354" s="270">
        <f t="shared" si="2370"/>
        <v>0</v>
      </c>
      <c r="AN354" s="270">
        <f t="shared" si="2370"/>
        <v>0</v>
      </c>
      <c r="AO354" s="270">
        <f t="shared" si="2370"/>
        <v>0</v>
      </c>
      <c r="AP354" s="270">
        <v>0.0</v>
      </c>
      <c r="AQ354" s="270">
        <f t="shared" ref="AQ354:AR354" si="2371">IF(M$8=0,0,ROUND(AQ353-(M354-BV354),2))</f>
        <v>0</v>
      </c>
      <c r="AR354" s="270">
        <f t="shared" si="2371"/>
        <v>0</v>
      </c>
      <c r="AS354" s="270">
        <f t="shared" si="1902"/>
        <v>-10.83</v>
      </c>
      <c r="AT354" s="270">
        <f t="shared" si="605"/>
        <v>-9.13</v>
      </c>
      <c r="AU354" s="270">
        <f t="shared" ref="AU354:BK354" si="2372">IF(Q$8=0,0,ROUND(AU353-(Q354-BY354),2))</f>
        <v>-21.09</v>
      </c>
      <c r="AV354" s="270">
        <f t="shared" si="2372"/>
        <v>0</v>
      </c>
      <c r="AW354" s="270">
        <f t="shared" si="2372"/>
        <v>0</v>
      </c>
      <c r="AX354" s="270">
        <f t="shared" si="2372"/>
        <v>0</v>
      </c>
      <c r="AY354" s="270">
        <f t="shared" si="2372"/>
        <v>0</v>
      </c>
      <c r="AZ354" s="270">
        <f t="shared" si="2372"/>
        <v>0</v>
      </c>
      <c r="BA354" s="270">
        <f t="shared" si="2372"/>
        <v>0</v>
      </c>
      <c r="BB354" s="270">
        <f t="shared" si="2372"/>
        <v>0</v>
      </c>
      <c r="BC354" s="270">
        <f t="shared" si="2372"/>
        <v>0</v>
      </c>
      <c r="BD354" s="270">
        <f t="shared" si="2372"/>
        <v>0</v>
      </c>
      <c r="BE354" s="270">
        <f t="shared" si="2372"/>
        <v>0</v>
      </c>
      <c r="BF354" s="270">
        <f t="shared" si="2372"/>
        <v>0</v>
      </c>
      <c r="BG354" s="270">
        <f t="shared" si="2372"/>
        <v>0</v>
      </c>
      <c r="BH354" s="270">
        <f t="shared" si="2372"/>
        <v>0</v>
      </c>
      <c r="BI354" s="270">
        <f t="shared" si="2372"/>
        <v>0</v>
      </c>
      <c r="BJ354" s="270">
        <f t="shared" si="2372"/>
        <v>0</v>
      </c>
      <c r="BK354" s="270">
        <f t="shared" si="2372"/>
        <v>0</v>
      </c>
      <c r="BL354" s="265">
        <f t="shared" si="16"/>
        <v>-41.05</v>
      </c>
      <c r="BM354" s="215"/>
      <c r="BN354" s="270">
        <f t="shared" ref="BN354:CP354" si="2373">ROUND(AI353*E$9/12,2)</f>
        <v>0</v>
      </c>
      <c r="BO354" s="270">
        <f t="shared" si="2373"/>
        <v>0</v>
      </c>
      <c r="BP354" s="270">
        <f t="shared" si="2373"/>
        <v>0</v>
      </c>
      <c r="BQ354" s="270">
        <f t="shared" si="2373"/>
        <v>0</v>
      </c>
      <c r="BR354" s="270">
        <f t="shared" si="2373"/>
        <v>0</v>
      </c>
      <c r="BS354" s="270">
        <f t="shared" si="2373"/>
        <v>0</v>
      </c>
      <c r="BT354" s="270">
        <f t="shared" si="2373"/>
        <v>0</v>
      </c>
      <c r="BU354" s="270">
        <f t="shared" si="2373"/>
        <v>0</v>
      </c>
      <c r="BV354" s="270">
        <f t="shared" si="2373"/>
        <v>0</v>
      </c>
      <c r="BW354" s="270">
        <f t="shared" si="2373"/>
        <v>0</v>
      </c>
      <c r="BX354" s="270">
        <f t="shared" si="2373"/>
        <v>-0.1</v>
      </c>
      <c r="BY354" s="270">
        <f t="shared" si="2373"/>
        <v>-0.07</v>
      </c>
      <c r="BZ354" s="270">
        <f t="shared" si="2373"/>
        <v>-0.07</v>
      </c>
      <c r="CA354" s="270">
        <f t="shared" si="2373"/>
        <v>0</v>
      </c>
      <c r="CB354" s="270">
        <f t="shared" si="2373"/>
        <v>0</v>
      </c>
      <c r="CC354" s="270">
        <f t="shared" si="2373"/>
        <v>0</v>
      </c>
      <c r="CD354" s="270">
        <f t="shared" si="2373"/>
        <v>0</v>
      </c>
      <c r="CE354" s="270">
        <f t="shared" si="2373"/>
        <v>0</v>
      </c>
      <c r="CF354" s="270">
        <f t="shared" si="2373"/>
        <v>0</v>
      </c>
      <c r="CG354" s="270">
        <f t="shared" si="2373"/>
        <v>0</v>
      </c>
      <c r="CH354" s="270">
        <f t="shared" si="2373"/>
        <v>0</v>
      </c>
      <c r="CI354" s="270">
        <f t="shared" si="2373"/>
        <v>0</v>
      </c>
      <c r="CJ354" s="270">
        <f t="shared" si="2373"/>
        <v>0</v>
      </c>
      <c r="CK354" s="270">
        <f t="shared" si="2373"/>
        <v>0</v>
      </c>
      <c r="CL354" s="270">
        <f t="shared" si="2373"/>
        <v>0</v>
      </c>
      <c r="CM354" s="270">
        <f t="shared" si="2373"/>
        <v>0</v>
      </c>
      <c r="CN354" s="270">
        <f t="shared" si="2373"/>
        <v>0</v>
      </c>
      <c r="CO354" s="270">
        <f t="shared" si="2373"/>
        <v>0</v>
      </c>
      <c r="CP354" s="270">
        <f t="shared" si="2373"/>
        <v>0</v>
      </c>
      <c r="CQ354" s="215"/>
      <c r="CR354" s="270">
        <f t="shared" si="27"/>
        <v>-0.24</v>
      </c>
      <c r="CS354" s="215"/>
      <c r="CT354" s="270">
        <f t="shared" ref="CT354:DX354" si="2374">IF(AI353&gt;0,IF((AI353+BN354)&lt;E$10,AI353+BN354,E$10),0)</f>
        <v>0</v>
      </c>
      <c r="CU354" s="270">
        <f t="shared" si="2374"/>
        <v>0</v>
      </c>
      <c r="CV354" s="270">
        <f t="shared" si="2374"/>
        <v>0</v>
      </c>
      <c r="CW354" s="270">
        <f t="shared" si="2374"/>
        <v>0</v>
      </c>
      <c r="CX354" s="270">
        <f t="shared" si="2374"/>
        <v>0</v>
      </c>
      <c r="CY354" s="270">
        <f t="shared" si="2374"/>
        <v>0</v>
      </c>
      <c r="CZ354" s="270">
        <f t="shared" si="2374"/>
        <v>0</v>
      </c>
      <c r="DA354" s="270">
        <f t="shared" si="2374"/>
        <v>0</v>
      </c>
      <c r="DB354" s="270">
        <f t="shared" si="2374"/>
        <v>0</v>
      </c>
      <c r="DC354" s="270">
        <f t="shared" si="2374"/>
        <v>0</v>
      </c>
      <c r="DD354" s="270">
        <f t="shared" si="2374"/>
        <v>0</v>
      </c>
      <c r="DE354" s="270">
        <f t="shared" si="2374"/>
        <v>0</v>
      </c>
      <c r="DF354" s="270">
        <f t="shared" si="2374"/>
        <v>0</v>
      </c>
      <c r="DG354" s="270">
        <f t="shared" si="2374"/>
        <v>0</v>
      </c>
      <c r="DH354" s="270">
        <f t="shared" si="2374"/>
        <v>0</v>
      </c>
      <c r="DI354" s="270">
        <f t="shared" si="2374"/>
        <v>0</v>
      </c>
      <c r="DJ354" s="270">
        <f t="shared" si="2374"/>
        <v>0</v>
      </c>
      <c r="DK354" s="270">
        <f t="shared" si="2374"/>
        <v>0</v>
      </c>
      <c r="DL354" s="270">
        <f t="shared" si="2374"/>
        <v>0</v>
      </c>
      <c r="DM354" s="270">
        <f t="shared" si="2374"/>
        <v>0</v>
      </c>
      <c r="DN354" s="270">
        <f t="shared" si="2374"/>
        <v>0</v>
      </c>
      <c r="DO354" s="270">
        <f t="shared" si="2374"/>
        <v>0</v>
      </c>
      <c r="DP354" s="270">
        <f t="shared" si="2374"/>
        <v>0</v>
      </c>
      <c r="DQ354" s="270">
        <f t="shared" si="2374"/>
        <v>0</v>
      </c>
      <c r="DR354" s="270">
        <f t="shared" si="2374"/>
        <v>0</v>
      </c>
      <c r="DS354" s="270">
        <f t="shared" si="2374"/>
        <v>0</v>
      </c>
      <c r="DT354" s="270">
        <f t="shared" si="2374"/>
        <v>0</v>
      </c>
      <c r="DU354" s="270">
        <f t="shared" si="2374"/>
        <v>0</v>
      </c>
      <c r="DV354" s="270">
        <f t="shared" si="2374"/>
        <v>0</v>
      </c>
      <c r="DW354" s="270">
        <f t="shared" si="2374"/>
        <v>0</v>
      </c>
      <c r="DX354" s="270">
        <f t="shared" si="2374"/>
        <v>0</v>
      </c>
      <c r="DY354" s="270">
        <f t="shared" si="29"/>
        <v>0</v>
      </c>
      <c r="DZ354" s="274"/>
      <c r="EA354" s="275">
        <f t="shared" si="38"/>
        <v>0</v>
      </c>
      <c r="EB354" s="270">
        <f t="shared" ref="EB354:FC354" si="2375">IF(AJ352&lt;=0,0,IF($C353&lt;=SUM($EA354:EA354),0,IF(CU353+$C353-SUM($EA354:EA354)&gt;AJ352+BO353,AJ352+BO353-CU353,$C353-SUM($EA354:EA354))))</f>
        <v>0</v>
      </c>
      <c r="EC354" s="270">
        <f t="shared" si="2375"/>
        <v>0</v>
      </c>
      <c r="ED354" s="270">
        <f t="shared" si="2375"/>
        <v>0</v>
      </c>
      <c r="EE354" s="270">
        <f t="shared" si="2375"/>
        <v>0</v>
      </c>
      <c r="EF354" s="270">
        <f t="shared" si="2375"/>
        <v>0</v>
      </c>
      <c r="EG354" s="270">
        <f t="shared" si="2375"/>
        <v>0</v>
      </c>
      <c r="EH354" s="270">
        <f t="shared" si="2375"/>
        <v>0</v>
      </c>
      <c r="EI354" s="270">
        <f t="shared" si="2375"/>
        <v>0</v>
      </c>
      <c r="EJ354" s="270">
        <f t="shared" si="2375"/>
        <v>0</v>
      </c>
      <c r="EK354" s="270">
        <f t="shared" si="2375"/>
        <v>0</v>
      </c>
      <c r="EL354" s="270">
        <f t="shared" si="2375"/>
        <v>0</v>
      </c>
      <c r="EM354" s="270">
        <f t="shared" si="2375"/>
        <v>0</v>
      </c>
      <c r="EN354" s="270">
        <f t="shared" si="2375"/>
        <v>0</v>
      </c>
      <c r="EO354" s="270">
        <f t="shared" si="2375"/>
        <v>0</v>
      </c>
      <c r="EP354" s="270">
        <f t="shared" si="2375"/>
        <v>0</v>
      </c>
      <c r="EQ354" s="270">
        <f t="shared" si="2375"/>
        <v>0</v>
      </c>
      <c r="ER354" s="270">
        <f t="shared" si="2375"/>
        <v>0</v>
      </c>
      <c r="ES354" s="270">
        <f t="shared" si="2375"/>
        <v>0</v>
      </c>
      <c r="ET354" s="270">
        <f t="shared" si="2375"/>
        <v>0</v>
      </c>
      <c r="EU354" s="270">
        <f t="shared" si="2375"/>
        <v>0</v>
      </c>
      <c r="EV354" s="270">
        <f t="shared" si="2375"/>
        <v>0</v>
      </c>
      <c r="EW354" s="270">
        <f t="shared" si="2375"/>
        <v>0</v>
      </c>
      <c r="EX354" s="270">
        <f t="shared" si="2375"/>
        <v>0</v>
      </c>
      <c r="EY354" s="270">
        <f t="shared" si="2375"/>
        <v>0</v>
      </c>
      <c r="EZ354" s="270">
        <f t="shared" si="2375"/>
        <v>0</v>
      </c>
      <c r="FA354" s="270">
        <f t="shared" si="2375"/>
        <v>0</v>
      </c>
      <c r="FB354" s="270">
        <f t="shared" si="2375"/>
        <v>0</v>
      </c>
      <c r="FC354" s="270">
        <f t="shared" si="2375"/>
        <v>0</v>
      </c>
      <c r="FD354" s="271"/>
      <c r="FE354" s="271"/>
      <c r="FF354" s="271"/>
      <c r="FG354" s="215"/>
      <c r="FH354" s="215"/>
    </row>
    <row r="355" ht="11.25" customHeight="1">
      <c r="A355" s="215" t="str">
        <f t="shared" si="19"/>
        <v/>
      </c>
      <c r="B355" s="241" t="str">
        <f t="shared" si="600"/>
        <v>#N/A</v>
      </c>
      <c r="C355" s="271" t="str">
        <f>IF(A355="","",IF(Calculator!snowball,IF(($E$5-DY355)&lt;0,0,$E$5-DY355),0)+D355)</f>
        <v/>
      </c>
      <c r="D355" s="271"/>
      <c r="E355" s="270">
        <f t="shared" si="40"/>
        <v>0</v>
      </c>
      <c r="F355" s="270">
        <f t="shared" ref="F355:AG355" si="2376">CU355+EB356</f>
        <v>0</v>
      </c>
      <c r="G355" s="270">
        <f t="shared" si="2376"/>
        <v>0</v>
      </c>
      <c r="H355" s="270">
        <f t="shared" si="2376"/>
        <v>0</v>
      </c>
      <c r="I355" s="270">
        <f t="shared" si="2376"/>
        <v>0</v>
      </c>
      <c r="J355" s="270">
        <f t="shared" si="2376"/>
        <v>0</v>
      </c>
      <c r="K355" s="270">
        <f t="shared" si="2376"/>
        <v>0</v>
      </c>
      <c r="L355" s="270">
        <f t="shared" si="2376"/>
        <v>0</v>
      </c>
      <c r="M355" s="270">
        <f t="shared" si="2376"/>
        <v>0</v>
      </c>
      <c r="N355" s="270">
        <f t="shared" si="2376"/>
        <v>0</v>
      </c>
      <c r="O355" s="270">
        <f t="shared" si="2376"/>
        <v>0</v>
      </c>
      <c r="P355" s="272">
        <f t="shared" si="2376"/>
        <v>0</v>
      </c>
      <c r="Q355" s="272">
        <f t="shared" si="2376"/>
        <v>0</v>
      </c>
      <c r="R355" s="272">
        <f t="shared" si="2376"/>
        <v>0</v>
      </c>
      <c r="S355" s="272">
        <f t="shared" si="2376"/>
        <v>0</v>
      </c>
      <c r="T355" s="272">
        <f t="shared" si="2376"/>
        <v>0</v>
      </c>
      <c r="U355" s="270">
        <f t="shared" si="2376"/>
        <v>0</v>
      </c>
      <c r="V355" s="270">
        <f t="shared" si="2376"/>
        <v>0</v>
      </c>
      <c r="W355" s="270">
        <f t="shared" si="2376"/>
        <v>0</v>
      </c>
      <c r="X355" s="270">
        <f t="shared" si="2376"/>
        <v>0</v>
      </c>
      <c r="Y355" s="270">
        <f t="shared" si="2376"/>
        <v>0</v>
      </c>
      <c r="Z355" s="270">
        <f t="shared" si="2376"/>
        <v>0</v>
      </c>
      <c r="AA355" s="270">
        <f t="shared" si="2376"/>
        <v>0</v>
      </c>
      <c r="AB355" s="270">
        <f t="shared" si="2376"/>
        <v>0</v>
      </c>
      <c r="AC355" s="270">
        <f t="shared" si="2376"/>
        <v>0</v>
      </c>
      <c r="AD355" s="270">
        <f t="shared" si="2376"/>
        <v>0</v>
      </c>
      <c r="AE355" s="270">
        <f t="shared" si="2376"/>
        <v>0</v>
      </c>
      <c r="AF355" s="270">
        <f t="shared" si="2376"/>
        <v>0</v>
      </c>
      <c r="AG355" s="270">
        <f t="shared" si="2376"/>
        <v>0</v>
      </c>
      <c r="AH355" s="279">
        <f t="shared" si="602"/>
        <v>0</v>
      </c>
      <c r="AI355" s="270">
        <f t="shared" si="43"/>
        <v>0</v>
      </c>
      <c r="AJ355" s="270">
        <f t="shared" ref="AJ355:AO355" si="2377">IF(F$8=0,0,ROUND(AJ354-(F355-BO355),2))</f>
        <v>0</v>
      </c>
      <c r="AK355" s="270">
        <f t="shared" si="2377"/>
        <v>0</v>
      </c>
      <c r="AL355" s="270">
        <f t="shared" si="2377"/>
        <v>0</v>
      </c>
      <c r="AM355" s="270">
        <f t="shared" si="2377"/>
        <v>0</v>
      </c>
      <c r="AN355" s="270">
        <f t="shared" si="2377"/>
        <v>0</v>
      </c>
      <c r="AO355" s="270">
        <f t="shared" si="2377"/>
        <v>0</v>
      </c>
      <c r="AP355" s="270">
        <v>0.0</v>
      </c>
      <c r="AQ355" s="270">
        <f t="shared" ref="AQ355:AR355" si="2378">IF(M$8=0,0,ROUND(AQ354-(M355-BV355),2))</f>
        <v>0</v>
      </c>
      <c r="AR355" s="270">
        <f t="shared" si="2378"/>
        <v>0</v>
      </c>
      <c r="AS355" s="270">
        <f t="shared" si="1902"/>
        <v>-11.07</v>
      </c>
      <c r="AT355" s="270">
        <f t="shared" si="605"/>
        <v>-9.23</v>
      </c>
      <c r="AU355" s="270">
        <f t="shared" ref="AU355:BK355" si="2379">IF(Q$8=0,0,ROUND(AU354-(Q355-BY355),2))</f>
        <v>-21.16</v>
      </c>
      <c r="AV355" s="270">
        <f t="shared" si="2379"/>
        <v>0</v>
      </c>
      <c r="AW355" s="270">
        <f t="shared" si="2379"/>
        <v>0</v>
      </c>
      <c r="AX355" s="270">
        <f t="shared" si="2379"/>
        <v>0</v>
      </c>
      <c r="AY355" s="270">
        <f t="shared" si="2379"/>
        <v>0</v>
      </c>
      <c r="AZ355" s="270">
        <f t="shared" si="2379"/>
        <v>0</v>
      </c>
      <c r="BA355" s="270">
        <f t="shared" si="2379"/>
        <v>0</v>
      </c>
      <c r="BB355" s="270">
        <f t="shared" si="2379"/>
        <v>0</v>
      </c>
      <c r="BC355" s="270">
        <f t="shared" si="2379"/>
        <v>0</v>
      </c>
      <c r="BD355" s="270">
        <f t="shared" si="2379"/>
        <v>0</v>
      </c>
      <c r="BE355" s="270">
        <f t="shared" si="2379"/>
        <v>0</v>
      </c>
      <c r="BF355" s="270">
        <f t="shared" si="2379"/>
        <v>0</v>
      </c>
      <c r="BG355" s="270">
        <f t="shared" si="2379"/>
        <v>0</v>
      </c>
      <c r="BH355" s="270">
        <f t="shared" si="2379"/>
        <v>0</v>
      </c>
      <c r="BI355" s="270">
        <f t="shared" si="2379"/>
        <v>0</v>
      </c>
      <c r="BJ355" s="270">
        <f t="shared" si="2379"/>
        <v>0</v>
      </c>
      <c r="BK355" s="270">
        <f t="shared" si="2379"/>
        <v>0</v>
      </c>
      <c r="BL355" s="265">
        <f t="shared" si="16"/>
        <v>-41.46</v>
      </c>
      <c r="BM355" s="215"/>
      <c r="BN355" s="270">
        <f t="shared" ref="BN355:CP355" si="2380">ROUND(AI354*E$9/12,2)</f>
        <v>0</v>
      </c>
      <c r="BO355" s="270">
        <f t="shared" si="2380"/>
        <v>0</v>
      </c>
      <c r="BP355" s="270">
        <f t="shared" si="2380"/>
        <v>0</v>
      </c>
      <c r="BQ355" s="270">
        <f t="shared" si="2380"/>
        <v>0</v>
      </c>
      <c r="BR355" s="270">
        <f t="shared" si="2380"/>
        <v>0</v>
      </c>
      <c r="BS355" s="270">
        <f t="shared" si="2380"/>
        <v>0</v>
      </c>
      <c r="BT355" s="270">
        <f t="shared" si="2380"/>
        <v>0</v>
      </c>
      <c r="BU355" s="270">
        <f t="shared" si="2380"/>
        <v>0</v>
      </c>
      <c r="BV355" s="270">
        <f t="shared" si="2380"/>
        <v>0</v>
      </c>
      <c r="BW355" s="270">
        <f t="shared" si="2380"/>
        <v>0</v>
      </c>
      <c r="BX355" s="270">
        <f t="shared" si="2380"/>
        <v>-0.1</v>
      </c>
      <c r="BY355" s="270">
        <f t="shared" si="2380"/>
        <v>-0.07</v>
      </c>
      <c r="BZ355" s="270">
        <f t="shared" si="2380"/>
        <v>-0.07</v>
      </c>
      <c r="CA355" s="270">
        <f t="shared" si="2380"/>
        <v>0</v>
      </c>
      <c r="CB355" s="270">
        <f t="shared" si="2380"/>
        <v>0</v>
      </c>
      <c r="CC355" s="270">
        <f t="shared" si="2380"/>
        <v>0</v>
      </c>
      <c r="CD355" s="270">
        <f t="shared" si="2380"/>
        <v>0</v>
      </c>
      <c r="CE355" s="270">
        <f t="shared" si="2380"/>
        <v>0</v>
      </c>
      <c r="CF355" s="270">
        <f t="shared" si="2380"/>
        <v>0</v>
      </c>
      <c r="CG355" s="270">
        <f t="shared" si="2380"/>
        <v>0</v>
      </c>
      <c r="CH355" s="270">
        <f t="shared" si="2380"/>
        <v>0</v>
      </c>
      <c r="CI355" s="270">
        <f t="shared" si="2380"/>
        <v>0</v>
      </c>
      <c r="CJ355" s="270">
        <f t="shared" si="2380"/>
        <v>0</v>
      </c>
      <c r="CK355" s="270">
        <f t="shared" si="2380"/>
        <v>0</v>
      </c>
      <c r="CL355" s="270">
        <f t="shared" si="2380"/>
        <v>0</v>
      </c>
      <c r="CM355" s="270">
        <f t="shared" si="2380"/>
        <v>0</v>
      </c>
      <c r="CN355" s="270">
        <f t="shared" si="2380"/>
        <v>0</v>
      </c>
      <c r="CO355" s="270">
        <f t="shared" si="2380"/>
        <v>0</v>
      </c>
      <c r="CP355" s="270">
        <f t="shared" si="2380"/>
        <v>0</v>
      </c>
      <c r="CQ355" s="215"/>
      <c r="CR355" s="270">
        <f t="shared" si="27"/>
        <v>-0.24</v>
      </c>
      <c r="CS355" s="215"/>
      <c r="CT355" s="270">
        <f t="shared" ref="CT355:DX355" si="2381">IF(AI354&gt;0,IF((AI354+BN355)&lt;E$10,AI354+BN355,E$10),0)</f>
        <v>0</v>
      </c>
      <c r="CU355" s="270">
        <f t="shared" si="2381"/>
        <v>0</v>
      </c>
      <c r="CV355" s="270">
        <f t="shared" si="2381"/>
        <v>0</v>
      </c>
      <c r="CW355" s="270">
        <f t="shared" si="2381"/>
        <v>0</v>
      </c>
      <c r="CX355" s="270">
        <f t="shared" si="2381"/>
        <v>0</v>
      </c>
      <c r="CY355" s="270">
        <f t="shared" si="2381"/>
        <v>0</v>
      </c>
      <c r="CZ355" s="270">
        <f t="shared" si="2381"/>
        <v>0</v>
      </c>
      <c r="DA355" s="270">
        <f t="shared" si="2381"/>
        <v>0</v>
      </c>
      <c r="DB355" s="270">
        <f t="shared" si="2381"/>
        <v>0</v>
      </c>
      <c r="DC355" s="270">
        <f t="shared" si="2381"/>
        <v>0</v>
      </c>
      <c r="DD355" s="270">
        <f t="shared" si="2381"/>
        <v>0</v>
      </c>
      <c r="DE355" s="270">
        <f t="shared" si="2381"/>
        <v>0</v>
      </c>
      <c r="DF355" s="270">
        <f t="shared" si="2381"/>
        <v>0</v>
      </c>
      <c r="DG355" s="270">
        <f t="shared" si="2381"/>
        <v>0</v>
      </c>
      <c r="DH355" s="270">
        <f t="shared" si="2381"/>
        <v>0</v>
      </c>
      <c r="DI355" s="270">
        <f t="shared" si="2381"/>
        <v>0</v>
      </c>
      <c r="DJ355" s="270">
        <f t="shared" si="2381"/>
        <v>0</v>
      </c>
      <c r="DK355" s="270">
        <f t="shared" si="2381"/>
        <v>0</v>
      </c>
      <c r="DL355" s="270">
        <f t="shared" si="2381"/>
        <v>0</v>
      </c>
      <c r="DM355" s="270">
        <f t="shared" si="2381"/>
        <v>0</v>
      </c>
      <c r="DN355" s="270">
        <f t="shared" si="2381"/>
        <v>0</v>
      </c>
      <c r="DO355" s="270">
        <f t="shared" si="2381"/>
        <v>0</v>
      </c>
      <c r="DP355" s="270">
        <f t="shared" si="2381"/>
        <v>0</v>
      </c>
      <c r="DQ355" s="270">
        <f t="shared" si="2381"/>
        <v>0</v>
      </c>
      <c r="DR355" s="270">
        <f t="shared" si="2381"/>
        <v>0</v>
      </c>
      <c r="DS355" s="270">
        <f t="shared" si="2381"/>
        <v>0</v>
      </c>
      <c r="DT355" s="270">
        <f t="shared" si="2381"/>
        <v>0</v>
      </c>
      <c r="DU355" s="270">
        <f t="shared" si="2381"/>
        <v>0</v>
      </c>
      <c r="DV355" s="270">
        <f t="shared" si="2381"/>
        <v>0</v>
      </c>
      <c r="DW355" s="270">
        <f t="shared" si="2381"/>
        <v>0</v>
      </c>
      <c r="DX355" s="270">
        <f t="shared" si="2381"/>
        <v>0</v>
      </c>
      <c r="DY355" s="270">
        <f t="shared" si="29"/>
        <v>0</v>
      </c>
      <c r="DZ355" s="274"/>
      <c r="EA355" s="275">
        <f t="shared" si="38"/>
        <v>0</v>
      </c>
      <c r="EB355" s="270">
        <f t="shared" ref="EB355:FC355" si="2382">IF(AJ353&lt;=0,0,IF($C354&lt;=SUM($EA355:EA355),0,IF(CU354+$C354-SUM($EA355:EA355)&gt;AJ353+BO354,AJ353+BO354-CU354,$C354-SUM($EA355:EA355))))</f>
        <v>0</v>
      </c>
      <c r="EC355" s="270">
        <f t="shared" si="2382"/>
        <v>0</v>
      </c>
      <c r="ED355" s="270">
        <f t="shared" si="2382"/>
        <v>0</v>
      </c>
      <c r="EE355" s="270">
        <f t="shared" si="2382"/>
        <v>0</v>
      </c>
      <c r="EF355" s="270">
        <f t="shared" si="2382"/>
        <v>0</v>
      </c>
      <c r="EG355" s="270">
        <f t="shared" si="2382"/>
        <v>0</v>
      </c>
      <c r="EH355" s="270">
        <f t="shared" si="2382"/>
        <v>0</v>
      </c>
      <c r="EI355" s="270">
        <f t="shared" si="2382"/>
        <v>0</v>
      </c>
      <c r="EJ355" s="270">
        <f t="shared" si="2382"/>
        <v>0</v>
      </c>
      <c r="EK355" s="270">
        <f t="shared" si="2382"/>
        <v>0</v>
      </c>
      <c r="EL355" s="270">
        <f t="shared" si="2382"/>
        <v>0</v>
      </c>
      <c r="EM355" s="270">
        <f t="shared" si="2382"/>
        <v>0</v>
      </c>
      <c r="EN355" s="270">
        <f t="shared" si="2382"/>
        <v>0</v>
      </c>
      <c r="EO355" s="270">
        <f t="shared" si="2382"/>
        <v>0</v>
      </c>
      <c r="EP355" s="270">
        <f t="shared" si="2382"/>
        <v>0</v>
      </c>
      <c r="EQ355" s="270">
        <f t="shared" si="2382"/>
        <v>0</v>
      </c>
      <c r="ER355" s="270">
        <f t="shared" si="2382"/>
        <v>0</v>
      </c>
      <c r="ES355" s="270">
        <f t="shared" si="2382"/>
        <v>0</v>
      </c>
      <c r="ET355" s="270">
        <f t="shared" si="2382"/>
        <v>0</v>
      </c>
      <c r="EU355" s="270">
        <f t="shared" si="2382"/>
        <v>0</v>
      </c>
      <c r="EV355" s="270">
        <f t="shared" si="2382"/>
        <v>0</v>
      </c>
      <c r="EW355" s="270">
        <f t="shared" si="2382"/>
        <v>0</v>
      </c>
      <c r="EX355" s="270">
        <f t="shared" si="2382"/>
        <v>0</v>
      </c>
      <c r="EY355" s="270">
        <f t="shared" si="2382"/>
        <v>0</v>
      </c>
      <c r="EZ355" s="270">
        <f t="shared" si="2382"/>
        <v>0</v>
      </c>
      <c r="FA355" s="270">
        <f t="shared" si="2382"/>
        <v>0</v>
      </c>
      <c r="FB355" s="270">
        <f t="shared" si="2382"/>
        <v>0</v>
      </c>
      <c r="FC355" s="270">
        <f t="shared" si="2382"/>
        <v>0</v>
      </c>
      <c r="FD355" s="271"/>
      <c r="FE355" s="271"/>
      <c r="FF355" s="271"/>
      <c r="FG355" s="215"/>
      <c r="FH355" s="215"/>
    </row>
    <row r="356" ht="11.25" customHeight="1">
      <c r="A356" s="215" t="str">
        <f t="shared" si="19"/>
        <v/>
      </c>
      <c r="B356" s="241" t="str">
        <f t="shared" si="600"/>
        <v>#N/A</v>
      </c>
      <c r="C356" s="271" t="str">
        <f>IF(A356="","",IF(Calculator!snowball,IF(($E$5-DY356)&lt;0,0,$E$5-DY356),0)+D356)</f>
        <v/>
      </c>
      <c r="D356" s="271"/>
      <c r="E356" s="270" t="str">
        <f t="shared" ref="E356:N356" si="2383">CT356+#REF!</f>
        <v>#REF!</v>
      </c>
      <c r="F356" s="270" t="str">
        <f t="shared" si="2383"/>
        <v>#REF!</v>
      </c>
      <c r="G356" s="270" t="str">
        <f t="shared" si="2383"/>
        <v>#REF!</v>
      </c>
      <c r="H356" s="270" t="str">
        <f t="shared" si="2383"/>
        <v>#REF!</v>
      </c>
      <c r="I356" s="270" t="str">
        <f t="shared" si="2383"/>
        <v>#REF!</v>
      </c>
      <c r="J356" s="270" t="str">
        <f t="shared" si="2383"/>
        <v>#REF!</v>
      </c>
      <c r="K356" s="270" t="str">
        <f t="shared" si="2383"/>
        <v>#REF!</v>
      </c>
      <c r="L356" s="270" t="str">
        <f t="shared" si="2383"/>
        <v>#REF!</v>
      </c>
      <c r="M356" s="270" t="str">
        <f t="shared" si="2383"/>
        <v>#REF!</v>
      </c>
      <c r="N356" s="270" t="str">
        <f t="shared" si="2383"/>
        <v>#REF!</v>
      </c>
      <c r="O356" s="270" t="str">
        <f>DY356+#REF!</f>
        <v>#REF!</v>
      </c>
      <c r="P356" s="272" t="str">
        <f t="shared" ref="P356:AG356" si="2384">DD356+#REF!</f>
        <v>#REF!</v>
      </c>
      <c r="Q356" s="272" t="str">
        <f t="shared" si="2384"/>
        <v>#REF!</v>
      </c>
      <c r="R356" s="272" t="str">
        <f t="shared" si="2384"/>
        <v>#REF!</v>
      </c>
      <c r="S356" s="272" t="str">
        <f t="shared" si="2384"/>
        <v>#REF!</v>
      </c>
      <c r="T356" s="272" t="str">
        <f t="shared" si="2384"/>
        <v>#REF!</v>
      </c>
      <c r="U356" s="270" t="str">
        <f t="shared" si="2384"/>
        <v>#REF!</v>
      </c>
      <c r="V356" s="270" t="str">
        <f t="shared" si="2384"/>
        <v>#REF!</v>
      </c>
      <c r="W356" s="270" t="str">
        <f t="shared" si="2384"/>
        <v>#REF!</v>
      </c>
      <c r="X356" s="270" t="str">
        <f t="shared" si="2384"/>
        <v>#REF!</v>
      </c>
      <c r="Y356" s="270" t="str">
        <f t="shared" si="2384"/>
        <v>#REF!</v>
      </c>
      <c r="Z356" s="270" t="str">
        <f t="shared" si="2384"/>
        <v>#REF!</v>
      </c>
      <c r="AA356" s="270" t="str">
        <f t="shared" si="2384"/>
        <v>#REF!</v>
      </c>
      <c r="AB356" s="270" t="str">
        <f t="shared" si="2384"/>
        <v>#REF!</v>
      </c>
      <c r="AC356" s="270" t="str">
        <f t="shared" si="2384"/>
        <v>#REF!</v>
      </c>
      <c r="AD356" s="270" t="str">
        <f t="shared" si="2384"/>
        <v>#REF!</v>
      </c>
      <c r="AE356" s="270" t="str">
        <f t="shared" si="2384"/>
        <v>#REF!</v>
      </c>
      <c r="AF356" s="270" t="str">
        <f t="shared" si="2384"/>
        <v>#REF!</v>
      </c>
      <c r="AG356" s="270" t="str">
        <f t="shared" si="2384"/>
        <v>#REF!</v>
      </c>
      <c r="AH356" s="279" t="str">
        <f t="shared" si="602"/>
        <v>#REF!</v>
      </c>
      <c r="AI356" s="270" t="str">
        <f t="shared" si="43"/>
        <v>#REF!</v>
      </c>
      <c r="AJ356" s="270" t="str">
        <f t="shared" ref="AJ356:AR356" si="2385">IF(F$8=0,0,ROUND(AJ355-(F356-BO356),2))</f>
        <v>#REF!</v>
      </c>
      <c r="AK356" s="270" t="str">
        <f t="shared" si="2385"/>
        <v>#REF!</v>
      </c>
      <c r="AL356" s="270" t="str">
        <f t="shared" si="2385"/>
        <v>#REF!</v>
      </c>
      <c r="AM356" s="270" t="str">
        <f t="shared" si="2385"/>
        <v>#REF!</v>
      </c>
      <c r="AN356" s="270" t="str">
        <f t="shared" si="2385"/>
        <v>#REF!</v>
      </c>
      <c r="AO356" s="270" t="str">
        <f t="shared" si="2385"/>
        <v>#REF!</v>
      </c>
      <c r="AP356" s="270" t="str">
        <f t="shared" si="2385"/>
        <v>#REF!</v>
      </c>
      <c r="AQ356" s="270" t="str">
        <f t="shared" si="2385"/>
        <v>#REF!</v>
      </c>
      <c r="AR356" s="270" t="str">
        <f t="shared" si="2385"/>
        <v>#REF!</v>
      </c>
      <c r="AS356" s="270" t="str">
        <f t="shared" si="1902"/>
        <v>#REF!</v>
      </c>
      <c r="AT356" s="270" t="str">
        <f t="shared" si="605"/>
        <v>#REF!</v>
      </c>
      <c r="AU356" s="270" t="str">
        <f t="shared" ref="AU356:BK356" si="2386">IF(Q$8=0,0,ROUND(AU355-(Q356-BY356),2))</f>
        <v>#REF!</v>
      </c>
      <c r="AV356" s="270">
        <f t="shared" si="2386"/>
        <v>0</v>
      </c>
      <c r="AW356" s="270">
        <f t="shared" si="2386"/>
        <v>0</v>
      </c>
      <c r="AX356" s="270">
        <f t="shared" si="2386"/>
        <v>0</v>
      </c>
      <c r="AY356" s="270">
        <f t="shared" si="2386"/>
        <v>0</v>
      </c>
      <c r="AZ356" s="270">
        <f t="shared" si="2386"/>
        <v>0</v>
      </c>
      <c r="BA356" s="270">
        <f t="shared" si="2386"/>
        <v>0</v>
      </c>
      <c r="BB356" s="270">
        <f t="shared" si="2386"/>
        <v>0</v>
      </c>
      <c r="BC356" s="270">
        <f t="shared" si="2386"/>
        <v>0</v>
      </c>
      <c r="BD356" s="270">
        <f t="shared" si="2386"/>
        <v>0</v>
      </c>
      <c r="BE356" s="270">
        <f t="shared" si="2386"/>
        <v>0</v>
      </c>
      <c r="BF356" s="270">
        <f t="shared" si="2386"/>
        <v>0</v>
      </c>
      <c r="BG356" s="270">
        <f t="shared" si="2386"/>
        <v>0</v>
      </c>
      <c r="BH356" s="270">
        <f t="shared" si="2386"/>
        <v>0</v>
      </c>
      <c r="BI356" s="270">
        <f t="shared" si="2386"/>
        <v>0</v>
      </c>
      <c r="BJ356" s="270">
        <f t="shared" si="2386"/>
        <v>0</v>
      </c>
      <c r="BK356" s="270">
        <f t="shared" si="2386"/>
        <v>0</v>
      </c>
      <c r="BL356" s="265" t="str">
        <f t="shared" si="16"/>
        <v>#REF!</v>
      </c>
      <c r="BM356" s="215"/>
      <c r="BN356" s="270">
        <f t="shared" ref="BN356:CP356" si="2387">ROUND(AI355*E$9/12,2)</f>
        <v>0</v>
      </c>
      <c r="BO356" s="270">
        <f t="shared" si="2387"/>
        <v>0</v>
      </c>
      <c r="BP356" s="270">
        <f t="shared" si="2387"/>
        <v>0</v>
      </c>
      <c r="BQ356" s="270">
        <f t="shared" si="2387"/>
        <v>0</v>
      </c>
      <c r="BR356" s="270">
        <f t="shared" si="2387"/>
        <v>0</v>
      </c>
      <c r="BS356" s="270">
        <f t="shared" si="2387"/>
        <v>0</v>
      </c>
      <c r="BT356" s="270">
        <f t="shared" si="2387"/>
        <v>0</v>
      </c>
      <c r="BU356" s="270">
        <f t="shared" si="2387"/>
        <v>0</v>
      </c>
      <c r="BV356" s="270">
        <f t="shared" si="2387"/>
        <v>0</v>
      </c>
      <c r="BW356" s="270">
        <f t="shared" si="2387"/>
        <v>0</v>
      </c>
      <c r="BX356" s="270">
        <f t="shared" si="2387"/>
        <v>-0.1</v>
      </c>
      <c r="BY356" s="270">
        <f t="shared" si="2387"/>
        <v>-0.07</v>
      </c>
      <c r="BZ356" s="270">
        <f t="shared" si="2387"/>
        <v>-0.07</v>
      </c>
      <c r="CA356" s="270">
        <f t="shared" si="2387"/>
        <v>0</v>
      </c>
      <c r="CB356" s="270">
        <f t="shared" si="2387"/>
        <v>0</v>
      </c>
      <c r="CC356" s="270">
        <f t="shared" si="2387"/>
        <v>0</v>
      </c>
      <c r="CD356" s="270">
        <f t="shared" si="2387"/>
        <v>0</v>
      </c>
      <c r="CE356" s="270">
        <f t="shared" si="2387"/>
        <v>0</v>
      </c>
      <c r="CF356" s="270">
        <f t="shared" si="2387"/>
        <v>0</v>
      </c>
      <c r="CG356" s="270">
        <f t="shared" si="2387"/>
        <v>0</v>
      </c>
      <c r="CH356" s="270">
        <f t="shared" si="2387"/>
        <v>0</v>
      </c>
      <c r="CI356" s="270">
        <f t="shared" si="2387"/>
        <v>0</v>
      </c>
      <c r="CJ356" s="270">
        <f t="shared" si="2387"/>
        <v>0</v>
      </c>
      <c r="CK356" s="270">
        <f t="shared" si="2387"/>
        <v>0</v>
      </c>
      <c r="CL356" s="270">
        <f t="shared" si="2387"/>
        <v>0</v>
      </c>
      <c r="CM356" s="270">
        <f t="shared" si="2387"/>
        <v>0</v>
      </c>
      <c r="CN356" s="270">
        <f t="shared" si="2387"/>
        <v>0</v>
      </c>
      <c r="CO356" s="270">
        <f t="shared" si="2387"/>
        <v>0</v>
      </c>
      <c r="CP356" s="270">
        <f t="shared" si="2387"/>
        <v>0</v>
      </c>
      <c r="CQ356" s="215"/>
      <c r="CR356" s="270">
        <f t="shared" si="27"/>
        <v>-0.24</v>
      </c>
      <c r="CS356" s="215"/>
      <c r="CT356" s="270">
        <f t="shared" ref="CT356:DX356" si="2388">IF(AI355&gt;0,IF((AI355+BN356)&lt;E$10,AI355+BN356,E$10),0)</f>
        <v>0</v>
      </c>
      <c r="CU356" s="270">
        <f t="shared" si="2388"/>
        <v>0</v>
      </c>
      <c r="CV356" s="270">
        <f t="shared" si="2388"/>
        <v>0</v>
      </c>
      <c r="CW356" s="270">
        <f t="shared" si="2388"/>
        <v>0</v>
      </c>
      <c r="CX356" s="270">
        <f t="shared" si="2388"/>
        <v>0</v>
      </c>
      <c r="CY356" s="270">
        <f t="shared" si="2388"/>
        <v>0</v>
      </c>
      <c r="CZ356" s="270">
        <f t="shared" si="2388"/>
        <v>0</v>
      </c>
      <c r="DA356" s="270">
        <f t="shared" si="2388"/>
        <v>0</v>
      </c>
      <c r="DB356" s="270">
        <f t="shared" si="2388"/>
        <v>0</v>
      </c>
      <c r="DC356" s="270">
        <f t="shared" si="2388"/>
        <v>0</v>
      </c>
      <c r="DD356" s="270">
        <f t="shared" si="2388"/>
        <v>0</v>
      </c>
      <c r="DE356" s="270">
        <f t="shared" si="2388"/>
        <v>0</v>
      </c>
      <c r="DF356" s="270">
        <f t="shared" si="2388"/>
        <v>0</v>
      </c>
      <c r="DG356" s="270">
        <f t="shared" si="2388"/>
        <v>0</v>
      </c>
      <c r="DH356" s="270">
        <f t="shared" si="2388"/>
        <v>0</v>
      </c>
      <c r="DI356" s="270">
        <f t="shared" si="2388"/>
        <v>0</v>
      </c>
      <c r="DJ356" s="270">
        <f t="shared" si="2388"/>
        <v>0</v>
      </c>
      <c r="DK356" s="270">
        <f t="shared" si="2388"/>
        <v>0</v>
      </c>
      <c r="DL356" s="270">
        <f t="shared" si="2388"/>
        <v>0</v>
      </c>
      <c r="DM356" s="270">
        <f t="shared" si="2388"/>
        <v>0</v>
      </c>
      <c r="DN356" s="270">
        <f t="shared" si="2388"/>
        <v>0</v>
      </c>
      <c r="DO356" s="270">
        <f t="shared" si="2388"/>
        <v>0</v>
      </c>
      <c r="DP356" s="270">
        <f t="shared" si="2388"/>
        <v>0</v>
      </c>
      <c r="DQ356" s="270">
        <f t="shared" si="2388"/>
        <v>0</v>
      </c>
      <c r="DR356" s="270">
        <f t="shared" si="2388"/>
        <v>0</v>
      </c>
      <c r="DS356" s="270">
        <f t="shared" si="2388"/>
        <v>0</v>
      </c>
      <c r="DT356" s="270">
        <f t="shared" si="2388"/>
        <v>0</v>
      </c>
      <c r="DU356" s="270">
        <f t="shared" si="2388"/>
        <v>0</v>
      </c>
      <c r="DV356" s="270">
        <f t="shared" si="2388"/>
        <v>0</v>
      </c>
      <c r="DW356" s="270">
        <f t="shared" si="2388"/>
        <v>0</v>
      </c>
      <c r="DX356" s="270">
        <f t="shared" si="2388"/>
        <v>0</v>
      </c>
      <c r="DY356" s="270">
        <f t="shared" si="29"/>
        <v>0</v>
      </c>
      <c r="DZ356" s="274"/>
      <c r="EA356" s="275">
        <f t="shared" si="38"/>
        <v>0</v>
      </c>
      <c r="EB356" s="270">
        <f t="shared" ref="EB356:FC356" si="2389">IF(AJ354&lt;=0,0,IF($C355&lt;=SUM($EA356:EA356),0,IF(CU355+$C355-SUM($EA356:EA356)&gt;AJ354+BO355,AJ354+BO355-CU355,$C355-SUM($EA356:EA356))))</f>
        <v>0</v>
      </c>
      <c r="EC356" s="270">
        <f t="shared" si="2389"/>
        <v>0</v>
      </c>
      <c r="ED356" s="270">
        <f t="shared" si="2389"/>
        <v>0</v>
      </c>
      <c r="EE356" s="270">
        <f t="shared" si="2389"/>
        <v>0</v>
      </c>
      <c r="EF356" s="270">
        <f t="shared" si="2389"/>
        <v>0</v>
      </c>
      <c r="EG356" s="270">
        <f t="shared" si="2389"/>
        <v>0</v>
      </c>
      <c r="EH356" s="270">
        <f t="shared" si="2389"/>
        <v>0</v>
      </c>
      <c r="EI356" s="270">
        <f t="shared" si="2389"/>
        <v>0</v>
      </c>
      <c r="EJ356" s="270">
        <f t="shared" si="2389"/>
        <v>0</v>
      </c>
      <c r="EK356" s="270">
        <f t="shared" si="2389"/>
        <v>0</v>
      </c>
      <c r="EL356" s="270">
        <f t="shared" si="2389"/>
        <v>0</v>
      </c>
      <c r="EM356" s="270">
        <f t="shared" si="2389"/>
        <v>0</v>
      </c>
      <c r="EN356" s="270">
        <f t="shared" si="2389"/>
        <v>0</v>
      </c>
      <c r="EO356" s="270">
        <f t="shared" si="2389"/>
        <v>0</v>
      </c>
      <c r="EP356" s="270">
        <f t="shared" si="2389"/>
        <v>0</v>
      </c>
      <c r="EQ356" s="270">
        <f t="shared" si="2389"/>
        <v>0</v>
      </c>
      <c r="ER356" s="270">
        <f t="shared" si="2389"/>
        <v>0</v>
      </c>
      <c r="ES356" s="270">
        <f t="shared" si="2389"/>
        <v>0</v>
      </c>
      <c r="ET356" s="270">
        <f t="shared" si="2389"/>
        <v>0</v>
      </c>
      <c r="EU356" s="270">
        <f t="shared" si="2389"/>
        <v>0</v>
      </c>
      <c r="EV356" s="270">
        <f t="shared" si="2389"/>
        <v>0</v>
      </c>
      <c r="EW356" s="270">
        <f t="shared" si="2389"/>
        <v>0</v>
      </c>
      <c r="EX356" s="270">
        <f t="shared" si="2389"/>
        <v>0</v>
      </c>
      <c r="EY356" s="270">
        <f t="shared" si="2389"/>
        <v>0</v>
      </c>
      <c r="EZ356" s="270">
        <f t="shared" si="2389"/>
        <v>0</v>
      </c>
      <c r="FA356" s="270">
        <f t="shared" si="2389"/>
        <v>0</v>
      </c>
      <c r="FB356" s="270">
        <f t="shared" si="2389"/>
        <v>0</v>
      </c>
      <c r="FC356" s="270">
        <f t="shared" si="2389"/>
        <v>0</v>
      </c>
      <c r="FD356" s="271"/>
      <c r="FE356" s="271"/>
      <c r="FF356" s="271"/>
      <c r="FG356" s="215"/>
      <c r="FH356" s="215"/>
    </row>
  </sheetData>
  <mergeCells count="17">
    <mergeCell ref="L1:N1"/>
    <mergeCell ref="I2:N2"/>
    <mergeCell ref="A4:D4"/>
    <mergeCell ref="E4:J4"/>
    <mergeCell ref="A5:D5"/>
    <mergeCell ref="E5:F5"/>
    <mergeCell ref="A7:D7"/>
    <mergeCell ref="A16:D16"/>
    <mergeCell ref="E16:F16"/>
    <mergeCell ref="E18:L18"/>
    <mergeCell ref="A8:D8"/>
    <mergeCell ref="A9:D9"/>
    <mergeCell ref="A10:D10"/>
    <mergeCell ref="A11:D11"/>
    <mergeCell ref="A12:D12"/>
    <mergeCell ref="A13:D13"/>
    <mergeCell ref="A14:D14"/>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9.75"/>
    <col customWidth="1" min="6" max="6" width="8.63"/>
    <col customWidth="1" min="7" max="7" width="6.13"/>
    <col customWidth="1" min="8" max="8" width="8.63"/>
    <col customWidth="1" min="9" max="9" width="11.13"/>
    <col customWidth="1" min="10" max="10" width="8.63"/>
    <col customWidth="1" min="11" max="11" width="6.13"/>
    <col customWidth="1" min="12" max="12" width="8.63"/>
    <col customWidth="1" min="13" max="13" width="6.13"/>
    <col customWidth="1" min="14" max="14" width="8.63"/>
    <col customWidth="1" min="15" max="15" width="2.13"/>
    <col customWidth="1" min="16" max="20" width="16.38"/>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2025.0</v>
      </c>
      <c r="C2" s="3"/>
      <c r="D2" s="9" t="s">
        <v>2</v>
      </c>
      <c r="E2" s="10">
        <v>1.0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284" t="s">
        <v>6</v>
      </c>
    </row>
    <row r="4" ht="12.75" customHeight="1">
      <c r="N4" s="18"/>
      <c r="P4" s="19"/>
      <c r="Q4" s="19"/>
      <c r="R4" s="285"/>
      <c r="S4" s="286"/>
      <c r="T4" s="19"/>
    </row>
    <row r="5" ht="25.5" customHeight="1">
      <c r="A5" s="21" t="str">
        <f>UPPER(TEXT(B8,"mmmm yyyy"))</f>
        <v>JANUARY 2025</v>
      </c>
      <c r="B5" s="22"/>
      <c r="C5" s="22"/>
      <c r="D5" s="22"/>
      <c r="E5" s="22"/>
      <c r="F5" s="22"/>
      <c r="G5" s="22"/>
      <c r="H5" s="23"/>
      <c r="I5" s="23"/>
      <c r="J5" s="23"/>
      <c r="K5" s="22"/>
      <c r="L5" s="24" t="s">
        <v>7</v>
      </c>
      <c r="M5" s="25">
        <f>'Dec 2024'!D46</f>
        <v>3773.84</v>
      </c>
      <c r="N5" s="26"/>
      <c r="O5" s="23"/>
      <c r="P5" s="27"/>
      <c r="Q5" s="27"/>
      <c r="R5" s="287" t="s">
        <v>8</v>
      </c>
      <c r="S5" s="288">
        <f>SUMIF(A18:N21,"&gt;0")+SUMIF(A24:N27,"&gt;0")+SUMIF(A30:N33,"&gt;0")+SUMIF(A36:N39,"&gt;0")+SUMIF(A42:D45,"&gt;0")+SUMIF(S11:S49,"&gt;0")+SUMIF(A12:N15,"&gt;0")</f>
        <v>4482.27</v>
      </c>
      <c r="U5" s="23"/>
      <c r="V5" s="289">
        <f>sum(S5+S6)</f>
        <v>-1036.14</v>
      </c>
      <c r="W5" s="23"/>
      <c r="X5" s="23"/>
      <c r="Y5" s="23"/>
      <c r="Z5" s="23"/>
    </row>
    <row r="6" ht="25.5" customHeight="1">
      <c r="A6" s="31"/>
      <c r="B6" s="31"/>
      <c r="C6" s="31"/>
      <c r="D6" s="31"/>
      <c r="E6" s="31"/>
      <c r="F6" s="32"/>
      <c r="G6" s="33"/>
      <c r="H6" s="34"/>
      <c r="I6" s="34"/>
      <c r="J6" s="34"/>
      <c r="K6" s="31"/>
      <c r="L6" s="24" t="s">
        <v>9</v>
      </c>
      <c r="M6" s="35">
        <f>D46</f>
        <v>2737.7</v>
      </c>
      <c r="O6" s="34"/>
      <c r="P6" s="36"/>
      <c r="Q6" s="36"/>
      <c r="R6" s="287" t="s">
        <v>10</v>
      </c>
      <c r="S6" s="288">
        <f>SUMIF(A18:N21,"&lt;0")+SUMIF(A24:N27,"&lt;0")+SUMIF(A30:N33,"&lt;0")+SUMIF(A36:N39,"&lt;0")+SUMIF(A42:D45,"&lt;0")+SUMIF(S11:S183,"&lt;0")+SUMIF(A12:N15,"&lt;0")</f>
        <v>-5518.41</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45658</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45662</v>
      </c>
      <c r="B9" s="40"/>
      <c r="C9" s="39">
        <f>C17</f>
        <v>45663</v>
      </c>
      <c r="D9" s="40"/>
      <c r="E9" s="39">
        <f>E17</f>
        <v>45664</v>
      </c>
      <c r="F9" s="40"/>
      <c r="G9" s="39">
        <f>G17</f>
        <v>45665</v>
      </c>
      <c r="H9" s="40"/>
      <c r="I9" s="39">
        <f>I17</f>
        <v>45666</v>
      </c>
      <c r="J9" s="40"/>
      <c r="K9" s="39">
        <f>K17</f>
        <v>45667</v>
      </c>
      <c r="L9" s="40"/>
      <c r="M9" s="39">
        <f>M17</f>
        <v>45668</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SUMIF($T$11:$T$110,A11,$S$11:$S$71)</f>
        <v>0</v>
      </c>
      <c r="C11" s="50" t="str">
        <f>IF(A11="",IF(WEEKDAY($B$8,1)=MOD($H$2,7)+1,$B$8,""),A11+1)</f>
        <v/>
      </c>
      <c r="D11" s="51">
        <f>SUMIF($T$11:$T$110,C11,$S$11:$S$71)</f>
        <v>0</v>
      </c>
      <c r="E11" s="50" t="str">
        <f>IF(C11="",IF(WEEKDAY($B$8,1)=MOD($H$2+1,7)+1,$B$8,""),C11+1)</f>
        <v/>
      </c>
      <c r="F11" s="51">
        <f>SUMIF($T$11:$T$110,E11,$S$11:$S$71)</f>
        <v>0</v>
      </c>
      <c r="G11" s="50">
        <f>IF(E11="",IF(WEEKDAY($B$8,1)=MOD($H$2+2,7)+1,$B$8,""),E11+1)</f>
        <v>45658</v>
      </c>
      <c r="H11" s="51">
        <f>SUMIF($T$11:$T$110,G11,$S$11:$S$71)</f>
        <v>-155</v>
      </c>
      <c r="I11" s="50">
        <f>IF(G11="",IF(WEEKDAY($B$8,1)=MOD($H$2+3,7)+1,$B$8,""),G11+1)</f>
        <v>45659</v>
      </c>
      <c r="J11" s="51">
        <f>SUMIF($T$11:$T$110,I11,$S$11:$S$71)</f>
        <v>0</v>
      </c>
      <c r="K11" s="50">
        <f>IF(I11="",IF(WEEKDAY($B$8,1)=MOD($H$2+4,7)+1,$B$8,""),I11+1)</f>
        <v>45660</v>
      </c>
      <c r="L11" s="51">
        <f>SUMIF($T$11:$T$110,K11,$S$11:$S$71)</f>
        <v>-1648.38</v>
      </c>
      <c r="M11" s="50">
        <f>IF(K11="",IF(WEEKDAY($B$8,1)=MOD($H$2+5,7)+1,$B$8,""),K11+1)</f>
        <v>45661</v>
      </c>
      <c r="N11" s="51">
        <f>SUMIF($T$11:$T$110,M11,$S$11:$S$71)</f>
        <v>0</v>
      </c>
      <c r="O11" s="23"/>
      <c r="P11" s="294" t="s">
        <v>132</v>
      </c>
      <c r="Q11" s="295" t="s">
        <v>133</v>
      </c>
      <c r="R11" s="295" t="s">
        <v>134</v>
      </c>
      <c r="S11" s="296" t="s">
        <v>135</v>
      </c>
      <c r="T11" s="297" t="s">
        <v>136</v>
      </c>
      <c r="U11" s="23"/>
      <c r="V11" s="23"/>
      <c r="W11" s="23"/>
      <c r="X11" s="23"/>
      <c r="Y11" s="23"/>
      <c r="Z11" s="23"/>
    </row>
    <row r="12" ht="18.75" customHeight="1">
      <c r="A12" s="55"/>
      <c r="B12" s="56"/>
      <c r="C12" s="55"/>
      <c r="D12" s="56"/>
      <c r="E12" s="55"/>
      <c r="F12" s="56"/>
      <c r="G12" s="55"/>
      <c r="H12" s="57"/>
      <c r="I12" s="58"/>
      <c r="J12" s="57"/>
      <c r="K12" s="55"/>
      <c r="L12" s="57"/>
      <c r="M12" s="55"/>
      <c r="N12" s="56"/>
      <c r="O12" s="23"/>
      <c r="P12" s="298" t="s">
        <v>24</v>
      </c>
      <c r="Q12" s="299"/>
      <c r="R12" s="300">
        <v>1.0</v>
      </c>
      <c r="S12" s="301">
        <v>-57.0</v>
      </c>
      <c r="T12" s="302">
        <f t="shared" ref="T12:T49" si="1">IF(ISBLANK(R12),"-",IF(R12&gt;DAY(EOMONTH(DATE($B$2,$E$2,1),0)),EOMONTH(DATE($B$2,$E$2,1),0),DATE($B$2,$E$2,R12)))</f>
        <v>45658</v>
      </c>
      <c r="U12" s="64"/>
      <c r="V12" s="64"/>
      <c r="W12" s="64"/>
      <c r="X12" s="303"/>
      <c r="Y12" s="23"/>
      <c r="Z12" s="23"/>
    </row>
    <row r="13" ht="18.75" customHeight="1">
      <c r="A13" s="55"/>
      <c r="B13" s="56"/>
      <c r="C13" s="55"/>
      <c r="D13" s="56"/>
      <c r="E13" s="55"/>
      <c r="F13" s="56"/>
      <c r="G13" s="55"/>
      <c r="H13" s="56"/>
      <c r="I13" s="55"/>
      <c r="J13" s="57"/>
      <c r="K13" s="55"/>
      <c r="L13" s="56"/>
      <c r="M13" s="55"/>
      <c r="N13" s="56"/>
      <c r="O13" s="23"/>
      <c r="P13" s="298" t="s">
        <v>26</v>
      </c>
      <c r="Q13" s="299"/>
      <c r="R13" s="300">
        <v>1.0</v>
      </c>
      <c r="S13" s="301">
        <v>-98.0</v>
      </c>
      <c r="T13" s="302">
        <f t="shared" si="1"/>
        <v>45658</v>
      </c>
      <c r="U13" s="64"/>
      <c r="V13" s="64"/>
      <c r="W13" s="64"/>
      <c r="X13" s="303"/>
      <c r="Y13" s="23"/>
      <c r="Z13" s="23"/>
    </row>
    <row r="14" ht="18.75" customHeight="1">
      <c r="A14" s="55"/>
      <c r="B14" s="56"/>
      <c r="C14" s="55"/>
      <c r="D14" s="56"/>
      <c r="E14" s="55"/>
      <c r="F14" s="56"/>
      <c r="G14" s="55"/>
      <c r="H14" s="56"/>
      <c r="I14" s="58"/>
      <c r="J14" s="57"/>
      <c r="K14" s="55"/>
      <c r="L14" s="56"/>
      <c r="M14" s="55"/>
      <c r="N14" s="56"/>
      <c r="O14" s="23"/>
      <c r="P14" s="304" t="s">
        <v>80</v>
      </c>
      <c r="Q14" s="305"/>
      <c r="R14" s="306">
        <v>3.0</v>
      </c>
      <c r="S14" s="307">
        <f t="array" ref="S14">-INDEX(PaymentSchedule!$E$21:$AG917,MATCH(PaymentSchedule!$B$21,PaymentSchedule!$B$21:$B$100),MATCH($P14,PaymentSchedule!$E$19:$AG$19,0))</f>
        <v>-9.8</v>
      </c>
      <c r="T14" s="302">
        <f t="shared" si="1"/>
        <v>45660</v>
      </c>
      <c r="U14" s="64"/>
      <c r="V14" s="64"/>
      <c r="W14" s="64"/>
      <c r="X14" s="303"/>
      <c r="Y14" s="23"/>
      <c r="Z14" s="23"/>
    </row>
    <row r="15" ht="18.75" customHeight="1">
      <c r="A15" s="55"/>
      <c r="B15" s="56"/>
      <c r="C15" s="55"/>
      <c r="D15" s="56"/>
      <c r="E15" s="55"/>
      <c r="F15" s="56"/>
      <c r="G15" s="55"/>
      <c r="H15" s="56"/>
      <c r="I15" s="55"/>
      <c r="J15" s="56"/>
      <c r="K15" s="55"/>
      <c r="L15" s="56"/>
      <c r="M15" s="55"/>
      <c r="N15" s="56"/>
      <c r="O15" s="23"/>
      <c r="P15" s="308" t="s">
        <v>81</v>
      </c>
      <c r="Q15" s="305"/>
      <c r="R15" s="306">
        <v>3.0</v>
      </c>
      <c r="S15" s="307">
        <f t="array" ref="S15">-INDEX(PaymentSchedule!$E$21:$AG917,MATCH(PaymentSchedule!$B$21,PaymentSchedule!$B$21:$B$100),MATCH($P15,PaymentSchedule!$E$19:$AG$19,0))</f>
        <v>-14.7</v>
      </c>
      <c r="T15" s="302">
        <f t="shared" si="1"/>
        <v>45660</v>
      </c>
      <c r="U15" s="64"/>
      <c r="V15" s="23"/>
      <c r="W15" s="64"/>
      <c r="X15" s="303"/>
      <c r="Y15" s="23"/>
      <c r="Z15" s="23"/>
    </row>
    <row r="16" ht="18.75" customHeight="1">
      <c r="A16" s="66" t="s">
        <v>22</v>
      </c>
      <c r="B16" s="67">
        <f>$M$5+SUM(B11:B15)</f>
        <v>3773.84</v>
      </c>
      <c r="C16" s="66"/>
      <c r="D16" s="67">
        <f>B16+SUM(D11:D15)</f>
        <v>3773.84</v>
      </c>
      <c r="E16" s="66"/>
      <c r="F16" s="67">
        <f>D16+SUM(F11:F15)</f>
        <v>3773.84</v>
      </c>
      <c r="G16" s="66"/>
      <c r="H16" s="67">
        <f>F16+SUM(H11:H15)</f>
        <v>3618.84</v>
      </c>
      <c r="I16" s="66"/>
      <c r="J16" s="67">
        <f>H16+SUM(J11:J15)</f>
        <v>3618.84</v>
      </c>
      <c r="K16" s="66"/>
      <c r="L16" s="67">
        <f>J16+SUM(L11:L15)</f>
        <v>1970.46</v>
      </c>
      <c r="M16" s="66"/>
      <c r="N16" s="67">
        <f>L16+SUM(N11:N15)</f>
        <v>1970.46</v>
      </c>
      <c r="O16" s="68"/>
      <c r="P16" s="304" t="s">
        <v>82</v>
      </c>
      <c r="Q16" s="305"/>
      <c r="R16" s="306">
        <v>3.0</v>
      </c>
      <c r="S16" s="307">
        <f t="array" ref="S16">-INDEX(PaymentSchedule!$E$21:$AG917,MATCH(PaymentSchedule!$B$21,PaymentSchedule!$B$21:$B$100),MATCH($P16,PaymentSchedule!$E$19:$AG$19,0))</f>
        <v>-14.02</v>
      </c>
      <c r="T16" s="302">
        <f t="shared" si="1"/>
        <v>45660</v>
      </c>
      <c r="U16" s="71"/>
      <c r="V16" s="69"/>
      <c r="W16" s="71"/>
      <c r="X16" s="309"/>
      <c r="Y16" s="69"/>
      <c r="Z16" s="69"/>
    </row>
    <row r="17" ht="18.75" customHeight="1">
      <c r="A17" s="50">
        <f>IF(M11="","",IF(MONTH(M11+1)&lt;&gt;MONTH(M11),"",M11+1))</f>
        <v>45662</v>
      </c>
      <c r="B17" s="51">
        <f>SUMIF($T$11:$T$110,A17,$S$11:$S$71)</f>
        <v>-16.19</v>
      </c>
      <c r="C17" s="50">
        <f>IF(A17="","",IF(MONTH(A17+1)&lt;&gt;MONTH(A17),"",A17+1))</f>
        <v>45663</v>
      </c>
      <c r="D17" s="51">
        <f>SUMIF($T$11:$T$110,C17,$S$11:$S$71)</f>
        <v>-824.16</v>
      </c>
      <c r="E17" s="50">
        <f>IF(C17="","",IF(MONTH(C17+1)&lt;&gt;MONTH(C17),"",C17+1))</f>
        <v>45664</v>
      </c>
      <c r="F17" s="51">
        <f>SUMIF($T$11:$T$110,E17,$S$11:$S$71)</f>
        <v>0</v>
      </c>
      <c r="G17" s="50">
        <f>IF(E17="","",IF(MONTH(E17+1)&lt;&gt;MONTH(E17),"",E17+1))</f>
        <v>45665</v>
      </c>
      <c r="H17" s="51">
        <f>SUMIF($T$11:$T$110,G17,$S$11:$S$71)</f>
        <v>-439.49</v>
      </c>
      <c r="I17" s="50">
        <f>IF(G17="","",IF(MONTH(G17+1)&lt;&gt;MONTH(G17),"",G17+1))</f>
        <v>45666</v>
      </c>
      <c r="J17" s="51">
        <f>SUMIF($T$11:$T$110,I17,$S$11:$S$71)</f>
        <v>-532.08</v>
      </c>
      <c r="K17" s="50">
        <f>IF(I17="","",IF(MONTH(I17+1)&lt;&gt;MONTH(I17),"",I17+1))</f>
        <v>45667</v>
      </c>
      <c r="L17" s="51">
        <f>SUMIF($T$11:$T$110,K17,$S$11:$S$71)</f>
        <v>2052.97</v>
      </c>
      <c r="M17" s="50">
        <f>IF(K17="","",IF(MONTH(K17+1)&lt;&gt;MONTH(K17),"",K17+1))</f>
        <v>45668</v>
      </c>
      <c r="N17" s="51">
        <f>SUMIF($T$11:$T$110,M17,$S$11:$S$71)</f>
        <v>0</v>
      </c>
      <c r="O17" s="23"/>
      <c r="P17" s="308" t="s">
        <v>83</v>
      </c>
      <c r="Q17" s="305"/>
      <c r="R17" s="306">
        <v>3.0</v>
      </c>
      <c r="S17" s="307">
        <f t="array" ref="S17">-INDEX(PaymentSchedule!$E$21:$AG917,MATCH(PaymentSchedule!$B$21,PaymentSchedule!$B$21:$B$100),MATCH($P17,PaymentSchedule!$E$19:$AG$19,0))</f>
        <v>-28.09</v>
      </c>
      <c r="T17" s="302">
        <f t="shared" si="1"/>
        <v>45660</v>
      </c>
      <c r="U17" s="64"/>
      <c r="V17" s="23"/>
      <c r="W17" s="64"/>
      <c r="X17" s="303"/>
      <c r="Y17" s="64"/>
      <c r="Z17" s="23"/>
    </row>
    <row r="18" ht="18.75" customHeight="1">
      <c r="A18" s="55"/>
      <c r="B18" s="310">
        <v>-0.87</v>
      </c>
      <c r="C18" s="58" t="s">
        <v>137</v>
      </c>
      <c r="D18" s="57">
        <v>-16.34</v>
      </c>
      <c r="E18" s="58" t="s">
        <v>138</v>
      </c>
      <c r="F18" s="57">
        <v>35.0</v>
      </c>
      <c r="I18" s="58" t="s">
        <v>139</v>
      </c>
      <c r="J18" s="57">
        <v>-99.87</v>
      </c>
      <c r="K18" s="55"/>
      <c r="L18" s="56"/>
      <c r="M18" s="55"/>
      <c r="N18" s="56"/>
      <c r="O18" s="23"/>
      <c r="P18" s="304" t="s">
        <v>84</v>
      </c>
      <c r="Q18" s="305"/>
      <c r="R18" s="306">
        <v>3.0</v>
      </c>
      <c r="S18" s="307">
        <f t="array" ref="S18">-INDEX(PaymentSchedule!$E$21:$AG917,MATCH(PaymentSchedule!$B$21,PaymentSchedule!$B$21:$B$100),MATCH($P18,PaymentSchedule!$E$19:$AG$19,0))</f>
        <v>-20.96</v>
      </c>
      <c r="T18" s="302">
        <f t="shared" si="1"/>
        <v>45660</v>
      </c>
      <c r="U18" s="64"/>
      <c r="V18" s="23"/>
      <c r="Y18" s="64"/>
      <c r="Z18" s="23"/>
    </row>
    <row r="19" ht="18.75" customHeight="1">
      <c r="A19" s="55"/>
      <c r="B19" s="56"/>
      <c r="C19" s="55"/>
      <c r="D19" s="56"/>
      <c r="E19" s="58" t="s">
        <v>140</v>
      </c>
      <c r="F19" s="57">
        <v>-39.07</v>
      </c>
      <c r="G19" s="55"/>
      <c r="H19" s="56"/>
      <c r="I19" s="55"/>
      <c r="J19" s="56"/>
      <c r="K19" s="55"/>
      <c r="L19" s="56"/>
      <c r="M19" s="55"/>
      <c r="N19" s="56"/>
      <c r="O19" s="23"/>
      <c r="P19" s="298" t="s">
        <v>20</v>
      </c>
      <c r="Q19" s="299"/>
      <c r="R19" s="300">
        <v>3.0</v>
      </c>
      <c r="S19" s="307">
        <f t="array" ref="S19">-INDEX(PaymentSchedule!$E$21:$AG917,MATCH(PaymentSchedule!$B$21,PaymentSchedule!$B$21:$B$100),MATCH($P19,PaymentSchedule!$E$19:$AG$19,0))</f>
        <v>-1560.81</v>
      </c>
      <c r="T19" s="302">
        <f t="shared" si="1"/>
        <v>45660</v>
      </c>
      <c r="U19" s="64"/>
      <c r="V19" s="23"/>
      <c r="W19" s="64"/>
      <c r="X19" s="303"/>
      <c r="Y19" s="64"/>
      <c r="Z19" s="23"/>
    </row>
    <row r="20" ht="18.75" customHeight="1">
      <c r="A20" s="55"/>
      <c r="B20" s="56"/>
      <c r="C20" s="55"/>
      <c r="D20" s="56"/>
      <c r="E20" s="55"/>
      <c r="F20" s="56"/>
      <c r="G20" s="55"/>
      <c r="H20" s="56"/>
      <c r="I20" s="55"/>
      <c r="J20" s="57">
        <v>100.0</v>
      </c>
      <c r="K20" s="55"/>
      <c r="L20" s="56"/>
      <c r="M20" s="55"/>
      <c r="N20" s="56"/>
      <c r="O20" s="23"/>
      <c r="P20" s="298" t="s">
        <v>29</v>
      </c>
      <c r="Q20" s="299"/>
      <c r="R20" s="300">
        <v>5.0</v>
      </c>
      <c r="S20" s="301">
        <v>-16.19</v>
      </c>
      <c r="T20" s="302">
        <f t="shared" si="1"/>
        <v>45662</v>
      </c>
      <c r="U20" s="64"/>
      <c r="V20" s="23"/>
      <c r="W20" s="64"/>
      <c r="X20" s="303"/>
      <c r="Y20" s="23"/>
      <c r="Z20" s="23"/>
    </row>
    <row r="21" ht="18.75" customHeight="1">
      <c r="A21" s="55"/>
      <c r="B21" s="56"/>
      <c r="C21" s="55"/>
      <c r="D21" s="56"/>
      <c r="E21" s="55"/>
      <c r="F21" s="56"/>
      <c r="G21" s="55"/>
      <c r="H21" s="56"/>
      <c r="I21" s="55"/>
      <c r="J21" s="57"/>
      <c r="K21" s="55"/>
      <c r="L21" s="56"/>
      <c r="M21" s="55"/>
      <c r="N21" s="56"/>
      <c r="O21" s="23"/>
      <c r="P21" s="298" t="s">
        <v>86</v>
      </c>
      <c r="Q21" s="299"/>
      <c r="R21" s="300">
        <v>6.0</v>
      </c>
      <c r="S21" s="307">
        <f t="array" ref="S21">-INDEX(PaymentSchedule!$E$21:$AG917,MATCH(PaymentSchedule!$B$21,PaymentSchedule!$B$21:$B$100),MATCH($P21,PaymentSchedule!$E$19:$AG$19,0))</f>
        <v>-791.16</v>
      </c>
      <c r="T21" s="302">
        <f t="shared" si="1"/>
        <v>45663</v>
      </c>
      <c r="U21" s="64"/>
      <c r="V21" s="303"/>
      <c r="W21" s="64"/>
      <c r="X21" s="303"/>
      <c r="Y21" s="23"/>
      <c r="Z21" s="23"/>
    </row>
    <row r="22" ht="18.75" customHeight="1">
      <c r="A22" s="66" t="s">
        <v>22</v>
      </c>
      <c r="B22" s="67">
        <f>N16+SUM(B17:B21)</f>
        <v>1953.4</v>
      </c>
      <c r="C22" s="66"/>
      <c r="D22" s="67">
        <f>B22+SUM(D17:D21)</f>
        <v>1112.9</v>
      </c>
      <c r="E22" s="66"/>
      <c r="F22" s="67">
        <f>D22+SUM(F17:F21)</f>
        <v>1108.83</v>
      </c>
      <c r="G22" s="66"/>
      <c r="H22" s="67">
        <f>F22+SUM(H17:H21)</f>
        <v>669.34</v>
      </c>
      <c r="I22" s="66"/>
      <c r="J22" s="67">
        <f>H22+SUM(J17:J21)</f>
        <v>137.39</v>
      </c>
      <c r="K22" s="66"/>
      <c r="L22" s="67">
        <f>J22+SUM(L17:L21)</f>
        <v>2190.36</v>
      </c>
      <c r="M22" s="66"/>
      <c r="N22" s="67">
        <f>L22+SUM(N17:N21)</f>
        <v>2190.36</v>
      </c>
      <c r="O22" s="68"/>
      <c r="P22" s="298" t="s">
        <v>27</v>
      </c>
      <c r="Q22" s="299"/>
      <c r="R22" s="300">
        <v>6.0</v>
      </c>
      <c r="S22" s="301">
        <v>-33.0</v>
      </c>
      <c r="T22" s="302">
        <f t="shared" si="1"/>
        <v>45663</v>
      </c>
      <c r="W22" s="64"/>
      <c r="X22" s="309"/>
      <c r="Y22" s="69"/>
      <c r="Z22" s="69"/>
    </row>
    <row r="23" ht="18.75" customHeight="1">
      <c r="A23" s="50">
        <f>IF(M17="","",IF(MONTH(M17+1)&lt;&gt;MONTH(M17),"",M17+1))</f>
        <v>45669</v>
      </c>
      <c r="B23" s="51">
        <f>SUMIF($T$11:$T$110,A23,$S$11:$S$71)</f>
        <v>0</v>
      </c>
      <c r="C23" s="50">
        <f>IF(A23="","",IF(MONTH(A23+1)&lt;&gt;MONTH(A23),"",A23+1))</f>
        <v>45670</v>
      </c>
      <c r="D23" s="51">
        <f>SUMIF($T$11:$T$110,C23,$S$11:$S$71)</f>
        <v>-150</v>
      </c>
      <c r="E23" s="50">
        <f>IF(C23="","",IF(MONTH(C23+1)&lt;&gt;MONTH(C23),"",C23+1))</f>
        <v>45671</v>
      </c>
      <c r="F23" s="51">
        <f>SUMIF($T$11:$T$110,E23,$S$11:$S$71)</f>
        <v>-102</v>
      </c>
      <c r="G23" s="50">
        <f>IF(E23="","",IF(MONTH(E23+1)&lt;&gt;MONTH(E23),"",E23+1))</f>
        <v>45672</v>
      </c>
      <c r="H23" s="51">
        <f>SUMIF($T$11:$T$110,G23,$S$11:$S$71)</f>
        <v>-98</v>
      </c>
      <c r="I23" s="50">
        <f>IF(G23="","",IF(MONTH(G23+1)&lt;&gt;MONTH(G23),"",G23+1))</f>
        <v>45673</v>
      </c>
      <c r="J23" s="51">
        <f>SUMIF($T$11:$T$110,I23,$S$11:$S$71)</f>
        <v>0</v>
      </c>
      <c r="K23" s="50">
        <f>IF(I23="","",IF(MONTH(I23+1)&lt;&gt;MONTH(I23),"",I23+1))</f>
        <v>45674</v>
      </c>
      <c r="L23" s="51">
        <f>SUMIF($T$11:$T$110,K23,$S$11:$S$71)</f>
        <v>0</v>
      </c>
      <c r="M23" s="50">
        <f>IF(K23="","",IF(MONTH(K23+1)&lt;&gt;MONTH(K23),"",K23+1))</f>
        <v>45675</v>
      </c>
      <c r="N23" s="51">
        <f>SUMIF($T$11:$T$110,M23,$S$11:$S$71)</f>
        <v>-9.99</v>
      </c>
      <c r="O23" s="23"/>
      <c r="P23" s="298" t="s">
        <v>30</v>
      </c>
      <c r="Q23" s="299"/>
      <c r="R23" s="300">
        <v>8.0</v>
      </c>
      <c r="S23" s="301">
        <v>-183.49</v>
      </c>
      <c r="T23" s="302">
        <f t="shared" si="1"/>
        <v>45665</v>
      </c>
      <c r="U23" s="64"/>
      <c r="V23" s="23"/>
      <c r="W23" s="64"/>
      <c r="X23" s="303"/>
      <c r="Y23" s="23"/>
      <c r="Z23" s="23"/>
    </row>
    <row r="24" ht="18.75" customHeight="1">
      <c r="A24" s="55"/>
      <c r="B24" s="56"/>
      <c r="C24" s="55"/>
      <c r="D24" s="57">
        <v>-1.79</v>
      </c>
      <c r="E24" s="55"/>
      <c r="F24" s="56"/>
      <c r="G24" s="55"/>
      <c r="H24" s="56"/>
      <c r="I24" s="55"/>
      <c r="J24" s="57"/>
      <c r="K24" s="58"/>
      <c r="L24" s="57">
        <v>130.31</v>
      </c>
      <c r="M24" s="55"/>
      <c r="N24" s="57"/>
      <c r="O24" s="23"/>
      <c r="P24" s="298" t="s">
        <v>25</v>
      </c>
      <c r="Q24" s="299"/>
      <c r="R24" s="300">
        <v>8.0</v>
      </c>
      <c r="S24" s="307">
        <f t="array" ref="S24">-INDEX(PaymentSchedule!$E$21:$AG917,MATCH(PaymentSchedule!$B$21,PaymentSchedule!$B$21:$B$100),MATCH($P24,PaymentSchedule!$E$19:$AG$19,0))</f>
        <v>-35</v>
      </c>
      <c r="T24" s="302">
        <f t="shared" si="1"/>
        <v>45665</v>
      </c>
      <c r="U24" s="64"/>
      <c r="V24" s="23"/>
      <c r="W24" s="64"/>
      <c r="X24" s="303"/>
      <c r="Y24" s="23"/>
      <c r="Z24" s="23"/>
    </row>
    <row r="25" ht="18.75" customHeight="1">
      <c r="A25" s="55"/>
      <c r="B25" s="56"/>
      <c r="C25" s="55"/>
      <c r="D25" s="56"/>
      <c r="E25" s="55"/>
      <c r="F25" s="56"/>
      <c r="G25" s="55"/>
      <c r="H25" s="56"/>
      <c r="I25" s="55"/>
      <c r="J25" s="56"/>
      <c r="K25" s="55"/>
      <c r="L25" s="56"/>
      <c r="M25" s="55"/>
      <c r="N25" s="56"/>
      <c r="O25" s="23"/>
      <c r="P25" s="298" t="s">
        <v>85</v>
      </c>
      <c r="Q25" s="299"/>
      <c r="R25" s="300">
        <v>8.0</v>
      </c>
      <c r="S25" s="311">
        <v>-99.0</v>
      </c>
      <c r="T25" s="302">
        <f t="shared" si="1"/>
        <v>45665</v>
      </c>
      <c r="U25" s="64"/>
      <c r="V25" s="23"/>
      <c r="W25" s="64"/>
      <c r="X25" s="303"/>
      <c r="Y25" s="23"/>
      <c r="Z25" s="23"/>
    </row>
    <row r="26" ht="18.75" customHeight="1">
      <c r="A26" s="55"/>
      <c r="B26" s="56"/>
      <c r="C26" s="55"/>
      <c r="D26" s="56"/>
      <c r="E26" s="55"/>
      <c r="F26" s="56"/>
      <c r="G26" s="55"/>
      <c r="H26" s="56"/>
      <c r="I26" s="55"/>
      <c r="J26" s="56"/>
      <c r="K26" s="55"/>
      <c r="L26" s="56"/>
      <c r="M26" s="55"/>
      <c r="N26" s="56"/>
      <c r="O26" s="23"/>
      <c r="P26" s="298" t="s">
        <v>51</v>
      </c>
      <c r="Q26" s="299"/>
      <c r="R26" s="300">
        <v>8.0</v>
      </c>
      <c r="S26" s="301">
        <v>-24.0</v>
      </c>
      <c r="T26" s="302">
        <f t="shared" si="1"/>
        <v>45665</v>
      </c>
      <c r="U26" s="64"/>
      <c r="V26" s="23"/>
      <c r="W26" s="64"/>
      <c r="X26" s="303"/>
      <c r="Y26" s="23"/>
      <c r="Z26" s="23"/>
    </row>
    <row r="27" ht="18.75" customHeight="1">
      <c r="A27" s="55"/>
      <c r="B27" s="56"/>
      <c r="C27" s="55"/>
      <c r="D27" s="56"/>
      <c r="E27" s="55"/>
      <c r="F27" s="56"/>
      <c r="G27" s="55"/>
      <c r="H27" s="56"/>
      <c r="I27" s="55"/>
      <c r="J27" s="56"/>
      <c r="K27" s="55"/>
      <c r="L27" s="56"/>
      <c r="M27" s="55"/>
      <c r="N27" s="56"/>
      <c r="O27" s="23"/>
      <c r="P27" s="298" t="s">
        <v>26</v>
      </c>
      <c r="Q27" s="299"/>
      <c r="R27" s="300">
        <v>8.0</v>
      </c>
      <c r="S27" s="301">
        <v>-98.0</v>
      </c>
      <c r="T27" s="302">
        <f t="shared" si="1"/>
        <v>45665</v>
      </c>
      <c r="U27" s="64"/>
      <c r="V27" s="23"/>
      <c r="W27" s="64"/>
      <c r="X27" s="303"/>
      <c r="Y27" s="23"/>
      <c r="Z27" s="23"/>
    </row>
    <row r="28" ht="18.75" customHeight="1">
      <c r="A28" s="66" t="s">
        <v>22</v>
      </c>
      <c r="B28" s="67">
        <f>N22+SUM(B23:B27)</f>
        <v>2190.36</v>
      </c>
      <c r="C28" s="66"/>
      <c r="D28" s="67">
        <f>B28+SUM(D23:D27)</f>
        <v>2038.57</v>
      </c>
      <c r="E28" s="66"/>
      <c r="F28" s="67">
        <f>D28+SUM(F23:F27)</f>
        <v>1936.57</v>
      </c>
      <c r="G28" s="66"/>
      <c r="H28" s="67">
        <f>F28+SUM(H23:H27)</f>
        <v>1838.57</v>
      </c>
      <c r="I28" s="66"/>
      <c r="J28" s="67">
        <f>H28+SUM(J23:J27)</f>
        <v>1838.57</v>
      </c>
      <c r="K28" s="66"/>
      <c r="L28" s="67">
        <f>J28+SUM(L23:L27)</f>
        <v>1968.88</v>
      </c>
      <c r="M28" s="66"/>
      <c r="N28" s="67">
        <f>L28+SUM(N23:N27)</f>
        <v>1958.89</v>
      </c>
      <c r="O28" s="68"/>
      <c r="P28" s="298" t="s">
        <v>37</v>
      </c>
      <c r="Q28" s="299"/>
      <c r="R28" s="300">
        <v>9.0</v>
      </c>
      <c r="S28" s="307">
        <f t="array" ref="S28">-INDEX(PaymentSchedule!$E$21:$AG917,MATCH(PaymentSchedule!$B$21,PaymentSchedule!$B$21:$B$100),MATCH($P28,PaymentSchedule!$E$19:$AG$19,0))</f>
        <v>-82</v>
      </c>
      <c r="T28" s="302">
        <f t="shared" si="1"/>
        <v>45666</v>
      </c>
      <c r="U28" s="71"/>
      <c r="V28" s="69"/>
      <c r="W28" s="71"/>
      <c r="X28" s="309"/>
      <c r="Y28" s="69"/>
      <c r="Z28" s="69"/>
    </row>
    <row r="29" ht="18.75" customHeight="1">
      <c r="A29" s="50">
        <f>IF(M23="","",IF(MONTH(M23+1)&lt;&gt;MONTH(M23),"",M23+1))</f>
        <v>45676</v>
      </c>
      <c r="B29" s="51">
        <f>SUMIF($T$11:$T$110,A29,$S$11:$S$71)</f>
        <v>0</v>
      </c>
      <c r="C29" s="50">
        <f>IF(A29="","",IF(MONTH(A29+1)&lt;&gt;MONTH(A29),"",A29+1))</f>
        <v>45677</v>
      </c>
      <c r="D29" s="51">
        <f>SUMIF($T$11:$T$110,C29,$S$11:$S$71)</f>
        <v>0</v>
      </c>
      <c r="E29" s="50">
        <f>IF(C29="","",IF(MONTH(C29+1)&lt;&gt;MONTH(C29),"",C29+1))</f>
        <v>45678</v>
      </c>
      <c r="F29" s="51">
        <f>SUMIF($T$11:$T$110,E29,$S$11:$S$71)</f>
        <v>0</v>
      </c>
      <c r="G29" s="50">
        <f>IF(E29="","",IF(MONTH(E29+1)&lt;&gt;MONTH(E29),"",E29+1))</f>
        <v>45679</v>
      </c>
      <c r="H29" s="51">
        <f>SUMIF($T$11:$T$110,G29,$S$11:$S$71)</f>
        <v>-98</v>
      </c>
      <c r="I29" s="50">
        <f>IF(G29="","",IF(MONTH(G29+1)&lt;&gt;MONTH(G29),"",G29+1))</f>
        <v>45680</v>
      </c>
      <c r="J29" s="51">
        <f>SUMIF($T$11:$T$110,I29,$S$11:$S$71)</f>
        <v>1957.97</v>
      </c>
      <c r="K29" s="50">
        <f>IF(I29="","",IF(MONTH(I29+1)&lt;&gt;MONTH(I29),"",I29+1))</f>
        <v>45681</v>
      </c>
      <c r="L29" s="51">
        <f>SUMIF($T$11:$T$110,K29,$S$11:$S$71)</f>
        <v>0</v>
      </c>
      <c r="M29" s="50">
        <f>IF(K29="","",IF(MONTH(K29+1)&lt;&gt;MONTH(K29),"",K29+1))</f>
        <v>45682</v>
      </c>
      <c r="N29" s="51">
        <f>SUMIF($T$11:$T$110,M29,$S$11:$S$71)</f>
        <v>-30.35</v>
      </c>
      <c r="O29" s="23"/>
      <c r="P29" s="298" t="s">
        <v>36</v>
      </c>
      <c r="Q29" s="299"/>
      <c r="R29" s="300">
        <v>9.0</v>
      </c>
      <c r="S29" s="307">
        <f t="array" ref="S29">-INDEX(PaymentSchedule!$E$21:$AG917,MATCH(PaymentSchedule!$B$21,PaymentSchedule!$B$21:$B$100),MATCH($P29,PaymentSchedule!$E$19:$AG$19,0))</f>
        <v>-450.08</v>
      </c>
      <c r="T29" s="302">
        <f t="shared" si="1"/>
        <v>45666</v>
      </c>
      <c r="U29" s="64"/>
      <c r="V29" s="23"/>
      <c r="W29" s="64"/>
      <c r="X29" s="303"/>
      <c r="Y29" s="23"/>
      <c r="Z29" s="23"/>
    </row>
    <row r="30" ht="18.75" customHeight="1">
      <c r="A30" s="55"/>
      <c r="B30" s="56"/>
      <c r="C30" s="55"/>
      <c r="D30" s="56"/>
      <c r="E30" s="55"/>
      <c r="F30" s="57"/>
      <c r="G30" s="55"/>
      <c r="H30" s="56"/>
      <c r="I30" s="58" t="s">
        <v>139</v>
      </c>
      <c r="J30" s="57">
        <v>-99.87</v>
      </c>
      <c r="K30" s="55"/>
      <c r="L30" s="57"/>
      <c r="M30" s="58" t="s">
        <v>141</v>
      </c>
      <c r="N30" s="57">
        <v>-208.84</v>
      </c>
      <c r="O30" s="23"/>
      <c r="P30" s="298" t="s">
        <v>18</v>
      </c>
      <c r="Q30" s="299"/>
      <c r="R30" s="300">
        <v>10.0</v>
      </c>
      <c r="S30" s="301">
        <v>2107.97</v>
      </c>
      <c r="T30" s="302">
        <f t="shared" si="1"/>
        <v>45667</v>
      </c>
      <c r="U30" s="64"/>
      <c r="V30" s="23"/>
      <c r="W30" s="64"/>
      <c r="X30" s="303"/>
      <c r="Y30" s="23"/>
      <c r="Z30" s="23"/>
    </row>
    <row r="31" ht="18.75" customHeight="1">
      <c r="A31" s="55"/>
      <c r="B31" s="56"/>
      <c r="C31" s="55"/>
      <c r="D31" s="56"/>
      <c r="E31" s="55"/>
      <c r="F31" s="56"/>
      <c r="G31" s="55"/>
      <c r="H31" s="56"/>
      <c r="I31" s="55"/>
      <c r="J31" s="57"/>
      <c r="K31" s="55"/>
      <c r="L31" s="57"/>
      <c r="M31" s="55"/>
      <c r="N31" s="56"/>
      <c r="O31" s="23"/>
      <c r="P31" s="298" t="s">
        <v>34</v>
      </c>
      <c r="Q31" s="299"/>
      <c r="R31" s="300">
        <v>10.0</v>
      </c>
      <c r="S31" s="301">
        <v>-5.0</v>
      </c>
      <c r="T31" s="302">
        <f t="shared" si="1"/>
        <v>45667</v>
      </c>
      <c r="U31" s="64"/>
      <c r="V31" s="64" t="s">
        <v>28</v>
      </c>
      <c r="W31" s="64"/>
      <c r="X31" s="303">
        <f>'Dec 2024'!Y38</f>
        <v>450</v>
      </c>
      <c r="Y31" s="23"/>
      <c r="Z31" s="23"/>
    </row>
    <row r="32" ht="18.75" customHeight="1">
      <c r="A32" s="55"/>
      <c r="B32" s="56"/>
      <c r="C32" s="55"/>
      <c r="D32" s="56"/>
      <c r="E32" s="55"/>
      <c r="F32" s="56"/>
      <c r="G32" s="55"/>
      <c r="H32" s="56"/>
      <c r="I32" s="55"/>
      <c r="J32" s="56"/>
      <c r="K32" s="55"/>
      <c r="L32" s="56"/>
      <c r="M32" s="55"/>
      <c r="N32" s="56"/>
      <c r="O32" s="23"/>
      <c r="P32" s="298" t="s">
        <v>38</v>
      </c>
      <c r="Q32" s="299"/>
      <c r="R32" s="300">
        <v>10.0</v>
      </c>
      <c r="S32" s="301">
        <v>-50.0</v>
      </c>
      <c r="T32" s="302">
        <f t="shared" si="1"/>
        <v>45667</v>
      </c>
      <c r="U32" s="64"/>
      <c r="V32" s="23"/>
      <c r="W32" s="64">
        <v>13.0</v>
      </c>
      <c r="X32" s="303">
        <v>150.0</v>
      </c>
      <c r="Y32" s="23"/>
      <c r="Z32" s="23"/>
    </row>
    <row r="33" ht="18.75" customHeight="1">
      <c r="A33" s="55"/>
      <c r="B33" s="56"/>
      <c r="C33" s="55"/>
      <c r="D33" s="56"/>
      <c r="E33" s="55"/>
      <c r="F33" s="56"/>
      <c r="G33" s="55"/>
      <c r="H33" s="56"/>
      <c r="I33" s="55"/>
      <c r="J33" s="56"/>
      <c r="K33" s="55"/>
      <c r="L33" s="56"/>
      <c r="M33" s="55"/>
      <c r="N33" s="56"/>
      <c r="O33" s="23"/>
      <c r="P33" s="298" t="s">
        <v>28</v>
      </c>
      <c r="Q33" s="299"/>
      <c r="R33" s="300">
        <v>13.0</v>
      </c>
      <c r="S33" s="301">
        <v>-150.0</v>
      </c>
      <c r="T33" s="302">
        <f t="shared" si="1"/>
        <v>45670</v>
      </c>
      <c r="U33" s="64"/>
      <c r="V33" s="23"/>
      <c r="W33" s="108">
        <v>23.0</v>
      </c>
      <c r="X33" s="108">
        <v>150.0</v>
      </c>
      <c r="Y33" s="23"/>
      <c r="Z33" s="23"/>
    </row>
    <row r="34" ht="18.75" customHeight="1">
      <c r="A34" s="66" t="s">
        <v>22</v>
      </c>
      <c r="B34" s="67">
        <f>N28+SUM(B29:B33)</f>
        <v>1958.89</v>
      </c>
      <c r="C34" s="66"/>
      <c r="D34" s="67">
        <f>B34+SUM(D29:D33)</f>
        <v>1958.89</v>
      </c>
      <c r="E34" s="66"/>
      <c r="F34" s="67">
        <f>D34+SUM(F29:F33)</f>
        <v>1958.89</v>
      </c>
      <c r="G34" s="66"/>
      <c r="H34" s="67">
        <f>F34+SUM(H29:H33)</f>
        <v>1860.89</v>
      </c>
      <c r="I34" s="66"/>
      <c r="J34" s="67">
        <f>H34+SUM(J29:J33)</f>
        <v>3718.99</v>
      </c>
      <c r="K34" s="66"/>
      <c r="L34" s="67">
        <f>J34+SUM(L29:L33)</f>
        <v>3718.99</v>
      </c>
      <c r="M34" s="66"/>
      <c r="N34" s="67">
        <f>L34+SUM(N29:N33)</f>
        <v>3479.8</v>
      </c>
      <c r="O34" s="68"/>
      <c r="P34" s="298" t="s">
        <v>40</v>
      </c>
      <c r="Q34" s="299"/>
      <c r="R34" s="300">
        <v>14.0</v>
      </c>
      <c r="S34" s="301">
        <v>-102.0</v>
      </c>
      <c r="T34" s="302">
        <f t="shared" si="1"/>
        <v>45671</v>
      </c>
      <c r="U34" s="71"/>
      <c r="V34" s="69"/>
      <c r="W34" s="64"/>
      <c r="Y34" s="69"/>
      <c r="Z34" s="69"/>
    </row>
    <row r="35" ht="18.75" customHeight="1">
      <c r="A35" s="50">
        <f>IF(M29="","",IF(MONTH(M29+1)&lt;&gt;MONTH(M29),"",M29+1))</f>
        <v>45683</v>
      </c>
      <c r="B35" s="51">
        <f>SUMIF($T$11:$T$110,A35,$S$11:$S$71)</f>
        <v>0</v>
      </c>
      <c r="C35" s="50">
        <f>IF(A35="","",IF(MONTH(A35+1)&lt;&gt;MONTH(A35),"",A35+1))</f>
        <v>45684</v>
      </c>
      <c r="D35" s="51">
        <f>SUMIF($T$11:$T$110,C35,$S$11:$S$71)</f>
        <v>0</v>
      </c>
      <c r="E35" s="50">
        <f>IF(C35="","",IF(MONTH(C35+1)&lt;&gt;MONTH(C35),"",C35+1))</f>
        <v>45685</v>
      </c>
      <c r="F35" s="51">
        <f>SUMIF($T$11:$T$110,E35,$S$11:$S$71)</f>
        <v>-3</v>
      </c>
      <c r="G35" s="50">
        <f>IF(E35="","",IF(MONTH(E35+1)&lt;&gt;MONTH(E35),"",E35+1))</f>
        <v>45686</v>
      </c>
      <c r="H35" s="51">
        <f>SUMIF($T$11:$T$110,G35,$S$11:$S$71)</f>
        <v>-127.34</v>
      </c>
      <c r="I35" s="50">
        <f>IF(G35="","",IF(MONTH(G35+1)&lt;&gt;MONTH(G35),"",G35+1))</f>
        <v>45687</v>
      </c>
      <c r="J35" s="51">
        <f>SUMIF($T$11:$T$110,I35,$S$11:$S$71)</f>
        <v>0</v>
      </c>
      <c r="K35" s="50">
        <f>IF(I35="","",IF(MONTH(I35+1)&lt;&gt;MONTH(I35),"",I35+1))</f>
        <v>45688</v>
      </c>
      <c r="L35" s="51">
        <f>SUMIF($T$11:$T$110,K35,$S$11:$S$71)</f>
        <v>-396</v>
      </c>
      <c r="M35" s="50" t="str">
        <f>IF(K35="","",IF(MONTH(K35+1)&lt;&gt;MONTH(K35),"",K35+1))</f>
        <v/>
      </c>
      <c r="N35" s="51">
        <f>SUMIF($T$11:$T$110,M35,$S$11:$S$71)</f>
        <v>0</v>
      </c>
      <c r="O35" s="23"/>
      <c r="P35" s="298" t="s">
        <v>26</v>
      </c>
      <c r="Q35" s="299"/>
      <c r="R35" s="300">
        <v>15.0</v>
      </c>
      <c r="S35" s="301">
        <v>-98.0</v>
      </c>
      <c r="T35" s="302">
        <f t="shared" si="1"/>
        <v>45672</v>
      </c>
      <c r="U35" s="64"/>
      <c r="V35" s="23"/>
      <c r="W35" s="64"/>
      <c r="X35" s="303">
        <f>sum(X31:X34)</f>
        <v>750</v>
      </c>
      <c r="Y35" s="23"/>
      <c r="Z35" s="23"/>
    </row>
    <row r="36" ht="18.75" customHeight="1">
      <c r="A36" s="55"/>
      <c r="B36" s="56"/>
      <c r="D36" s="57">
        <v>-14.7</v>
      </c>
      <c r="E36" s="58"/>
      <c r="F36" s="57">
        <v>1.02</v>
      </c>
      <c r="G36" s="58" t="s">
        <v>30</v>
      </c>
      <c r="H36" s="57">
        <v>-164.98</v>
      </c>
      <c r="I36" s="58"/>
      <c r="J36" s="57"/>
      <c r="K36" s="58"/>
      <c r="L36" s="57"/>
      <c r="M36" s="55"/>
      <c r="N36" s="56"/>
      <c r="O36" s="23"/>
      <c r="P36" s="298" t="s">
        <v>43</v>
      </c>
      <c r="Q36" s="299"/>
      <c r="R36" s="300">
        <v>18.0</v>
      </c>
      <c r="S36" s="301">
        <v>-9.99</v>
      </c>
      <c r="T36" s="302">
        <f t="shared" si="1"/>
        <v>45675</v>
      </c>
      <c r="U36" s="64"/>
      <c r="V36" s="23"/>
      <c r="W36" s="64"/>
      <c r="X36" s="303"/>
      <c r="Y36" s="23"/>
      <c r="Z36" s="23"/>
    </row>
    <row r="37" ht="18.75" customHeight="1">
      <c r="A37" s="55"/>
      <c r="B37" s="56"/>
      <c r="C37" s="55"/>
      <c r="D37" s="57">
        <v>-16.2</v>
      </c>
      <c r="E37" s="55"/>
      <c r="F37" s="57"/>
      <c r="G37" s="55"/>
      <c r="H37" s="57"/>
      <c r="I37" s="55"/>
      <c r="J37" s="56"/>
      <c r="K37" s="55"/>
      <c r="L37" s="56"/>
      <c r="M37" s="55"/>
      <c r="N37" s="56"/>
      <c r="O37" s="23"/>
      <c r="P37" s="298" t="s">
        <v>142</v>
      </c>
      <c r="Q37" s="299"/>
      <c r="R37" s="300">
        <v>22.0</v>
      </c>
      <c r="S37" s="312"/>
      <c r="T37" s="302">
        <f t="shared" si="1"/>
        <v>45679</v>
      </c>
      <c r="U37" s="64"/>
      <c r="V37" s="23"/>
      <c r="W37" s="64"/>
      <c r="X37" s="303"/>
      <c r="Y37" s="23"/>
      <c r="Z37" s="23"/>
    </row>
    <row r="38" ht="18.75" customHeight="1">
      <c r="A38" s="55"/>
      <c r="B38" s="56"/>
      <c r="C38" s="55"/>
      <c r="D38" s="57">
        <v>-20.9</v>
      </c>
      <c r="F38" s="56"/>
      <c r="G38" s="55"/>
      <c r="H38" s="56"/>
      <c r="I38" s="55"/>
      <c r="J38" s="56"/>
      <c r="K38" s="55"/>
      <c r="L38" s="56"/>
      <c r="M38" s="55"/>
      <c r="N38" s="56"/>
      <c r="O38" s="23"/>
      <c r="P38" s="298" t="s">
        <v>26</v>
      </c>
      <c r="Q38" s="299"/>
      <c r="R38" s="300">
        <v>22.0</v>
      </c>
      <c r="S38" s="301">
        <v>-98.0</v>
      </c>
      <c r="T38" s="302">
        <f t="shared" si="1"/>
        <v>45679</v>
      </c>
      <c r="U38" s="64"/>
      <c r="V38" s="23"/>
      <c r="W38" s="64"/>
      <c r="X38" s="303"/>
      <c r="Y38" s="23"/>
      <c r="Z38" s="23"/>
    </row>
    <row r="39" ht="18.75" customHeight="1">
      <c r="A39" s="55"/>
      <c r="B39" s="56"/>
      <c r="C39" s="55"/>
      <c r="D39" s="56"/>
      <c r="E39" s="55"/>
      <c r="F39" s="56"/>
      <c r="G39" s="55"/>
      <c r="H39" s="56"/>
      <c r="I39" s="55"/>
      <c r="J39" s="56"/>
      <c r="K39" s="55"/>
      <c r="L39" s="56"/>
      <c r="M39" s="55"/>
      <c r="N39" s="56"/>
      <c r="O39" s="23"/>
      <c r="P39" s="298" t="s">
        <v>41</v>
      </c>
      <c r="Q39" s="299"/>
      <c r="R39" s="300">
        <v>23.0</v>
      </c>
      <c r="S39" s="301">
        <v>2107.97</v>
      </c>
      <c r="T39" s="302">
        <f t="shared" si="1"/>
        <v>45680</v>
      </c>
      <c r="U39" s="64"/>
      <c r="V39" s="23"/>
      <c r="W39" s="64"/>
      <c r="X39" s="303"/>
      <c r="Y39" s="23"/>
      <c r="Z39" s="23"/>
    </row>
    <row r="40" ht="18.75" customHeight="1">
      <c r="A40" s="66" t="s">
        <v>22</v>
      </c>
      <c r="B40" s="67">
        <f>N34+SUM(B35:B39)</f>
        <v>3479.8</v>
      </c>
      <c r="C40" s="66"/>
      <c r="D40" s="67">
        <f>B40+SUM(D35:D39)</f>
        <v>3428</v>
      </c>
      <c r="E40" s="66"/>
      <c r="F40" s="67">
        <f>D40+SUM(F35:F39)</f>
        <v>3426.02</v>
      </c>
      <c r="G40" s="66"/>
      <c r="H40" s="67">
        <f>F40+SUM(H35:H39)</f>
        <v>3133.7</v>
      </c>
      <c r="I40" s="66"/>
      <c r="J40" s="67">
        <f>H40+SUM(J35:J39)</f>
        <v>3133.7</v>
      </c>
      <c r="K40" s="66"/>
      <c r="L40" s="67">
        <f>J40+SUM(L35:L39)</f>
        <v>2737.7</v>
      </c>
      <c r="M40" s="66"/>
      <c r="N40" s="67">
        <f>L40+SUM(N35:N39)</f>
        <v>2737.7</v>
      </c>
      <c r="O40" s="68"/>
      <c r="P40" s="298" t="s">
        <v>28</v>
      </c>
      <c r="Q40" s="299"/>
      <c r="R40" s="300">
        <v>23.0</v>
      </c>
      <c r="S40" s="301">
        <v>-150.0</v>
      </c>
      <c r="T40" s="302">
        <f t="shared" si="1"/>
        <v>45680</v>
      </c>
      <c r="U40" s="71"/>
      <c r="V40" s="69"/>
      <c r="W40" s="71"/>
      <c r="X40" s="309"/>
      <c r="Y40" s="69"/>
      <c r="Z40" s="69"/>
    </row>
    <row r="41" ht="18.75" customHeight="1">
      <c r="A41" s="50" t="str">
        <f>IF(M35="","",IF(MONTH(M35+1)&lt;&gt;MONTH(M35),"",M35+1))</f>
        <v/>
      </c>
      <c r="B41" s="51">
        <f>SUMIF($T$11:$T$110,A41,$S$11:$S$71)</f>
        <v>0</v>
      </c>
      <c r="C41" s="50" t="str">
        <f>IF(A41="","",IF(MONTH(A41+1)&lt;&gt;MONTH(A41),"",A41+1))</f>
        <v/>
      </c>
      <c r="D41" s="51">
        <f>SUMIF($T$11:$T$110,C41,$S$11:$S$71)</f>
        <v>0</v>
      </c>
      <c r="E41" s="77"/>
      <c r="F41" s="77" t="s">
        <v>50</v>
      </c>
      <c r="G41" s="77"/>
      <c r="H41" s="77"/>
      <c r="I41" s="77"/>
      <c r="J41" s="77"/>
      <c r="K41" s="77"/>
      <c r="L41" s="77"/>
      <c r="M41" s="77"/>
      <c r="N41" s="77"/>
      <c r="P41" s="298" t="s">
        <v>46</v>
      </c>
      <c r="Q41" s="299"/>
      <c r="R41" s="300">
        <v>25.0</v>
      </c>
      <c r="S41" s="301">
        <v>-12.0</v>
      </c>
      <c r="T41" s="302">
        <f t="shared" si="1"/>
        <v>45682</v>
      </c>
      <c r="V41" s="313"/>
      <c r="X41" s="314"/>
    </row>
    <row r="42" ht="18.75" customHeight="1">
      <c r="A42" s="55"/>
      <c r="B42" s="56"/>
      <c r="C42" s="55"/>
      <c r="D42" s="56"/>
      <c r="E42" s="77"/>
      <c r="F42" s="77" t="s">
        <v>52</v>
      </c>
      <c r="G42" s="77"/>
      <c r="H42" s="77"/>
      <c r="I42" s="77"/>
      <c r="J42" s="77"/>
      <c r="K42" s="77"/>
      <c r="L42" s="77"/>
      <c r="M42" s="77"/>
      <c r="N42" s="77"/>
      <c r="P42" s="298" t="s">
        <v>34</v>
      </c>
      <c r="Q42" s="299"/>
      <c r="R42" s="300">
        <v>27.0</v>
      </c>
      <c r="S42" s="301"/>
      <c r="T42" s="302">
        <f t="shared" si="1"/>
        <v>45684</v>
      </c>
      <c r="V42" s="313"/>
      <c r="X42" s="314"/>
    </row>
    <row r="43" ht="18.75" customHeight="1">
      <c r="A43" s="55"/>
      <c r="B43" s="56"/>
      <c r="C43" s="55"/>
      <c r="D43" s="56"/>
      <c r="E43" s="77"/>
      <c r="F43" s="77"/>
      <c r="G43" s="77"/>
      <c r="H43" s="77"/>
      <c r="I43" s="77"/>
      <c r="J43" s="77"/>
      <c r="K43" s="77"/>
      <c r="L43" s="77"/>
      <c r="M43" s="77"/>
      <c r="N43" s="77"/>
      <c r="P43" s="315" t="s">
        <v>44</v>
      </c>
      <c r="Q43" s="316"/>
      <c r="R43" s="317">
        <v>25.0</v>
      </c>
      <c r="S43" s="318">
        <v>-18.35</v>
      </c>
      <c r="T43" s="302">
        <f t="shared" si="1"/>
        <v>45682</v>
      </c>
      <c r="V43" s="313"/>
    </row>
    <row r="44" ht="18.75" customHeight="1">
      <c r="A44" s="55"/>
      <c r="B44" s="56"/>
      <c r="C44" s="55"/>
      <c r="D44" s="56"/>
      <c r="E44" s="77"/>
      <c r="F44" s="77"/>
      <c r="G44" s="77"/>
      <c r="H44" s="77"/>
      <c r="I44" s="77"/>
      <c r="J44" s="77"/>
      <c r="K44" s="77"/>
      <c r="L44" s="77"/>
      <c r="M44" s="77"/>
      <c r="N44" s="77"/>
      <c r="P44" s="319" t="s">
        <v>49</v>
      </c>
      <c r="Q44" s="320"/>
      <c r="R44" s="321"/>
      <c r="S44" s="322"/>
      <c r="T44" s="323" t="str">
        <f t="shared" si="1"/>
        <v>-</v>
      </c>
      <c r="V44" s="313"/>
      <c r="X44" s="314"/>
    </row>
    <row r="45" ht="18.75" customHeight="1">
      <c r="A45" s="55"/>
      <c r="B45" s="56"/>
      <c r="C45" s="55"/>
      <c r="D45" s="56"/>
      <c r="E45" s="77"/>
      <c r="F45" s="77"/>
      <c r="G45" s="77"/>
      <c r="H45" s="77"/>
      <c r="I45" s="77"/>
      <c r="J45" s="77"/>
      <c r="K45" s="77"/>
      <c r="L45" s="77"/>
      <c r="M45" s="77"/>
      <c r="N45" s="77"/>
      <c r="P45" s="298" t="s">
        <v>53</v>
      </c>
      <c r="Q45" s="299"/>
      <c r="R45" s="300">
        <v>28.0</v>
      </c>
      <c r="S45" s="301">
        <v>-3.0</v>
      </c>
      <c r="T45" s="302">
        <f t="shared" si="1"/>
        <v>45685</v>
      </c>
    </row>
    <row r="46" ht="18.75" customHeight="1">
      <c r="A46" s="66" t="s">
        <v>22</v>
      </c>
      <c r="B46" s="67">
        <f>N40+SUM(B41:B45)</f>
        <v>2737.7</v>
      </c>
      <c r="C46" s="66"/>
      <c r="D46" s="67">
        <f>B46+SUM(D41:D45)</f>
        <v>2737.7</v>
      </c>
      <c r="E46" s="77"/>
      <c r="F46" s="77"/>
      <c r="G46" s="324">
        <v>45658.0</v>
      </c>
      <c r="H46" s="325"/>
      <c r="I46" s="77"/>
      <c r="J46" s="326">
        <v>164.98</v>
      </c>
      <c r="K46" s="77"/>
      <c r="L46" s="77"/>
      <c r="M46" s="77"/>
      <c r="N46" s="77"/>
      <c r="P46" s="298" t="s">
        <v>26</v>
      </c>
      <c r="Q46" s="299"/>
      <c r="R46" s="300">
        <v>29.0</v>
      </c>
      <c r="S46" s="301">
        <v>-98.0</v>
      </c>
      <c r="T46" s="302">
        <f t="shared" si="1"/>
        <v>45686</v>
      </c>
    </row>
    <row r="47" ht="18.75" customHeight="1">
      <c r="A47" s="327"/>
      <c r="B47" s="328"/>
      <c r="C47" s="327"/>
      <c r="D47" s="328"/>
      <c r="E47" s="329"/>
      <c r="F47" s="329"/>
      <c r="G47" s="324"/>
      <c r="H47" s="329"/>
      <c r="I47" s="329"/>
      <c r="J47" s="329"/>
      <c r="K47" s="329"/>
      <c r="L47" s="329"/>
      <c r="M47" s="329"/>
      <c r="N47" s="329"/>
      <c r="P47" s="315" t="s">
        <v>55</v>
      </c>
      <c r="Q47" s="316"/>
      <c r="R47" s="317">
        <v>29.0</v>
      </c>
      <c r="S47" s="318">
        <v>-18.35</v>
      </c>
      <c r="T47" s="302">
        <f t="shared" si="1"/>
        <v>45686</v>
      </c>
    </row>
    <row r="48" ht="20.25" customHeight="1">
      <c r="A48" s="327"/>
      <c r="B48" s="328"/>
      <c r="C48" s="327"/>
      <c r="D48" s="328"/>
      <c r="E48" s="330"/>
      <c r="P48" s="298" t="s">
        <v>54</v>
      </c>
      <c r="Q48" s="299"/>
      <c r="R48" s="300">
        <v>29.0</v>
      </c>
      <c r="S48" s="301">
        <v>-10.99</v>
      </c>
      <c r="T48" s="302">
        <f t="shared" si="1"/>
        <v>45686</v>
      </c>
    </row>
    <row r="49" ht="20.25" customHeight="1">
      <c r="P49" s="298" t="s">
        <v>57</v>
      </c>
      <c r="Q49" s="299"/>
      <c r="R49" s="300">
        <v>31.0</v>
      </c>
      <c r="S49" s="301">
        <v>-396.0</v>
      </c>
      <c r="T49" s="302">
        <f t="shared" si="1"/>
        <v>45688</v>
      </c>
    </row>
    <row r="50" ht="12.75" customHeight="1">
      <c r="P50" s="319"/>
      <c r="Q50" s="320"/>
      <c r="R50" s="321"/>
      <c r="S50" s="331"/>
      <c r="T50" s="323"/>
    </row>
    <row r="51" ht="12.75" customHeight="1">
      <c r="P51" s="319"/>
      <c r="Q51" s="320"/>
      <c r="R51" s="321"/>
      <c r="S51" s="322"/>
      <c r="T51" s="323" t="str">
        <f t="shared" ref="T51:T55" si="2">IF(ISBLANK(R51),"-",IF(R51&gt;DAY(EOMONTH(DATE($B$2,$E$2,1),0)),EOMONTH(DATE($B$2,$E$2,1),0),DATE($B$2,$E$2,R51)))</f>
        <v>-</v>
      </c>
    </row>
    <row r="52" ht="12.75" customHeight="1">
      <c r="P52" s="319"/>
      <c r="Q52" s="320"/>
      <c r="R52" s="321"/>
      <c r="S52" s="322"/>
      <c r="T52" s="323" t="str">
        <f t="shared" si="2"/>
        <v>-</v>
      </c>
    </row>
    <row r="53" ht="12.75" customHeight="1">
      <c r="P53" s="332"/>
      <c r="Q53" s="333"/>
      <c r="R53" s="334"/>
      <c r="S53" s="335"/>
      <c r="T53" s="323" t="str">
        <f t="shared" si="2"/>
        <v>-</v>
      </c>
    </row>
    <row r="54" ht="12.75" customHeight="1">
      <c r="P54" s="332"/>
      <c r="Q54" s="333"/>
      <c r="R54" s="334"/>
      <c r="S54" s="335"/>
      <c r="T54" s="323" t="str">
        <f t="shared" si="2"/>
        <v>-</v>
      </c>
    </row>
    <row r="55" ht="12.75" customHeight="1">
      <c r="P55" s="332"/>
      <c r="Q55" s="333"/>
      <c r="R55" s="334"/>
      <c r="S55" s="335"/>
      <c r="T55" s="323" t="str">
        <f t="shared" si="2"/>
        <v>-</v>
      </c>
    </row>
    <row r="56" ht="12.75" customHeight="1">
      <c r="P56" s="332"/>
      <c r="Q56" s="333"/>
      <c r="R56" s="334"/>
      <c r="S56" s="335"/>
      <c r="T56" s="323" t="str">
        <f t="shared" ref="T56:T60" si="3">IF(ISBLANK(R56),"-",IF(R56&gt;DAY(EOMONTH(DATE($B$2,$E$2,1),0)),EOMONTH(DATE($B$2,$E$2,1),0),DATE($B$2,$E$2,$R$47)))</f>
        <v>-</v>
      </c>
    </row>
    <row r="57" ht="12.75" customHeight="1">
      <c r="P57" s="332"/>
      <c r="Q57" s="333"/>
      <c r="R57" s="334"/>
      <c r="S57" s="335"/>
      <c r="T57" s="323" t="str">
        <f t="shared" si="3"/>
        <v>-</v>
      </c>
    </row>
    <row r="58" ht="12.75" customHeight="1">
      <c r="P58" s="332"/>
      <c r="Q58" s="333"/>
      <c r="R58" s="334"/>
      <c r="S58" s="335"/>
      <c r="T58" s="323" t="str">
        <f t="shared" si="3"/>
        <v>-</v>
      </c>
    </row>
    <row r="59" ht="12.75" customHeight="1">
      <c r="P59" s="332"/>
      <c r="Q59" s="333"/>
      <c r="R59" s="334"/>
      <c r="S59" s="335"/>
      <c r="T59" s="323" t="str">
        <f t="shared" si="3"/>
        <v>-</v>
      </c>
    </row>
    <row r="60" ht="12.75" customHeight="1">
      <c r="P60" s="332"/>
      <c r="Q60" s="333"/>
      <c r="R60" s="334"/>
      <c r="S60" s="335"/>
      <c r="T60" s="323" t="str">
        <f t="shared" si="3"/>
        <v>-</v>
      </c>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row>
    <row r="915" ht="12.75" customHeight="1">
      <c r="R915" s="336"/>
    </row>
    <row r="916" ht="12.75" customHeight="1">
      <c r="R916" s="336"/>
    </row>
    <row r="917" ht="12.75" customHeight="1">
      <c r="R917" s="336"/>
    </row>
  </sheetData>
  <mergeCells count="11">
    <mergeCell ref="G9:H9"/>
    <mergeCell ref="I9:J9"/>
    <mergeCell ref="K9:L9"/>
    <mergeCell ref="M9:N9"/>
    <mergeCell ref="M5:N5"/>
    <mergeCell ref="S5:T5"/>
    <mergeCell ref="M6:N6"/>
    <mergeCell ref="S6:T6"/>
    <mergeCell ref="A9:B9"/>
    <mergeCell ref="C9:D9"/>
    <mergeCell ref="E9:F9"/>
  </mergeCells>
  <conditionalFormatting sqref="S1:S15 S17:S19 S25:S27 S29:S33 S35 S37:S41 S43:S917">
    <cfRule type="cellIs" dxfId="5" priority="1" operator="lessThan">
      <formula>0</formula>
    </cfRule>
  </conditionalFormatting>
  <dataValidations>
    <dataValidation type="list" allowBlank="1" showErrorMessage="1" sqref="Q12:Q60">
      <formula1>"✔"</formula1>
    </dataValidation>
    <dataValidation type="custom" allowBlank="1" showDropDown="1" sqref="T12:T60">
      <formula1>OR(NOT(ISERROR(DATEVALUE(T12))), AND(ISNUMBER(T12), LEFT(CELL("format", T12))="D"))</formula1>
    </dataValidation>
  </dataValidations>
  <hyperlinks>
    <hyperlink r:id="rId1" ref="T3"/>
  </hyperlinks>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7.25"/>
    <col customWidth="1" min="14" max="14" width="8.63"/>
    <col customWidth="1" min="15" max="15" width="2.13"/>
    <col customWidth="1" min="16" max="20" width="16.0"/>
    <col customWidth="1" min="21" max="26" width="8.63"/>
  </cols>
  <sheetData>
    <row r="1" ht="24.75" customHeight="1">
      <c r="A1" s="1" t="s">
        <v>0</v>
      </c>
      <c r="B1" s="2"/>
      <c r="C1" s="2"/>
      <c r="D1" s="3"/>
      <c r="E1" s="3"/>
      <c r="F1" s="2"/>
      <c r="G1" s="2"/>
      <c r="H1" s="2"/>
      <c r="I1" s="2"/>
      <c r="J1" s="4"/>
      <c r="K1" s="5"/>
      <c r="L1" s="4"/>
      <c r="M1" s="4"/>
      <c r="N1" s="4"/>
      <c r="O1" s="4"/>
      <c r="P1" s="6"/>
      <c r="Q1" s="6"/>
      <c r="R1" s="6"/>
      <c r="S1" s="281"/>
      <c r="T1" s="8"/>
    </row>
    <row r="2" ht="12.75" customHeight="1">
      <c r="A2" s="9" t="s">
        <v>1</v>
      </c>
      <c r="B2" s="10">
        <v>2025.0</v>
      </c>
      <c r="C2" s="3"/>
      <c r="D2" s="9" t="s">
        <v>2</v>
      </c>
      <c r="E2" s="10">
        <v>2.0</v>
      </c>
      <c r="F2" s="3"/>
      <c r="G2" s="9" t="s">
        <v>3</v>
      </c>
      <c r="H2" s="11">
        <v>1.0</v>
      </c>
      <c r="I2" s="12" t="s">
        <v>4</v>
      </c>
      <c r="J2" s="4"/>
      <c r="K2" s="5"/>
      <c r="L2" s="13"/>
      <c r="M2" s="13"/>
      <c r="N2" s="13"/>
      <c r="O2" s="13"/>
      <c r="P2" s="14"/>
      <c r="Q2" s="14"/>
      <c r="R2" s="14"/>
      <c r="S2" s="283"/>
      <c r="T2" s="16" t="s">
        <v>5</v>
      </c>
    </row>
    <row r="3" ht="12.75" customHeight="1">
      <c r="A3" s="3"/>
      <c r="B3" s="3"/>
      <c r="C3" s="3"/>
      <c r="D3" s="3"/>
      <c r="E3" s="3"/>
      <c r="F3" s="3"/>
      <c r="G3" s="3"/>
      <c r="H3" s="3"/>
      <c r="I3" s="4"/>
      <c r="J3" s="4"/>
      <c r="K3" s="4"/>
      <c r="L3" s="4"/>
      <c r="M3" s="4"/>
      <c r="N3" s="4"/>
      <c r="O3" s="4"/>
      <c r="P3" s="6"/>
      <c r="Q3" s="6"/>
      <c r="R3" s="6"/>
      <c r="S3" s="281"/>
      <c r="T3" s="17" t="s">
        <v>6</v>
      </c>
    </row>
    <row r="4" ht="12.75" customHeight="1">
      <c r="N4" s="18"/>
      <c r="P4" s="19"/>
      <c r="Q4" s="19"/>
      <c r="R4" s="19"/>
      <c r="S4" s="286"/>
      <c r="T4" s="19"/>
    </row>
    <row r="5" ht="25.5" customHeight="1">
      <c r="A5" s="21" t="str">
        <f>UPPER(TEXT(B8,"mmmm yyyy"))</f>
        <v>FEBRUARY 2025</v>
      </c>
      <c r="B5" s="22"/>
      <c r="C5" s="22"/>
      <c r="D5" s="22"/>
      <c r="E5" s="22"/>
      <c r="F5" s="22"/>
      <c r="G5" s="22"/>
      <c r="H5" s="23"/>
      <c r="I5" s="23"/>
      <c r="J5" s="23"/>
      <c r="K5" s="22"/>
      <c r="L5" s="24" t="s">
        <v>7</v>
      </c>
      <c r="M5" s="25">
        <f>'Jan 2025'!D46</f>
        <v>2737.7</v>
      </c>
      <c r="N5" s="26"/>
      <c r="O5" s="23"/>
      <c r="P5" s="27"/>
      <c r="Q5" s="27"/>
      <c r="R5" s="28" t="s">
        <v>8</v>
      </c>
      <c r="S5" s="288">
        <f>SUMIF(A18:N21,"&gt;0")+SUMIF(A24:N27,"&gt;0")+SUMIF(A30:N33,"&gt;0")+SUMIF(A36:N39,"&gt;0")+SUMIF(A42:D45,"&gt;0")+SUMIF(S13:S47,"&gt;0")+SUMIF(A12:N15,"&gt;0")</f>
        <v>5145.95</v>
      </c>
      <c r="U5" s="23"/>
      <c r="V5" s="289">
        <f>sum(S5+S6)</f>
        <v>-119.19</v>
      </c>
      <c r="W5" s="23"/>
      <c r="X5" s="23"/>
      <c r="Y5" s="23"/>
      <c r="Z5" s="23"/>
    </row>
    <row r="6" ht="25.5" customHeight="1">
      <c r="A6" s="31"/>
      <c r="B6" s="31"/>
      <c r="C6" s="31"/>
      <c r="D6" s="31"/>
      <c r="E6" s="31"/>
      <c r="F6" s="32"/>
      <c r="G6" s="33"/>
      <c r="H6" s="34"/>
      <c r="I6" s="34"/>
      <c r="J6" s="34"/>
      <c r="K6" s="31"/>
      <c r="L6" s="24" t="s">
        <v>9</v>
      </c>
      <c r="M6" s="35">
        <f>D46</f>
        <v>2811.67</v>
      </c>
      <c r="O6" s="34"/>
      <c r="P6" s="36"/>
      <c r="Q6" s="36"/>
      <c r="R6" s="28" t="s">
        <v>10</v>
      </c>
      <c r="S6" s="288">
        <f>SUMIF(A18:N21,"&lt;0")+SUMIF(A24:N27,"&lt;0")+SUMIF(A30:N33,"&lt;0")+SUMIF(A36:N39,"&lt;0")+SUMIF(A42:D45,"&lt;0")+SUMIF(S13:S175,"&lt;0")+SUMIF(A12:N15,"&lt;0")</f>
        <v>-5265.14</v>
      </c>
      <c r="U6" s="34"/>
      <c r="V6" s="34"/>
      <c r="W6" s="34"/>
      <c r="X6" s="34"/>
      <c r="Y6" s="34"/>
      <c r="Z6" s="34"/>
    </row>
    <row r="7" ht="12.75" customHeight="1">
      <c r="A7" s="31"/>
      <c r="B7" s="31"/>
      <c r="C7" s="31"/>
      <c r="D7" s="31"/>
      <c r="E7" s="31"/>
      <c r="F7" s="31"/>
      <c r="G7" s="31"/>
      <c r="H7" s="31"/>
      <c r="I7" s="31"/>
      <c r="J7" s="31"/>
      <c r="K7" s="31"/>
      <c r="L7" s="31"/>
      <c r="M7" s="31"/>
      <c r="N7" s="31"/>
      <c r="O7" s="34"/>
      <c r="P7" s="36"/>
      <c r="Q7" s="36"/>
      <c r="R7" s="36"/>
      <c r="S7" s="291"/>
      <c r="T7" s="36"/>
      <c r="U7" s="34"/>
      <c r="V7" s="34"/>
      <c r="W7" s="34"/>
      <c r="X7" s="34"/>
      <c r="Y7" s="34"/>
      <c r="Z7" s="34"/>
    </row>
    <row r="8" ht="12.75" hidden="1" customHeight="1">
      <c r="A8" s="34" t="s">
        <v>11</v>
      </c>
      <c r="B8" s="38">
        <f>DATE(B2,E2,1)</f>
        <v>45689</v>
      </c>
      <c r="C8" s="34"/>
      <c r="D8" s="34"/>
      <c r="E8" s="34"/>
      <c r="F8" s="34"/>
      <c r="G8" s="34"/>
      <c r="H8" s="34"/>
      <c r="I8" s="34"/>
      <c r="J8" s="34"/>
      <c r="K8" s="34"/>
      <c r="L8" s="34"/>
      <c r="M8" s="34"/>
      <c r="N8" s="34"/>
      <c r="O8" s="34"/>
      <c r="P8" s="36"/>
      <c r="Q8" s="36"/>
      <c r="R8" s="36"/>
      <c r="S8" s="291"/>
      <c r="T8" s="36"/>
      <c r="U8" s="34"/>
      <c r="V8" s="34"/>
      <c r="W8" s="34"/>
      <c r="X8" s="34"/>
      <c r="Y8" s="34"/>
      <c r="Z8" s="34"/>
    </row>
    <row r="9" ht="18.0" customHeight="1">
      <c r="A9" s="39">
        <f>A17</f>
        <v>45690</v>
      </c>
      <c r="B9" s="40"/>
      <c r="C9" s="39">
        <f>C17</f>
        <v>45691</v>
      </c>
      <c r="D9" s="40"/>
      <c r="E9" s="39">
        <f>E17</f>
        <v>45692</v>
      </c>
      <c r="F9" s="40"/>
      <c r="G9" s="39">
        <f>G17</f>
        <v>45693</v>
      </c>
      <c r="H9" s="40"/>
      <c r="I9" s="39">
        <f>I17</f>
        <v>45694</v>
      </c>
      <c r="J9" s="40"/>
      <c r="K9" s="39">
        <f>K17</f>
        <v>45695</v>
      </c>
      <c r="L9" s="40"/>
      <c r="M9" s="39">
        <f>M17</f>
        <v>45696</v>
      </c>
      <c r="N9" s="40"/>
      <c r="O9" s="23"/>
      <c r="P9" s="338"/>
      <c r="Q9" s="339"/>
      <c r="R9" s="339"/>
      <c r="S9" s="340"/>
      <c r="T9" s="339"/>
      <c r="U9" s="23"/>
      <c r="V9" s="23"/>
      <c r="W9" s="23"/>
      <c r="X9" s="23"/>
      <c r="Y9" s="23"/>
      <c r="Z9" s="23"/>
    </row>
    <row r="10" ht="12.75" customHeight="1">
      <c r="A10" s="45"/>
      <c r="B10" s="46"/>
      <c r="C10" s="45"/>
      <c r="D10" s="46"/>
      <c r="E10" s="45"/>
      <c r="F10" s="46"/>
      <c r="G10" s="45"/>
      <c r="H10" s="46"/>
      <c r="I10" s="45"/>
      <c r="J10" s="46"/>
      <c r="K10" s="45"/>
      <c r="L10" s="46"/>
      <c r="M10" s="45"/>
      <c r="N10" s="46"/>
      <c r="O10" s="23"/>
      <c r="P10" s="341" t="s">
        <v>132</v>
      </c>
      <c r="Q10" s="342" t="s">
        <v>133</v>
      </c>
      <c r="R10" s="342" t="s">
        <v>134</v>
      </c>
      <c r="S10" s="343" t="s">
        <v>135</v>
      </c>
      <c r="T10" s="344" t="s">
        <v>136</v>
      </c>
      <c r="U10" s="23"/>
      <c r="V10" s="23"/>
      <c r="W10" s="23"/>
      <c r="X10" s="23"/>
      <c r="Y10" s="23"/>
      <c r="Z10" s="23"/>
    </row>
    <row r="11" ht="12.75" customHeight="1">
      <c r="A11" s="50" t="str">
        <f>IF(WEEKDAY($B$8,1)=$H$2,$B$8,"")</f>
        <v/>
      </c>
      <c r="B11" s="51">
        <f>SUMIF($T$11:$T$102,A11,$S$11:$S$63)</f>
        <v>0</v>
      </c>
      <c r="C11" s="50" t="str">
        <f>IF(A11="",IF(WEEKDAY($B$8,1)=MOD($H$2,7)+1,$B$8,""),A11+1)</f>
        <v/>
      </c>
      <c r="D11" s="51">
        <f>SUMIF($T$11:$T$102,C11,$S$11:$S$63)</f>
        <v>0</v>
      </c>
      <c r="E11" s="50" t="str">
        <f>IF(C11="",IF(WEEKDAY($B$8,1)=MOD($H$2+1,7)+1,$B$8,""),C11+1)</f>
        <v/>
      </c>
      <c r="F11" s="51">
        <f>SUMIF($T$11:$T$102,E11,$S$11:$S$63)</f>
        <v>0</v>
      </c>
      <c r="G11" s="50" t="str">
        <f>IF(E11="",IF(WEEKDAY($B$8,1)=MOD($H$2+2,7)+1,$B$8,""),E11+1)</f>
        <v/>
      </c>
      <c r="H11" s="51">
        <f>SUMIF($T$11:$T$102,G11,$S$11:$S$63)</f>
        <v>0</v>
      </c>
      <c r="I11" s="50" t="str">
        <f>IF(G11="",IF(WEEKDAY($B$8,1)=MOD($H$2+3,7)+1,$B$8,""),G11+1)</f>
        <v/>
      </c>
      <c r="J11" s="51">
        <f>SUMIF($T$11:$T$102,I11,$S$11:$S$63)</f>
        <v>0</v>
      </c>
      <c r="K11" s="50" t="str">
        <f>IF(I11="",IF(WEEKDAY($B$8,1)=MOD($H$2+4,7)+1,$B$8,""),I11+1)</f>
        <v/>
      </c>
      <c r="L11" s="51">
        <f>SUMIF($T$11:$T$102,K11,$S$11:$S$63)</f>
        <v>0</v>
      </c>
      <c r="M11" s="50">
        <f>IF(K11="",IF(WEEKDAY($B$8,1)=MOD($H$2+5,7)+1,$B$8,""),K11+1)</f>
        <v>45689</v>
      </c>
      <c r="N11" s="51">
        <f>SUMIF($T$11:$T$102,M11,$S$11:$S$63)</f>
        <v>-57</v>
      </c>
      <c r="O11" s="23"/>
      <c r="P11" s="345" t="s">
        <v>132</v>
      </c>
      <c r="Q11" s="346" t="s">
        <v>143</v>
      </c>
      <c r="R11" s="347" t="s">
        <v>144</v>
      </c>
      <c r="S11" s="348" t="s">
        <v>135</v>
      </c>
      <c r="T11" s="349" t="s">
        <v>145</v>
      </c>
      <c r="U11" s="23"/>
      <c r="V11" s="23"/>
      <c r="W11" s="23"/>
      <c r="X11" s="23"/>
      <c r="Y11" s="23"/>
    </row>
    <row r="12" ht="18.75" customHeight="1">
      <c r="A12" s="55"/>
      <c r="B12" s="56"/>
      <c r="C12" s="55"/>
      <c r="D12" s="56"/>
      <c r="E12" s="55"/>
      <c r="F12" s="56"/>
      <c r="G12" s="55"/>
      <c r="H12" s="56"/>
      <c r="I12" s="58"/>
      <c r="J12" s="57"/>
      <c r="K12" s="55"/>
      <c r="L12" s="56"/>
      <c r="M12" s="55"/>
      <c r="N12" s="56"/>
      <c r="O12" s="23"/>
      <c r="P12" s="304" t="s">
        <v>24</v>
      </c>
      <c r="Q12" s="350"/>
      <c r="R12" s="306">
        <v>1.0</v>
      </c>
      <c r="S12" s="318">
        <v>-57.0</v>
      </c>
      <c r="T12" s="351">
        <f t="shared" ref="T12:T55" si="1">IF(ISBLANK(R12),"-",IF(R12&gt;DAY(EOMONTH(DATE($B$2,$E$2,1),0)),EOMONTH(DATE($B$2,$E$2,1),0),DATE($B$2,$E$2,R12)))</f>
        <v>45689</v>
      </c>
      <c r="U12" s="23"/>
      <c r="V12" s="64"/>
      <c r="W12" s="303"/>
      <c r="X12" s="23"/>
      <c r="Y12" s="23"/>
    </row>
    <row r="13" ht="18.75" customHeight="1">
      <c r="A13" s="55"/>
      <c r="B13" s="56"/>
      <c r="C13" s="55"/>
      <c r="D13" s="56"/>
      <c r="E13" s="55"/>
      <c r="F13" s="56"/>
      <c r="G13" s="55"/>
      <c r="H13" s="56"/>
      <c r="I13" s="55"/>
      <c r="J13" s="57"/>
      <c r="K13" s="55"/>
      <c r="L13" s="56"/>
      <c r="M13" s="55"/>
      <c r="N13" s="56"/>
      <c r="O13" s="23"/>
      <c r="P13" s="352" t="s">
        <v>19</v>
      </c>
      <c r="Q13" s="350"/>
      <c r="R13" s="306">
        <v>3.0</v>
      </c>
      <c r="S13" s="353">
        <v>780.0</v>
      </c>
      <c r="T13" s="351">
        <f t="shared" si="1"/>
        <v>45691</v>
      </c>
      <c r="U13" s="23"/>
      <c r="V13" s="64"/>
      <c r="W13" s="303"/>
      <c r="X13" s="23"/>
      <c r="Y13" s="23"/>
    </row>
    <row r="14" ht="18.75" customHeight="1">
      <c r="A14" s="55"/>
      <c r="B14" s="56"/>
      <c r="C14" s="55"/>
      <c r="D14" s="56"/>
      <c r="E14" s="55"/>
      <c r="F14" s="56"/>
      <c r="G14" s="55"/>
      <c r="H14" s="56"/>
      <c r="I14" s="58"/>
      <c r="J14" s="57"/>
      <c r="K14" s="55"/>
      <c r="L14" s="56"/>
      <c r="M14" s="55"/>
      <c r="N14" s="56"/>
      <c r="O14" s="23"/>
      <c r="P14" s="304" t="s">
        <v>20</v>
      </c>
      <c r="Q14" s="350"/>
      <c r="R14" s="306">
        <v>3.0</v>
      </c>
      <c r="S14" s="354">
        <f t="array" ref="S14">-INDEX(PaymentSchedule!$E$21:$AG909,MATCH(PaymentSchedule!$B$22,PaymentSchedule!$B$21:$B$100),MATCH($P14,PaymentSchedule!$E$19:$AG$19,0))</f>
        <v>-1560.81</v>
      </c>
      <c r="T14" s="351">
        <f t="shared" si="1"/>
        <v>45691</v>
      </c>
      <c r="U14" s="23"/>
      <c r="V14" s="64"/>
      <c r="W14" s="303"/>
      <c r="X14" s="23"/>
      <c r="Y14" s="23"/>
    </row>
    <row r="15" ht="18.75" customHeight="1">
      <c r="A15" s="55"/>
      <c r="B15" s="56"/>
      <c r="C15" s="55"/>
      <c r="D15" s="56"/>
      <c r="E15" s="55"/>
      <c r="F15" s="56"/>
      <c r="G15" s="55"/>
      <c r="H15" s="56"/>
      <c r="I15" s="55"/>
      <c r="J15" s="56"/>
      <c r="K15" s="55"/>
      <c r="L15" s="56"/>
      <c r="M15" s="55"/>
      <c r="N15" s="56"/>
      <c r="O15" s="23"/>
      <c r="P15" s="304" t="s">
        <v>29</v>
      </c>
      <c r="Q15" s="350"/>
      <c r="R15" s="306">
        <v>5.0</v>
      </c>
      <c r="S15" s="318">
        <v>-16.19</v>
      </c>
      <c r="T15" s="351">
        <f t="shared" si="1"/>
        <v>45693</v>
      </c>
      <c r="U15" s="23"/>
      <c r="V15" s="64"/>
      <c r="W15" s="303"/>
      <c r="X15" s="23"/>
      <c r="Y15" s="23"/>
    </row>
    <row r="16" ht="18.75" customHeight="1">
      <c r="A16" s="66" t="s">
        <v>22</v>
      </c>
      <c r="B16" s="67">
        <f>$M$5+SUM(B11:B15)</f>
        <v>2737.7</v>
      </c>
      <c r="C16" s="66"/>
      <c r="D16" s="67">
        <f>B16+SUM(D11:D15)</f>
        <v>2737.7</v>
      </c>
      <c r="E16" s="66"/>
      <c r="F16" s="67">
        <f>D16+SUM(F11:F15)</f>
        <v>2737.7</v>
      </c>
      <c r="G16" s="66"/>
      <c r="H16" s="67">
        <f>F16+SUM(H11:H15)</f>
        <v>2737.7</v>
      </c>
      <c r="I16" s="66"/>
      <c r="J16" s="67">
        <f>H16+SUM(J11:J15)</f>
        <v>2737.7</v>
      </c>
      <c r="K16" s="66"/>
      <c r="L16" s="67">
        <f>J16+SUM(L11:L15)</f>
        <v>2737.7</v>
      </c>
      <c r="M16" s="66"/>
      <c r="N16" s="67">
        <f>L16+SUM(N11:N15)</f>
        <v>2680.7</v>
      </c>
      <c r="O16" s="68"/>
      <c r="P16" s="304" t="s">
        <v>80</v>
      </c>
      <c r="Q16" s="350"/>
      <c r="R16" s="306">
        <v>5.0</v>
      </c>
      <c r="S16" s="354">
        <f t="array" ref="S16">-INDEX(PaymentSchedule!$E$21:$AG909,MATCH(PaymentSchedule!$B$22,PaymentSchedule!$B$21:$B$100),MATCH($P16,PaymentSchedule!$E$19:$AG$19,0))</f>
        <v>-9.8</v>
      </c>
      <c r="T16" s="351">
        <f t="shared" si="1"/>
        <v>45693</v>
      </c>
      <c r="U16" s="69"/>
      <c r="V16" s="71"/>
      <c r="W16" s="309"/>
      <c r="X16" s="69"/>
      <c r="Y16" s="69"/>
    </row>
    <row r="17" ht="18.75" customHeight="1">
      <c r="A17" s="50">
        <f>IF(M11="","",IF(MONTH(M11+1)&lt;&gt;MONTH(M11),"",M11+1))</f>
        <v>45690</v>
      </c>
      <c r="B17" s="51">
        <f>SUMIF($T$11:$T$102,A17,$S$11:$S$63)</f>
        <v>0</v>
      </c>
      <c r="C17" s="50">
        <f>IF(A17="","",IF(MONTH(A17+1)&lt;&gt;MONTH(A17),"",A17+1))</f>
        <v>45691</v>
      </c>
      <c r="D17" s="51">
        <f>SUMIF($T$11:$T$102,C17,$S$11:$S$63)</f>
        <v>-780.81</v>
      </c>
      <c r="E17" s="50">
        <f>IF(C17="","",IF(MONTH(C17+1)&lt;&gt;MONTH(C17),"",C17+1))</f>
        <v>45692</v>
      </c>
      <c r="F17" s="51">
        <f>SUMIF($T$11:$T$102,E17,$S$11:$S$63)</f>
        <v>0</v>
      </c>
      <c r="G17" s="50">
        <f>IF(E17="","",IF(MONTH(E17+1)&lt;&gt;MONTH(E17),"",E17+1))</f>
        <v>45693</v>
      </c>
      <c r="H17" s="51">
        <f>SUMIF($T$11:$T$102,G17,$S$11:$S$63)</f>
        <v>-926.74</v>
      </c>
      <c r="I17" s="50">
        <f>IF(G17="","",IF(MONTH(G17+1)&lt;&gt;MONTH(G17),"",G17+1))</f>
        <v>45694</v>
      </c>
      <c r="J17" s="51">
        <f>SUMIF($T$11:$T$102,I17,$S$11:$S$63)</f>
        <v>-98</v>
      </c>
      <c r="K17" s="50">
        <f>IF(I17="","",IF(MONTH(I17+1)&lt;&gt;MONTH(I17),"",I17+1))</f>
        <v>45695</v>
      </c>
      <c r="L17" s="51">
        <f>SUMIF($T$11:$T$102,K17,$S$11:$S$63)</f>
        <v>1922.97</v>
      </c>
      <c r="M17" s="50">
        <f>IF(K17="","",IF(MONTH(K17+1)&lt;&gt;MONTH(K17),"",K17+1))</f>
        <v>45696</v>
      </c>
      <c r="N17" s="51">
        <f>SUMIF($T$11:$T$102,M17,$S$11:$S$63)</f>
        <v>-102</v>
      </c>
      <c r="O17" s="23"/>
      <c r="P17" s="304" t="s">
        <v>81</v>
      </c>
      <c r="Q17" s="350"/>
      <c r="R17" s="306">
        <v>5.0</v>
      </c>
      <c r="S17" s="354">
        <f t="array" ref="S17">-INDEX(PaymentSchedule!$E$21:$AG909,MATCH(PaymentSchedule!$B$22,PaymentSchedule!$B$21:$B$100),MATCH($P17,PaymentSchedule!$E$19:$AG$19,0))</f>
        <v>-14.7</v>
      </c>
      <c r="T17" s="351">
        <f t="shared" si="1"/>
        <v>45693</v>
      </c>
      <c r="U17" s="23"/>
      <c r="V17" s="64"/>
      <c r="W17" s="303"/>
      <c r="X17" s="23"/>
      <c r="Y17" s="23"/>
    </row>
    <row r="18" ht="18.75" customHeight="1">
      <c r="A18" s="55"/>
      <c r="B18" s="56"/>
      <c r="C18" s="55"/>
      <c r="D18" s="57"/>
      <c r="E18" s="55"/>
      <c r="F18" s="57">
        <v>150.0</v>
      </c>
      <c r="G18" s="55"/>
      <c r="H18" s="57"/>
      <c r="I18" s="55"/>
      <c r="J18" s="57"/>
      <c r="K18" s="55"/>
      <c r="L18" s="56"/>
      <c r="M18" s="55"/>
      <c r="N18" s="56"/>
      <c r="O18" s="23"/>
      <c r="P18" s="304" t="s">
        <v>82</v>
      </c>
      <c r="Q18" s="350"/>
      <c r="R18" s="306">
        <v>5.0</v>
      </c>
      <c r="S18" s="354">
        <f t="array" ref="S18">-INDEX(PaymentSchedule!$E$21:$AG909,MATCH(PaymentSchedule!$B$22,PaymentSchedule!$B$21:$B$100),MATCH($P18,PaymentSchedule!$E$19:$AG$19,0))</f>
        <v>-12.84</v>
      </c>
      <c r="T18" s="351">
        <f t="shared" si="1"/>
        <v>45693</v>
      </c>
      <c r="U18" s="23"/>
      <c r="X18" s="23"/>
      <c r="Y18" s="64">
        <v>1792.36</v>
      </c>
    </row>
    <row r="19" ht="18.75" customHeight="1">
      <c r="A19" s="55"/>
      <c r="B19" s="56"/>
      <c r="C19" s="55"/>
      <c r="D19" s="56"/>
      <c r="E19" s="55"/>
      <c r="F19" s="57"/>
      <c r="G19" s="55"/>
      <c r="H19" s="57"/>
      <c r="I19" s="55"/>
      <c r="J19" s="57"/>
      <c r="K19" s="55"/>
      <c r="L19" s="56"/>
      <c r="M19" s="55"/>
      <c r="N19" s="56"/>
      <c r="O19" s="23"/>
      <c r="P19" s="304" t="s">
        <v>83</v>
      </c>
      <c r="Q19" s="350"/>
      <c r="R19" s="306">
        <v>5.0</v>
      </c>
      <c r="S19" s="354">
        <f t="array" ref="S19">-INDEX(PaymentSchedule!$E$21:$AG909,MATCH(PaymentSchedule!$B$22,PaymentSchedule!$B$21:$B$100),MATCH($P19,PaymentSchedule!$E$19:$AG$19,0))</f>
        <v>-28.09</v>
      </c>
      <c r="T19" s="351">
        <f t="shared" si="1"/>
        <v>45693</v>
      </c>
      <c r="U19" s="23"/>
      <c r="V19" s="64"/>
      <c r="W19" s="303"/>
      <c r="X19" s="23"/>
      <c r="Y19" s="23"/>
    </row>
    <row r="20" ht="18.75" customHeight="1">
      <c r="A20" s="55"/>
      <c r="B20" s="56"/>
      <c r="C20" s="55"/>
      <c r="D20" s="56"/>
      <c r="E20" s="55"/>
      <c r="F20" s="56"/>
      <c r="G20" s="55"/>
      <c r="H20" s="56"/>
      <c r="I20" s="55"/>
      <c r="J20" s="56"/>
      <c r="K20" s="55"/>
      <c r="L20" s="56"/>
      <c r="M20" s="55"/>
      <c r="N20" s="56"/>
      <c r="O20" s="23"/>
      <c r="P20" s="304" t="s">
        <v>84</v>
      </c>
      <c r="Q20" s="350"/>
      <c r="R20" s="306">
        <v>5.0</v>
      </c>
      <c r="S20" s="354">
        <f t="array" ref="S20">-INDEX(PaymentSchedule!$E$21:$AG909,MATCH(PaymentSchedule!$B$22,PaymentSchedule!$B$21:$B$100),MATCH($P20,PaymentSchedule!$E$19:$AG$19,0))</f>
        <v>-20.96</v>
      </c>
      <c r="T20" s="351">
        <f t="shared" si="1"/>
        <v>45693</v>
      </c>
      <c r="U20" s="23"/>
      <c r="V20" s="64"/>
      <c r="W20" s="303"/>
      <c r="X20" s="23"/>
      <c r="Y20" s="23"/>
    </row>
    <row r="21" ht="18.75" customHeight="1">
      <c r="A21" s="55"/>
      <c r="B21" s="56"/>
      <c r="C21" s="55"/>
      <c r="D21" s="56"/>
      <c r="E21" s="55"/>
      <c r="F21" s="56"/>
      <c r="G21" s="55"/>
      <c r="H21" s="56"/>
      <c r="I21" s="55"/>
      <c r="J21" s="56"/>
      <c r="K21" s="55"/>
      <c r="L21" s="56"/>
      <c r="M21" s="55"/>
      <c r="N21" s="56"/>
      <c r="O21" s="23"/>
      <c r="P21" s="304" t="s">
        <v>86</v>
      </c>
      <c r="Q21" s="350"/>
      <c r="R21" s="306">
        <v>5.0</v>
      </c>
      <c r="S21" s="354">
        <f t="array" ref="S21">-INDEX(PaymentSchedule!$E$21:$AG909,MATCH(PaymentSchedule!$B$22,PaymentSchedule!$B$21:$B$100),MATCH($P21,PaymentSchedule!$E$19:$AG$19,0))</f>
        <v>-791.16</v>
      </c>
      <c r="T21" s="351">
        <f t="shared" si="1"/>
        <v>45693</v>
      </c>
      <c r="U21" s="303"/>
      <c r="V21" s="64"/>
      <c r="W21" s="303"/>
      <c r="X21" s="23"/>
      <c r="Y21" s="23"/>
    </row>
    <row r="22" ht="18.75" customHeight="1">
      <c r="A22" s="66" t="s">
        <v>22</v>
      </c>
      <c r="B22" s="67">
        <f>N16+SUM(B17:B21)</f>
        <v>2680.7</v>
      </c>
      <c r="C22" s="66"/>
      <c r="D22" s="355">
        <v>1792.36</v>
      </c>
      <c r="E22" s="66"/>
      <c r="F22" s="67">
        <f>D22+SUM(F17:F21)</f>
        <v>1942.36</v>
      </c>
      <c r="G22" s="66"/>
      <c r="H22" s="67">
        <f>F22+SUM(H17:H21)</f>
        <v>1015.62</v>
      </c>
      <c r="I22" s="66"/>
      <c r="J22" s="67">
        <f>H22+SUM(J17:J21)</f>
        <v>917.62</v>
      </c>
      <c r="K22" s="66"/>
      <c r="L22" s="67">
        <f>J22+SUM(L17:L21)</f>
        <v>2840.59</v>
      </c>
      <c r="M22" s="66"/>
      <c r="N22" s="67">
        <f>L22+SUM(N17:N21)</f>
        <v>2738.59</v>
      </c>
      <c r="O22" s="68"/>
      <c r="P22" s="304" t="s">
        <v>27</v>
      </c>
      <c r="Q22" s="350"/>
      <c r="R22" s="306">
        <v>5.0</v>
      </c>
      <c r="S22" s="318">
        <v>-33.0</v>
      </c>
      <c r="T22" s="351">
        <f t="shared" si="1"/>
        <v>45693</v>
      </c>
      <c r="V22" s="71"/>
      <c r="W22" s="309"/>
      <c r="X22" s="69"/>
      <c r="Y22" s="69"/>
    </row>
    <row r="23" ht="18.75" customHeight="1">
      <c r="A23" s="50">
        <f>IF(M17="","",IF(MONTH(M17+1)&lt;&gt;MONTH(M17),"",M17+1))</f>
        <v>45697</v>
      </c>
      <c r="B23" s="51">
        <f>SUMIF($T$11:$T$102,A23,$S$11:$S$63)</f>
        <v>0</v>
      </c>
      <c r="C23" s="50">
        <f>IF(A23="","",IF(MONTH(A23+1)&lt;&gt;MONTH(A23),"",A23+1))</f>
        <v>45698</v>
      </c>
      <c r="D23" s="51">
        <f>SUMIF($T$11:$T$102,C23,$S$11:$S$63)</f>
        <v>-612.08</v>
      </c>
      <c r="E23" s="50">
        <f>IF(C23="","",IF(MONTH(C23+1)&lt;&gt;MONTH(C23),"",C23+1))</f>
        <v>45699</v>
      </c>
      <c r="F23" s="51">
        <f>SUMIF($T$11:$T$102,E23,$S$11:$S$63)</f>
        <v>-150</v>
      </c>
      <c r="G23" s="50">
        <f>IF(E23="","",IF(MONTH(E23+1)&lt;&gt;MONTH(E23),"",E23+1))</f>
        <v>45700</v>
      </c>
      <c r="H23" s="51">
        <f>SUMIF($T$11:$T$102,G23,$S$11:$S$63)</f>
        <v>-98</v>
      </c>
      <c r="I23" s="50">
        <f>IF(G23="","",IF(MONTH(G23+1)&lt;&gt;MONTH(G23),"",G23+1))</f>
        <v>45701</v>
      </c>
      <c r="J23" s="51">
        <f>SUMIF($T$11:$T$102,I23,$S$11:$S$63)</f>
        <v>0</v>
      </c>
      <c r="K23" s="50">
        <f>IF(I23="","",IF(MONTH(I23+1)&lt;&gt;MONTH(I23),"",I23+1))</f>
        <v>45702</v>
      </c>
      <c r="L23" s="51">
        <f>SUMIF($T$11:$T$102,K23,$S$11:$S$63)</f>
        <v>-102</v>
      </c>
      <c r="M23" s="50">
        <f>IF(K23="","",IF(MONTH(K23+1)&lt;&gt;MONTH(K23),"",K23+1))</f>
        <v>45703</v>
      </c>
      <c r="N23" s="51">
        <f>SUMIF($T$11:$T$102,M23,$S$11:$S$63)</f>
        <v>0</v>
      </c>
      <c r="O23" s="23"/>
      <c r="P23" s="304" t="s">
        <v>26</v>
      </c>
      <c r="Q23" s="350"/>
      <c r="R23" s="306">
        <v>6.0</v>
      </c>
      <c r="S23" s="318">
        <v>-98.0</v>
      </c>
      <c r="T23" s="351">
        <f t="shared" si="1"/>
        <v>45694</v>
      </c>
      <c r="U23" s="23"/>
      <c r="V23" s="64"/>
      <c r="W23" s="303"/>
      <c r="X23" s="23"/>
      <c r="Y23" s="23"/>
    </row>
    <row r="24" ht="18.75" customHeight="1">
      <c r="A24" s="55"/>
      <c r="B24" s="56"/>
      <c r="C24" s="55"/>
      <c r="D24" s="57"/>
      <c r="E24" s="58" t="s">
        <v>31</v>
      </c>
      <c r="F24" s="57">
        <v>-2.96</v>
      </c>
      <c r="G24" s="58" t="s">
        <v>146</v>
      </c>
      <c r="H24" s="57">
        <v>-117.0</v>
      </c>
      <c r="I24" s="55"/>
      <c r="J24" s="57"/>
      <c r="K24" s="58"/>
      <c r="L24" s="57"/>
      <c r="M24" s="58" t="s">
        <v>147</v>
      </c>
      <c r="N24" s="57">
        <v>-97.57</v>
      </c>
      <c r="O24" s="23"/>
      <c r="P24" s="308" t="s">
        <v>47</v>
      </c>
      <c r="Q24" s="350"/>
      <c r="R24" s="306">
        <v>7.0</v>
      </c>
      <c r="S24" s="301">
        <v>2107.97</v>
      </c>
      <c r="T24" s="351">
        <f t="shared" si="1"/>
        <v>45695</v>
      </c>
      <c r="U24" s="64" t="s">
        <v>28</v>
      </c>
      <c r="V24" s="64"/>
      <c r="W24" s="303">
        <f>'Jan 2025'!X35</f>
        <v>750</v>
      </c>
      <c r="X24" s="23"/>
      <c r="Y24" s="23"/>
    </row>
    <row r="25" ht="18.75" customHeight="1">
      <c r="A25" s="55"/>
      <c r="B25" s="56"/>
      <c r="C25" s="55"/>
      <c r="D25" s="56"/>
      <c r="E25" s="55"/>
      <c r="F25" s="57"/>
      <c r="G25" s="55"/>
      <c r="H25" s="56"/>
      <c r="I25" s="55"/>
      <c r="J25" s="56"/>
      <c r="K25" s="55"/>
      <c r="L25" s="56"/>
      <c r="M25" s="55"/>
      <c r="N25" s="56"/>
      <c r="O25" s="23"/>
      <c r="P25" s="304" t="s">
        <v>25</v>
      </c>
      <c r="Q25" s="350"/>
      <c r="R25" s="306">
        <v>7.0</v>
      </c>
      <c r="S25" s="354">
        <f t="array" ref="S25">-INDEX(PaymentSchedule!$E$21:$AG909,MATCH(PaymentSchedule!$B$22,PaymentSchedule!$B$21:$B$100),MATCH($P25,PaymentSchedule!$E$19:$AG$19,0))</f>
        <v>-35</v>
      </c>
      <c r="T25" s="351">
        <f t="shared" si="1"/>
        <v>45695</v>
      </c>
      <c r="U25" s="64" t="s">
        <v>28</v>
      </c>
      <c r="V25" s="64">
        <v>3.0</v>
      </c>
      <c r="W25" s="108">
        <v>-213.0</v>
      </c>
      <c r="X25" s="23"/>
      <c r="Y25" s="23"/>
    </row>
    <row r="26" ht="18.75" customHeight="1">
      <c r="A26" s="55"/>
      <c r="B26" s="56"/>
      <c r="C26" s="55"/>
      <c r="D26" s="56"/>
      <c r="E26" s="55"/>
      <c r="F26" s="56"/>
      <c r="G26" s="55"/>
      <c r="H26" s="56"/>
      <c r="I26" s="55"/>
      <c r="J26" s="56"/>
      <c r="K26" s="55"/>
      <c r="L26" s="56"/>
      <c r="M26" s="55"/>
      <c r="N26" s="56"/>
      <c r="O26" s="23"/>
      <c r="P26" s="308" t="s">
        <v>148</v>
      </c>
      <c r="Q26" s="350"/>
      <c r="R26" s="306">
        <v>7.0</v>
      </c>
      <c r="S26" s="356">
        <v>-150.0</v>
      </c>
      <c r="T26" s="351">
        <f t="shared" si="1"/>
        <v>45695</v>
      </c>
      <c r="U26" s="23"/>
      <c r="V26" s="64">
        <v>11.0</v>
      </c>
      <c r="W26" s="303">
        <v>150.0</v>
      </c>
      <c r="X26" s="23"/>
      <c r="Y26" s="23"/>
    </row>
    <row r="27" ht="18.75" customHeight="1">
      <c r="A27" s="55"/>
      <c r="B27" s="56"/>
      <c r="C27" s="55"/>
      <c r="D27" s="56"/>
      <c r="E27" s="55"/>
      <c r="F27" s="56"/>
      <c r="G27" s="55"/>
      <c r="H27" s="56"/>
      <c r="I27" s="55"/>
      <c r="J27" s="56"/>
      <c r="K27" s="55"/>
      <c r="L27" s="56"/>
      <c r="M27" s="55"/>
      <c r="N27" s="56"/>
      <c r="O27" s="23"/>
      <c r="P27" s="304" t="s">
        <v>85</v>
      </c>
      <c r="Q27" s="350"/>
      <c r="R27" s="306">
        <v>8.0</v>
      </c>
      <c r="S27" s="354">
        <f t="array" ref="S27">-INDEX(PaymentSchedule!$E$21:$AG909,MATCH(PaymentSchedule!$B$22,PaymentSchedule!$B$21:$B$100),MATCH($P27,PaymentSchedule!$E$19:$AG$19,0))</f>
        <v>-102</v>
      </c>
      <c r="T27" s="351">
        <f t="shared" si="1"/>
        <v>45696</v>
      </c>
      <c r="U27" s="23"/>
      <c r="V27" s="64">
        <v>17.0</v>
      </c>
      <c r="W27" s="108">
        <v>150.0</v>
      </c>
      <c r="X27" s="23"/>
      <c r="Y27" s="23"/>
    </row>
    <row r="28" ht="18.75" customHeight="1">
      <c r="A28" s="66" t="s">
        <v>22</v>
      </c>
      <c r="B28" s="67">
        <f>N22+SUM(B23:B27)</f>
        <v>2738.59</v>
      </c>
      <c r="C28" s="66"/>
      <c r="D28" s="67">
        <f>B28+SUM(D23:D27)</f>
        <v>2126.51</v>
      </c>
      <c r="E28" s="66"/>
      <c r="F28" s="67">
        <f>D28+SUM(F23:F27)</f>
        <v>1973.55</v>
      </c>
      <c r="G28" s="66"/>
      <c r="H28" s="67">
        <f>F28+SUM(H23:H27)</f>
        <v>1758.55</v>
      </c>
      <c r="I28" s="66"/>
      <c r="J28" s="67">
        <f>H28+SUM(J23:J27)</f>
        <v>1758.55</v>
      </c>
      <c r="K28" s="66"/>
      <c r="L28" s="67">
        <f>J28+SUM(L23:L27)</f>
        <v>1656.55</v>
      </c>
      <c r="M28" s="66"/>
      <c r="N28" s="67">
        <f>L28+SUM(N23:N27)</f>
        <v>1558.98</v>
      </c>
      <c r="O28" s="68"/>
      <c r="P28" s="304" t="s">
        <v>34</v>
      </c>
      <c r="Q28" s="350"/>
      <c r="R28" s="306">
        <v>10.0</v>
      </c>
      <c r="S28" s="318">
        <v>-6.0</v>
      </c>
      <c r="T28" s="351">
        <f t="shared" si="1"/>
        <v>45698</v>
      </c>
      <c r="U28" s="69"/>
      <c r="V28" s="71">
        <v>24.0</v>
      </c>
      <c r="W28" s="108">
        <v>150.0</v>
      </c>
      <c r="X28" s="69"/>
      <c r="Y28" s="69"/>
    </row>
    <row r="29" ht="18.75" customHeight="1">
      <c r="A29" s="50">
        <f>IF(M23="","",IF(MONTH(M23+1)&lt;&gt;MONTH(M23),"",M23+1))</f>
        <v>45704</v>
      </c>
      <c r="B29" s="51">
        <f>SUMIF($T$11:$T$102,A29,$S$11:$S$63)</f>
        <v>0</v>
      </c>
      <c r="C29" s="50">
        <f>IF(A29="","",IF(MONTH(A29+1)&lt;&gt;MONTH(A29),"",A29+1))</f>
        <v>45705</v>
      </c>
      <c r="D29" s="51">
        <f>SUMIF($T$11:$T$102,C29,$S$11:$S$63)</f>
        <v>-159.99</v>
      </c>
      <c r="E29" s="50">
        <f>IF(C29="","",IF(MONTH(C29+1)&lt;&gt;MONTH(C29),"",C29+1))</f>
        <v>45706</v>
      </c>
      <c r="F29" s="51">
        <f>SUMIF($T$11:$T$102,E29,$S$11:$S$63)</f>
        <v>0</v>
      </c>
      <c r="G29" s="50">
        <f>IF(E29="","",IF(MONTH(E29+1)&lt;&gt;MONTH(E29),"",E29+1))</f>
        <v>45707</v>
      </c>
      <c r="H29" s="51">
        <f>SUMIF($T$11:$T$102,G29,$S$11:$S$63)</f>
        <v>-98</v>
      </c>
      <c r="I29" s="50">
        <f>IF(G29="","",IF(MONTH(G29+1)&lt;&gt;MONTH(G29),"",G29+1))</f>
        <v>45708</v>
      </c>
      <c r="J29" s="51">
        <f>SUMIF($T$11:$T$102,I29,$S$11:$S$63)</f>
        <v>0</v>
      </c>
      <c r="K29" s="50">
        <f>IF(I29="","",IF(MONTH(I29+1)&lt;&gt;MONTH(I29),"",I29+1))</f>
        <v>45709</v>
      </c>
      <c r="L29" s="51">
        <f>SUMIF($T$11:$T$102,K29,$S$11:$S$63)</f>
        <v>2107.98</v>
      </c>
      <c r="M29" s="50">
        <f>IF(K29="","",IF(MONTH(K29+1)&lt;&gt;MONTH(K29),"",K29+1))</f>
        <v>45710</v>
      </c>
      <c r="N29" s="51">
        <f>SUMIF($T$11:$T$102,M29,$S$11:$S$63)</f>
        <v>0</v>
      </c>
      <c r="O29" s="23"/>
      <c r="P29" s="304" t="s">
        <v>51</v>
      </c>
      <c r="Q29" s="350"/>
      <c r="R29" s="306">
        <v>10.0</v>
      </c>
      <c r="S29" s="318">
        <v>-24.0</v>
      </c>
      <c r="T29" s="351">
        <f t="shared" si="1"/>
        <v>45698</v>
      </c>
      <c r="U29" s="23"/>
      <c r="V29" s="64"/>
      <c r="W29" s="303">
        <f>sum(W24:W28)</f>
        <v>987</v>
      </c>
      <c r="X29" s="23"/>
      <c r="Y29" s="64"/>
    </row>
    <row r="30" ht="18.75" customHeight="1">
      <c r="A30" s="55"/>
      <c r="B30" s="56"/>
      <c r="C30" s="55"/>
      <c r="D30" s="56"/>
      <c r="E30" s="58" t="s">
        <v>149</v>
      </c>
      <c r="F30" s="57">
        <v>-81.23</v>
      </c>
      <c r="G30" s="55"/>
      <c r="H30" s="56"/>
      <c r="I30" s="55"/>
      <c r="J30" s="56"/>
      <c r="K30" s="55"/>
      <c r="L30" s="56"/>
      <c r="M30" s="55"/>
      <c r="N30" s="56"/>
      <c r="O30" s="23"/>
      <c r="P30" s="304" t="s">
        <v>37</v>
      </c>
      <c r="Q30" s="350"/>
      <c r="R30" s="306">
        <v>10.0</v>
      </c>
      <c r="S30" s="357">
        <v>-82.0</v>
      </c>
      <c r="T30" s="351">
        <f t="shared" si="1"/>
        <v>45698</v>
      </c>
      <c r="U30" s="23"/>
      <c r="V30" s="64"/>
      <c r="W30" s="303"/>
      <c r="X30" s="23"/>
      <c r="Y30" s="23"/>
    </row>
    <row r="31" ht="18.75" customHeight="1">
      <c r="A31" s="55"/>
      <c r="B31" s="56"/>
      <c r="C31" s="55"/>
      <c r="D31" s="56"/>
      <c r="E31" s="55"/>
      <c r="F31" s="56"/>
      <c r="G31" s="55"/>
      <c r="H31" s="56"/>
      <c r="I31" s="55"/>
      <c r="J31" s="57"/>
      <c r="K31" s="55"/>
      <c r="L31" s="56"/>
      <c r="M31" s="55"/>
      <c r="N31" s="56"/>
      <c r="O31" s="23"/>
      <c r="P31" s="304" t="s">
        <v>38</v>
      </c>
      <c r="Q31" s="350"/>
      <c r="R31" s="306">
        <v>10.0</v>
      </c>
      <c r="S31" s="318">
        <v>-50.0</v>
      </c>
      <c r="T31" s="351">
        <f t="shared" si="1"/>
        <v>45698</v>
      </c>
      <c r="X31" s="23"/>
      <c r="Y31" s="23"/>
    </row>
    <row r="32" ht="18.75" customHeight="1">
      <c r="A32" s="55"/>
      <c r="B32" s="56"/>
      <c r="C32" s="55"/>
      <c r="D32" s="56"/>
      <c r="E32" s="55"/>
      <c r="F32" s="56"/>
      <c r="G32" s="55"/>
      <c r="H32" s="56"/>
      <c r="I32" s="55"/>
      <c r="J32" s="56"/>
      <c r="K32" s="55"/>
      <c r="L32" s="56"/>
      <c r="M32" s="55"/>
      <c r="N32" s="56"/>
      <c r="O32" s="23"/>
      <c r="P32" s="304" t="s">
        <v>36</v>
      </c>
      <c r="Q32" s="350"/>
      <c r="R32" s="306">
        <v>10.0</v>
      </c>
      <c r="S32" s="354">
        <f t="array" ref="S32">-INDEX(PaymentSchedule!$E$21:$AG909,MATCH(PaymentSchedule!$B$22,PaymentSchedule!$B$21:$B$100),MATCH($P32,PaymentSchedule!$E$19:$AG$19,0))</f>
        <v>-450.08</v>
      </c>
      <c r="T32" s="351">
        <f t="shared" si="1"/>
        <v>45698</v>
      </c>
      <c r="X32" s="23"/>
      <c r="Y32" s="23"/>
    </row>
    <row r="33" ht="18.75" customHeight="1">
      <c r="A33" s="55"/>
      <c r="B33" s="56"/>
      <c r="C33" s="55"/>
      <c r="D33" s="56"/>
      <c r="E33" s="55"/>
      <c r="F33" s="56"/>
      <c r="G33" s="55"/>
      <c r="H33" s="56"/>
      <c r="I33" s="55"/>
      <c r="J33" s="56"/>
      <c r="K33" s="55"/>
      <c r="L33" s="56"/>
      <c r="M33" s="55"/>
      <c r="N33" s="56"/>
      <c r="O33" s="23"/>
      <c r="P33" s="304" t="s">
        <v>28</v>
      </c>
      <c r="Q33" s="350"/>
      <c r="R33" s="306">
        <v>11.0</v>
      </c>
      <c r="S33" s="356">
        <v>-150.0</v>
      </c>
      <c r="T33" s="351">
        <f t="shared" si="1"/>
        <v>45699</v>
      </c>
      <c r="V33" s="358" t="s">
        <v>150</v>
      </c>
    </row>
    <row r="34" ht="18.75" customHeight="1">
      <c r="A34" s="66" t="s">
        <v>22</v>
      </c>
      <c r="B34" s="67">
        <f>N28+SUM(B29:B33)</f>
        <v>1558.98</v>
      </c>
      <c r="C34" s="66"/>
      <c r="D34" s="67">
        <f>B34+SUM(D29:D33)</f>
        <v>1398.99</v>
      </c>
      <c r="E34" s="66"/>
      <c r="F34" s="67">
        <f>D34+SUM(F29:F33)</f>
        <v>1317.76</v>
      </c>
      <c r="G34" s="66"/>
      <c r="H34" s="67">
        <f>F34+SUM(H29:H33)</f>
        <v>1219.76</v>
      </c>
      <c r="I34" s="66"/>
      <c r="J34" s="67">
        <f>H34+SUM(J29:J33)</f>
        <v>1219.76</v>
      </c>
      <c r="K34" s="66"/>
      <c r="L34" s="67">
        <f>J34+SUM(L29:L33)</f>
        <v>3327.74</v>
      </c>
      <c r="M34" s="66"/>
      <c r="N34" s="67">
        <f>L34+SUM(N29:N33)</f>
        <v>3327.74</v>
      </c>
      <c r="O34" s="68"/>
      <c r="P34" s="304" t="s">
        <v>26</v>
      </c>
      <c r="Q34" s="350"/>
      <c r="R34" s="306">
        <v>12.0</v>
      </c>
      <c r="S34" s="318">
        <v>-98.0</v>
      </c>
      <c r="T34" s="351">
        <f t="shared" si="1"/>
        <v>45700</v>
      </c>
    </row>
    <row r="35" ht="18.75" customHeight="1">
      <c r="A35" s="50">
        <f>IF(M29="","",IF(MONTH(M29+1)&lt;&gt;MONTH(M29),"",M29+1))</f>
        <v>45711</v>
      </c>
      <c r="B35" s="51">
        <f>SUMIF($T$11:$T$102,A35,$S$11:$S$63)</f>
        <v>0</v>
      </c>
      <c r="C35" s="50">
        <f>IF(A35="","",IF(MONTH(A35+1)&lt;&gt;MONTH(A35),"",A35+1))</f>
        <v>45712</v>
      </c>
      <c r="D35" s="51">
        <f>SUMIF($T$11:$T$102,C35,$S$11:$S$63)</f>
        <v>-150</v>
      </c>
      <c r="E35" s="50">
        <f>IF(C35="","",IF(MONTH(C35+1)&lt;&gt;MONTH(C35),"",C35+1))</f>
        <v>45713</v>
      </c>
      <c r="F35" s="51">
        <f>SUMIF($T$11:$T$102,E35,$S$11:$S$63)</f>
        <v>-29.34</v>
      </c>
      <c r="G35" s="50">
        <f>IF(E35="","",IF(MONTH(E35+1)&lt;&gt;MONTH(E35),"",E35+1))</f>
        <v>45714</v>
      </c>
      <c r="H35" s="51">
        <f>SUMIF($T$11:$T$102,G35,$S$11:$S$63)</f>
        <v>-98</v>
      </c>
      <c r="I35" s="50">
        <f>IF(G35="","",IF(MONTH(G35+1)&lt;&gt;MONTH(G35),"",G35+1))</f>
        <v>45715</v>
      </c>
      <c r="J35" s="51">
        <f>SUMIF($T$11:$T$102,I35,$S$11:$S$63)</f>
        <v>0</v>
      </c>
      <c r="K35" s="50">
        <f>IF(I35="","",IF(MONTH(I35+1)&lt;&gt;MONTH(I35),"",I35+1))</f>
        <v>45716</v>
      </c>
      <c r="L35" s="51">
        <f>SUMIF($T$11:$T$102,K35,$S$11:$S$63)</f>
        <v>-186.41</v>
      </c>
      <c r="M35" s="50" t="str">
        <f>IF(K35="","",IF(MONTH(K35+1)&lt;&gt;MONTH(K35),"",K35+1))</f>
        <v/>
      </c>
      <c r="N35" s="51">
        <f>SUMIF($T$11:$T$102,M35,$S$11:$S$63)</f>
        <v>0</v>
      </c>
      <c r="O35" s="23"/>
      <c r="P35" s="304" t="s">
        <v>40</v>
      </c>
      <c r="Q35" s="350"/>
      <c r="R35" s="306">
        <v>14.0</v>
      </c>
      <c r="S35" s="318">
        <v>-102.0</v>
      </c>
      <c r="T35" s="351">
        <f t="shared" si="1"/>
        <v>45702</v>
      </c>
      <c r="X35" s="23"/>
      <c r="Y35" s="23"/>
    </row>
    <row r="36" ht="18.75" customHeight="1">
      <c r="A36" s="55"/>
      <c r="B36" s="56"/>
      <c r="C36" s="55"/>
      <c r="D36" s="57"/>
      <c r="E36" s="58"/>
      <c r="F36" s="57"/>
      <c r="G36" s="55"/>
      <c r="H36" s="56"/>
      <c r="I36" s="55"/>
      <c r="J36" s="57"/>
      <c r="K36" s="58"/>
      <c r="L36" s="57">
        <v>-52.32</v>
      </c>
      <c r="M36" s="55"/>
      <c r="N36" s="56"/>
      <c r="O36" s="23"/>
      <c r="P36" s="304" t="s">
        <v>43</v>
      </c>
      <c r="Q36" s="350"/>
      <c r="R36" s="359">
        <v>17.0</v>
      </c>
      <c r="S36" s="318">
        <v>-9.99</v>
      </c>
      <c r="T36" s="351">
        <f t="shared" si="1"/>
        <v>45705</v>
      </c>
      <c r="U36" s="23"/>
      <c r="V36" s="64"/>
      <c r="W36" s="303"/>
      <c r="X36" s="23"/>
      <c r="Y36" s="23"/>
    </row>
    <row r="37" ht="18.75" customHeight="1">
      <c r="A37" s="55"/>
      <c r="B37" s="56"/>
      <c r="C37" s="55"/>
      <c r="D37" s="56"/>
      <c r="E37" s="55"/>
      <c r="F37" s="56"/>
      <c r="G37" s="55"/>
      <c r="H37" s="56"/>
      <c r="I37" s="55"/>
      <c r="J37" s="56"/>
      <c r="K37" s="55"/>
      <c r="L37" s="56"/>
      <c r="M37" s="55"/>
      <c r="N37" s="56"/>
      <c r="O37" s="23"/>
      <c r="P37" s="304" t="s">
        <v>28</v>
      </c>
      <c r="Q37" s="350"/>
      <c r="R37" s="306">
        <v>17.0</v>
      </c>
      <c r="S37" s="356">
        <v>-150.0</v>
      </c>
      <c r="T37" s="351">
        <f t="shared" si="1"/>
        <v>45705</v>
      </c>
      <c r="U37" s="23"/>
      <c r="V37" s="64"/>
      <c r="W37" s="303"/>
      <c r="X37" s="23"/>
      <c r="Y37" s="23"/>
    </row>
    <row r="38" ht="18.75" customHeight="1">
      <c r="A38" s="55"/>
      <c r="B38" s="56"/>
      <c r="C38" s="55"/>
      <c r="D38" s="56"/>
      <c r="E38" s="55"/>
      <c r="F38" s="56"/>
      <c r="G38" s="55"/>
      <c r="H38" s="56"/>
      <c r="I38" s="55"/>
      <c r="J38" s="56"/>
      <c r="K38" s="55"/>
      <c r="L38" s="56"/>
      <c r="M38" s="55"/>
      <c r="N38" s="56"/>
      <c r="O38" s="23"/>
      <c r="P38" s="304" t="s">
        <v>26</v>
      </c>
      <c r="Q38" s="350"/>
      <c r="R38" s="306">
        <v>19.0</v>
      </c>
      <c r="S38" s="318">
        <v>-98.0</v>
      </c>
      <c r="T38" s="351">
        <f t="shared" si="1"/>
        <v>45707</v>
      </c>
      <c r="U38" s="23"/>
      <c r="V38" s="64"/>
      <c r="W38" s="303"/>
      <c r="X38" s="23"/>
      <c r="Y38" s="23"/>
    </row>
    <row r="39" ht="18.75" customHeight="1">
      <c r="A39" s="55"/>
      <c r="B39" s="56"/>
      <c r="C39" s="55"/>
      <c r="D39" s="56"/>
      <c r="E39" s="55"/>
      <c r="F39" s="56"/>
      <c r="G39" s="55"/>
      <c r="H39" s="56"/>
      <c r="I39" s="55"/>
      <c r="J39" s="56"/>
      <c r="K39" s="55"/>
      <c r="L39" s="56"/>
      <c r="M39" s="55"/>
      <c r="N39" s="56"/>
      <c r="O39" s="23"/>
      <c r="P39" s="308" t="s">
        <v>151</v>
      </c>
      <c r="Q39" s="350"/>
      <c r="R39" s="306">
        <v>21.0</v>
      </c>
      <c r="S39" s="301">
        <v>2107.98</v>
      </c>
      <c r="T39" s="351">
        <f t="shared" si="1"/>
        <v>45709</v>
      </c>
      <c r="U39" s="23"/>
      <c r="V39" s="64"/>
      <c r="W39" s="303"/>
      <c r="X39" s="23"/>
      <c r="Y39" s="23"/>
    </row>
    <row r="40" ht="18.75" customHeight="1">
      <c r="A40" s="66" t="s">
        <v>22</v>
      </c>
      <c r="B40" s="67">
        <f>N34+SUM(B35:B39)</f>
        <v>3327.74</v>
      </c>
      <c r="C40" s="66"/>
      <c r="D40" s="67">
        <f>B40+SUM(D35:D39)</f>
        <v>3177.74</v>
      </c>
      <c r="E40" s="66"/>
      <c r="F40" s="67">
        <f>D40+SUM(F35:F39)</f>
        <v>3148.4</v>
      </c>
      <c r="G40" s="66"/>
      <c r="H40" s="67">
        <f>F40+SUM(H35:H39)</f>
        <v>3050.4</v>
      </c>
      <c r="I40" s="66"/>
      <c r="J40" s="67">
        <f>H40+SUM(J35:J39)</f>
        <v>3050.4</v>
      </c>
      <c r="K40" s="66"/>
      <c r="L40" s="67">
        <f>J40+SUM(L35:L39)</f>
        <v>2811.67</v>
      </c>
      <c r="M40" s="66"/>
      <c r="N40" s="67">
        <f>L40+SUM(N35:N39)</f>
        <v>2811.67</v>
      </c>
      <c r="O40" s="68"/>
      <c r="P40" s="304" t="s">
        <v>142</v>
      </c>
      <c r="Q40" s="350"/>
      <c r="R40" s="359">
        <v>22.0</v>
      </c>
      <c r="S40" s="360"/>
      <c r="T40" s="351">
        <f t="shared" si="1"/>
        <v>45710</v>
      </c>
      <c r="U40" s="69"/>
      <c r="V40" s="71"/>
      <c r="W40" s="309"/>
      <c r="X40" s="69"/>
      <c r="Y40" s="69"/>
    </row>
    <row r="41" ht="18.75" customHeight="1">
      <c r="A41" s="50" t="str">
        <f>IF(M35="","",IF(MONTH(M35+1)&lt;&gt;MONTH(M35),"",M35+1))</f>
        <v/>
      </c>
      <c r="B41" s="51">
        <f>SUMIF($T$11:$T$102,A41,$S$11:$S$63)</f>
        <v>0</v>
      </c>
      <c r="C41" s="50" t="str">
        <f>IF(A41="","",IF(MONTH(A41+1)&lt;&gt;MONTH(A41),"",A41+1))</f>
        <v/>
      </c>
      <c r="D41" s="51">
        <f>SUMIF($T$11:$T$102,C41,$S$11:$S$63)</f>
        <v>0</v>
      </c>
      <c r="E41" s="77"/>
      <c r="F41" s="77" t="s">
        <v>50</v>
      </c>
      <c r="G41" s="77"/>
      <c r="H41" s="77"/>
      <c r="I41" s="77"/>
      <c r="J41" s="77"/>
      <c r="K41" s="77"/>
      <c r="L41" s="77"/>
      <c r="M41" s="77"/>
      <c r="N41" s="77"/>
      <c r="P41" s="308" t="s">
        <v>28</v>
      </c>
      <c r="Q41" s="350"/>
      <c r="R41" s="306">
        <v>24.0</v>
      </c>
      <c r="S41" s="356">
        <v>-150.0</v>
      </c>
      <c r="T41" s="351">
        <f t="shared" si="1"/>
        <v>45712</v>
      </c>
      <c r="U41" s="313"/>
      <c r="W41" s="314"/>
    </row>
    <row r="42" ht="18.75" customHeight="1">
      <c r="A42" s="55"/>
      <c r="B42" s="56"/>
      <c r="C42" s="55"/>
      <c r="D42" s="56"/>
      <c r="E42" s="77"/>
      <c r="F42" s="77" t="s">
        <v>52</v>
      </c>
      <c r="G42" s="77"/>
      <c r="H42" s="77"/>
      <c r="I42" s="77"/>
      <c r="J42" s="77"/>
      <c r="K42" s="77"/>
      <c r="L42" s="77"/>
      <c r="M42" s="77"/>
      <c r="N42" s="77"/>
      <c r="P42" s="304" t="s">
        <v>46</v>
      </c>
      <c r="Q42" s="350"/>
      <c r="R42" s="306">
        <v>25.0</v>
      </c>
      <c r="S42" s="356">
        <v>-10.99</v>
      </c>
      <c r="T42" s="351">
        <f t="shared" si="1"/>
        <v>45713</v>
      </c>
      <c r="U42" s="313"/>
      <c r="W42" s="314"/>
    </row>
    <row r="43" ht="18.75" customHeight="1">
      <c r="A43" s="55"/>
      <c r="B43" s="56"/>
      <c r="C43" s="55"/>
      <c r="D43" s="56"/>
      <c r="E43" s="77"/>
      <c r="F43" s="77"/>
      <c r="G43" s="77"/>
      <c r="H43" s="77"/>
      <c r="I43" s="77"/>
      <c r="J43" s="77"/>
      <c r="K43" s="77"/>
      <c r="L43" s="77"/>
      <c r="M43" s="77"/>
      <c r="N43" s="77"/>
      <c r="P43" s="361" t="s">
        <v>44</v>
      </c>
      <c r="Q43" s="350"/>
      <c r="R43" s="300">
        <v>25.0</v>
      </c>
      <c r="S43" s="318">
        <v>-18.35</v>
      </c>
      <c r="T43" s="351">
        <f t="shared" si="1"/>
        <v>45713</v>
      </c>
      <c r="U43" s="313"/>
    </row>
    <row r="44" ht="18.75" customHeight="1">
      <c r="A44" s="55"/>
      <c r="B44" s="56"/>
      <c r="C44" s="55"/>
      <c r="D44" s="56"/>
      <c r="E44" s="77"/>
      <c r="F44" s="77"/>
      <c r="G44" s="77"/>
      <c r="H44" s="77"/>
      <c r="I44" s="77"/>
      <c r="J44" s="77"/>
      <c r="K44" s="77"/>
      <c r="L44" s="77"/>
      <c r="M44" s="77"/>
      <c r="N44" s="77"/>
      <c r="P44" s="304" t="s">
        <v>26</v>
      </c>
      <c r="Q44" s="350"/>
      <c r="R44" s="306">
        <v>26.0</v>
      </c>
      <c r="S44" s="318">
        <v>-98.0</v>
      </c>
      <c r="T44" s="351">
        <f t="shared" si="1"/>
        <v>45714</v>
      </c>
      <c r="U44" s="313"/>
      <c r="W44" s="314"/>
    </row>
    <row r="45" ht="18.75" customHeight="1">
      <c r="A45" s="55"/>
      <c r="B45" s="56"/>
      <c r="C45" s="55"/>
      <c r="D45" s="56"/>
      <c r="E45" s="77"/>
      <c r="F45" s="77"/>
      <c r="G45" s="77"/>
      <c r="H45" s="77"/>
      <c r="I45" s="77"/>
      <c r="J45" s="77"/>
      <c r="K45" s="77"/>
      <c r="L45" s="77"/>
      <c r="M45" s="77"/>
      <c r="N45" s="77"/>
      <c r="P45" s="308" t="s">
        <v>55</v>
      </c>
      <c r="Q45" s="350"/>
      <c r="R45" s="306">
        <v>28.0</v>
      </c>
      <c r="S45" s="356">
        <v>-18.35</v>
      </c>
      <c r="T45" s="351">
        <f t="shared" si="1"/>
        <v>45716</v>
      </c>
    </row>
    <row r="46" ht="18.75" customHeight="1">
      <c r="A46" s="66" t="s">
        <v>22</v>
      </c>
      <c r="B46" s="67">
        <f>N40+SUM(B41:B45)</f>
        <v>2811.67</v>
      </c>
      <c r="C46" s="66"/>
      <c r="D46" s="67">
        <f>B46+SUM(D41:D45)</f>
        <v>2811.67</v>
      </c>
      <c r="E46" s="77"/>
      <c r="F46" s="77"/>
      <c r="G46" s="77"/>
      <c r="H46" s="77"/>
      <c r="I46" s="77"/>
      <c r="J46" s="77"/>
      <c r="K46" s="77"/>
      <c r="L46" s="77"/>
      <c r="M46" s="77"/>
      <c r="N46" s="77"/>
      <c r="P46" s="304" t="s">
        <v>30</v>
      </c>
      <c r="Q46" s="350"/>
      <c r="R46" s="306">
        <v>28.0</v>
      </c>
      <c r="S46" s="356">
        <v>-165.06</v>
      </c>
      <c r="T46" s="351">
        <f t="shared" si="1"/>
        <v>45716</v>
      </c>
    </row>
    <row r="47" ht="12.75" customHeight="1">
      <c r="P47" s="304" t="s">
        <v>53</v>
      </c>
      <c r="Q47" s="350"/>
      <c r="R47" s="306">
        <v>28.0</v>
      </c>
      <c r="S47" s="318">
        <v>-3.0</v>
      </c>
      <c r="T47" s="351">
        <f t="shared" si="1"/>
        <v>45716</v>
      </c>
    </row>
    <row r="48" ht="12.75" customHeight="1">
      <c r="P48" s="362" t="s">
        <v>54</v>
      </c>
      <c r="Q48" s="363"/>
      <c r="R48" s="364"/>
      <c r="S48" s="365">
        <v>-11.0</v>
      </c>
      <c r="T48" s="366" t="str">
        <f t="shared" si="1"/>
        <v>-</v>
      </c>
    </row>
    <row r="49" ht="12.75" customHeight="1">
      <c r="P49" s="367" t="s">
        <v>34</v>
      </c>
      <c r="Q49" s="368"/>
      <c r="R49" s="369"/>
      <c r="S49" s="370">
        <v>-5.0</v>
      </c>
      <c r="T49" s="366" t="str">
        <f t="shared" si="1"/>
        <v>-</v>
      </c>
    </row>
    <row r="50" ht="12.75" customHeight="1">
      <c r="P50" s="362" t="s">
        <v>89</v>
      </c>
      <c r="Q50" s="363"/>
      <c r="R50" s="364"/>
      <c r="S50" s="371">
        <f t="array" ref="S50">-INDEX(PaymentSchedule!$E$21:$AG909,MATCH(PaymentSchedule!$B$22,PaymentSchedule!$B$21:$B$100),MATCH($P50,PaymentSchedule!$E$19:$AG$19,0))</f>
        <v>0</v>
      </c>
      <c r="T50" s="366" t="str">
        <f t="shared" si="1"/>
        <v>-</v>
      </c>
    </row>
    <row r="51" ht="12.75" customHeight="1">
      <c r="P51" s="362" t="s">
        <v>57</v>
      </c>
      <c r="Q51" s="363"/>
      <c r="R51" s="372"/>
      <c r="S51" s="373">
        <v>-341.69</v>
      </c>
      <c r="T51" s="366" t="str">
        <f t="shared" si="1"/>
        <v>-</v>
      </c>
    </row>
    <row r="52" ht="12.75" customHeight="1">
      <c r="P52" s="319"/>
      <c r="Q52" s="320"/>
      <c r="R52" s="321"/>
      <c r="S52" s="322"/>
      <c r="T52" s="366" t="str">
        <f t="shared" si="1"/>
        <v>-</v>
      </c>
    </row>
    <row r="53" ht="12.75" customHeight="1">
      <c r="P53" s="319"/>
      <c r="Q53" s="320"/>
      <c r="R53" s="321"/>
      <c r="S53" s="322"/>
      <c r="T53" s="366" t="str">
        <f t="shared" si="1"/>
        <v>-</v>
      </c>
    </row>
    <row r="54" ht="12.75" customHeight="1">
      <c r="P54" s="374"/>
      <c r="Q54" s="368"/>
      <c r="R54" s="374"/>
      <c r="S54" s="375"/>
      <c r="T54" s="376" t="str">
        <f t="shared" si="1"/>
        <v>-</v>
      </c>
    </row>
    <row r="55" ht="12.75" customHeight="1">
      <c r="P55" s="374"/>
      <c r="Q55" s="368"/>
      <c r="R55" s="374"/>
      <c r="S55" s="375"/>
      <c r="T55" s="376" t="str">
        <f t="shared" si="1"/>
        <v>-</v>
      </c>
    </row>
    <row r="56" ht="12.75" customHeight="1">
      <c r="P56" s="374"/>
      <c r="Q56" s="368"/>
      <c r="R56" s="374"/>
      <c r="S56" s="375"/>
      <c r="T56" s="376" t="str">
        <f t="shared" ref="T56:T60" si="2">IF(ISBLANK(R56),"-",IF(R56&gt;DAY(EOMONTH(DATE($B$2,$E$2,1),0)),EOMONTH(DATE($B$2,$E$2,1),0),DATE($B$2,$E$2,$R$48)))</f>
        <v>-</v>
      </c>
    </row>
    <row r="57" ht="12.75" customHeight="1">
      <c r="P57" s="374"/>
      <c r="Q57" s="368"/>
      <c r="R57" s="374"/>
      <c r="S57" s="375"/>
      <c r="T57" s="376" t="str">
        <f t="shared" si="2"/>
        <v>-</v>
      </c>
    </row>
    <row r="58" ht="12.75" customHeight="1">
      <c r="P58" s="374"/>
      <c r="Q58" s="368"/>
      <c r="R58" s="374"/>
      <c r="S58" s="375"/>
      <c r="T58" s="376" t="str">
        <f t="shared" si="2"/>
        <v>-</v>
      </c>
    </row>
    <row r="59" ht="12.75" customHeight="1">
      <c r="P59" s="377"/>
      <c r="Q59" s="377"/>
      <c r="R59" s="377"/>
      <c r="S59" s="378"/>
      <c r="T59" s="379" t="str">
        <f t="shared" si="2"/>
        <v>-</v>
      </c>
    </row>
    <row r="60" ht="12.75" customHeight="1">
      <c r="P60" s="377"/>
      <c r="Q60" s="377"/>
      <c r="R60" s="377"/>
      <c r="S60" s="378"/>
      <c r="T60" s="379" t="str">
        <f t="shared" si="2"/>
        <v>-</v>
      </c>
    </row>
    <row r="61" ht="12.75" customHeight="1">
      <c r="S61" s="337"/>
    </row>
    <row r="62" ht="12.75" customHeight="1">
      <c r="S62" s="337"/>
    </row>
    <row r="63" ht="12.75" customHeight="1">
      <c r="S63" s="337"/>
    </row>
    <row r="64" ht="12.75" customHeight="1">
      <c r="S64" s="337"/>
    </row>
    <row r="65" ht="12.75" customHeight="1">
      <c r="S65" s="337"/>
    </row>
    <row r="66" ht="12.75" customHeight="1">
      <c r="S66" s="337"/>
    </row>
    <row r="67" ht="12.75" customHeight="1">
      <c r="S67" s="337"/>
    </row>
    <row r="68" ht="12.75" customHeight="1">
      <c r="S68" s="337"/>
    </row>
    <row r="69" ht="12.75" customHeight="1">
      <c r="S69" s="337"/>
    </row>
    <row r="70" ht="12.75" customHeight="1">
      <c r="S70" s="337"/>
    </row>
    <row r="71" ht="12.75" customHeight="1">
      <c r="S71" s="337"/>
    </row>
    <row r="72" ht="12.75" customHeight="1">
      <c r="S72" s="337"/>
    </row>
    <row r="73" ht="12.75" customHeight="1">
      <c r="S73" s="337"/>
    </row>
    <row r="74" ht="12.75" customHeight="1">
      <c r="S74" s="337"/>
    </row>
    <row r="75" ht="12.75" customHeight="1">
      <c r="S75" s="337"/>
    </row>
    <row r="76" ht="12.75" customHeight="1">
      <c r="S76" s="337"/>
    </row>
    <row r="77" ht="12.75" customHeight="1">
      <c r="S77" s="337"/>
    </row>
    <row r="78" ht="12.75" customHeight="1">
      <c r="S78" s="337"/>
    </row>
    <row r="79" ht="12.75" customHeight="1">
      <c r="S79" s="337"/>
    </row>
    <row r="80" ht="12.75" customHeight="1">
      <c r="S80" s="337"/>
    </row>
    <row r="81" ht="12.75" customHeight="1">
      <c r="S81" s="337"/>
    </row>
    <row r="82" ht="12.75" customHeight="1">
      <c r="S82" s="337"/>
    </row>
    <row r="83" ht="12.75" customHeight="1">
      <c r="S83" s="337"/>
    </row>
    <row r="84" ht="12.75" customHeight="1">
      <c r="S84" s="337"/>
    </row>
    <row r="85" ht="12.75" customHeight="1">
      <c r="S85" s="337"/>
    </row>
    <row r="86" ht="12.75" customHeight="1">
      <c r="S86" s="337"/>
    </row>
    <row r="87" ht="12.75" customHeight="1">
      <c r="S87" s="337"/>
    </row>
    <row r="88" ht="12.75" customHeight="1">
      <c r="S88" s="337"/>
    </row>
    <row r="89" ht="12.75" customHeight="1">
      <c r="S89" s="337"/>
    </row>
    <row r="90" ht="12.75" customHeight="1">
      <c r="S90" s="337"/>
    </row>
    <row r="91" ht="12.75" customHeight="1">
      <c r="S91" s="337"/>
    </row>
    <row r="92" ht="12.75" customHeight="1">
      <c r="S92" s="337"/>
    </row>
    <row r="93" ht="12.75" customHeight="1">
      <c r="S93" s="337"/>
    </row>
    <row r="94" ht="12.75" customHeight="1">
      <c r="S94" s="337"/>
    </row>
    <row r="95" ht="12.75" customHeight="1">
      <c r="S95" s="337"/>
    </row>
    <row r="96" ht="12.75" customHeight="1">
      <c r="S96" s="337"/>
    </row>
    <row r="97" ht="12.75" customHeight="1">
      <c r="S97" s="337"/>
    </row>
    <row r="98" ht="12.75" customHeight="1">
      <c r="S98" s="337"/>
    </row>
    <row r="99" ht="12.75" customHeight="1">
      <c r="S99" s="337"/>
    </row>
    <row r="100" ht="12.75" customHeight="1">
      <c r="S100" s="337"/>
    </row>
    <row r="101" ht="12.75" customHeight="1">
      <c r="S101" s="337"/>
    </row>
    <row r="102" ht="12.75" customHeight="1">
      <c r="S102" s="337"/>
    </row>
    <row r="103" ht="12.75" customHeight="1">
      <c r="S103" s="337"/>
    </row>
    <row r="104" ht="12.75" customHeight="1">
      <c r="S104" s="337"/>
    </row>
    <row r="105" ht="12.75" customHeight="1">
      <c r="S105" s="337"/>
    </row>
    <row r="106" ht="12.75" customHeight="1">
      <c r="S106" s="337"/>
    </row>
    <row r="107" ht="12.75" customHeight="1">
      <c r="S107" s="337"/>
    </row>
    <row r="108" ht="12.75" customHeight="1">
      <c r="S108" s="337"/>
    </row>
    <row r="109" ht="12.75" customHeight="1">
      <c r="S109" s="337"/>
    </row>
    <row r="110" ht="12.75" customHeight="1">
      <c r="S110" s="337"/>
    </row>
    <row r="111" ht="12.75" customHeight="1">
      <c r="S111" s="337"/>
    </row>
    <row r="112" ht="12.75" customHeight="1">
      <c r="S112" s="337"/>
    </row>
    <row r="113" ht="12.75" customHeight="1">
      <c r="S113" s="337"/>
    </row>
    <row r="114" ht="12.75" customHeight="1">
      <c r="S114" s="337"/>
    </row>
    <row r="115" ht="12.75" customHeight="1">
      <c r="S115" s="337"/>
    </row>
    <row r="116" ht="12.75" customHeight="1">
      <c r="S116" s="337"/>
    </row>
    <row r="117" ht="12.75" customHeight="1">
      <c r="S117" s="337"/>
    </row>
    <row r="118" ht="12.75" customHeight="1">
      <c r="S118" s="337"/>
    </row>
    <row r="119" ht="12.75" customHeight="1">
      <c r="S119" s="337"/>
    </row>
    <row r="120" ht="12.75" customHeight="1">
      <c r="S120" s="337"/>
    </row>
    <row r="121" ht="12.75" customHeight="1">
      <c r="S121" s="337"/>
    </row>
    <row r="122" ht="12.75" customHeight="1">
      <c r="S122" s="337"/>
    </row>
    <row r="123" ht="12.75" customHeight="1">
      <c r="S123" s="337"/>
    </row>
    <row r="124" ht="12.75" customHeight="1">
      <c r="S124" s="337"/>
    </row>
    <row r="125" ht="12.75" customHeight="1">
      <c r="S125" s="337"/>
    </row>
    <row r="126" ht="12.75" customHeight="1">
      <c r="S126" s="337"/>
    </row>
    <row r="127" ht="12.75" customHeight="1">
      <c r="S127" s="337"/>
    </row>
    <row r="128" ht="12.75" customHeight="1">
      <c r="S128" s="337"/>
    </row>
    <row r="129" ht="12.75" customHeight="1">
      <c r="S129" s="337"/>
    </row>
    <row r="130" ht="12.75" customHeight="1">
      <c r="S130" s="337"/>
    </row>
    <row r="131" ht="12.75" customHeight="1">
      <c r="S131" s="337"/>
    </row>
    <row r="132" ht="12.75" customHeight="1">
      <c r="S132" s="337"/>
    </row>
    <row r="133" ht="12.75" customHeight="1">
      <c r="S133" s="337"/>
    </row>
    <row r="134" ht="12.75" customHeight="1">
      <c r="S134" s="337"/>
    </row>
    <row r="135" ht="12.75" customHeight="1">
      <c r="S135" s="337"/>
    </row>
    <row r="136" ht="12.75" customHeight="1">
      <c r="S136" s="337"/>
    </row>
    <row r="137" ht="12.75" customHeight="1">
      <c r="S137" s="337"/>
    </row>
    <row r="138" ht="12.75" customHeight="1">
      <c r="S138" s="337"/>
    </row>
    <row r="139" ht="12.75" customHeight="1">
      <c r="S139" s="337"/>
    </row>
    <row r="140" ht="12.75" customHeight="1">
      <c r="S140" s="337"/>
    </row>
    <row r="141" ht="12.75" customHeight="1">
      <c r="S141" s="337"/>
    </row>
    <row r="142" ht="12.75" customHeight="1">
      <c r="S142" s="337"/>
    </row>
    <row r="143" ht="12.75" customHeight="1">
      <c r="S143" s="337"/>
    </row>
    <row r="144" ht="12.75" customHeight="1">
      <c r="S144" s="337"/>
    </row>
    <row r="145" ht="12.75" customHeight="1">
      <c r="S145" s="337"/>
    </row>
    <row r="146" ht="12.75" customHeight="1">
      <c r="S146" s="337"/>
    </row>
    <row r="147" ht="12.75" customHeight="1">
      <c r="S147" s="337"/>
    </row>
    <row r="148" ht="12.75" customHeight="1">
      <c r="S148" s="337"/>
    </row>
    <row r="149" ht="12.75" customHeight="1">
      <c r="S149" s="337"/>
    </row>
    <row r="150" ht="12.75" customHeight="1">
      <c r="S150" s="337"/>
    </row>
    <row r="151" ht="12.75" customHeight="1">
      <c r="S151" s="337"/>
    </row>
    <row r="152" ht="12.75" customHeight="1">
      <c r="S152" s="337"/>
    </row>
    <row r="153" ht="12.75" customHeight="1">
      <c r="S153" s="337"/>
    </row>
    <row r="154" ht="12.75" customHeight="1">
      <c r="S154" s="337"/>
    </row>
    <row r="155" ht="12.75" customHeight="1">
      <c r="S155" s="337"/>
    </row>
    <row r="156" ht="12.75" customHeight="1">
      <c r="S156" s="337"/>
    </row>
    <row r="157" ht="12.75" customHeight="1">
      <c r="S157" s="337"/>
    </row>
    <row r="158" ht="12.75" customHeight="1">
      <c r="S158" s="337"/>
    </row>
    <row r="159" ht="12.75" customHeight="1">
      <c r="S159" s="337"/>
    </row>
    <row r="160" ht="12.75" customHeight="1">
      <c r="S160" s="337"/>
    </row>
    <row r="161" ht="12.75" customHeight="1">
      <c r="S161" s="337"/>
    </row>
    <row r="162" ht="12.75" customHeight="1">
      <c r="S162" s="337"/>
    </row>
    <row r="163" ht="12.75" customHeight="1">
      <c r="S163" s="337"/>
    </row>
    <row r="164" ht="12.75" customHeight="1">
      <c r="S164" s="337"/>
    </row>
    <row r="165" ht="12.75" customHeight="1">
      <c r="S165" s="337"/>
    </row>
    <row r="166" ht="12.75" customHeight="1">
      <c r="S166" s="337"/>
    </row>
    <row r="167" ht="12.75" customHeight="1">
      <c r="S167" s="337"/>
    </row>
    <row r="168" ht="12.75" customHeight="1">
      <c r="S168" s="337"/>
    </row>
    <row r="169" ht="12.75" customHeight="1">
      <c r="S169" s="337"/>
    </row>
    <row r="170" ht="12.75" customHeight="1">
      <c r="S170" s="337"/>
    </row>
    <row r="171" ht="12.75" customHeight="1">
      <c r="S171" s="337"/>
    </row>
    <row r="172" ht="12.75" customHeight="1">
      <c r="S172" s="337"/>
    </row>
    <row r="173" ht="12.75" customHeight="1">
      <c r="S173" s="337"/>
    </row>
    <row r="174" ht="12.75" customHeight="1">
      <c r="S174" s="337"/>
    </row>
    <row r="175" ht="12.75" customHeight="1">
      <c r="S175" s="337"/>
    </row>
    <row r="176" ht="12.75" customHeight="1">
      <c r="S176" s="337"/>
    </row>
    <row r="177" ht="12.75" customHeight="1">
      <c r="S177" s="337"/>
    </row>
    <row r="178" ht="12.75" customHeight="1">
      <c r="S178" s="337"/>
    </row>
    <row r="179" ht="12.75" customHeight="1">
      <c r="S179" s="337"/>
    </row>
    <row r="180" ht="12.75" customHeight="1">
      <c r="S180" s="337"/>
    </row>
    <row r="181" ht="12.75" customHeight="1">
      <c r="S181" s="337"/>
    </row>
    <row r="182" ht="12.75" customHeight="1">
      <c r="S182" s="337"/>
    </row>
    <row r="183" ht="12.75" customHeight="1">
      <c r="S183" s="337"/>
    </row>
    <row r="184" ht="12.75" customHeight="1">
      <c r="S184" s="337"/>
    </row>
    <row r="185" ht="12.75" customHeight="1">
      <c r="S185" s="337"/>
    </row>
    <row r="186" ht="12.75" customHeight="1">
      <c r="S186" s="337"/>
    </row>
    <row r="187" ht="12.75" customHeight="1">
      <c r="S187" s="337"/>
    </row>
    <row r="188" ht="12.75" customHeight="1">
      <c r="S188" s="337"/>
    </row>
    <row r="189" ht="12.75" customHeight="1">
      <c r="S189" s="337"/>
    </row>
    <row r="190" ht="12.75" customHeight="1">
      <c r="S190" s="337"/>
    </row>
    <row r="191" ht="12.75" customHeight="1">
      <c r="S191" s="337"/>
    </row>
    <row r="192" ht="12.75" customHeight="1">
      <c r="S192" s="337"/>
    </row>
    <row r="193" ht="12.75" customHeight="1">
      <c r="S193" s="337"/>
    </row>
    <row r="194" ht="12.75" customHeight="1">
      <c r="S194" s="337"/>
    </row>
    <row r="195" ht="12.75" customHeight="1">
      <c r="S195" s="337"/>
    </row>
    <row r="196" ht="12.75" customHeight="1">
      <c r="S196" s="337"/>
    </row>
    <row r="197" ht="12.75" customHeight="1">
      <c r="S197" s="337"/>
    </row>
    <row r="198" ht="12.75" customHeight="1">
      <c r="S198" s="337"/>
    </row>
    <row r="199" ht="12.75" customHeight="1">
      <c r="S199" s="337"/>
    </row>
    <row r="200" ht="12.75" customHeight="1">
      <c r="S200" s="337"/>
    </row>
    <row r="201" ht="12.75" customHeight="1">
      <c r="S201" s="337"/>
    </row>
    <row r="202" ht="12.75" customHeight="1">
      <c r="S202" s="337"/>
    </row>
    <row r="203" ht="12.75" customHeight="1">
      <c r="S203" s="337"/>
    </row>
    <row r="204" ht="12.75" customHeight="1">
      <c r="S204" s="337"/>
    </row>
    <row r="205" ht="12.75" customHeight="1">
      <c r="S205" s="337"/>
    </row>
    <row r="206" ht="12.75" customHeight="1">
      <c r="S206" s="337"/>
    </row>
    <row r="207" ht="12.75" customHeight="1">
      <c r="S207" s="337"/>
    </row>
    <row r="208" ht="12.75" customHeight="1">
      <c r="S208" s="337"/>
    </row>
    <row r="209" ht="12.75" customHeight="1">
      <c r="S209" s="337"/>
    </row>
    <row r="210" ht="12.75" customHeight="1">
      <c r="S210" s="337"/>
    </row>
    <row r="211" ht="12.75" customHeight="1">
      <c r="S211" s="337"/>
    </row>
    <row r="212" ht="12.75" customHeight="1">
      <c r="S212" s="337"/>
    </row>
    <row r="213" ht="12.75" customHeight="1">
      <c r="S213" s="337"/>
    </row>
    <row r="214" ht="12.75" customHeight="1">
      <c r="S214" s="337"/>
    </row>
    <row r="215" ht="12.75" customHeight="1">
      <c r="S215" s="337"/>
    </row>
    <row r="216" ht="12.75" customHeight="1">
      <c r="S216" s="337"/>
    </row>
    <row r="217" ht="12.75" customHeight="1">
      <c r="S217" s="337"/>
    </row>
    <row r="218" ht="12.75" customHeight="1">
      <c r="S218" s="337"/>
    </row>
    <row r="219" ht="12.75" customHeight="1">
      <c r="S219" s="337"/>
    </row>
    <row r="220" ht="12.75" customHeight="1">
      <c r="S220" s="337"/>
    </row>
    <row r="221" ht="12.75" customHeight="1">
      <c r="S221" s="337"/>
    </row>
    <row r="222" ht="12.75" customHeight="1">
      <c r="S222" s="337"/>
    </row>
    <row r="223" ht="12.75" customHeight="1">
      <c r="S223" s="337"/>
    </row>
    <row r="224" ht="12.75" customHeight="1">
      <c r="S224" s="337"/>
    </row>
    <row r="225" ht="12.75" customHeight="1">
      <c r="S225" s="337"/>
    </row>
    <row r="226" ht="12.75" customHeight="1">
      <c r="S226" s="337"/>
    </row>
    <row r="227" ht="12.75" customHeight="1">
      <c r="S227" s="337"/>
    </row>
    <row r="228" ht="12.75" customHeight="1">
      <c r="S228" s="337"/>
    </row>
    <row r="229" ht="12.75" customHeight="1">
      <c r="S229" s="337"/>
    </row>
    <row r="230" ht="12.75" customHeight="1">
      <c r="S230" s="337"/>
    </row>
    <row r="231" ht="12.75" customHeight="1">
      <c r="S231" s="337"/>
    </row>
    <row r="232" ht="12.75" customHeight="1">
      <c r="S232" s="337"/>
    </row>
    <row r="233" ht="12.75" customHeight="1">
      <c r="S233" s="337"/>
    </row>
    <row r="234" ht="12.75" customHeight="1">
      <c r="S234" s="337"/>
    </row>
    <row r="235" ht="12.75" customHeight="1">
      <c r="S235" s="337"/>
    </row>
    <row r="236" ht="12.75" customHeight="1">
      <c r="S236" s="337"/>
    </row>
    <row r="237" ht="12.75" customHeight="1">
      <c r="S237" s="337"/>
    </row>
    <row r="238" ht="12.75" customHeight="1">
      <c r="S238" s="337"/>
    </row>
    <row r="239" ht="12.75" customHeight="1">
      <c r="S239" s="337"/>
    </row>
    <row r="240" ht="12.75" customHeight="1">
      <c r="S240" s="337"/>
    </row>
    <row r="241" ht="12.75" customHeight="1">
      <c r="S241" s="337"/>
    </row>
    <row r="242" ht="12.75" customHeight="1">
      <c r="S242" s="337"/>
    </row>
    <row r="243" ht="12.75" customHeight="1">
      <c r="S243" s="337"/>
    </row>
    <row r="244" ht="12.75" customHeight="1">
      <c r="S244" s="337"/>
    </row>
    <row r="245" ht="12.75" customHeight="1">
      <c r="S245" s="337"/>
    </row>
    <row r="246" ht="12.75" customHeight="1">
      <c r="S246" s="337"/>
    </row>
    <row r="247" ht="12.75" customHeight="1">
      <c r="S247" s="337"/>
    </row>
    <row r="248" ht="12.75" customHeight="1">
      <c r="S248" s="337"/>
    </row>
    <row r="249" ht="12.75" customHeight="1">
      <c r="S249" s="337"/>
    </row>
    <row r="250" ht="12.75" customHeight="1">
      <c r="S250" s="337"/>
    </row>
    <row r="251" ht="12.75" customHeight="1">
      <c r="S251" s="337"/>
    </row>
    <row r="252" ht="12.75" customHeight="1">
      <c r="S252" s="337"/>
    </row>
    <row r="253" ht="12.75" customHeight="1">
      <c r="S253" s="337"/>
    </row>
    <row r="254" ht="12.75" customHeight="1">
      <c r="S254" s="337"/>
    </row>
    <row r="255" ht="12.75" customHeight="1">
      <c r="S255" s="337"/>
    </row>
    <row r="256" ht="12.75" customHeight="1">
      <c r="S256" s="337"/>
    </row>
    <row r="257" ht="12.75" customHeight="1">
      <c r="S257" s="337"/>
    </row>
    <row r="258" ht="12.75" customHeight="1">
      <c r="S258" s="337"/>
    </row>
    <row r="259" ht="12.75" customHeight="1">
      <c r="S259" s="337"/>
    </row>
    <row r="260" ht="12.75" customHeight="1">
      <c r="S260" s="337"/>
    </row>
    <row r="261" ht="12.75" customHeight="1">
      <c r="S261" s="337"/>
    </row>
    <row r="262" ht="12.75" customHeight="1">
      <c r="S262" s="337"/>
    </row>
    <row r="263" ht="12.75" customHeight="1">
      <c r="S263" s="337"/>
    </row>
    <row r="264" ht="12.75" customHeight="1">
      <c r="S264" s="337"/>
    </row>
    <row r="265" ht="12.75" customHeight="1">
      <c r="S265" s="337"/>
    </row>
    <row r="266" ht="12.75" customHeight="1">
      <c r="S266" s="337"/>
    </row>
    <row r="267" ht="12.75" customHeight="1">
      <c r="S267" s="337"/>
    </row>
    <row r="268" ht="12.75" customHeight="1">
      <c r="S268" s="337"/>
    </row>
    <row r="269" ht="12.75" customHeight="1">
      <c r="S269" s="337"/>
    </row>
    <row r="270" ht="12.75" customHeight="1">
      <c r="S270" s="337"/>
    </row>
    <row r="271" ht="12.75" customHeight="1">
      <c r="S271" s="337"/>
    </row>
    <row r="272" ht="12.75" customHeight="1">
      <c r="S272" s="337"/>
    </row>
    <row r="273" ht="12.75" customHeight="1">
      <c r="S273" s="337"/>
    </row>
    <row r="274" ht="12.75" customHeight="1">
      <c r="S274" s="337"/>
    </row>
    <row r="275" ht="12.75" customHeight="1">
      <c r="S275" s="337"/>
    </row>
    <row r="276" ht="12.75" customHeight="1">
      <c r="S276" s="337"/>
    </row>
    <row r="277" ht="12.75" customHeight="1">
      <c r="S277" s="337"/>
    </row>
    <row r="278" ht="12.75" customHeight="1">
      <c r="S278" s="337"/>
    </row>
    <row r="279" ht="12.75" customHeight="1">
      <c r="S279" s="337"/>
    </row>
    <row r="280" ht="12.75" customHeight="1">
      <c r="S280" s="337"/>
    </row>
    <row r="281" ht="12.75" customHeight="1">
      <c r="S281" s="337"/>
    </row>
    <row r="282" ht="12.75" customHeight="1">
      <c r="S282" s="337"/>
    </row>
    <row r="283" ht="12.75" customHeight="1">
      <c r="S283" s="337"/>
    </row>
    <row r="284" ht="12.75" customHeight="1">
      <c r="S284" s="337"/>
    </row>
    <row r="285" ht="12.75" customHeight="1">
      <c r="S285" s="337"/>
    </row>
    <row r="286" ht="12.75" customHeight="1">
      <c r="S286" s="337"/>
    </row>
    <row r="287" ht="12.75" customHeight="1">
      <c r="S287" s="337"/>
    </row>
    <row r="288" ht="12.75" customHeight="1">
      <c r="S288" s="337"/>
    </row>
    <row r="289" ht="12.75" customHeight="1">
      <c r="S289" s="337"/>
    </row>
    <row r="290" ht="12.75" customHeight="1">
      <c r="S290" s="337"/>
    </row>
    <row r="291" ht="12.75" customHeight="1">
      <c r="S291" s="337"/>
    </row>
    <row r="292" ht="12.75" customHeight="1">
      <c r="S292" s="337"/>
    </row>
    <row r="293" ht="12.75" customHeight="1">
      <c r="S293" s="337"/>
    </row>
    <row r="294" ht="12.75" customHeight="1">
      <c r="S294" s="337"/>
    </row>
    <row r="295" ht="12.75" customHeight="1">
      <c r="S295" s="337"/>
    </row>
    <row r="296" ht="12.75" customHeight="1">
      <c r="S296" s="337"/>
    </row>
    <row r="297" ht="12.75" customHeight="1">
      <c r="S297" s="337"/>
    </row>
    <row r="298" ht="12.75" customHeight="1">
      <c r="S298" s="337"/>
    </row>
    <row r="299" ht="12.75" customHeight="1">
      <c r="S299" s="337"/>
    </row>
    <row r="300" ht="12.75" customHeight="1">
      <c r="S300" s="337"/>
    </row>
    <row r="301" ht="12.75" customHeight="1">
      <c r="S301" s="337"/>
    </row>
    <row r="302" ht="12.75" customHeight="1">
      <c r="S302" s="337"/>
    </row>
    <row r="303" ht="12.75" customHeight="1">
      <c r="S303" s="337"/>
    </row>
    <row r="304" ht="12.75" customHeight="1">
      <c r="S304" s="337"/>
    </row>
    <row r="305" ht="12.75" customHeight="1">
      <c r="S305" s="337"/>
    </row>
    <row r="306" ht="12.75" customHeight="1">
      <c r="S306" s="337"/>
    </row>
    <row r="307" ht="12.75" customHeight="1">
      <c r="S307" s="337"/>
    </row>
    <row r="308" ht="12.75" customHeight="1">
      <c r="S308" s="337"/>
    </row>
    <row r="309" ht="12.75" customHeight="1">
      <c r="S309" s="337"/>
    </row>
    <row r="310" ht="12.75" customHeight="1">
      <c r="S310" s="337"/>
    </row>
    <row r="311" ht="12.75" customHeight="1">
      <c r="S311" s="337"/>
    </row>
    <row r="312" ht="12.75" customHeight="1">
      <c r="S312" s="337"/>
    </row>
    <row r="313" ht="12.75" customHeight="1">
      <c r="S313" s="337"/>
    </row>
    <row r="314" ht="12.75" customHeight="1">
      <c r="S314" s="337"/>
    </row>
    <row r="315" ht="12.75" customHeight="1">
      <c r="S315" s="337"/>
    </row>
    <row r="316" ht="12.75" customHeight="1">
      <c r="S316" s="337"/>
    </row>
    <row r="317" ht="12.75" customHeight="1">
      <c r="S317" s="337"/>
    </row>
    <row r="318" ht="12.75" customHeight="1">
      <c r="S318" s="337"/>
    </row>
    <row r="319" ht="12.75" customHeight="1">
      <c r="S319" s="337"/>
    </row>
    <row r="320" ht="12.75" customHeight="1">
      <c r="S320" s="337"/>
    </row>
    <row r="321" ht="12.75" customHeight="1">
      <c r="S321" s="337"/>
    </row>
    <row r="322" ht="12.75" customHeight="1">
      <c r="S322" s="337"/>
    </row>
    <row r="323" ht="12.75" customHeight="1">
      <c r="S323" s="337"/>
    </row>
    <row r="324" ht="12.75" customHeight="1">
      <c r="S324" s="337"/>
    </row>
    <row r="325" ht="12.75" customHeight="1">
      <c r="S325" s="337"/>
    </row>
    <row r="326" ht="12.75" customHeight="1">
      <c r="S326" s="337"/>
    </row>
    <row r="327" ht="12.75" customHeight="1">
      <c r="S327" s="337"/>
    </row>
    <row r="328" ht="12.75" customHeight="1">
      <c r="S328" s="337"/>
    </row>
    <row r="329" ht="12.75" customHeight="1">
      <c r="S329" s="337"/>
    </row>
    <row r="330" ht="12.75" customHeight="1">
      <c r="S330" s="337"/>
    </row>
    <row r="331" ht="12.75" customHeight="1">
      <c r="S331" s="337"/>
    </row>
    <row r="332" ht="12.75" customHeight="1">
      <c r="S332" s="337"/>
    </row>
    <row r="333" ht="12.75" customHeight="1">
      <c r="S333" s="337"/>
    </row>
    <row r="334" ht="12.75" customHeight="1">
      <c r="S334" s="337"/>
    </row>
    <row r="335" ht="12.75" customHeight="1">
      <c r="S335" s="337"/>
    </row>
    <row r="336" ht="12.75" customHeight="1">
      <c r="S336" s="337"/>
    </row>
    <row r="337" ht="12.75" customHeight="1">
      <c r="S337" s="337"/>
    </row>
    <row r="338" ht="12.75" customHeight="1">
      <c r="S338" s="337"/>
    </row>
    <row r="339" ht="12.75" customHeight="1">
      <c r="S339" s="337"/>
    </row>
    <row r="340" ht="12.75" customHeight="1">
      <c r="S340" s="337"/>
    </row>
    <row r="341" ht="12.75" customHeight="1">
      <c r="S341" s="337"/>
    </row>
    <row r="342" ht="12.75" customHeight="1">
      <c r="S342" s="337"/>
    </row>
    <row r="343" ht="12.75" customHeight="1">
      <c r="S343" s="337"/>
    </row>
    <row r="344" ht="12.75" customHeight="1">
      <c r="S344" s="337"/>
    </row>
    <row r="345" ht="12.75" customHeight="1">
      <c r="S345" s="337"/>
    </row>
    <row r="346" ht="12.75" customHeight="1">
      <c r="S346" s="337"/>
    </row>
    <row r="347" ht="12.75" customHeight="1">
      <c r="S347" s="337"/>
    </row>
    <row r="348" ht="12.75" customHeight="1">
      <c r="S348" s="337"/>
    </row>
    <row r="349" ht="12.75" customHeight="1">
      <c r="S349" s="337"/>
    </row>
    <row r="350" ht="12.75" customHeight="1">
      <c r="S350" s="337"/>
    </row>
    <row r="351" ht="12.75" customHeight="1">
      <c r="S351" s="337"/>
    </row>
    <row r="352" ht="12.75" customHeight="1">
      <c r="S352" s="337"/>
    </row>
    <row r="353" ht="12.75" customHeight="1">
      <c r="S353" s="337"/>
    </row>
    <row r="354" ht="12.75" customHeight="1">
      <c r="S354" s="337"/>
    </row>
    <row r="355" ht="12.75" customHeight="1">
      <c r="S355" s="337"/>
    </row>
    <row r="356" ht="12.75" customHeight="1">
      <c r="S356" s="337"/>
    </row>
    <row r="357" ht="12.75" customHeight="1">
      <c r="S357" s="337"/>
    </row>
    <row r="358" ht="12.75" customHeight="1">
      <c r="S358" s="337"/>
    </row>
    <row r="359" ht="12.75" customHeight="1">
      <c r="S359" s="337"/>
    </row>
    <row r="360" ht="12.75" customHeight="1">
      <c r="S360" s="337"/>
    </row>
    <row r="361" ht="12.75" customHeight="1">
      <c r="S361" s="337"/>
    </row>
    <row r="362" ht="12.75" customHeight="1">
      <c r="S362" s="337"/>
    </row>
    <row r="363" ht="12.75" customHeight="1">
      <c r="S363" s="337"/>
    </row>
    <row r="364" ht="12.75" customHeight="1">
      <c r="S364" s="337"/>
    </row>
    <row r="365" ht="12.75" customHeight="1">
      <c r="S365" s="337"/>
    </row>
    <row r="366" ht="12.75" customHeight="1">
      <c r="S366" s="337"/>
    </row>
    <row r="367" ht="12.75" customHeight="1">
      <c r="S367" s="337"/>
    </row>
    <row r="368" ht="12.75" customHeight="1">
      <c r="S368" s="337"/>
    </row>
    <row r="369" ht="12.75" customHeight="1">
      <c r="S369" s="337"/>
    </row>
    <row r="370" ht="12.75" customHeight="1">
      <c r="S370" s="337"/>
    </row>
    <row r="371" ht="12.75" customHeight="1">
      <c r="S371" s="337"/>
    </row>
    <row r="372" ht="12.75" customHeight="1">
      <c r="S372" s="337"/>
    </row>
    <row r="373" ht="12.75" customHeight="1">
      <c r="S373" s="337"/>
    </row>
    <row r="374" ht="12.75" customHeight="1">
      <c r="S374" s="337"/>
    </row>
    <row r="375" ht="12.75" customHeight="1">
      <c r="S375" s="337"/>
    </row>
    <row r="376" ht="12.75" customHeight="1">
      <c r="S376" s="337"/>
    </row>
    <row r="377" ht="12.75" customHeight="1">
      <c r="S377" s="337"/>
    </row>
    <row r="378" ht="12.75" customHeight="1">
      <c r="S378" s="337"/>
    </row>
    <row r="379" ht="12.75" customHeight="1">
      <c r="S379" s="337"/>
    </row>
    <row r="380" ht="12.75" customHeight="1">
      <c r="S380" s="337"/>
    </row>
    <row r="381" ht="12.75" customHeight="1">
      <c r="S381" s="337"/>
    </row>
    <row r="382" ht="12.75" customHeight="1">
      <c r="S382" s="337"/>
    </row>
    <row r="383" ht="12.75" customHeight="1">
      <c r="S383" s="337"/>
    </row>
    <row r="384" ht="12.75" customHeight="1">
      <c r="S384" s="337"/>
    </row>
    <row r="385" ht="12.75" customHeight="1">
      <c r="S385" s="337"/>
    </row>
    <row r="386" ht="12.75" customHeight="1">
      <c r="S386" s="337"/>
    </row>
    <row r="387" ht="12.75" customHeight="1">
      <c r="S387" s="337"/>
    </row>
    <row r="388" ht="12.75" customHeight="1">
      <c r="S388" s="337"/>
    </row>
    <row r="389" ht="12.75" customHeight="1">
      <c r="S389" s="337"/>
    </row>
    <row r="390" ht="12.75" customHeight="1">
      <c r="S390" s="337"/>
    </row>
    <row r="391" ht="12.75" customHeight="1">
      <c r="S391" s="337"/>
    </row>
    <row r="392" ht="12.75" customHeight="1">
      <c r="S392" s="337"/>
    </row>
    <row r="393" ht="12.75" customHeight="1">
      <c r="S393" s="337"/>
    </row>
    <row r="394" ht="12.75" customHeight="1">
      <c r="S394" s="337"/>
    </row>
    <row r="395" ht="12.75" customHeight="1">
      <c r="S395" s="337"/>
    </row>
    <row r="396" ht="12.75" customHeight="1">
      <c r="S396" s="337"/>
    </row>
    <row r="397" ht="12.75" customHeight="1">
      <c r="S397" s="337"/>
    </row>
    <row r="398" ht="12.75" customHeight="1">
      <c r="S398" s="337"/>
    </row>
    <row r="399" ht="12.75" customHeight="1">
      <c r="S399" s="337"/>
    </row>
    <row r="400" ht="12.75" customHeight="1">
      <c r="S400" s="337"/>
    </row>
    <row r="401" ht="12.75" customHeight="1">
      <c r="S401" s="337"/>
    </row>
    <row r="402" ht="12.75" customHeight="1">
      <c r="S402" s="337"/>
    </row>
    <row r="403" ht="12.75" customHeight="1">
      <c r="S403" s="337"/>
    </row>
    <row r="404" ht="12.75" customHeight="1">
      <c r="S404" s="337"/>
    </row>
    <row r="405" ht="12.75" customHeight="1">
      <c r="S405" s="337"/>
    </row>
    <row r="406" ht="12.75" customHeight="1">
      <c r="S406" s="337"/>
    </row>
    <row r="407" ht="12.75" customHeight="1">
      <c r="S407" s="337"/>
    </row>
    <row r="408" ht="12.75" customHeight="1">
      <c r="S408" s="337"/>
    </row>
    <row r="409" ht="12.75" customHeight="1">
      <c r="S409" s="337"/>
    </row>
    <row r="410" ht="12.75" customHeight="1">
      <c r="S410" s="337"/>
    </row>
    <row r="411" ht="12.75" customHeight="1">
      <c r="S411" s="337"/>
    </row>
    <row r="412" ht="12.75" customHeight="1">
      <c r="S412" s="337"/>
    </row>
    <row r="413" ht="12.75" customHeight="1">
      <c r="S413" s="337"/>
    </row>
    <row r="414" ht="12.75" customHeight="1">
      <c r="S414" s="337"/>
    </row>
    <row r="415" ht="12.75" customHeight="1">
      <c r="S415" s="337"/>
    </row>
    <row r="416" ht="12.75" customHeight="1">
      <c r="S416" s="337"/>
    </row>
    <row r="417" ht="12.75" customHeight="1">
      <c r="S417" s="337"/>
    </row>
    <row r="418" ht="12.75" customHeight="1">
      <c r="S418" s="337"/>
    </row>
    <row r="419" ht="12.75" customHeight="1">
      <c r="S419" s="337"/>
    </row>
    <row r="420" ht="12.75" customHeight="1">
      <c r="S420" s="337"/>
    </row>
    <row r="421" ht="12.75" customHeight="1">
      <c r="S421" s="337"/>
    </row>
    <row r="422" ht="12.75" customHeight="1">
      <c r="S422" s="337"/>
    </row>
    <row r="423" ht="12.75" customHeight="1">
      <c r="S423" s="337"/>
    </row>
    <row r="424" ht="12.75" customHeight="1">
      <c r="S424" s="337"/>
    </row>
    <row r="425" ht="12.75" customHeight="1">
      <c r="S425" s="337"/>
    </row>
    <row r="426" ht="12.75" customHeight="1">
      <c r="S426" s="337"/>
    </row>
    <row r="427" ht="12.75" customHeight="1">
      <c r="S427" s="337"/>
    </row>
    <row r="428" ht="12.75" customHeight="1">
      <c r="S428" s="337"/>
    </row>
    <row r="429" ht="12.75" customHeight="1">
      <c r="S429" s="337"/>
    </row>
    <row r="430" ht="12.75" customHeight="1">
      <c r="S430" s="337"/>
    </row>
    <row r="431" ht="12.75" customHeight="1">
      <c r="S431" s="337"/>
    </row>
    <row r="432" ht="12.75" customHeight="1">
      <c r="S432" s="337"/>
    </row>
    <row r="433" ht="12.75" customHeight="1">
      <c r="S433" s="337"/>
    </row>
    <row r="434" ht="12.75" customHeight="1">
      <c r="S434" s="337"/>
    </row>
    <row r="435" ht="12.75" customHeight="1">
      <c r="S435" s="337"/>
    </row>
    <row r="436" ht="12.75" customHeight="1">
      <c r="S436" s="337"/>
    </row>
    <row r="437" ht="12.75" customHeight="1">
      <c r="S437" s="337"/>
    </row>
    <row r="438" ht="12.75" customHeight="1">
      <c r="S438" s="337"/>
    </row>
    <row r="439" ht="12.75" customHeight="1">
      <c r="S439" s="337"/>
    </row>
    <row r="440" ht="12.75" customHeight="1">
      <c r="S440" s="337"/>
    </row>
    <row r="441" ht="12.75" customHeight="1">
      <c r="S441" s="337"/>
    </row>
    <row r="442" ht="12.75" customHeight="1">
      <c r="S442" s="337"/>
    </row>
    <row r="443" ht="12.75" customHeight="1">
      <c r="S443" s="337"/>
    </row>
    <row r="444" ht="12.75" customHeight="1">
      <c r="S444" s="337"/>
    </row>
    <row r="445" ht="12.75" customHeight="1">
      <c r="S445" s="337"/>
    </row>
    <row r="446" ht="12.75" customHeight="1">
      <c r="S446" s="337"/>
    </row>
    <row r="447" ht="12.75" customHeight="1">
      <c r="S447" s="337"/>
    </row>
    <row r="448" ht="12.75" customHeight="1">
      <c r="S448" s="337"/>
    </row>
    <row r="449" ht="12.75" customHeight="1">
      <c r="S449" s="337"/>
    </row>
    <row r="450" ht="12.75" customHeight="1">
      <c r="S450" s="337"/>
    </row>
    <row r="451" ht="12.75" customHeight="1">
      <c r="S451" s="337"/>
    </row>
    <row r="452" ht="12.75" customHeight="1">
      <c r="S452" s="337"/>
    </row>
    <row r="453" ht="12.75" customHeight="1">
      <c r="S453" s="337"/>
    </row>
    <row r="454" ht="12.75" customHeight="1">
      <c r="S454" s="337"/>
    </row>
    <row r="455" ht="12.75" customHeight="1">
      <c r="S455" s="337"/>
    </row>
    <row r="456" ht="12.75" customHeight="1">
      <c r="S456" s="337"/>
    </row>
    <row r="457" ht="12.75" customHeight="1">
      <c r="S457" s="337"/>
    </row>
    <row r="458" ht="12.75" customHeight="1">
      <c r="S458" s="337"/>
    </row>
    <row r="459" ht="12.75" customHeight="1">
      <c r="S459" s="337"/>
    </row>
    <row r="460" ht="12.75" customHeight="1">
      <c r="S460" s="337"/>
    </row>
    <row r="461" ht="12.75" customHeight="1">
      <c r="S461" s="337"/>
    </row>
    <row r="462" ht="12.75" customHeight="1">
      <c r="S462" s="337"/>
    </row>
    <row r="463" ht="12.75" customHeight="1">
      <c r="S463" s="337"/>
    </row>
    <row r="464" ht="12.75" customHeight="1">
      <c r="S464" s="337"/>
    </row>
    <row r="465" ht="12.75" customHeight="1">
      <c r="S465" s="337"/>
    </row>
    <row r="466" ht="12.75" customHeight="1">
      <c r="S466" s="337"/>
    </row>
    <row r="467" ht="12.75" customHeight="1">
      <c r="S467" s="337"/>
    </row>
    <row r="468" ht="12.75" customHeight="1">
      <c r="S468" s="337"/>
    </row>
    <row r="469" ht="12.75" customHeight="1">
      <c r="S469" s="337"/>
    </row>
    <row r="470" ht="12.75" customHeight="1">
      <c r="S470" s="337"/>
    </row>
    <row r="471" ht="12.75" customHeight="1">
      <c r="S471" s="337"/>
    </row>
    <row r="472" ht="12.75" customHeight="1">
      <c r="S472" s="337"/>
    </row>
    <row r="473" ht="12.75" customHeight="1">
      <c r="S473" s="337"/>
    </row>
    <row r="474" ht="12.75" customHeight="1">
      <c r="S474" s="337"/>
    </row>
    <row r="475" ht="12.75" customHeight="1">
      <c r="S475" s="337"/>
    </row>
    <row r="476" ht="12.75" customHeight="1">
      <c r="S476" s="337"/>
    </row>
    <row r="477" ht="12.75" customHeight="1">
      <c r="S477" s="337"/>
    </row>
    <row r="478" ht="12.75" customHeight="1">
      <c r="S478" s="337"/>
    </row>
    <row r="479" ht="12.75" customHeight="1">
      <c r="S479" s="337"/>
    </row>
    <row r="480" ht="12.75" customHeight="1">
      <c r="S480" s="337"/>
    </row>
    <row r="481" ht="12.75" customHeight="1">
      <c r="S481" s="337"/>
    </row>
    <row r="482" ht="12.75" customHeight="1">
      <c r="S482" s="337"/>
    </row>
    <row r="483" ht="12.75" customHeight="1">
      <c r="S483" s="337"/>
    </row>
    <row r="484" ht="12.75" customHeight="1">
      <c r="S484" s="337"/>
    </row>
    <row r="485" ht="12.75" customHeight="1">
      <c r="S485" s="337"/>
    </row>
    <row r="486" ht="12.75" customHeight="1">
      <c r="S486" s="337"/>
    </row>
    <row r="487" ht="12.75" customHeight="1">
      <c r="S487" s="337"/>
    </row>
    <row r="488" ht="12.75" customHeight="1">
      <c r="S488" s="337"/>
    </row>
    <row r="489" ht="12.75" customHeight="1">
      <c r="S489" s="337"/>
    </row>
    <row r="490" ht="12.75" customHeight="1">
      <c r="S490" s="337"/>
    </row>
    <row r="491" ht="12.75" customHeight="1">
      <c r="S491" s="337"/>
    </row>
    <row r="492" ht="12.75" customHeight="1">
      <c r="S492" s="337"/>
    </row>
    <row r="493" ht="12.75" customHeight="1">
      <c r="S493" s="337"/>
    </row>
    <row r="494" ht="12.75" customHeight="1">
      <c r="S494" s="337"/>
    </row>
    <row r="495" ht="12.75" customHeight="1">
      <c r="S495" s="337"/>
    </row>
    <row r="496" ht="12.75" customHeight="1">
      <c r="S496" s="337"/>
    </row>
    <row r="497" ht="12.75" customHeight="1">
      <c r="S497" s="337"/>
    </row>
    <row r="498" ht="12.75" customHeight="1">
      <c r="S498" s="337"/>
    </row>
    <row r="499" ht="12.75" customHeight="1">
      <c r="S499" s="337"/>
    </row>
    <row r="500" ht="12.75" customHeight="1">
      <c r="S500" s="337"/>
    </row>
    <row r="501" ht="12.75" customHeight="1">
      <c r="S501" s="337"/>
    </row>
    <row r="502" ht="12.75" customHeight="1">
      <c r="S502" s="337"/>
    </row>
    <row r="503" ht="12.75" customHeight="1">
      <c r="S503" s="337"/>
    </row>
    <row r="504" ht="12.75" customHeight="1">
      <c r="S504" s="337"/>
    </row>
    <row r="505" ht="12.75" customHeight="1">
      <c r="S505" s="337"/>
    </row>
    <row r="506" ht="12.75" customHeight="1">
      <c r="S506" s="337"/>
    </row>
    <row r="507" ht="12.75" customHeight="1">
      <c r="S507" s="337"/>
    </row>
    <row r="508" ht="12.75" customHeight="1">
      <c r="S508" s="337"/>
    </row>
    <row r="509" ht="12.75" customHeight="1">
      <c r="S509" s="337"/>
    </row>
    <row r="510" ht="12.75" customHeight="1">
      <c r="S510" s="337"/>
    </row>
    <row r="511" ht="12.75" customHeight="1">
      <c r="S511" s="337"/>
    </row>
    <row r="512" ht="12.75" customHeight="1">
      <c r="S512" s="337"/>
    </row>
    <row r="513" ht="12.75" customHeight="1">
      <c r="S513" s="337"/>
    </row>
    <row r="514" ht="12.75" customHeight="1">
      <c r="S514" s="337"/>
    </row>
    <row r="515" ht="12.75" customHeight="1">
      <c r="S515" s="337"/>
    </row>
    <row r="516" ht="12.75" customHeight="1">
      <c r="S516" s="337"/>
    </row>
    <row r="517" ht="12.75" customHeight="1">
      <c r="S517" s="337"/>
    </row>
    <row r="518" ht="12.75" customHeight="1">
      <c r="S518" s="337"/>
    </row>
    <row r="519" ht="12.75" customHeight="1">
      <c r="S519" s="337"/>
    </row>
    <row r="520" ht="12.75" customHeight="1">
      <c r="S520" s="337"/>
    </row>
    <row r="521" ht="12.75" customHeight="1">
      <c r="S521" s="337"/>
    </row>
    <row r="522" ht="12.75" customHeight="1">
      <c r="S522" s="337"/>
    </row>
    <row r="523" ht="12.75" customHeight="1">
      <c r="S523" s="337"/>
    </row>
    <row r="524" ht="12.75" customHeight="1">
      <c r="S524" s="337"/>
    </row>
    <row r="525" ht="12.75" customHeight="1">
      <c r="S525" s="337"/>
    </row>
    <row r="526" ht="12.75" customHeight="1">
      <c r="S526" s="337"/>
    </row>
    <row r="527" ht="12.75" customHeight="1">
      <c r="S527" s="337"/>
    </row>
    <row r="528" ht="12.75" customHeight="1">
      <c r="S528" s="337"/>
    </row>
    <row r="529" ht="12.75" customHeight="1">
      <c r="S529" s="337"/>
    </row>
    <row r="530" ht="12.75" customHeight="1">
      <c r="S530" s="337"/>
    </row>
    <row r="531" ht="12.75" customHeight="1">
      <c r="S531" s="337"/>
    </row>
    <row r="532" ht="12.75" customHeight="1">
      <c r="S532" s="337"/>
    </row>
    <row r="533" ht="12.75" customHeight="1">
      <c r="S533" s="337"/>
    </row>
    <row r="534" ht="12.75" customHeight="1">
      <c r="S534" s="337"/>
    </row>
    <row r="535" ht="12.75" customHeight="1">
      <c r="S535" s="337"/>
    </row>
    <row r="536" ht="12.75" customHeight="1">
      <c r="S536" s="337"/>
    </row>
    <row r="537" ht="12.75" customHeight="1">
      <c r="S537" s="337"/>
    </row>
    <row r="538" ht="12.75" customHeight="1">
      <c r="S538" s="337"/>
    </row>
    <row r="539" ht="12.75" customHeight="1">
      <c r="S539" s="337"/>
    </row>
    <row r="540" ht="12.75" customHeight="1">
      <c r="S540" s="337"/>
    </row>
    <row r="541" ht="12.75" customHeight="1">
      <c r="S541" s="337"/>
    </row>
    <row r="542" ht="12.75" customHeight="1">
      <c r="S542" s="337"/>
    </row>
    <row r="543" ht="12.75" customHeight="1">
      <c r="S543" s="337"/>
    </row>
    <row r="544" ht="12.75" customHeight="1">
      <c r="S544" s="337"/>
    </row>
    <row r="545" ht="12.75" customHeight="1">
      <c r="S545" s="337"/>
    </row>
    <row r="546" ht="12.75" customHeight="1">
      <c r="S546" s="337"/>
    </row>
    <row r="547" ht="12.75" customHeight="1">
      <c r="S547" s="337"/>
    </row>
    <row r="548" ht="12.75" customHeight="1">
      <c r="S548" s="337"/>
    </row>
    <row r="549" ht="12.75" customHeight="1">
      <c r="S549" s="337"/>
    </row>
    <row r="550" ht="12.75" customHeight="1">
      <c r="S550" s="337"/>
    </row>
    <row r="551" ht="12.75" customHeight="1">
      <c r="S551" s="337"/>
    </row>
    <row r="552" ht="12.75" customHeight="1">
      <c r="S552" s="337"/>
    </row>
    <row r="553" ht="12.75" customHeight="1">
      <c r="S553" s="337"/>
    </row>
    <row r="554" ht="12.75" customHeight="1">
      <c r="S554" s="337"/>
    </row>
    <row r="555" ht="12.75" customHeight="1">
      <c r="S555" s="337"/>
    </row>
    <row r="556" ht="12.75" customHeight="1">
      <c r="S556" s="337"/>
    </row>
    <row r="557" ht="12.75" customHeight="1">
      <c r="S557" s="337"/>
    </row>
    <row r="558" ht="12.75" customHeight="1">
      <c r="S558" s="337"/>
    </row>
    <row r="559" ht="12.75" customHeight="1">
      <c r="S559" s="337"/>
    </row>
    <row r="560" ht="12.75" customHeight="1">
      <c r="S560" s="337"/>
    </row>
    <row r="561" ht="12.75" customHeight="1">
      <c r="S561" s="337"/>
    </row>
    <row r="562" ht="12.75" customHeight="1">
      <c r="S562" s="337"/>
    </row>
    <row r="563" ht="12.75" customHeight="1">
      <c r="S563" s="337"/>
    </row>
    <row r="564" ht="12.75" customHeight="1">
      <c r="S564" s="337"/>
    </row>
    <row r="565" ht="12.75" customHeight="1">
      <c r="S565" s="337"/>
    </row>
    <row r="566" ht="12.75" customHeight="1">
      <c r="S566" s="337"/>
    </row>
    <row r="567" ht="12.75" customHeight="1">
      <c r="S567" s="337"/>
    </row>
    <row r="568" ht="12.75" customHeight="1">
      <c r="S568" s="337"/>
    </row>
    <row r="569" ht="12.75" customHeight="1">
      <c r="S569" s="337"/>
    </row>
    <row r="570" ht="12.75" customHeight="1">
      <c r="S570" s="337"/>
    </row>
    <row r="571" ht="12.75" customHeight="1">
      <c r="S571" s="337"/>
    </row>
    <row r="572" ht="12.75" customHeight="1">
      <c r="S572" s="337"/>
    </row>
    <row r="573" ht="12.75" customHeight="1">
      <c r="S573" s="337"/>
    </row>
    <row r="574" ht="12.75" customHeight="1">
      <c r="S574" s="337"/>
    </row>
    <row r="575" ht="12.75" customHeight="1">
      <c r="S575" s="337"/>
    </row>
    <row r="576" ht="12.75" customHeight="1">
      <c r="S576" s="337"/>
    </row>
    <row r="577" ht="12.75" customHeight="1">
      <c r="S577" s="337"/>
    </row>
    <row r="578" ht="12.75" customHeight="1">
      <c r="S578" s="337"/>
    </row>
    <row r="579" ht="12.75" customHeight="1">
      <c r="S579" s="337"/>
    </row>
    <row r="580" ht="12.75" customHeight="1">
      <c r="S580" s="337"/>
    </row>
    <row r="581" ht="12.75" customHeight="1">
      <c r="S581" s="337"/>
    </row>
    <row r="582" ht="12.75" customHeight="1">
      <c r="S582" s="337"/>
    </row>
    <row r="583" ht="12.75" customHeight="1">
      <c r="S583" s="337"/>
    </row>
    <row r="584" ht="12.75" customHeight="1">
      <c r="S584" s="337"/>
    </row>
    <row r="585" ht="12.75" customHeight="1">
      <c r="S585" s="337"/>
    </row>
    <row r="586" ht="12.75" customHeight="1">
      <c r="S586" s="337"/>
    </row>
    <row r="587" ht="12.75" customHeight="1">
      <c r="S587" s="337"/>
    </row>
    <row r="588" ht="12.75" customHeight="1">
      <c r="S588" s="337"/>
    </row>
    <row r="589" ht="12.75" customHeight="1">
      <c r="S589" s="337"/>
    </row>
    <row r="590" ht="12.75" customHeight="1">
      <c r="S590" s="337"/>
    </row>
    <row r="591" ht="12.75" customHeight="1">
      <c r="S591" s="337"/>
    </row>
    <row r="592" ht="12.75" customHeight="1">
      <c r="S592" s="337"/>
    </row>
    <row r="593" ht="12.75" customHeight="1">
      <c r="S593" s="337"/>
    </row>
    <row r="594" ht="12.75" customHeight="1">
      <c r="S594" s="337"/>
    </row>
    <row r="595" ht="12.75" customHeight="1">
      <c r="S595" s="337"/>
    </row>
    <row r="596" ht="12.75" customHeight="1">
      <c r="S596" s="337"/>
    </row>
    <row r="597" ht="12.75" customHeight="1">
      <c r="S597" s="337"/>
    </row>
    <row r="598" ht="12.75" customHeight="1">
      <c r="S598" s="337"/>
    </row>
    <row r="599" ht="12.75" customHeight="1">
      <c r="S599" s="337"/>
    </row>
    <row r="600" ht="12.75" customHeight="1">
      <c r="S600" s="337"/>
    </row>
    <row r="601" ht="12.75" customHeight="1">
      <c r="S601" s="337"/>
    </row>
    <row r="602" ht="12.75" customHeight="1">
      <c r="S602" s="337"/>
    </row>
    <row r="603" ht="12.75" customHeight="1">
      <c r="S603" s="337"/>
    </row>
    <row r="604" ht="12.75" customHeight="1">
      <c r="S604" s="337"/>
    </row>
    <row r="605" ht="12.75" customHeight="1">
      <c r="S605" s="337"/>
    </row>
    <row r="606" ht="12.75" customHeight="1">
      <c r="S606" s="337"/>
    </row>
    <row r="607" ht="12.75" customHeight="1">
      <c r="S607" s="337"/>
    </row>
    <row r="608" ht="12.75" customHeight="1">
      <c r="S608" s="337"/>
    </row>
    <row r="609" ht="12.75" customHeight="1">
      <c r="S609" s="337"/>
    </row>
    <row r="610" ht="12.75" customHeight="1">
      <c r="S610" s="337"/>
    </row>
    <row r="611" ht="12.75" customHeight="1">
      <c r="S611" s="337"/>
    </row>
    <row r="612" ht="12.75" customHeight="1">
      <c r="S612" s="337"/>
    </row>
    <row r="613" ht="12.75" customHeight="1">
      <c r="S613" s="337"/>
    </row>
    <row r="614" ht="12.75" customHeight="1">
      <c r="S614" s="337"/>
    </row>
    <row r="615" ht="12.75" customHeight="1">
      <c r="S615" s="337"/>
    </row>
    <row r="616" ht="12.75" customHeight="1">
      <c r="S616" s="337"/>
    </row>
    <row r="617" ht="12.75" customHeight="1">
      <c r="S617" s="337"/>
    </row>
    <row r="618" ht="12.75" customHeight="1">
      <c r="S618" s="337"/>
    </row>
    <row r="619" ht="12.75" customHeight="1">
      <c r="S619" s="337"/>
    </row>
    <row r="620" ht="12.75" customHeight="1">
      <c r="S620" s="337"/>
    </row>
    <row r="621" ht="12.75" customHeight="1">
      <c r="S621" s="337"/>
    </row>
    <row r="622" ht="12.75" customHeight="1">
      <c r="S622" s="337"/>
    </row>
    <row r="623" ht="12.75" customHeight="1">
      <c r="S623" s="337"/>
    </row>
    <row r="624" ht="12.75" customHeight="1">
      <c r="S624" s="337"/>
    </row>
    <row r="625" ht="12.75" customHeight="1">
      <c r="S625" s="337"/>
    </row>
    <row r="626" ht="12.75" customHeight="1">
      <c r="S626" s="337"/>
    </row>
    <row r="627" ht="12.75" customHeight="1">
      <c r="S627" s="337"/>
    </row>
    <row r="628" ht="12.75" customHeight="1">
      <c r="S628" s="337"/>
    </row>
    <row r="629" ht="12.75" customHeight="1">
      <c r="S629" s="337"/>
    </row>
    <row r="630" ht="12.75" customHeight="1">
      <c r="S630" s="337"/>
    </row>
    <row r="631" ht="12.75" customHeight="1">
      <c r="S631" s="337"/>
    </row>
    <row r="632" ht="12.75" customHeight="1">
      <c r="S632" s="337"/>
    </row>
    <row r="633" ht="12.75" customHeight="1">
      <c r="S633" s="337"/>
    </row>
    <row r="634" ht="12.75" customHeight="1">
      <c r="S634" s="337"/>
    </row>
    <row r="635" ht="12.75" customHeight="1">
      <c r="S635" s="337"/>
    </row>
    <row r="636" ht="12.75" customHeight="1">
      <c r="S636" s="337"/>
    </row>
    <row r="637" ht="12.75" customHeight="1">
      <c r="S637" s="337"/>
    </row>
    <row r="638" ht="12.75" customHeight="1">
      <c r="S638" s="337"/>
    </row>
    <row r="639" ht="12.75" customHeight="1">
      <c r="S639" s="337"/>
    </row>
    <row r="640" ht="12.75" customHeight="1">
      <c r="S640" s="337"/>
    </row>
    <row r="641" ht="12.75" customHeight="1">
      <c r="S641" s="337"/>
    </row>
    <row r="642" ht="12.75" customHeight="1">
      <c r="S642" s="337"/>
    </row>
    <row r="643" ht="12.75" customHeight="1">
      <c r="S643" s="337"/>
    </row>
    <row r="644" ht="12.75" customHeight="1">
      <c r="S644" s="337"/>
    </row>
    <row r="645" ht="12.75" customHeight="1">
      <c r="S645" s="337"/>
    </row>
    <row r="646" ht="12.75" customHeight="1">
      <c r="S646" s="337"/>
    </row>
    <row r="647" ht="12.75" customHeight="1">
      <c r="S647" s="337"/>
    </row>
    <row r="648" ht="12.75" customHeight="1">
      <c r="S648" s="337"/>
    </row>
    <row r="649" ht="12.75" customHeight="1">
      <c r="S649" s="337"/>
    </row>
    <row r="650" ht="12.75" customHeight="1">
      <c r="S650" s="337"/>
    </row>
    <row r="651" ht="12.75" customHeight="1">
      <c r="S651" s="337"/>
    </row>
    <row r="652" ht="12.75" customHeight="1">
      <c r="S652" s="337"/>
    </row>
    <row r="653" ht="12.75" customHeight="1">
      <c r="S653" s="337"/>
    </row>
    <row r="654" ht="12.75" customHeight="1">
      <c r="S654" s="337"/>
    </row>
    <row r="655" ht="12.75" customHeight="1">
      <c r="S655" s="337"/>
    </row>
    <row r="656" ht="12.75" customHeight="1">
      <c r="S656" s="337"/>
    </row>
    <row r="657" ht="12.75" customHeight="1">
      <c r="S657" s="337"/>
    </row>
    <row r="658" ht="12.75" customHeight="1">
      <c r="S658" s="337"/>
    </row>
    <row r="659" ht="12.75" customHeight="1">
      <c r="S659" s="337"/>
    </row>
    <row r="660" ht="12.75" customHeight="1">
      <c r="S660" s="337"/>
    </row>
    <row r="661" ht="12.75" customHeight="1">
      <c r="S661" s="337"/>
    </row>
    <row r="662" ht="12.75" customHeight="1">
      <c r="S662" s="337"/>
    </row>
    <row r="663" ht="12.75" customHeight="1">
      <c r="S663" s="337"/>
    </row>
    <row r="664" ht="12.75" customHeight="1">
      <c r="S664" s="337"/>
    </row>
    <row r="665" ht="12.75" customHeight="1">
      <c r="S665" s="337"/>
    </row>
    <row r="666" ht="12.75" customHeight="1">
      <c r="S666" s="337"/>
    </row>
    <row r="667" ht="12.75" customHeight="1">
      <c r="S667" s="337"/>
    </row>
    <row r="668" ht="12.75" customHeight="1">
      <c r="S668" s="337"/>
    </row>
    <row r="669" ht="12.75" customHeight="1">
      <c r="S669" s="337"/>
    </row>
    <row r="670" ht="12.75" customHeight="1">
      <c r="S670" s="337"/>
    </row>
    <row r="671" ht="12.75" customHeight="1">
      <c r="S671" s="337"/>
    </row>
    <row r="672" ht="12.75" customHeight="1">
      <c r="S672" s="337"/>
    </row>
    <row r="673" ht="12.75" customHeight="1">
      <c r="S673" s="337"/>
    </row>
    <row r="674" ht="12.75" customHeight="1">
      <c r="S674" s="337"/>
    </row>
    <row r="675" ht="12.75" customHeight="1">
      <c r="S675" s="337"/>
    </row>
    <row r="676" ht="12.75" customHeight="1">
      <c r="S676" s="337"/>
    </row>
    <row r="677" ht="12.75" customHeight="1">
      <c r="S677" s="337"/>
    </row>
    <row r="678" ht="12.75" customHeight="1">
      <c r="S678" s="337"/>
    </row>
    <row r="679" ht="12.75" customHeight="1">
      <c r="S679" s="337"/>
    </row>
    <row r="680" ht="12.75" customHeight="1">
      <c r="S680" s="337"/>
    </row>
    <row r="681" ht="12.75" customHeight="1">
      <c r="S681" s="337"/>
    </row>
    <row r="682" ht="12.75" customHeight="1">
      <c r="S682" s="337"/>
    </row>
    <row r="683" ht="12.75" customHeight="1">
      <c r="S683" s="337"/>
    </row>
    <row r="684" ht="12.75" customHeight="1">
      <c r="S684" s="337"/>
    </row>
    <row r="685" ht="12.75" customHeight="1">
      <c r="S685" s="337"/>
    </row>
    <row r="686" ht="12.75" customHeight="1">
      <c r="S686" s="337"/>
    </row>
    <row r="687" ht="12.75" customHeight="1">
      <c r="S687" s="337"/>
    </row>
    <row r="688" ht="12.75" customHeight="1">
      <c r="S688" s="337"/>
    </row>
    <row r="689" ht="12.75" customHeight="1">
      <c r="S689" s="337"/>
    </row>
    <row r="690" ht="12.75" customHeight="1">
      <c r="S690" s="337"/>
    </row>
    <row r="691" ht="12.75" customHeight="1">
      <c r="S691" s="337"/>
    </row>
    <row r="692" ht="12.75" customHeight="1">
      <c r="S692" s="337"/>
    </row>
    <row r="693" ht="12.75" customHeight="1">
      <c r="S693" s="337"/>
    </row>
    <row r="694" ht="12.75" customHeight="1">
      <c r="S694" s="337"/>
    </row>
    <row r="695" ht="12.75" customHeight="1">
      <c r="S695" s="337"/>
    </row>
    <row r="696" ht="12.75" customHeight="1">
      <c r="S696" s="337"/>
    </row>
    <row r="697" ht="12.75" customHeight="1">
      <c r="S697" s="337"/>
    </row>
    <row r="698" ht="12.75" customHeight="1">
      <c r="S698" s="337"/>
    </row>
    <row r="699" ht="12.75" customHeight="1">
      <c r="S699" s="337"/>
    </row>
    <row r="700" ht="12.75" customHeight="1">
      <c r="S700" s="337"/>
    </row>
    <row r="701" ht="12.75" customHeight="1">
      <c r="S701" s="337"/>
    </row>
    <row r="702" ht="12.75" customHeight="1">
      <c r="S702" s="337"/>
    </row>
    <row r="703" ht="12.75" customHeight="1">
      <c r="S703" s="337"/>
    </row>
    <row r="704" ht="12.75" customHeight="1">
      <c r="S704" s="337"/>
    </row>
    <row r="705" ht="12.75" customHeight="1">
      <c r="S705" s="337"/>
    </row>
    <row r="706" ht="12.75" customHeight="1">
      <c r="S706" s="337"/>
    </row>
    <row r="707" ht="12.75" customHeight="1">
      <c r="S707" s="337"/>
    </row>
    <row r="708" ht="12.75" customHeight="1">
      <c r="S708" s="337"/>
    </row>
    <row r="709" ht="12.75" customHeight="1">
      <c r="S709" s="337"/>
    </row>
    <row r="710" ht="12.75" customHeight="1">
      <c r="S710" s="337"/>
    </row>
    <row r="711" ht="12.75" customHeight="1">
      <c r="S711" s="337"/>
    </row>
    <row r="712" ht="12.75" customHeight="1">
      <c r="S712" s="337"/>
    </row>
    <row r="713" ht="12.75" customHeight="1">
      <c r="S713" s="337"/>
    </row>
    <row r="714" ht="12.75" customHeight="1">
      <c r="S714" s="337"/>
    </row>
    <row r="715" ht="12.75" customHeight="1">
      <c r="S715" s="337"/>
    </row>
    <row r="716" ht="12.75" customHeight="1">
      <c r="S716" s="337"/>
    </row>
    <row r="717" ht="12.75" customHeight="1">
      <c r="S717" s="337"/>
    </row>
    <row r="718" ht="12.75" customHeight="1">
      <c r="S718" s="337"/>
    </row>
    <row r="719" ht="12.75" customHeight="1">
      <c r="S719" s="337"/>
    </row>
    <row r="720" ht="12.75" customHeight="1">
      <c r="S720" s="337"/>
    </row>
    <row r="721" ht="12.75" customHeight="1">
      <c r="S721" s="337"/>
    </row>
    <row r="722" ht="12.75" customHeight="1">
      <c r="S722" s="337"/>
    </row>
    <row r="723" ht="12.75" customHeight="1">
      <c r="S723" s="337"/>
    </row>
    <row r="724" ht="12.75" customHeight="1">
      <c r="S724" s="337"/>
    </row>
    <row r="725" ht="12.75" customHeight="1">
      <c r="S725" s="337"/>
    </row>
    <row r="726" ht="12.75" customHeight="1">
      <c r="S726" s="337"/>
    </row>
    <row r="727" ht="12.75" customHeight="1">
      <c r="S727" s="337"/>
    </row>
    <row r="728" ht="12.75" customHeight="1">
      <c r="S728" s="337"/>
    </row>
    <row r="729" ht="12.75" customHeight="1">
      <c r="S729" s="337"/>
    </row>
    <row r="730" ht="12.75" customHeight="1">
      <c r="S730" s="337"/>
    </row>
    <row r="731" ht="12.75" customHeight="1">
      <c r="S731" s="337"/>
    </row>
    <row r="732" ht="12.75" customHeight="1">
      <c r="S732" s="337"/>
    </row>
    <row r="733" ht="12.75" customHeight="1">
      <c r="S733" s="337"/>
    </row>
    <row r="734" ht="12.75" customHeight="1">
      <c r="S734" s="337"/>
    </row>
    <row r="735" ht="12.75" customHeight="1">
      <c r="S735" s="337"/>
    </row>
    <row r="736" ht="12.75" customHeight="1">
      <c r="S736" s="337"/>
    </row>
    <row r="737" ht="12.75" customHeight="1">
      <c r="S737" s="337"/>
    </row>
    <row r="738" ht="12.75" customHeight="1">
      <c r="S738" s="337"/>
    </row>
    <row r="739" ht="12.75" customHeight="1">
      <c r="S739" s="337"/>
    </row>
    <row r="740" ht="12.75" customHeight="1">
      <c r="S740" s="337"/>
    </row>
    <row r="741" ht="12.75" customHeight="1">
      <c r="S741" s="337"/>
    </row>
    <row r="742" ht="12.75" customHeight="1">
      <c r="S742" s="337"/>
    </row>
    <row r="743" ht="12.75" customHeight="1">
      <c r="S743" s="337"/>
    </row>
    <row r="744" ht="12.75" customHeight="1">
      <c r="S744" s="337"/>
    </row>
    <row r="745" ht="12.75" customHeight="1">
      <c r="S745" s="337"/>
    </row>
    <row r="746" ht="12.75" customHeight="1">
      <c r="S746" s="337"/>
    </row>
    <row r="747" ht="12.75" customHeight="1">
      <c r="S747" s="337"/>
    </row>
    <row r="748" ht="12.75" customHeight="1">
      <c r="S748" s="337"/>
    </row>
    <row r="749" ht="12.75" customHeight="1">
      <c r="S749" s="337"/>
    </row>
    <row r="750" ht="12.75" customHeight="1">
      <c r="S750" s="337"/>
    </row>
    <row r="751" ht="12.75" customHeight="1">
      <c r="S751" s="337"/>
    </row>
    <row r="752" ht="12.75" customHeight="1">
      <c r="S752" s="337"/>
    </row>
    <row r="753" ht="12.75" customHeight="1">
      <c r="S753" s="337"/>
    </row>
    <row r="754" ht="12.75" customHeight="1">
      <c r="S754" s="337"/>
    </row>
    <row r="755" ht="12.75" customHeight="1">
      <c r="S755" s="337"/>
    </row>
    <row r="756" ht="12.75" customHeight="1">
      <c r="S756" s="337"/>
    </row>
    <row r="757" ht="12.75" customHeight="1">
      <c r="S757" s="337"/>
    </row>
    <row r="758" ht="12.75" customHeight="1">
      <c r="S758" s="337"/>
    </row>
    <row r="759" ht="12.75" customHeight="1">
      <c r="S759" s="337"/>
    </row>
    <row r="760" ht="12.75" customHeight="1">
      <c r="S760" s="337"/>
    </row>
    <row r="761" ht="12.75" customHeight="1">
      <c r="S761" s="337"/>
    </row>
    <row r="762" ht="12.75" customHeight="1">
      <c r="S762" s="337"/>
    </row>
    <row r="763" ht="12.75" customHeight="1">
      <c r="S763" s="337"/>
    </row>
    <row r="764" ht="12.75" customHeight="1">
      <c r="S764" s="337"/>
    </row>
    <row r="765" ht="12.75" customHeight="1">
      <c r="S765" s="337"/>
    </row>
    <row r="766" ht="12.75" customHeight="1">
      <c r="S766" s="337"/>
    </row>
    <row r="767" ht="12.75" customHeight="1">
      <c r="S767" s="337"/>
    </row>
    <row r="768" ht="12.75" customHeight="1">
      <c r="S768" s="337"/>
    </row>
    <row r="769" ht="12.75" customHeight="1">
      <c r="S769" s="337"/>
    </row>
    <row r="770" ht="12.75" customHeight="1">
      <c r="S770" s="337"/>
    </row>
    <row r="771" ht="12.75" customHeight="1">
      <c r="S771" s="337"/>
    </row>
    <row r="772" ht="12.75" customHeight="1">
      <c r="S772" s="337"/>
    </row>
    <row r="773" ht="12.75" customHeight="1">
      <c r="S773" s="337"/>
    </row>
    <row r="774" ht="12.75" customHeight="1">
      <c r="S774" s="337"/>
    </row>
    <row r="775" ht="12.75" customHeight="1">
      <c r="S775" s="337"/>
    </row>
    <row r="776" ht="12.75" customHeight="1">
      <c r="S776" s="337"/>
    </row>
    <row r="777" ht="12.75" customHeight="1">
      <c r="S777" s="337"/>
    </row>
    <row r="778" ht="12.75" customHeight="1">
      <c r="S778" s="337"/>
    </row>
    <row r="779" ht="12.75" customHeight="1">
      <c r="S779" s="337"/>
    </row>
    <row r="780" ht="12.75" customHeight="1">
      <c r="S780" s="337"/>
    </row>
    <row r="781" ht="12.75" customHeight="1">
      <c r="S781" s="337"/>
    </row>
    <row r="782" ht="12.75" customHeight="1">
      <c r="S782" s="337"/>
    </row>
    <row r="783" ht="12.75" customHeight="1">
      <c r="S783" s="337"/>
    </row>
    <row r="784" ht="12.75" customHeight="1">
      <c r="S784" s="337"/>
    </row>
    <row r="785" ht="12.75" customHeight="1">
      <c r="S785" s="337"/>
    </row>
    <row r="786" ht="12.75" customHeight="1">
      <c r="S786" s="337"/>
    </row>
    <row r="787" ht="12.75" customHeight="1">
      <c r="S787" s="337"/>
    </row>
    <row r="788" ht="12.75" customHeight="1">
      <c r="S788" s="337"/>
    </row>
    <row r="789" ht="12.75" customHeight="1">
      <c r="S789" s="337"/>
    </row>
    <row r="790" ht="12.75" customHeight="1">
      <c r="S790" s="337"/>
    </row>
    <row r="791" ht="12.75" customHeight="1">
      <c r="S791" s="337"/>
    </row>
    <row r="792" ht="12.75" customHeight="1">
      <c r="S792" s="337"/>
    </row>
    <row r="793" ht="12.75" customHeight="1">
      <c r="S793" s="337"/>
    </row>
    <row r="794" ht="12.75" customHeight="1">
      <c r="S794" s="337"/>
    </row>
    <row r="795" ht="12.75" customHeight="1">
      <c r="S795" s="337"/>
    </row>
    <row r="796" ht="12.75" customHeight="1">
      <c r="S796" s="337"/>
    </row>
    <row r="797" ht="12.75" customHeight="1">
      <c r="S797" s="337"/>
    </row>
    <row r="798" ht="12.75" customHeight="1">
      <c r="S798" s="337"/>
    </row>
    <row r="799" ht="12.75" customHeight="1">
      <c r="S799" s="337"/>
    </row>
    <row r="800" ht="12.75" customHeight="1">
      <c r="S800" s="337"/>
    </row>
    <row r="801" ht="12.75" customHeight="1">
      <c r="S801" s="337"/>
    </row>
    <row r="802" ht="12.75" customHeight="1">
      <c r="S802" s="337"/>
    </row>
    <row r="803" ht="12.75" customHeight="1">
      <c r="S803" s="337"/>
    </row>
    <row r="804" ht="12.75" customHeight="1">
      <c r="S804" s="337"/>
    </row>
    <row r="805" ht="12.75" customHeight="1">
      <c r="S805" s="337"/>
    </row>
    <row r="806" ht="12.75" customHeight="1">
      <c r="S806" s="337"/>
    </row>
    <row r="807" ht="12.75" customHeight="1">
      <c r="S807" s="337"/>
    </row>
    <row r="808" ht="12.75" customHeight="1">
      <c r="S808" s="337"/>
    </row>
    <row r="809" ht="12.75" customHeight="1">
      <c r="S809" s="337"/>
    </row>
    <row r="810" ht="12.75" customHeight="1">
      <c r="S810" s="337"/>
    </row>
    <row r="811" ht="12.75" customHeight="1">
      <c r="S811" s="337"/>
    </row>
    <row r="812" ht="12.75" customHeight="1">
      <c r="S812" s="337"/>
    </row>
    <row r="813" ht="12.75" customHeight="1">
      <c r="S813" s="337"/>
    </row>
    <row r="814" ht="12.75" customHeight="1">
      <c r="S814" s="337"/>
    </row>
    <row r="815" ht="12.75" customHeight="1">
      <c r="S815" s="337"/>
    </row>
    <row r="816" ht="12.75" customHeight="1">
      <c r="S816" s="337"/>
    </row>
    <row r="817" ht="12.75" customHeight="1">
      <c r="S817" s="337"/>
    </row>
    <row r="818" ht="12.75" customHeight="1">
      <c r="S818" s="337"/>
    </row>
    <row r="819" ht="12.75" customHeight="1">
      <c r="S819" s="337"/>
    </row>
    <row r="820" ht="12.75" customHeight="1">
      <c r="S820" s="337"/>
    </row>
    <row r="821" ht="12.75" customHeight="1">
      <c r="S821" s="337"/>
    </row>
    <row r="822" ht="12.75" customHeight="1">
      <c r="S822" s="337"/>
    </row>
    <row r="823" ht="12.75" customHeight="1">
      <c r="S823" s="337"/>
    </row>
    <row r="824" ht="12.75" customHeight="1">
      <c r="S824" s="337"/>
    </row>
    <row r="825" ht="12.75" customHeight="1">
      <c r="S825" s="337"/>
    </row>
    <row r="826" ht="12.75" customHeight="1">
      <c r="S826" s="337"/>
    </row>
    <row r="827" ht="12.75" customHeight="1">
      <c r="S827" s="337"/>
    </row>
    <row r="828" ht="12.75" customHeight="1">
      <c r="S828" s="337"/>
    </row>
    <row r="829" ht="12.75" customHeight="1">
      <c r="S829" s="337"/>
    </row>
    <row r="830" ht="12.75" customHeight="1">
      <c r="S830" s="337"/>
    </row>
    <row r="831" ht="12.75" customHeight="1">
      <c r="S831" s="337"/>
    </row>
    <row r="832" ht="12.75" customHeight="1">
      <c r="S832" s="337"/>
    </row>
    <row r="833" ht="12.75" customHeight="1">
      <c r="S833" s="337"/>
    </row>
    <row r="834" ht="12.75" customHeight="1">
      <c r="S834" s="337"/>
    </row>
    <row r="835" ht="12.75" customHeight="1">
      <c r="S835" s="337"/>
    </row>
    <row r="836" ht="12.75" customHeight="1">
      <c r="S836" s="337"/>
    </row>
    <row r="837" ht="12.75" customHeight="1">
      <c r="S837" s="337"/>
    </row>
    <row r="838" ht="12.75" customHeight="1">
      <c r="S838" s="337"/>
    </row>
    <row r="839" ht="12.75" customHeight="1">
      <c r="S839" s="337"/>
    </row>
    <row r="840" ht="12.75" customHeight="1">
      <c r="S840" s="337"/>
    </row>
    <row r="841" ht="12.75" customHeight="1">
      <c r="S841" s="337"/>
    </row>
    <row r="842" ht="12.75" customHeight="1">
      <c r="S842" s="337"/>
    </row>
    <row r="843" ht="12.75" customHeight="1">
      <c r="S843" s="337"/>
    </row>
    <row r="844" ht="12.75" customHeight="1">
      <c r="S844" s="337"/>
    </row>
    <row r="845" ht="12.75" customHeight="1">
      <c r="S845" s="337"/>
    </row>
    <row r="846" ht="12.75" customHeight="1">
      <c r="S846" s="337"/>
    </row>
    <row r="847" ht="12.75" customHeight="1">
      <c r="S847" s="337"/>
    </row>
    <row r="848" ht="12.75" customHeight="1">
      <c r="S848" s="337"/>
    </row>
    <row r="849" ht="12.75" customHeight="1">
      <c r="S849" s="337"/>
    </row>
    <row r="850" ht="12.75" customHeight="1">
      <c r="S850" s="337"/>
    </row>
    <row r="851" ht="12.75" customHeight="1">
      <c r="S851" s="337"/>
    </row>
    <row r="852" ht="12.75" customHeight="1">
      <c r="S852" s="337"/>
    </row>
    <row r="853" ht="12.75" customHeight="1">
      <c r="S853" s="337"/>
    </row>
    <row r="854" ht="12.75" customHeight="1">
      <c r="S854" s="337"/>
    </row>
    <row r="855" ht="12.75" customHeight="1">
      <c r="S855" s="337"/>
    </row>
    <row r="856" ht="12.75" customHeight="1">
      <c r="S856" s="337"/>
    </row>
    <row r="857" ht="12.75" customHeight="1">
      <c r="S857" s="337"/>
    </row>
    <row r="858" ht="12.75" customHeight="1">
      <c r="S858" s="337"/>
    </row>
    <row r="859" ht="12.75" customHeight="1">
      <c r="S859" s="337"/>
    </row>
    <row r="860" ht="12.75" customHeight="1">
      <c r="S860" s="337"/>
    </row>
    <row r="861" ht="12.75" customHeight="1">
      <c r="S861" s="337"/>
    </row>
    <row r="862" ht="12.75" customHeight="1">
      <c r="S862" s="337"/>
    </row>
    <row r="863" ht="12.75" customHeight="1">
      <c r="S863" s="337"/>
    </row>
    <row r="864" ht="12.75" customHeight="1">
      <c r="S864" s="337"/>
    </row>
    <row r="865" ht="12.75" customHeight="1">
      <c r="S865" s="337"/>
    </row>
    <row r="866" ht="12.75" customHeight="1">
      <c r="S866" s="337"/>
    </row>
    <row r="867" ht="12.75" customHeight="1">
      <c r="S867" s="337"/>
    </row>
    <row r="868" ht="12.75" customHeight="1">
      <c r="S868" s="337"/>
    </row>
    <row r="869" ht="12.75" customHeight="1">
      <c r="S869" s="337"/>
    </row>
    <row r="870" ht="12.75" customHeight="1">
      <c r="S870" s="337"/>
    </row>
    <row r="871" ht="12.75" customHeight="1">
      <c r="S871" s="337"/>
    </row>
    <row r="872" ht="12.75" customHeight="1">
      <c r="S872" s="337"/>
    </row>
    <row r="873" ht="12.75" customHeight="1">
      <c r="S873" s="337"/>
    </row>
    <row r="874" ht="12.75" customHeight="1">
      <c r="S874" s="337"/>
    </row>
    <row r="875" ht="12.75" customHeight="1">
      <c r="S875" s="337"/>
    </row>
    <row r="876" ht="12.75" customHeight="1">
      <c r="S876" s="337"/>
    </row>
    <row r="877" ht="12.75" customHeight="1">
      <c r="S877" s="337"/>
    </row>
    <row r="878" ht="12.75" customHeight="1">
      <c r="S878" s="337"/>
    </row>
    <row r="879" ht="12.75" customHeight="1">
      <c r="S879" s="337"/>
    </row>
    <row r="880" ht="12.75" customHeight="1">
      <c r="S880" s="337"/>
    </row>
    <row r="881" ht="12.75" customHeight="1">
      <c r="S881" s="337"/>
    </row>
    <row r="882" ht="12.75" customHeight="1">
      <c r="S882" s="337"/>
    </row>
    <row r="883" ht="12.75" customHeight="1">
      <c r="S883" s="337"/>
    </row>
    <row r="884" ht="12.75" customHeight="1">
      <c r="S884" s="337"/>
    </row>
    <row r="885" ht="12.75" customHeight="1">
      <c r="S885" s="337"/>
    </row>
    <row r="886" ht="12.75" customHeight="1">
      <c r="S886" s="337"/>
    </row>
    <row r="887" ht="12.75" customHeight="1">
      <c r="S887" s="337"/>
    </row>
    <row r="888" ht="12.75" customHeight="1">
      <c r="S888" s="337"/>
    </row>
    <row r="889" ht="12.75" customHeight="1">
      <c r="S889" s="337"/>
    </row>
    <row r="890" ht="12.75" customHeight="1">
      <c r="S890" s="337"/>
    </row>
    <row r="891" ht="12.75" customHeight="1">
      <c r="S891" s="337"/>
    </row>
    <row r="892" ht="12.75" customHeight="1">
      <c r="S892" s="337"/>
    </row>
    <row r="893" ht="12.75" customHeight="1">
      <c r="S893" s="337"/>
    </row>
    <row r="894" ht="12.75" customHeight="1">
      <c r="S894" s="337"/>
    </row>
    <row r="895" ht="12.75" customHeight="1">
      <c r="S895" s="337"/>
    </row>
    <row r="896" ht="12.75" customHeight="1">
      <c r="S896" s="337"/>
    </row>
    <row r="897" ht="12.75" customHeight="1">
      <c r="S897" s="337"/>
    </row>
    <row r="898" ht="12.75" customHeight="1">
      <c r="S898" s="337"/>
    </row>
    <row r="899" ht="12.75" customHeight="1">
      <c r="S899" s="337"/>
    </row>
    <row r="900" ht="12.75" customHeight="1">
      <c r="S900" s="337"/>
    </row>
    <row r="901" ht="12.75" customHeight="1">
      <c r="S901" s="337"/>
    </row>
    <row r="902" ht="12.75" customHeight="1">
      <c r="S902" s="337"/>
    </row>
    <row r="903" ht="12.75" customHeight="1">
      <c r="S903" s="337"/>
    </row>
    <row r="904" ht="12.75" customHeight="1">
      <c r="S904" s="337"/>
    </row>
    <row r="905" ht="12.75" customHeight="1">
      <c r="S905" s="337"/>
    </row>
    <row r="906" ht="12.75" customHeight="1"/>
    <row r="907" ht="12.75" customHeight="1"/>
    <row r="908" ht="12.75" customHeight="1"/>
    <row r="909" ht="12.75" customHeight="1"/>
  </sheetData>
  <mergeCells count="12">
    <mergeCell ref="G9:H9"/>
    <mergeCell ref="I9:J9"/>
    <mergeCell ref="K9:L9"/>
    <mergeCell ref="M9:N9"/>
    <mergeCell ref="V33:Z34"/>
    <mergeCell ref="M5:N5"/>
    <mergeCell ref="S5:T5"/>
    <mergeCell ref="M6:N6"/>
    <mergeCell ref="S6:T6"/>
    <mergeCell ref="A9:B9"/>
    <mergeCell ref="C9:D9"/>
    <mergeCell ref="E9:F9"/>
  </mergeCells>
  <conditionalFormatting sqref="S1:S909">
    <cfRule type="cellIs" dxfId="5" priority="1" operator="lessThan">
      <formula>0</formula>
    </cfRule>
  </conditionalFormatting>
  <dataValidations>
    <dataValidation type="list" allowBlank="1" showErrorMessage="1" sqref="Q12:Q60">
      <formula1>"✔"</formula1>
    </dataValidation>
    <dataValidation type="custom" allowBlank="1" showDropDown="1" sqref="T12:T58">
      <formula1>OR(NOT(ISERROR(DATEVALUE(T12))), AND(ISNUMBER(T12), LEFT(CELL("format", T12))="D"))</formula1>
    </dataValidation>
  </dataValidations>
  <hyperlinks>
    <hyperlink r:id="rId1" ref="T3"/>
  </hyperlinks>
  <drawing r:id="rId2"/>
  <tableParts count="2">
    <tablePart r:id="rId5"/>
    <tablePart r:id="rId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9.25"/>
    <col customWidth="1" min="12" max="12" width="8.63"/>
    <col customWidth="1" min="13" max="13" width="6.13"/>
    <col customWidth="1" min="14" max="14" width="8.63"/>
    <col customWidth="1" min="15" max="15" width="2.13"/>
    <col customWidth="1" min="16" max="20" width="15.88"/>
    <col customWidth="1" min="21" max="23" width="8.63"/>
    <col customWidth="1" min="24" max="24" width="11.13"/>
    <col customWidth="1" min="25"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2025.0</v>
      </c>
      <c r="C2" s="3"/>
      <c r="D2" s="9" t="s">
        <v>2</v>
      </c>
      <c r="E2" s="10">
        <v>3.0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MARCH 2025</v>
      </c>
      <c r="B5" s="22"/>
      <c r="C5" s="22"/>
      <c r="D5" s="22"/>
      <c r="E5" s="22"/>
      <c r="F5" s="22"/>
      <c r="G5" s="22"/>
      <c r="H5" s="23"/>
      <c r="I5" s="23"/>
      <c r="J5" s="23"/>
      <c r="K5" s="22"/>
      <c r="L5" s="24" t="s">
        <v>7</v>
      </c>
      <c r="M5" s="25">
        <f>'Feb 2025'!D46</f>
        <v>2811.67</v>
      </c>
      <c r="N5" s="26"/>
      <c r="O5" s="23"/>
      <c r="P5" s="27"/>
      <c r="Q5" s="27"/>
      <c r="R5" s="287" t="s">
        <v>8</v>
      </c>
      <c r="S5" s="288">
        <f>SUMIF(A18:N21,"&gt;0")+SUMIF(A24:N27,"&gt;0")+SUMIF(A30:N33,"&gt;0")+SUMIF(A36:N39,"&gt;0")+SUMIF(A42:D45,"&gt;0")+SUMIF(S12:S46,"&gt;0")+SUMIF(A12:N15,"&gt;0")</f>
        <v>4942.87</v>
      </c>
      <c r="U5" s="23"/>
      <c r="V5" s="289">
        <f>sum(S5+S6)</f>
        <v>-1618.57</v>
      </c>
      <c r="W5" s="23"/>
      <c r="X5" s="23"/>
      <c r="Y5" s="23"/>
      <c r="Z5" s="23"/>
    </row>
    <row r="6" ht="25.5" customHeight="1">
      <c r="A6" s="31"/>
      <c r="B6" s="31"/>
      <c r="C6" s="31"/>
      <c r="D6" s="31"/>
      <c r="E6" s="31"/>
      <c r="F6" s="32"/>
      <c r="G6" s="33"/>
      <c r="H6" s="34"/>
      <c r="I6" s="34"/>
      <c r="J6" s="34"/>
      <c r="K6" s="31"/>
      <c r="L6" s="24" t="s">
        <v>9</v>
      </c>
      <c r="M6" s="35">
        <f>D46</f>
        <v>1572.25</v>
      </c>
      <c r="O6" s="34"/>
      <c r="P6" s="36"/>
      <c r="Q6" s="36"/>
      <c r="R6" s="287" t="s">
        <v>10</v>
      </c>
      <c r="S6" s="288">
        <f>SUMIF(A18:N21,"&lt;0")+SUMIF(A24:N27,"&lt;0")+SUMIF(A30:N33,"&lt;0")+SUMIF(A36:N39,"&lt;0")+SUMIF(A42:D45,"&lt;0")+SUMIF(S12:S177,"&lt;0")+SUMIF(A12:N15,"&lt;0")</f>
        <v>-6561.44</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45717</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45718</v>
      </c>
      <c r="B9" s="40"/>
      <c r="C9" s="39">
        <f>C17</f>
        <v>45719</v>
      </c>
      <c r="D9" s="40"/>
      <c r="E9" s="39">
        <f>E17</f>
        <v>45720</v>
      </c>
      <c r="F9" s="40"/>
      <c r="G9" s="39">
        <f>G17</f>
        <v>45721</v>
      </c>
      <c r="H9" s="40"/>
      <c r="I9" s="39">
        <f>I17</f>
        <v>45722</v>
      </c>
      <c r="J9" s="40"/>
      <c r="K9" s="39">
        <f>K17</f>
        <v>45723</v>
      </c>
      <c r="L9" s="40"/>
      <c r="M9" s="39">
        <f>M17</f>
        <v>45724</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SUMIF($T$11:$T$104,A11,$S$11:$S$65)</f>
        <v>0</v>
      </c>
      <c r="C11" s="50" t="str">
        <f>IF(A11="",IF(WEEKDAY($B$8,1)=MOD($H$2,7)+1,$B$8,""),A11+1)</f>
        <v/>
      </c>
      <c r="D11" s="51">
        <f>SUMIF($T$11:$T$104,C11,$S$11:$S$65)</f>
        <v>0</v>
      </c>
      <c r="E11" s="50" t="str">
        <f>IF(C11="",IF(WEEKDAY($B$8,1)=MOD($H$2+1,7)+1,$B$8,""),C11+1)</f>
        <v/>
      </c>
      <c r="F11" s="51">
        <f>SUMIF($T$11:$T$104,E11,$S$11:$S$65)</f>
        <v>0</v>
      </c>
      <c r="G11" s="50" t="str">
        <f>IF(E11="",IF(WEEKDAY($B$8,1)=MOD($H$2+2,7)+1,$B$8,""),E11+1)</f>
        <v/>
      </c>
      <c r="H11" s="51">
        <f>SUMIF($T$11:$T$104,G11,$S$11:$S$65)</f>
        <v>0</v>
      </c>
      <c r="I11" s="50" t="str">
        <f>IF(G11="",IF(WEEKDAY($B$8,1)=MOD($H$2+3,7)+1,$B$8,""),G11+1)</f>
        <v/>
      </c>
      <c r="J11" s="51">
        <f>SUMIF($T$11:$T$104,I11,$S$11:$S$65)</f>
        <v>0</v>
      </c>
      <c r="K11" s="50" t="str">
        <f>IF(I11="",IF(WEEKDAY($B$8,1)=MOD($H$2+4,7)+1,$B$8,""),I11+1)</f>
        <v/>
      </c>
      <c r="L11" s="51">
        <f>SUMIF($T$11:$T$104,K11,$S$11:$S$65)</f>
        <v>0</v>
      </c>
      <c r="M11" s="50">
        <f>IF(K11="",IF(WEEKDAY($B$8,1)=MOD($H$2+5,7)+1,$B$8,""),K11+1)</f>
        <v>45717</v>
      </c>
      <c r="N11" s="51">
        <f>SUMIF($T$11:$T$104,M11,$S$11:$S$65)</f>
        <v>-57</v>
      </c>
      <c r="O11" s="23"/>
      <c r="P11" s="52" t="s">
        <v>13</v>
      </c>
      <c r="Q11" s="53" t="s">
        <v>14</v>
      </c>
      <c r="R11" s="53" t="s">
        <v>15</v>
      </c>
      <c r="S11" s="96" t="s">
        <v>16</v>
      </c>
      <c r="T11" s="53" t="s">
        <v>17</v>
      </c>
      <c r="U11" s="23"/>
      <c r="V11" s="23"/>
      <c r="W11" s="23"/>
      <c r="X11" s="23"/>
      <c r="Y11" s="23"/>
      <c r="Z11" s="23"/>
    </row>
    <row r="12" ht="18.75" customHeight="1">
      <c r="A12" s="55"/>
      <c r="B12" s="56"/>
      <c r="C12" s="55"/>
      <c r="D12" s="56"/>
      <c r="E12" s="55"/>
      <c r="F12" s="56"/>
      <c r="G12" s="55"/>
      <c r="H12" s="56"/>
      <c r="I12" s="58"/>
      <c r="J12" s="57"/>
      <c r="K12" s="55"/>
      <c r="L12" s="56"/>
      <c r="M12" s="58" t="s">
        <v>152</v>
      </c>
      <c r="N12" s="57">
        <v>-11.0</v>
      </c>
      <c r="O12" s="23"/>
      <c r="P12" s="380" t="s">
        <v>55</v>
      </c>
      <c r="Q12" s="381"/>
      <c r="R12" s="382">
        <v>29.0</v>
      </c>
      <c r="S12" s="383">
        <v>-21.59</v>
      </c>
      <c r="T12" s="384">
        <f t="shared" ref="T12:T49" si="1">IF(ISBLANK(R12),"-",IF(R12&gt;DAY(EOMONTH(DATE($B$2,$E$2,1),0)),EOMONTH(DATE($B$2,$E$2,1),0),DATE($B$2,$E$2,R12)))</f>
        <v>45745</v>
      </c>
      <c r="U12" s="64"/>
      <c r="V12" s="23"/>
      <c r="W12" s="64"/>
      <c r="X12" s="303"/>
      <c r="Y12" s="23"/>
      <c r="Z12" s="23"/>
    </row>
    <row r="13" ht="18.75" customHeight="1">
      <c r="A13" s="55"/>
      <c r="B13" s="56"/>
      <c r="C13" s="55"/>
      <c r="D13" s="56"/>
      <c r="E13" s="55"/>
      <c r="F13" s="56"/>
      <c r="G13" s="55"/>
      <c r="H13" s="56"/>
      <c r="I13" s="55"/>
      <c r="J13" s="57"/>
      <c r="K13" s="55"/>
      <c r="L13" s="56"/>
      <c r="M13" s="55"/>
      <c r="N13" s="56"/>
      <c r="O13" s="23"/>
      <c r="P13" s="385" t="s">
        <v>29</v>
      </c>
      <c r="Q13" s="386"/>
      <c r="R13" s="387">
        <v>5.0</v>
      </c>
      <c r="S13" s="388">
        <v>-16.19</v>
      </c>
      <c r="T13" s="384">
        <f t="shared" si="1"/>
        <v>45721</v>
      </c>
      <c r="U13" s="64"/>
      <c r="V13" s="23"/>
      <c r="W13" s="64"/>
      <c r="X13" s="303"/>
      <c r="Y13" s="23"/>
      <c r="Z13" s="23"/>
    </row>
    <row r="14" ht="18.75" customHeight="1">
      <c r="A14" s="55"/>
      <c r="B14" s="56"/>
      <c r="C14" s="55"/>
      <c r="D14" s="56"/>
      <c r="E14" s="55"/>
      <c r="F14" s="56"/>
      <c r="G14" s="55"/>
      <c r="H14" s="56"/>
      <c r="I14" s="58"/>
      <c r="J14" s="57"/>
      <c r="K14" s="55"/>
      <c r="L14" s="56"/>
      <c r="M14" s="55"/>
      <c r="N14" s="56"/>
      <c r="O14" s="23"/>
      <c r="P14" s="385" t="s">
        <v>43</v>
      </c>
      <c r="Q14" s="386"/>
      <c r="R14" s="387">
        <v>17.0</v>
      </c>
      <c r="S14" s="388">
        <v>-9.99</v>
      </c>
      <c r="T14" s="384">
        <f t="shared" si="1"/>
        <v>45733</v>
      </c>
      <c r="U14" s="64"/>
      <c r="V14" s="23"/>
      <c r="W14" s="64"/>
      <c r="X14" s="303"/>
      <c r="Y14" s="23"/>
      <c r="Z14" s="23"/>
    </row>
    <row r="15" ht="18.75" customHeight="1">
      <c r="A15" s="55"/>
      <c r="B15" s="56"/>
      <c r="C15" s="55"/>
      <c r="D15" s="56"/>
      <c r="E15" s="55"/>
      <c r="F15" s="56"/>
      <c r="G15" s="55"/>
      <c r="H15" s="56"/>
      <c r="I15" s="55"/>
      <c r="J15" s="56"/>
      <c r="K15" s="55"/>
      <c r="L15" s="56"/>
      <c r="M15" s="55"/>
      <c r="N15" s="56"/>
      <c r="O15" s="23"/>
      <c r="P15" s="385" t="s">
        <v>54</v>
      </c>
      <c r="Q15" s="386"/>
      <c r="R15" s="387">
        <v>30.0</v>
      </c>
      <c r="S15" s="388">
        <v>-10.99</v>
      </c>
      <c r="T15" s="384">
        <f t="shared" si="1"/>
        <v>45746</v>
      </c>
      <c r="U15" s="64"/>
      <c r="V15" s="23"/>
      <c r="W15" s="64"/>
      <c r="X15" s="303"/>
      <c r="Y15" s="23"/>
      <c r="Z15" s="23"/>
    </row>
    <row r="16" ht="18.75" customHeight="1">
      <c r="A16" s="66" t="s">
        <v>22</v>
      </c>
      <c r="B16" s="67">
        <f>$M$5+SUM(B11:B15)</f>
        <v>2811.67</v>
      </c>
      <c r="C16" s="66"/>
      <c r="D16" s="67">
        <f>B16+SUM(D11:D15)</f>
        <v>2811.67</v>
      </c>
      <c r="E16" s="66"/>
      <c r="F16" s="67">
        <f>D16+SUM(F11:F15)</f>
        <v>2811.67</v>
      </c>
      <c r="G16" s="66"/>
      <c r="H16" s="67">
        <f>F16+SUM(H11:H15)</f>
        <v>2811.67</v>
      </c>
      <c r="I16" s="66"/>
      <c r="J16" s="67">
        <f>H16+SUM(J11:J15)</f>
        <v>2811.67</v>
      </c>
      <c r="K16" s="66"/>
      <c r="L16" s="67">
        <f>J16+SUM(L11:L15)</f>
        <v>2811.67</v>
      </c>
      <c r="M16" s="66"/>
      <c r="N16" s="355">
        <v>2736.69</v>
      </c>
      <c r="O16" s="68"/>
      <c r="P16" s="385" t="s">
        <v>30</v>
      </c>
      <c r="Q16" s="386"/>
      <c r="R16" s="387">
        <v>28.0</v>
      </c>
      <c r="S16" s="383">
        <v>-186.57</v>
      </c>
      <c r="T16" s="384">
        <f t="shared" si="1"/>
        <v>45744</v>
      </c>
      <c r="U16" s="71"/>
      <c r="V16" s="69"/>
      <c r="W16" s="71"/>
      <c r="X16" s="309"/>
      <c r="Y16" s="69"/>
      <c r="Z16" s="69"/>
    </row>
    <row r="17" ht="18.75" customHeight="1">
      <c r="A17" s="50">
        <f>IF(M11="","",IF(MONTH(M11+1)&lt;&gt;MONTH(M11),"",M11+1))</f>
        <v>45718</v>
      </c>
      <c r="B17" s="51">
        <f>SUMIF($T$11:$T$104,A17,$S$11:$S$65)</f>
        <v>0</v>
      </c>
      <c r="C17" s="50">
        <f>IF(A17="","",IF(MONTH(A17+1)&lt;&gt;MONTH(A17),"",A17+1))</f>
        <v>45719</v>
      </c>
      <c r="D17" s="51">
        <f>SUMIF($T$11:$T$104,C17,$S$11:$S$65)</f>
        <v>-687.37</v>
      </c>
      <c r="E17" s="50">
        <f>IF(C17="","",IF(MONTH(C17+1)&lt;&gt;MONTH(C17),"",C17+1))</f>
        <v>45720</v>
      </c>
      <c r="F17" s="51">
        <f>SUMIF($T$11:$T$104,E17,$S$11:$S$65)</f>
        <v>0</v>
      </c>
      <c r="G17" s="50">
        <f>IF(E17="","",IF(MONTH(E17+1)&lt;&gt;MONTH(E17),"",E17+1))</f>
        <v>45721</v>
      </c>
      <c r="H17" s="51">
        <f>SUMIF($T$11:$T$104,G17,$S$11:$S$65)</f>
        <v>-1269.64</v>
      </c>
      <c r="I17" s="50">
        <f>IF(G17="","",IF(MONTH(G17+1)&lt;&gt;MONTH(G17),"",G17+1))</f>
        <v>45722</v>
      </c>
      <c r="J17" s="51">
        <f>SUMIF($T$11:$T$104,I17,$S$11:$S$65)</f>
        <v>2107.97</v>
      </c>
      <c r="K17" s="50">
        <f>IF(I17="","",IF(MONTH(I17+1)&lt;&gt;MONTH(I17),"",I17+1))</f>
        <v>45723</v>
      </c>
      <c r="L17" s="51">
        <f>SUMIF($T$11:$T$104,K17,$S$11:$S$65)</f>
        <v>-35</v>
      </c>
      <c r="M17" s="50">
        <f>IF(K17="","",IF(MONTH(K17+1)&lt;&gt;MONTH(K17),"",K17+1))</f>
        <v>45724</v>
      </c>
      <c r="N17" s="51">
        <f>SUMIF($T$11:$T$104,M17,$S$11:$S$65)</f>
        <v>-26.99</v>
      </c>
      <c r="O17" s="23"/>
      <c r="P17" s="385" t="s">
        <v>47</v>
      </c>
      <c r="Q17" s="386"/>
      <c r="R17" s="387">
        <v>6.0</v>
      </c>
      <c r="S17" s="388">
        <v>2107.97</v>
      </c>
      <c r="T17" s="384">
        <f t="shared" si="1"/>
        <v>45722</v>
      </c>
      <c r="U17" s="64"/>
      <c r="V17" s="23"/>
      <c r="W17" s="64"/>
      <c r="X17" s="303"/>
      <c r="Y17" s="23"/>
      <c r="Z17" s="23"/>
    </row>
    <row r="18" ht="18.75" customHeight="1">
      <c r="A18" s="55"/>
      <c r="B18" s="57"/>
      <c r="C18" s="58" t="s">
        <v>153</v>
      </c>
      <c r="D18" s="57">
        <v>-53.44</v>
      </c>
      <c r="E18" s="55"/>
      <c r="F18" s="56"/>
      <c r="G18" s="55"/>
      <c r="H18" s="57"/>
      <c r="I18" s="58" t="s">
        <v>154</v>
      </c>
      <c r="J18" s="57">
        <v>-180.0</v>
      </c>
      <c r="K18" s="58"/>
      <c r="L18" s="57"/>
      <c r="M18" s="55"/>
      <c r="N18" s="56"/>
      <c r="O18" s="23"/>
      <c r="P18" s="385" t="s">
        <v>19</v>
      </c>
      <c r="Q18" s="386"/>
      <c r="R18" s="387">
        <v>3.0</v>
      </c>
      <c r="S18" s="389">
        <v>800.0</v>
      </c>
      <c r="T18" s="384">
        <f t="shared" si="1"/>
        <v>45719</v>
      </c>
      <c r="U18" s="64"/>
      <c r="V18" s="23"/>
      <c r="Y18" s="23"/>
      <c r="Z18" s="23"/>
    </row>
    <row r="19" ht="18.75" customHeight="1">
      <c r="A19" s="55"/>
      <c r="B19" s="56"/>
      <c r="C19" s="55"/>
      <c r="D19" s="56"/>
      <c r="E19" s="55"/>
      <c r="F19" s="56"/>
      <c r="G19" s="55"/>
      <c r="H19" s="57"/>
      <c r="I19" s="58"/>
      <c r="J19" s="57"/>
      <c r="K19" s="55"/>
      <c r="L19" s="56"/>
      <c r="M19" s="55"/>
      <c r="N19" s="56"/>
      <c r="O19" s="23"/>
      <c r="P19" s="385" t="s">
        <v>151</v>
      </c>
      <c r="Q19" s="386"/>
      <c r="R19" s="387">
        <v>20.0</v>
      </c>
      <c r="S19" s="388">
        <v>2034.9</v>
      </c>
      <c r="T19" s="384">
        <f t="shared" si="1"/>
        <v>45736</v>
      </c>
      <c r="U19" s="64"/>
      <c r="V19" s="23"/>
      <c r="W19" s="64"/>
      <c r="X19" s="303"/>
      <c r="Y19" s="23"/>
      <c r="Z19" s="23"/>
    </row>
    <row r="20" ht="18.75" customHeight="1">
      <c r="A20" s="55"/>
      <c r="B20" s="56"/>
      <c r="C20" s="55"/>
      <c r="D20" s="56"/>
      <c r="E20" s="55"/>
      <c r="F20" s="56"/>
      <c r="G20" s="55"/>
      <c r="H20" s="56"/>
      <c r="I20" s="58"/>
      <c r="J20" s="57"/>
      <c r="K20" s="55"/>
      <c r="L20" s="56"/>
      <c r="M20" s="55"/>
      <c r="N20" s="56"/>
      <c r="O20" s="23"/>
      <c r="P20" s="390" t="s">
        <v>80</v>
      </c>
      <c r="Q20" s="391"/>
      <c r="R20" s="392">
        <v>5.0</v>
      </c>
      <c r="S20" s="393">
        <f t="array" ref="S20">-INDEX(PaymentSchedule!$E$21:$AG911,MATCH(PaymentSchedule!$B$23,PaymentSchedule!$B$21:$B$100),MATCH($P20,PaymentSchedule!$E$19:$AG$19,0))</f>
        <v>-16.12</v>
      </c>
      <c r="T20" s="394">
        <f t="shared" si="1"/>
        <v>45721</v>
      </c>
      <c r="U20" s="64"/>
      <c r="V20" s="23"/>
      <c r="W20" s="64"/>
      <c r="X20" s="303"/>
      <c r="Y20" s="23"/>
      <c r="Z20" s="23"/>
    </row>
    <row r="21" ht="18.75" customHeight="1">
      <c r="A21" s="55"/>
      <c r="B21" s="56"/>
      <c r="C21" s="55"/>
      <c r="D21" s="56"/>
      <c r="E21" s="55"/>
      <c r="F21" s="56"/>
      <c r="G21" s="55"/>
      <c r="H21" s="56"/>
      <c r="I21" s="55"/>
      <c r="J21" s="56"/>
      <c r="K21" s="55"/>
      <c r="L21" s="56"/>
      <c r="M21" s="55"/>
      <c r="N21" s="56"/>
      <c r="O21" s="23"/>
      <c r="P21" s="395" t="s">
        <v>81</v>
      </c>
      <c r="Q21" s="391"/>
      <c r="R21" s="392">
        <v>5.0</v>
      </c>
      <c r="S21" s="396">
        <f t="array" ref="S21">-INDEX(PaymentSchedule!$E$21:$AG911,MATCH(PaymentSchedule!$B$23,PaymentSchedule!$B$21:$B$100),MATCH($P21,PaymentSchedule!$E$19:$AG$19,0))</f>
        <v>-22.43</v>
      </c>
      <c r="T21" s="394">
        <f t="shared" si="1"/>
        <v>45721</v>
      </c>
      <c r="U21" s="64"/>
      <c r="V21" s="303"/>
      <c r="W21" s="64"/>
      <c r="X21" s="303"/>
      <c r="Y21" s="23"/>
      <c r="Z21" s="23"/>
    </row>
    <row r="22" ht="18.75" customHeight="1">
      <c r="A22" s="66" t="s">
        <v>22</v>
      </c>
      <c r="B22" s="67">
        <f>N16+SUM(B17:B21)</f>
        <v>2736.69</v>
      </c>
      <c r="C22" s="66"/>
      <c r="D22" s="67">
        <f>B22+SUM(D17:D21)</f>
        <v>1995.88</v>
      </c>
      <c r="E22" s="66"/>
      <c r="F22" s="67">
        <f>D22+SUM(F17:F21)</f>
        <v>1995.88</v>
      </c>
      <c r="G22" s="66"/>
      <c r="H22" s="67">
        <f>F22+SUM(H17:H21)</f>
        <v>726.24</v>
      </c>
      <c r="I22" s="66"/>
      <c r="J22" s="67">
        <f>H22+SUM(J17:J21)</f>
        <v>2654.21</v>
      </c>
      <c r="K22" s="66"/>
      <c r="L22" s="67">
        <f>J22+SUM(L17:L21)</f>
        <v>2619.21</v>
      </c>
      <c r="M22" s="66"/>
      <c r="N22" s="67">
        <f>L22+SUM(N17:N21)</f>
        <v>2592.22</v>
      </c>
      <c r="O22" s="68"/>
      <c r="P22" s="390" t="s">
        <v>82</v>
      </c>
      <c r="Q22" s="391"/>
      <c r="R22" s="392">
        <v>6.0</v>
      </c>
      <c r="S22" s="396">
        <f t="array" ref="S22">-INDEX(PaymentSchedule!$E$21:$AG911,MATCH(PaymentSchedule!$B$23,PaymentSchedule!$B$21:$B$100),MATCH($P22,PaymentSchedule!$E$19:$AG$19,0))</f>
        <v>0</v>
      </c>
      <c r="T22" s="394">
        <f t="shared" si="1"/>
        <v>45722</v>
      </c>
      <c r="W22" s="71"/>
      <c r="X22" s="309"/>
      <c r="Y22" s="69"/>
      <c r="Z22" s="69"/>
    </row>
    <row r="23" ht="18.75" customHeight="1">
      <c r="A23" s="50">
        <f>IF(M17="","",IF(MONTH(M17+1)&lt;&gt;MONTH(M17),"",M17+1))</f>
        <v>45725</v>
      </c>
      <c r="B23" s="51">
        <f>SUMIF($T$11:$T$104,A23,$S$11:$S$65)</f>
        <v>0</v>
      </c>
      <c r="C23" s="50">
        <f>IF(A23="","",IF(MONTH(A23+1)&lt;&gt;MONTH(A23),"",A23+1))</f>
        <v>45726</v>
      </c>
      <c r="D23" s="51">
        <f>SUMIF($T$11:$T$104,C23,$S$11:$S$65)</f>
        <v>-1228.08</v>
      </c>
      <c r="E23" s="50">
        <f>IF(C23="","",IF(MONTH(C23+1)&lt;&gt;MONTH(C23),"",C23+1))</f>
        <v>45727</v>
      </c>
      <c r="F23" s="51">
        <f>SUMIF($T$11:$T$104,E23,$S$11:$S$65)</f>
        <v>-50</v>
      </c>
      <c r="G23" s="50">
        <f>IF(E23="","",IF(MONTH(E23+1)&lt;&gt;MONTH(E23),"",E23+1))</f>
        <v>45728</v>
      </c>
      <c r="H23" s="51">
        <f>SUMIF($T$11:$T$104,G23,$S$11:$S$65)</f>
        <v>-98</v>
      </c>
      <c r="I23" s="50">
        <f>IF(G23="","",IF(MONTH(G23+1)&lt;&gt;MONTH(G23),"",G23+1))</f>
        <v>45729</v>
      </c>
      <c r="J23" s="51">
        <f>SUMIF($T$11:$T$104,I23,$S$11:$S$65)</f>
        <v>-102</v>
      </c>
      <c r="K23" s="50">
        <f>IF(I23="","",IF(MONTH(I23+1)&lt;&gt;MONTH(I23),"",I23+1))</f>
        <v>45730</v>
      </c>
      <c r="L23" s="51">
        <f>SUMIF($T$11:$T$104,K23,$S$11:$S$65)</f>
        <v>0</v>
      </c>
      <c r="M23" s="50">
        <f>IF(K23="","",IF(MONTH(K23+1)&lt;&gt;MONTH(K23),"",K23+1))</f>
        <v>45731</v>
      </c>
      <c r="N23" s="51">
        <f>SUMIF($T$11:$T$104,M23,$S$11:$S$65)</f>
        <v>0</v>
      </c>
      <c r="O23" s="23"/>
      <c r="P23" s="395" t="s">
        <v>83</v>
      </c>
      <c r="Q23" s="391"/>
      <c r="R23" s="392">
        <v>5.0</v>
      </c>
      <c r="S23" s="396">
        <f t="array" ref="S23">-INDEX(PaymentSchedule!$E$21:$AG911,MATCH(PaymentSchedule!$B$23,PaymentSchedule!$B$21:$B$100),MATCH($P23,PaymentSchedule!$E$19:$AG$19,0))</f>
        <v>-28.09</v>
      </c>
      <c r="T23" s="394">
        <f t="shared" si="1"/>
        <v>45721</v>
      </c>
      <c r="U23" s="64"/>
      <c r="V23" s="23"/>
      <c r="W23" s="64"/>
      <c r="X23" s="303"/>
      <c r="Y23" s="23"/>
      <c r="Z23" s="23"/>
    </row>
    <row r="24" ht="18.75" customHeight="1">
      <c r="A24" s="55"/>
      <c r="B24" s="56"/>
      <c r="C24" s="58" t="s">
        <v>139</v>
      </c>
      <c r="D24" s="57"/>
      <c r="E24" s="55"/>
      <c r="F24" s="57"/>
      <c r="G24" s="55"/>
      <c r="H24" s="56"/>
      <c r="I24" s="58" t="s">
        <v>139</v>
      </c>
      <c r="J24" s="57">
        <v>-53.0</v>
      </c>
      <c r="K24" s="58"/>
      <c r="L24" s="57"/>
      <c r="M24" s="55"/>
      <c r="N24" s="56"/>
      <c r="O24" s="23"/>
      <c r="P24" s="390" t="s">
        <v>84</v>
      </c>
      <c r="Q24" s="391"/>
      <c r="R24" s="392">
        <v>5.0</v>
      </c>
      <c r="S24" s="396">
        <f t="array" ref="S24">-INDEX(PaymentSchedule!$E$21:$AG911,MATCH(PaymentSchedule!$B$23,PaymentSchedule!$B$21:$B$100),MATCH($P24,PaymentSchedule!$E$19:$AG$19,0))</f>
        <v>-20.96</v>
      </c>
      <c r="T24" s="394">
        <f t="shared" si="1"/>
        <v>45721</v>
      </c>
      <c r="U24" s="64"/>
      <c r="V24" s="23"/>
      <c r="W24" s="64"/>
      <c r="X24" s="303"/>
      <c r="Y24" s="23"/>
      <c r="Z24" s="23"/>
    </row>
    <row r="25" ht="18.75" customHeight="1">
      <c r="A25" s="55"/>
      <c r="B25" s="56"/>
      <c r="C25" s="55"/>
      <c r="D25" s="56"/>
      <c r="E25" s="55"/>
      <c r="F25" s="56"/>
      <c r="G25" s="55"/>
      <c r="H25" s="56"/>
      <c r="I25" s="58" t="s">
        <v>155</v>
      </c>
      <c r="J25" s="57">
        <v>-48.0</v>
      </c>
      <c r="K25" s="55"/>
      <c r="L25" s="56"/>
      <c r="M25" s="55"/>
      <c r="N25" s="56"/>
      <c r="O25" s="23"/>
      <c r="P25" s="319" t="s">
        <v>142</v>
      </c>
      <c r="Q25" s="320"/>
      <c r="R25" s="321"/>
      <c r="S25" s="322"/>
      <c r="T25" s="323" t="str">
        <f t="shared" si="1"/>
        <v>-</v>
      </c>
      <c r="U25" s="64"/>
      <c r="V25" s="23"/>
      <c r="W25" s="64"/>
      <c r="X25" s="303"/>
      <c r="Y25" s="23"/>
      <c r="Z25" s="23"/>
    </row>
    <row r="26" ht="18.75" customHeight="1">
      <c r="A26" s="55"/>
      <c r="B26" s="56"/>
      <c r="C26" s="55"/>
      <c r="D26" s="56"/>
      <c r="E26" s="55"/>
      <c r="F26" s="56"/>
      <c r="G26" s="55"/>
      <c r="H26" s="56"/>
      <c r="I26" s="55"/>
      <c r="J26" s="56"/>
      <c r="K26" s="55"/>
      <c r="L26" s="56"/>
      <c r="M26" s="55"/>
      <c r="N26" s="56"/>
      <c r="O26" s="23"/>
      <c r="P26" s="385" t="s">
        <v>46</v>
      </c>
      <c r="Q26" s="386"/>
      <c r="R26" s="387">
        <v>25.0</v>
      </c>
      <c r="S26" s="388">
        <v>-10.99</v>
      </c>
      <c r="T26" s="384">
        <f t="shared" si="1"/>
        <v>45741</v>
      </c>
      <c r="U26" s="64"/>
      <c r="V26" s="64" t="s">
        <v>156</v>
      </c>
      <c r="W26" s="64" t="s">
        <v>157</v>
      </c>
      <c r="X26" s="303"/>
      <c r="Y26" s="23"/>
      <c r="Z26" s="23"/>
    </row>
    <row r="27" ht="18.75" customHeight="1">
      <c r="A27" s="55"/>
      <c r="B27" s="56"/>
      <c r="C27" s="55"/>
      <c r="D27" s="56"/>
      <c r="E27" s="55"/>
      <c r="F27" s="56"/>
      <c r="G27" s="55"/>
      <c r="H27" s="56"/>
      <c r="I27" s="55"/>
      <c r="J27" s="56"/>
      <c r="K27" s="55"/>
      <c r="L27" s="56"/>
      <c r="M27" s="55"/>
      <c r="N27" s="56"/>
      <c r="O27" s="23"/>
      <c r="P27" s="380" t="s">
        <v>44</v>
      </c>
      <c r="Q27" s="381"/>
      <c r="R27" s="382">
        <v>25.0</v>
      </c>
      <c r="S27" s="397">
        <v>-18.35</v>
      </c>
      <c r="T27" s="384">
        <f t="shared" si="1"/>
        <v>45741</v>
      </c>
      <c r="U27" s="64"/>
      <c r="V27" s="23"/>
      <c r="W27" s="64"/>
      <c r="X27" s="303"/>
      <c r="Y27" s="23"/>
      <c r="Z27" s="23"/>
    </row>
    <row r="28" ht="18.75" customHeight="1">
      <c r="A28" s="66" t="s">
        <v>22</v>
      </c>
      <c r="B28" s="67">
        <f>N22+SUM(B23:B27)</f>
        <v>2592.22</v>
      </c>
      <c r="C28" s="66"/>
      <c r="D28" s="67">
        <f>B28+SUM(D23:D27)</f>
        <v>1364.14</v>
      </c>
      <c r="E28" s="66"/>
      <c r="F28" s="67">
        <f>D28+SUM(F23:F27)</f>
        <v>1314.14</v>
      </c>
      <c r="G28" s="66"/>
      <c r="H28" s="67">
        <f>F28+SUM(H23:H27)</f>
        <v>1216.14</v>
      </c>
      <c r="I28" s="66"/>
      <c r="J28" s="67">
        <f>H28+SUM(J23:J27)</f>
        <v>1013.14</v>
      </c>
      <c r="K28" s="66"/>
      <c r="L28" s="67">
        <f>J28+SUM(L23:L27)</f>
        <v>1013.14</v>
      </c>
      <c r="M28" s="66"/>
      <c r="N28" s="67">
        <f>L28+SUM(N23:N27)</f>
        <v>1013.14</v>
      </c>
      <c r="O28" s="68"/>
      <c r="P28" s="398" t="s">
        <v>25</v>
      </c>
      <c r="Q28" s="399"/>
      <c r="R28" s="400">
        <v>7.0</v>
      </c>
      <c r="S28" s="396">
        <f t="array" ref="S28">-INDEX(PaymentSchedule!$E$21:$AG911,MATCH(PaymentSchedule!$B$23,PaymentSchedule!$B$21:$B$100),MATCH($P28,PaymentSchedule!$E$19:$AG$19,0))</f>
        <v>-35</v>
      </c>
      <c r="T28" s="394">
        <f t="shared" si="1"/>
        <v>45723</v>
      </c>
      <c r="U28" s="71"/>
      <c r="V28" s="69"/>
      <c r="W28" s="71"/>
      <c r="X28" s="309"/>
      <c r="Y28" s="69"/>
      <c r="Z28" s="69"/>
    </row>
    <row r="29" ht="18.75" customHeight="1">
      <c r="A29" s="50">
        <f>IF(M23="","",IF(MONTH(M23+1)&lt;&gt;MONTH(M23),"",M23+1))</f>
        <v>45732</v>
      </c>
      <c r="B29" s="51">
        <f>SUMIF($T$11:$T$104,A29,$S$11:$S$65)</f>
        <v>0</v>
      </c>
      <c r="C29" s="50">
        <f>IF(A29="","",IF(MONTH(A29+1)&lt;&gt;MONTH(A29),"",A29+1))</f>
        <v>45733</v>
      </c>
      <c r="D29" s="51">
        <f>SUMIF($T$11:$T$104,C29,$S$11:$S$65)</f>
        <v>-278.98</v>
      </c>
      <c r="E29" s="50">
        <f>IF(C29="","",IF(MONTH(C29+1)&lt;&gt;MONTH(C29),"",C29+1))</f>
        <v>45734</v>
      </c>
      <c r="F29" s="51">
        <f>SUMIF($T$11:$T$104,E29,$S$11:$S$65)</f>
        <v>0</v>
      </c>
      <c r="G29" s="50">
        <f>IF(E29="","",IF(MONTH(E29+1)&lt;&gt;MONTH(E29),"",E29+1))</f>
        <v>45735</v>
      </c>
      <c r="H29" s="51">
        <f>SUMIF($T$11:$T$104,G29,$S$11:$S$65)</f>
        <v>-98</v>
      </c>
      <c r="I29" s="50">
        <f>IF(G29="","",IF(MONTH(G29+1)&lt;&gt;MONTH(G29),"",G29+1))</f>
        <v>45736</v>
      </c>
      <c r="J29" s="51">
        <f>SUMIF($T$11:$T$104,I29,$S$11:$S$65)</f>
        <v>2034.9</v>
      </c>
      <c r="K29" s="50">
        <f>IF(I29="","",IF(MONTH(I29+1)&lt;&gt;MONTH(I29),"",I29+1))</f>
        <v>45737</v>
      </c>
      <c r="L29" s="51">
        <f>SUMIF($T$11:$T$104,K29,$S$11:$S$65)</f>
        <v>0</v>
      </c>
      <c r="M29" s="50">
        <f>IF(K29="","",IF(MONTH(K29+1)&lt;&gt;MONTH(K29),"",K29+1))</f>
        <v>45738</v>
      </c>
      <c r="N29" s="51">
        <f>SUMIF($T$11:$T$104,M29,$S$11:$S$65)</f>
        <v>0</v>
      </c>
      <c r="O29" s="23"/>
      <c r="P29" s="385" t="s">
        <v>40</v>
      </c>
      <c r="Q29" s="386"/>
      <c r="R29" s="387">
        <v>13.0</v>
      </c>
      <c r="S29" s="388">
        <v>-102.0</v>
      </c>
      <c r="T29" s="384">
        <f t="shared" si="1"/>
        <v>45729</v>
      </c>
      <c r="U29" s="64"/>
      <c r="V29" s="23"/>
      <c r="W29" s="64"/>
      <c r="X29" s="303"/>
      <c r="Y29" s="23"/>
      <c r="Z29" s="23"/>
    </row>
    <row r="30" ht="18.75" customHeight="1">
      <c r="A30" s="55"/>
      <c r="B30" s="57">
        <v>-69.62</v>
      </c>
      <c r="C30" s="55"/>
      <c r="D30" s="56"/>
      <c r="E30" s="58"/>
      <c r="F30" s="57"/>
      <c r="G30" s="55"/>
      <c r="H30" s="57">
        <v>-10.54</v>
      </c>
      <c r="I30" s="58"/>
      <c r="J30" s="57"/>
      <c r="K30" s="58"/>
      <c r="L30" s="57"/>
      <c r="M30" s="55"/>
      <c r="N30" s="56"/>
      <c r="O30" s="23"/>
      <c r="P30" s="385" t="s">
        <v>34</v>
      </c>
      <c r="Q30" s="386"/>
      <c r="R30" s="387">
        <v>17.0</v>
      </c>
      <c r="S30" s="388">
        <v>-5.99</v>
      </c>
      <c r="T30" s="384">
        <f t="shared" si="1"/>
        <v>45733</v>
      </c>
      <c r="U30" s="64"/>
      <c r="V30" s="64" t="s">
        <v>28</v>
      </c>
      <c r="W30" s="64"/>
      <c r="X30" s="303">
        <f>'Feb 2025'!W29</f>
        <v>987</v>
      </c>
      <c r="Y30" s="23"/>
      <c r="Z30" s="23"/>
    </row>
    <row r="31" ht="18.75" customHeight="1">
      <c r="A31" s="55"/>
      <c r="B31" s="56"/>
      <c r="C31" s="55"/>
      <c r="D31" s="56"/>
      <c r="E31" s="55"/>
      <c r="F31" s="56"/>
      <c r="G31" s="58" t="s">
        <v>158</v>
      </c>
      <c r="H31" s="57">
        <v>-18.45</v>
      </c>
      <c r="I31" s="55"/>
      <c r="J31" s="57"/>
      <c r="K31" s="55"/>
      <c r="L31" s="57"/>
      <c r="M31" s="55"/>
      <c r="N31" s="56"/>
      <c r="O31" s="23"/>
      <c r="P31" s="385" t="s">
        <v>34</v>
      </c>
      <c r="Q31" s="386"/>
      <c r="R31" s="387">
        <v>24.0</v>
      </c>
      <c r="S31" s="388"/>
      <c r="T31" s="384">
        <f t="shared" si="1"/>
        <v>45740</v>
      </c>
      <c r="U31" s="64"/>
      <c r="V31" s="23"/>
      <c r="W31" s="64">
        <v>10.0</v>
      </c>
      <c r="X31" s="303">
        <v>263.0</v>
      </c>
      <c r="Y31" s="64"/>
      <c r="Z31" s="23"/>
    </row>
    <row r="32" ht="18.75" customHeight="1">
      <c r="A32" s="55"/>
      <c r="B32" s="56"/>
      <c r="C32" s="55"/>
      <c r="D32" s="56"/>
      <c r="E32" s="55"/>
      <c r="F32" s="56"/>
      <c r="G32" s="55"/>
      <c r="H32" s="56"/>
      <c r="I32" s="55"/>
      <c r="J32" s="56"/>
      <c r="K32" s="55"/>
      <c r="L32" s="57"/>
      <c r="M32" s="55"/>
      <c r="N32" s="56"/>
      <c r="O32" s="23"/>
      <c r="P32" s="398" t="s">
        <v>89</v>
      </c>
      <c r="Q32" s="399"/>
      <c r="R32" s="400">
        <v>10.0</v>
      </c>
      <c r="S32" s="401">
        <f t="array" ref="S32">-INDEX(PaymentSchedule!$E$21:$AG911,MATCH(PaymentSchedule!$B$23,PaymentSchedule!$B$21:$B$100),MATCH($P32,PaymentSchedule!$E$19:$AG$19,0))</f>
        <v>-600</v>
      </c>
      <c r="T32" s="394">
        <f t="shared" si="1"/>
        <v>45726</v>
      </c>
      <c r="U32" s="64"/>
      <c r="V32" s="23"/>
      <c r="W32" s="64"/>
      <c r="X32" s="303"/>
      <c r="Y32" s="23"/>
      <c r="Z32" s="23"/>
    </row>
    <row r="33" ht="18.75" customHeight="1">
      <c r="A33" s="55"/>
      <c r="B33" s="56"/>
      <c r="C33" s="55"/>
      <c r="D33" s="56"/>
      <c r="E33" s="55"/>
      <c r="F33" s="56"/>
      <c r="G33" s="55"/>
      <c r="H33" s="56"/>
      <c r="I33" s="55"/>
      <c r="J33" s="56"/>
      <c r="K33" s="55"/>
      <c r="L33" s="56"/>
      <c r="M33" s="55"/>
      <c r="N33" s="56"/>
      <c r="O33" s="23"/>
      <c r="P33" s="390" t="s">
        <v>85</v>
      </c>
      <c r="Q33" s="402"/>
      <c r="R33" s="392">
        <v>10.0</v>
      </c>
      <c r="S33" s="396">
        <f t="array" ref="S33">-INDEX(PaymentSchedule!$E$21:$AG911,MATCH(PaymentSchedule!$B$23,PaymentSchedule!$B$21:$B$100),MATCH($P33,PaymentSchedule!$E$19:$AG$19,0))</f>
        <v>-102</v>
      </c>
      <c r="T33" s="394">
        <f t="shared" si="1"/>
        <v>45726</v>
      </c>
      <c r="U33" s="64"/>
      <c r="V33" s="23"/>
      <c r="W33" s="64"/>
      <c r="X33" s="303">
        <f>sum(X30:X32)</f>
        <v>1250</v>
      </c>
      <c r="Y33" s="23"/>
      <c r="Z33" s="23"/>
    </row>
    <row r="34" ht="18.75" customHeight="1">
      <c r="A34" s="66" t="s">
        <v>22</v>
      </c>
      <c r="B34" s="67">
        <f>N28+SUM(B29:B33)</f>
        <v>943.52</v>
      </c>
      <c r="C34" s="66"/>
      <c r="D34" s="67">
        <f>B34+SUM(D29:D33)</f>
        <v>664.54</v>
      </c>
      <c r="E34" s="66"/>
      <c r="F34" s="67">
        <f>D34+SUM(F29:F33)</f>
        <v>664.54</v>
      </c>
      <c r="G34" s="66"/>
      <c r="H34" s="67">
        <f>F34+SUM(H29:H33)</f>
        <v>537.55</v>
      </c>
      <c r="I34" s="403" t="s">
        <v>31</v>
      </c>
      <c r="J34" s="355">
        <v>2629.41</v>
      </c>
      <c r="K34" s="66"/>
      <c r="L34" s="67">
        <f>J34+SUM(L29:L33)</f>
        <v>2629.41</v>
      </c>
      <c r="M34" s="66"/>
      <c r="N34" s="67">
        <f>L34+SUM(N29:N33)</f>
        <v>2629.41</v>
      </c>
      <c r="O34" s="68"/>
      <c r="P34" s="398" t="s">
        <v>86</v>
      </c>
      <c r="Q34" s="399"/>
      <c r="R34" s="400">
        <v>5.0</v>
      </c>
      <c r="S34" s="396">
        <f t="array" ref="S34">-INDEX(PaymentSchedule!$E$21:$AG911,MATCH(PaymentSchedule!$B$23,PaymentSchedule!$B$21:$B$100),MATCH($P34,PaymentSchedule!$E$19:$AG$19,0))</f>
        <v>-791.16</v>
      </c>
      <c r="T34" s="394">
        <f t="shared" si="1"/>
        <v>45721</v>
      </c>
      <c r="U34" s="71"/>
      <c r="V34" s="69"/>
      <c r="W34" s="71"/>
      <c r="X34" s="309"/>
      <c r="Y34" s="69"/>
      <c r="Z34" s="69"/>
    </row>
    <row r="35" ht="18.75" customHeight="1">
      <c r="A35" s="50">
        <f>IF(M29="","",IF(MONTH(M29+1)&lt;&gt;MONTH(M29),"",M29+1))</f>
        <v>45739</v>
      </c>
      <c r="B35" s="51">
        <f>SUMIF($T$11:$T$104,A35,$S$11:$S$65)</f>
        <v>0</v>
      </c>
      <c r="C35" s="50">
        <f>IF(A35="","",IF(MONTH(A35+1)&lt;&gt;MONTH(A35),"",A35+1))</f>
        <v>45740</v>
      </c>
      <c r="D35" s="51">
        <f>SUMIF($T$11:$T$104,C35,$S$11:$S$65)</f>
        <v>0</v>
      </c>
      <c r="E35" s="50">
        <f>IF(C35="","",IF(MONTH(C35+1)&lt;&gt;MONTH(C35),"",C35+1))</f>
        <v>45741</v>
      </c>
      <c r="F35" s="51">
        <f>SUMIF($T$11:$T$104,E35,$S$11:$S$65)</f>
        <v>-29.34</v>
      </c>
      <c r="G35" s="50">
        <f>IF(E35="","",IF(MONTH(E35+1)&lt;&gt;MONTH(E35),"",E35+1))</f>
        <v>45742</v>
      </c>
      <c r="H35" s="51">
        <f>SUMIF($T$11:$T$104,G35,$S$11:$S$65)</f>
        <v>-98</v>
      </c>
      <c r="I35" s="50">
        <f>IF(G35="","",IF(MONTH(G35+1)&lt;&gt;MONTH(G35),"",G35+1))</f>
        <v>45743</v>
      </c>
      <c r="J35" s="51">
        <f>SUMIF($T$11:$T$104,I35,$S$11:$S$65)</f>
        <v>0</v>
      </c>
      <c r="K35" s="50">
        <f>IF(I35="","",IF(MONTH(I35+1)&lt;&gt;MONTH(I35),"",I35+1))</f>
        <v>45744</v>
      </c>
      <c r="L35" s="51">
        <f>SUMIF($T$11:$T$104,K35,$S$11:$S$65)</f>
        <v>-189.57</v>
      </c>
      <c r="M35" s="50">
        <f>IF(K35="","",IF(MONTH(K35+1)&lt;&gt;MONTH(K35),"",K35+1))</f>
        <v>45745</v>
      </c>
      <c r="N35" s="51">
        <f>SUMIF($T$11:$T$104,M35,$S$11:$S$65)</f>
        <v>-21.59</v>
      </c>
      <c r="O35" s="23"/>
      <c r="P35" s="398" t="s">
        <v>20</v>
      </c>
      <c r="Q35" s="399"/>
      <c r="R35" s="400">
        <v>3.0</v>
      </c>
      <c r="S35" s="404">
        <v>-1487.37</v>
      </c>
      <c r="T35" s="394">
        <f t="shared" si="1"/>
        <v>45719</v>
      </c>
      <c r="U35" s="64"/>
      <c r="V35" s="64"/>
      <c r="W35" s="64"/>
      <c r="X35" s="303"/>
      <c r="Y35" s="23"/>
      <c r="Z35" s="23"/>
    </row>
    <row r="36" ht="18.75" customHeight="1">
      <c r="A36" s="55"/>
      <c r="B36" s="56"/>
      <c r="C36" s="58"/>
      <c r="D36" s="57"/>
      <c r="E36" s="58" t="s">
        <v>159</v>
      </c>
      <c r="F36" s="57">
        <v>-162.48</v>
      </c>
      <c r="G36" s="58"/>
      <c r="H36" s="57"/>
      <c r="I36" s="58" t="s">
        <v>160</v>
      </c>
      <c r="J36" s="57">
        <v>-16.2</v>
      </c>
      <c r="K36" s="58"/>
      <c r="L36" s="57"/>
      <c r="M36" s="55"/>
      <c r="N36" s="56"/>
      <c r="O36" s="23"/>
      <c r="P36" s="385" t="s">
        <v>51</v>
      </c>
      <c r="Q36" s="386"/>
      <c r="R36" s="387">
        <v>8.0</v>
      </c>
      <c r="S36" s="388">
        <v>-26.99</v>
      </c>
      <c r="T36" s="384">
        <f t="shared" si="1"/>
        <v>45724</v>
      </c>
      <c r="U36" s="64"/>
      <c r="V36" s="23"/>
      <c r="W36" s="64"/>
      <c r="X36" s="303"/>
      <c r="Y36" s="23"/>
      <c r="Z36" s="23"/>
    </row>
    <row r="37" ht="18.75" customHeight="1">
      <c r="A37" s="55"/>
      <c r="B37" s="56"/>
      <c r="C37" s="58"/>
      <c r="D37" s="57"/>
      <c r="E37" s="58" t="s">
        <v>156</v>
      </c>
      <c r="F37" s="57">
        <v>-376.32</v>
      </c>
      <c r="G37" s="58"/>
      <c r="H37" s="57"/>
      <c r="I37" s="58" t="s">
        <v>161</v>
      </c>
      <c r="J37" s="57">
        <v>-20.9</v>
      </c>
      <c r="K37" s="55"/>
      <c r="L37" s="57"/>
      <c r="M37" s="55"/>
      <c r="N37" s="56"/>
      <c r="O37" s="23"/>
      <c r="P37" s="385" t="s">
        <v>53</v>
      </c>
      <c r="Q37" s="386"/>
      <c r="R37" s="387">
        <v>28.0</v>
      </c>
      <c r="S37" s="388">
        <v>-3.0</v>
      </c>
      <c r="T37" s="384">
        <f t="shared" si="1"/>
        <v>45744</v>
      </c>
      <c r="U37" s="64"/>
      <c r="V37" s="23"/>
      <c r="W37" s="64"/>
      <c r="X37" s="303"/>
      <c r="Y37" s="23"/>
      <c r="Z37" s="23"/>
    </row>
    <row r="38" ht="18.75" customHeight="1">
      <c r="A38" s="55"/>
      <c r="B38" s="56"/>
      <c r="C38" s="55"/>
      <c r="D38" s="56"/>
      <c r="E38" s="55"/>
      <c r="F38" s="56"/>
      <c r="G38" s="58" t="s">
        <v>43</v>
      </c>
      <c r="H38" s="57">
        <v>-2.17</v>
      </c>
      <c r="I38" s="55"/>
      <c r="J38" s="56"/>
      <c r="K38" s="55"/>
      <c r="L38" s="56"/>
      <c r="M38" s="55"/>
      <c r="N38" s="56"/>
      <c r="O38" s="23"/>
      <c r="P38" s="385" t="s">
        <v>27</v>
      </c>
      <c r="Q38" s="386"/>
      <c r="R38" s="387">
        <v>5.0</v>
      </c>
      <c r="S38" s="388">
        <v>-33.0</v>
      </c>
      <c r="T38" s="384">
        <f t="shared" si="1"/>
        <v>45721</v>
      </c>
      <c r="U38" s="64"/>
      <c r="V38" s="23"/>
      <c r="W38" s="64"/>
      <c r="X38" s="303"/>
      <c r="Y38" s="23"/>
      <c r="Z38" s="23"/>
    </row>
    <row r="39" ht="18.75" customHeight="1">
      <c r="A39" s="55"/>
      <c r="B39" s="56"/>
      <c r="C39" s="55"/>
      <c r="D39" s="56"/>
      <c r="E39" s="55"/>
      <c r="F39" s="56"/>
      <c r="G39" s="55"/>
      <c r="H39" s="56"/>
      <c r="I39" s="55"/>
      <c r="J39" s="56"/>
      <c r="K39" s="55"/>
      <c r="L39" s="56"/>
      <c r="M39" s="55"/>
      <c r="N39" s="56"/>
      <c r="O39" s="23"/>
      <c r="P39" s="398" t="s">
        <v>37</v>
      </c>
      <c r="Q39" s="399"/>
      <c r="R39" s="400">
        <v>10.0</v>
      </c>
      <c r="S39" s="404">
        <v>-76.0</v>
      </c>
      <c r="T39" s="394">
        <f t="shared" si="1"/>
        <v>45726</v>
      </c>
      <c r="U39" s="64"/>
      <c r="V39" s="23"/>
      <c r="W39" s="64"/>
      <c r="X39" s="303"/>
      <c r="Y39" s="23"/>
      <c r="Z39" s="23"/>
    </row>
    <row r="40" ht="18.75" customHeight="1">
      <c r="A40" s="66" t="s">
        <v>22</v>
      </c>
      <c r="B40" s="67">
        <f>N34+SUM(B35:B39)</f>
        <v>2629.41</v>
      </c>
      <c r="C40" s="66"/>
      <c r="D40" s="67">
        <f>B40+SUM(D35:D39)</f>
        <v>2629.41</v>
      </c>
      <c r="E40" s="66"/>
      <c r="F40" s="67">
        <f>D40+SUM(F35:F39)</f>
        <v>2061.27</v>
      </c>
      <c r="G40" s="66"/>
      <c r="H40" s="67">
        <f>F40+SUM(H35:H39)</f>
        <v>1961.1</v>
      </c>
      <c r="I40" s="66"/>
      <c r="J40" s="67">
        <f>H40+SUM(J35:J39)</f>
        <v>1924</v>
      </c>
      <c r="K40" s="66"/>
      <c r="L40" s="67">
        <f>J40+SUM(L35:L39)</f>
        <v>1734.43</v>
      </c>
      <c r="M40" s="66"/>
      <c r="N40" s="67">
        <f>L40+SUM(N35:N39)</f>
        <v>1712.84</v>
      </c>
      <c r="O40" s="68"/>
      <c r="P40" s="385" t="s">
        <v>38</v>
      </c>
      <c r="Q40" s="386"/>
      <c r="R40" s="387">
        <v>11.0</v>
      </c>
      <c r="S40" s="388">
        <v>-50.0</v>
      </c>
      <c r="T40" s="384">
        <f t="shared" si="1"/>
        <v>45727</v>
      </c>
      <c r="U40" s="71"/>
      <c r="V40" s="69"/>
      <c r="W40" s="71"/>
      <c r="X40" s="309"/>
      <c r="Y40" s="69"/>
      <c r="Z40" s="69"/>
    </row>
    <row r="41" ht="18.75" customHeight="1">
      <c r="A41" s="50">
        <f>IF(M35="","",IF(MONTH(M35+1)&lt;&gt;MONTH(M35),"",M35+1))</f>
        <v>45746</v>
      </c>
      <c r="B41" s="51">
        <f>SUMIF($T$11:$T$104,A41,$S$11:$S$65)</f>
        <v>-10.99</v>
      </c>
      <c r="C41" s="50">
        <f>IF(A41="","",IF(MONTH(A41+1)&lt;&gt;MONTH(A41),"",A41+1))</f>
        <v>45747</v>
      </c>
      <c r="D41" s="51">
        <f>SUMIF($T$11:$T$104,C41,$S$11:$S$65)</f>
        <v>0</v>
      </c>
      <c r="E41" s="77"/>
      <c r="F41" s="77" t="s">
        <v>50</v>
      </c>
      <c r="G41" s="77"/>
      <c r="H41" s="77"/>
      <c r="I41" s="77"/>
      <c r="J41" s="77"/>
      <c r="K41" s="77"/>
      <c r="L41" s="77"/>
      <c r="M41" s="77"/>
      <c r="N41" s="77"/>
      <c r="P41" s="398" t="s">
        <v>36</v>
      </c>
      <c r="Q41" s="399"/>
      <c r="R41" s="400">
        <v>10.0</v>
      </c>
      <c r="S41" s="396">
        <f t="array" ref="S41">-INDEX(PaymentSchedule!$E$21:$AG911,MATCH(PaymentSchedule!$B$23,PaymentSchedule!$B$21:$B$100),MATCH($P41,PaymentSchedule!$E$19:$AG$19,0))</f>
        <v>-450.08</v>
      </c>
      <c r="T41" s="394">
        <f t="shared" si="1"/>
        <v>45726</v>
      </c>
      <c r="V41" s="313"/>
      <c r="X41" s="314"/>
    </row>
    <row r="42" ht="18.75" customHeight="1">
      <c r="A42" s="55"/>
      <c r="B42" s="57">
        <v>-129.61</v>
      </c>
      <c r="C42" s="55"/>
      <c r="D42" s="57"/>
      <c r="E42" s="77"/>
      <c r="F42" s="77" t="s">
        <v>52</v>
      </c>
      <c r="G42" s="77"/>
      <c r="H42" s="77"/>
      <c r="I42" s="77"/>
      <c r="J42" s="77"/>
      <c r="K42" s="77"/>
      <c r="L42" s="77"/>
      <c r="M42" s="77"/>
      <c r="N42" s="77"/>
      <c r="P42" s="385" t="s">
        <v>57</v>
      </c>
      <c r="Q42" s="386"/>
      <c r="R42" s="387">
        <v>5.0</v>
      </c>
      <c r="S42" s="388">
        <v>-341.69</v>
      </c>
      <c r="T42" s="384">
        <f t="shared" si="1"/>
        <v>45721</v>
      </c>
      <c r="V42" s="313"/>
      <c r="X42" s="314"/>
    </row>
    <row r="43" ht="18.75" customHeight="1">
      <c r="A43" s="55"/>
      <c r="B43" s="56"/>
      <c r="C43" s="55"/>
      <c r="D43" s="56"/>
      <c r="E43" s="77"/>
      <c r="F43" s="77"/>
      <c r="G43" s="77"/>
      <c r="H43" s="77"/>
      <c r="I43" s="77"/>
      <c r="J43" s="77"/>
      <c r="K43" s="77"/>
      <c r="L43" s="77"/>
      <c r="M43" s="77"/>
      <c r="N43" s="77"/>
      <c r="P43" s="319" t="s">
        <v>57</v>
      </c>
      <c r="Q43" s="320"/>
      <c r="R43" s="321"/>
      <c r="S43" s="322">
        <v>-329.16</v>
      </c>
      <c r="T43" s="323" t="str">
        <f t="shared" si="1"/>
        <v>-</v>
      </c>
      <c r="V43" s="313"/>
    </row>
    <row r="44" ht="18.75" customHeight="1">
      <c r="A44" s="55"/>
      <c r="B44" s="56"/>
      <c r="C44" s="55"/>
      <c r="D44" s="56"/>
      <c r="E44" s="77"/>
      <c r="F44" s="77"/>
      <c r="G44" s="77"/>
      <c r="H44" s="77"/>
      <c r="I44" s="77"/>
      <c r="J44" s="77"/>
      <c r="K44" s="77"/>
      <c r="L44" s="77"/>
      <c r="M44" s="77"/>
      <c r="N44" s="77"/>
      <c r="P44" s="385" t="s">
        <v>28</v>
      </c>
      <c r="Q44" s="386"/>
      <c r="R44" s="387">
        <v>17.0</v>
      </c>
      <c r="S44" s="388">
        <v>-263.0</v>
      </c>
      <c r="T44" s="384">
        <f t="shared" si="1"/>
        <v>45733</v>
      </c>
      <c r="V44" s="313"/>
      <c r="X44" s="314"/>
    </row>
    <row r="45" ht="18.75" customHeight="1">
      <c r="A45" s="55"/>
      <c r="B45" s="56"/>
      <c r="C45" s="55"/>
      <c r="D45" s="56"/>
      <c r="E45" s="77"/>
      <c r="F45" s="77"/>
      <c r="G45" s="77"/>
      <c r="H45" s="77"/>
      <c r="I45" s="77"/>
      <c r="J45" s="77"/>
      <c r="K45" s="77"/>
      <c r="L45" s="77"/>
      <c r="M45" s="77"/>
      <c r="N45" s="77"/>
      <c r="P45" s="385" t="s">
        <v>24</v>
      </c>
      <c r="Q45" s="386"/>
      <c r="R45" s="387">
        <v>1.0</v>
      </c>
      <c r="S45" s="388">
        <v>-57.0</v>
      </c>
      <c r="T45" s="384">
        <f t="shared" si="1"/>
        <v>45717</v>
      </c>
    </row>
    <row r="46" ht="18.75" customHeight="1">
      <c r="A46" s="66" t="s">
        <v>22</v>
      </c>
      <c r="B46" s="67">
        <f>N40+SUM(B41:B45)</f>
        <v>1572.24</v>
      </c>
      <c r="C46" s="66"/>
      <c r="D46" s="355">
        <v>1572.25</v>
      </c>
      <c r="E46" s="77"/>
      <c r="F46" s="77"/>
      <c r="G46" s="77"/>
      <c r="H46" s="77"/>
      <c r="I46" s="77"/>
      <c r="J46" s="77"/>
      <c r="K46" s="77"/>
      <c r="L46" s="77"/>
      <c r="M46" s="77"/>
      <c r="N46" s="77"/>
      <c r="P46" s="385" t="s">
        <v>26</v>
      </c>
      <c r="Q46" s="386"/>
      <c r="R46" s="387">
        <v>12.0</v>
      </c>
      <c r="S46" s="388">
        <v>-98.0</v>
      </c>
      <c r="T46" s="384">
        <f t="shared" si="1"/>
        <v>45728</v>
      </c>
    </row>
    <row r="47" ht="12.75" customHeight="1">
      <c r="P47" s="385" t="s">
        <v>26</v>
      </c>
      <c r="Q47" s="386"/>
      <c r="R47" s="387">
        <v>19.0</v>
      </c>
      <c r="S47" s="388">
        <v>-98.0</v>
      </c>
      <c r="T47" s="384">
        <f t="shared" si="1"/>
        <v>45735</v>
      </c>
    </row>
    <row r="48" ht="12.75" customHeight="1">
      <c r="P48" s="385" t="s">
        <v>26</v>
      </c>
      <c r="Q48" s="386"/>
      <c r="R48" s="387">
        <v>26.0</v>
      </c>
      <c r="S48" s="388">
        <v>-98.0</v>
      </c>
      <c r="T48" s="384">
        <f t="shared" si="1"/>
        <v>45742</v>
      </c>
    </row>
    <row r="49" ht="12.75" customHeight="1">
      <c r="P49" s="319" t="s">
        <v>26</v>
      </c>
      <c r="Q49" s="320"/>
      <c r="R49" s="321"/>
      <c r="S49" s="322"/>
      <c r="T49" s="323" t="str">
        <f t="shared" si="1"/>
        <v>-</v>
      </c>
    </row>
    <row r="50" ht="12.75" customHeight="1">
      <c r="P50" s="367"/>
      <c r="Q50" s="368"/>
      <c r="R50" s="405"/>
      <c r="S50" s="370"/>
      <c r="T50" s="376"/>
    </row>
    <row r="51" ht="12.75" customHeight="1">
      <c r="P51" s="406"/>
      <c r="Q51" s="407"/>
      <c r="R51" s="408"/>
      <c r="S51" s="409"/>
      <c r="T51" s="323"/>
    </row>
    <row r="52" ht="12.75" customHeight="1">
      <c r="P52" s="319"/>
      <c r="Q52" s="320"/>
      <c r="R52" s="321"/>
      <c r="S52" s="322"/>
      <c r="T52" s="323"/>
    </row>
    <row r="53" ht="12.75" customHeight="1">
      <c r="P53" s="332"/>
      <c r="Q53" s="333"/>
      <c r="R53" s="334"/>
      <c r="S53" s="335"/>
      <c r="T53" s="323" t="str">
        <f t="shared" ref="T53:T58" si="2">IF(ISBLANK(R53),"-",IF(R53&gt;DAY(EOMONTH(DATE($B$2,$E$2,1),0)),EOMONTH(DATE($B$2,$E$2,1),0),DATE($B$2,$E$2,$R$47)))</f>
        <v>-</v>
      </c>
    </row>
    <row r="54" ht="12.75" customHeight="1">
      <c r="P54" s="332"/>
      <c r="Q54" s="333"/>
      <c r="R54" s="334"/>
      <c r="S54" s="335"/>
      <c r="T54" s="323" t="str">
        <f t="shared" si="2"/>
        <v>-</v>
      </c>
    </row>
    <row r="55" ht="12.75" customHeight="1">
      <c r="P55" s="332"/>
      <c r="Q55" s="333"/>
      <c r="R55" s="334"/>
      <c r="S55" s="335"/>
      <c r="T55" s="323" t="str">
        <f t="shared" si="2"/>
        <v>-</v>
      </c>
    </row>
    <row r="56" ht="12.75" customHeight="1">
      <c r="P56" s="332"/>
      <c r="Q56" s="333"/>
      <c r="R56" s="334"/>
      <c r="S56" s="335"/>
      <c r="T56" s="323" t="str">
        <f t="shared" si="2"/>
        <v>-</v>
      </c>
    </row>
    <row r="57" ht="12.75" customHeight="1">
      <c r="P57" s="332"/>
      <c r="Q57" s="333"/>
      <c r="R57" s="334"/>
      <c r="S57" s="335"/>
      <c r="T57" s="323" t="str">
        <f t="shared" si="2"/>
        <v>-</v>
      </c>
    </row>
    <row r="58" ht="12.75" customHeight="1">
      <c r="P58" s="332"/>
      <c r="Q58" s="333"/>
      <c r="R58" s="334"/>
      <c r="S58" s="335"/>
      <c r="T58" s="323" t="str">
        <f t="shared" si="2"/>
        <v>-</v>
      </c>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row>
    <row r="909" ht="12.75" customHeight="1">
      <c r="R909" s="336"/>
    </row>
    <row r="910" ht="12.75" customHeight="1">
      <c r="R910" s="336"/>
    </row>
    <row r="911" ht="12.75" customHeight="1">
      <c r="R911" s="336"/>
    </row>
  </sheetData>
  <mergeCells count="11">
    <mergeCell ref="G9:H9"/>
    <mergeCell ref="I9:J9"/>
    <mergeCell ref="K9:L9"/>
    <mergeCell ref="M9:N9"/>
    <mergeCell ref="M5:N5"/>
    <mergeCell ref="S5:T5"/>
    <mergeCell ref="M6:N6"/>
    <mergeCell ref="S6:T6"/>
    <mergeCell ref="A9:B9"/>
    <mergeCell ref="C9:D9"/>
    <mergeCell ref="E9:F9"/>
  </mergeCells>
  <conditionalFormatting sqref="S1:S911">
    <cfRule type="cellIs" dxfId="5" priority="1" operator="lessThan">
      <formula>0</formula>
    </cfRule>
  </conditionalFormatting>
  <dataValidations>
    <dataValidation type="list" allowBlank="1" showErrorMessage="1" sqref="Q12:Q58">
      <formula1>"✔"</formula1>
    </dataValidation>
    <dataValidation type="custom" allowBlank="1" showDropDown="1" sqref="T12:T58">
      <formula1>OR(NOT(ISERROR(DATEVALUE(T12))), AND(ISNUMBER(T12), LEFT(CELL("format", T12))="D"))</formula1>
    </dataValidation>
  </dataValidations>
  <hyperlinks>
    <hyperlink r:id="rId1" ref="T3"/>
  </hyperlinks>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6.13"/>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2025.0</v>
      </c>
      <c r="C2" s="3"/>
      <c r="D2" s="9" t="s">
        <v>2</v>
      </c>
      <c r="E2" s="10">
        <v>4.0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APRIL 2025</v>
      </c>
      <c r="B5" s="22"/>
      <c r="C5" s="22"/>
      <c r="D5" s="22"/>
      <c r="E5" s="22"/>
      <c r="F5" s="22"/>
      <c r="G5" s="22"/>
      <c r="H5" s="23"/>
      <c r="I5" s="23"/>
      <c r="J5" s="23"/>
      <c r="K5" s="22"/>
      <c r="L5" s="24" t="s">
        <v>7</v>
      </c>
      <c r="M5" s="25">
        <f>'March 2025'!D46</f>
        <v>1572.25</v>
      </c>
      <c r="N5" s="26"/>
      <c r="O5" s="23"/>
      <c r="P5" s="27"/>
      <c r="Q5" s="27"/>
      <c r="R5" s="287" t="s">
        <v>8</v>
      </c>
      <c r="S5" s="288">
        <f>SUMIF(A18:N21,"&gt;0")+SUMIF(A24:N27,"&gt;0")+SUMIF(A30:N33,"&gt;0")+SUMIF(A36:N39,"&gt;0")+SUMIF(A42:D45,"&gt;0")+SUMIF(S12:S46,"&gt;0")+SUMIF(A12:N15,"&gt;0")</f>
        <v>7391</v>
      </c>
      <c r="U5" s="23"/>
      <c r="V5" s="289">
        <f>sum(S5+S6)</f>
        <v>2039.03</v>
      </c>
      <c r="W5" s="23"/>
      <c r="X5" s="23"/>
      <c r="Y5" s="23"/>
      <c r="Z5" s="23"/>
    </row>
    <row r="6" ht="25.5" customHeight="1">
      <c r="A6" s="31"/>
      <c r="B6" s="31"/>
      <c r="C6" s="31"/>
      <c r="D6" s="31"/>
      <c r="E6" s="31"/>
      <c r="F6" s="32"/>
      <c r="G6" s="33"/>
      <c r="H6" s="34"/>
      <c r="I6" s="34"/>
      <c r="J6" s="34"/>
      <c r="K6" s="31"/>
      <c r="L6" s="24" t="s">
        <v>9</v>
      </c>
      <c r="M6" s="35">
        <f>D46</f>
        <v>3617.28</v>
      </c>
      <c r="O6" s="34"/>
      <c r="P6" s="36"/>
      <c r="Q6" s="36"/>
      <c r="R6" s="287" t="s">
        <v>10</v>
      </c>
      <c r="S6" s="288">
        <f>SUMIF(A18:N21,"&lt;0")+SUMIF(A24:N27,"&lt;0")+SUMIF(A30:N33,"&lt;0")+SUMIF(A36:N39,"&lt;0")+SUMIF(A42:D45,"&lt;0")+SUMIF(S12:S141,"&lt;0")+SUMIF(A12:N15,"&lt;0")</f>
        <v>-5351.97</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45748</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45753</v>
      </c>
      <c r="B9" s="40"/>
      <c r="C9" s="39">
        <f>C17</f>
        <v>45754</v>
      </c>
      <c r="D9" s="40"/>
      <c r="E9" s="39">
        <f>E17</f>
        <v>45755</v>
      </c>
      <c r="F9" s="40"/>
      <c r="G9" s="39">
        <f>G17</f>
        <v>45756</v>
      </c>
      <c r="H9" s="40"/>
      <c r="I9" s="39">
        <f>I17</f>
        <v>45757</v>
      </c>
      <c r="J9" s="40"/>
      <c r="K9" s="39">
        <f>K17</f>
        <v>45758</v>
      </c>
      <c r="L9" s="40"/>
      <c r="M9" s="39">
        <f>M17</f>
        <v>45759</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SUMIF($T$11:$T$68,A11,$S$11:$S$46)</f>
        <v>0</v>
      </c>
      <c r="C11" s="50" t="str">
        <f>IF(A11="",IF(WEEKDAY($B$8,1)=MOD($H$2,7)+1,$B$8,""),A11+1)</f>
        <v/>
      </c>
      <c r="D11" s="51">
        <f>SUMIF($T$11:$T$68,C11,$S$11:$S$46)</f>
        <v>0</v>
      </c>
      <c r="E11" s="50">
        <f>IF(C11="",IF(WEEKDAY($B$8,1)=MOD($H$2+1,7)+1,$B$8,""),C11+1)</f>
        <v>45748</v>
      </c>
      <c r="F11" s="51">
        <f>SUMIF($T$11:$T$68,E11,$S$11:$S$46)</f>
        <v>743</v>
      </c>
      <c r="G11" s="50">
        <f>IF(E11="",IF(WEEKDAY($B$8,1)=MOD($H$2+2,7)+1,$B$8,""),E11+1)</f>
        <v>45749</v>
      </c>
      <c r="H11" s="51">
        <f>SUMIF($T$11:$T$68,G11,$S$11:$S$46)</f>
        <v>2085</v>
      </c>
      <c r="I11" s="50">
        <f>IF(G11="",IF(WEEKDAY($B$8,1)=MOD($H$2+3,7)+1,$B$8,""),G11+1)</f>
        <v>45750</v>
      </c>
      <c r="J11" s="51">
        <f>SUMIF($T$11:$T$68,I11,$S$11:$S$46)</f>
        <v>0</v>
      </c>
      <c r="K11" s="50">
        <f>IF(I11="",IF(WEEKDAY($B$8,1)=MOD($H$2+4,7)+1,$B$8,""),I11+1)</f>
        <v>45751</v>
      </c>
      <c r="L11" s="51">
        <f>SUMIF($T$11:$T$68,K11,$S$11:$S$46)</f>
        <v>-1520.37</v>
      </c>
      <c r="M11" s="50">
        <f>IF(K11="",IF(WEEKDAY($B$8,1)=MOD($H$2+5,7)+1,$B$8,""),K11+1)</f>
        <v>45752</v>
      </c>
      <c r="N11" s="51">
        <f>SUMIF($T$11:$T$68,M11,$S$11:$S$46)</f>
        <v>-87.15</v>
      </c>
      <c r="O11" s="23"/>
      <c r="P11" s="52" t="s">
        <v>13</v>
      </c>
      <c r="Q11" s="53" t="s">
        <v>14</v>
      </c>
      <c r="R11" s="53" t="s">
        <v>15</v>
      </c>
      <c r="S11" s="96" t="s">
        <v>16</v>
      </c>
      <c r="T11" s="53" t="s">
        <v>17</v>
      </c>
      <c r="U11" s="23"/>
      <c r="V11" s="23"/>
      <c r="W11" s="23"/>
      <c r="X11" s="23"/>
      <c r="Y11" s="23"/>
      <c r="Z11" s="23"/>
    </row>
    <row r="12" ht="18.75" customHeight="1">
      <c r="A12" s="55"/>
      <c r="B12" s="56"/>
      <c r="C12" s="55"/>
      <c r="D12" s="56"/>
      <c r="E12" s="55"/>
      <c r="F12" s="57"/>
      <c r="G12" s="55"/>
      <c r="H12" s="56"/>
      <c r="I12" s="58"/>
      <c r="J12" s="57"/>
      <c r="K12" s="58"/>
      <c r="L12" s="57">
        <v>-21.79</v>
      </c>
      <c r="M12" s="55"/>
      <c r="N12" s="57"/>
      <c r="O12" s="23"/>
      <c r="P12" s="380" t="s">
        <v>55</v>
      </c>
      <c r="Q12" s="381"/>
      <c r="R12" s="382">
        <v>29.0</v>
      </c>
      <c r="S12" s="383">
        <v>-21.59</v>
      </c>
      <c r="T12" s="384">
        <f t="shared" ref="T12:T37" si="1">IF(ISBLANK(R12),"-",IF(R12&gt;DAY(EOMONTH(DATE($B$2,$E$2,1),0)),EOMONTH(DATE($B$2,$E$2,1),0),DATE($B$2,$E$2,R12)))</f>
        <v>45776</v>
      </c>
      <c r="U12" s="64"/>
      <c r="V12" s="23"/>
      <c r="W12" s="64"/>
      <c r="X12" s="303"/>
      <c r="Y12" s="23"/>
      <c r="Z12" s="23"/>
    </row>
    <row r="13" ht="18.75" customHeight="1">
      <c r="A13" s="55"/>
      <c r="B13" s="56"/>
      <c r="C13" s="55"/>
      <c r="D13" s="56"/>
      <c r="E13" s="58"/>
      <c r="F13" s="57"/>
      <c r="G13" s="58" t="s">
        <v>162</v>
      </c>
      <c r="H13" s="57">
        <v>-329.16</v>
      </c>
      <c r="I13" s="58"/>
      <c r="J13" s="57"/>
      <c r="K13" s="58"/>
      <c r="L13" s="57"/>
      <c r="M13" s="55"/>
      <c r="N13" s="57">
        <v>-17.99</v>
      </c>
      <c r="O13" s="23"/>
      <c r="P13" s="385" t="s">
        <v>29</v>
      </c>
      <c r="Q13" s="386"/>
      <c r="R13" s="387">
        <v>5.0</v>
      </c>
      <c r="S13" s="388">
        <v>-16.19</v>
      </c>
      <c r="T13" s="384">
        <f t="shared" si="1"/>
        <v>45752</v>
      </c>
      <c r="U13" s="64"/>
      <c r="V13" s="23"/>
      <c r="W13" s="64"/>
      <c r="X13" s="303"/>
      <c r="Y13" s="23"/>
      <c r="Z13" s="23"/>
    </row>
    <row r="14" ht="18.75" customHeight="1">
      <c r="A14" s="55"/>
      <c r="B14" s="56"/>
      <c r="C14" s="55"/>
      <c r="D14" s="56"/>
      <c r="E14" s="58"/>
      <c r="F14" s="56"/>
      <c r="G14" s="55"/>
      <c r="H14" s="56"/>
      <c r="I14" s="58"/>
      <c r="J14" s="57"/>
      <c r="K14" s="58"/>
      <c r="L14" s="57"/>
      <c r="M14" s="55"/>
      <c r="N14" s="56"/>
      <c r="O14" s="23"/>
      <c r="P14" s="385" t="s">
        <v>43</v>
      </c>
      <c r="Q14" s="386"/>
      <c r="R14" s="387">
        <v>17.0</v>
      </c>
      <c r="S14" s="388">
        <v>-9.99</v>
      </c>
      <c r="T14" s="384">
        <f t="shared" si="1"/>
        <v>45764</v>
      </c>
      <c r="U14" s="64"/>
      <c r="V14" s="23"/>
      <c r="W14" s="64"/>
      <c r="X14" s="303"/>
      <c r="Y14" s="23"/>
      <c r="Z14" s="23"/>
    </row>
    <row r="15" ht="18.75" customHeight="1">
      <c r="A15" s="55"/>
      <c r="B15" s="56"/>
      <c r="C15" s="55"/>
      <c r="D15" s="56"/>
      <c r="E15" s="55"/>
      <c r="F15" s="56"/>
      <c r="G15" s="55"/>
      <c r="H15" s="56"/>
      <c r="I15" s="55"/>
      <c r="J15" s="56"/>
      <c r="K15" s="55"/>
      <c r="L15" s="56"/>
      <c r="M15" s="55"/>
      <c r="N15" s="56"/>
      <c r="O15" s="23"/>
      <c r="P15" s="385" t="s">
        <v>54</v>
      </c>
      <c r="Q15" s="386"/>
      <c r="R15" s="387">
        <v>30.0</v>
      </c>
      <c r="S15" s="388">
        <v>-11.0</v>
      </c>
      <c r="T15" s="384">
        <f t="shared" si="1"/>
        <v>45777</v>
      </c>
      <c r="U15" s="64"/>
      <c r="V15" s="23"/>
      <c r="W15" s="64"/>
      <c r="X15" s="303"/>
      <c r="Y15" s="23"/>
      <c r="Z15" s="23"/>
    </row>
    <row r="16" ht="18.75" customHeight="1">
      <c r="A16" s="66" t="s">
        <v>22</v>
      </c>
      <c r="B16" s="67">
        <f>$M$5+SUM(B11:B15)</f>
        <v>1572.25</v>
      </c>
      <c r="C16" s="66"/>
      <c r="D16" s="67">
        <f>B16+SUM(D11:D15)</f>
        <v>1572.25</v>
      </c>
      <c r="E16" s="66"/>
      <c r="F16" s="67">
        <f>D16+SUM(F11:F15)</f>
        <v>2315.25</v>
      </c>
      <c r="G16" s="66"/>
      <c r="H16" s="67">
        <f>F16+SUM(H11:H15)</f>
        <v>4071.09</v>
      </c>
      <c r="I16" s="66"/>
      <c r="J16" s="67">
        <f>H16+SUM(J11:J15)</f>
        <v>4071.09</v>
      </c>
      <c r="K16" s="66"/>
      <c r="L16" s="67">
        <f>J16+SUM(L11:L15)</f>
        <v>2528.93</v>
      </c>
      <c r="M16" s="66"/>
      <c r="N16" s="67">
        <f>L16+SUM(N11:N15)</f>
        <v>2423.79</v>
      </c>
      <c r="O16" s="68"/>
      <c r="P16" s="385" t="s">
        <v>30</v>
      </c>
      <c r="Q16" s="386"/>
      <c r="R16" s="387">
        <v>28.0</v>
      </c>
      <c r="S16" s="383">
        <v>-186.57</v>
      </c>
      <c r="T16" s="384">
        <f t="shared" si="1"/>
        <v>45775</v>
      </c>
      <c r="U16" s="71"/>
      <c r="V16" s="69"/>
      <c r="W16" s="71"/>
      <c r="X16" s="309"/>
      <c r="Y16" s="69"/>
      <c r="Z16" s="69"/>
    </row>
    <row r="17" ht="18.75" customHeight="1">
      <c r="A17" s="50">
        <f>IF(M11="","",IF(MONTH(M11+1)&lt;&gt;MONTH(M11),"",M11+1))</f>
        <v>45753</v>
      </c>
      <c r="B17" s="51">
        <f>SUMIF($T$11:$T$68,A17,$S$11:$S$46)</f>
        <v>-109</v>
      </c>
      <c r="C17" s="50">
        <f>IF(A17="","",IF(MONTH(A17+1)&lt;&gt;MONTH(A17),"",A17+1))</f>
        <v>45754</v>
      </c>
      <c r="D17" s="51">
        <f>SUMIF($T$11:$T$68,C17,$S$11:$S$46)</f>
        <v>0</v>
      </c>
      <c r="E17" s="50">
        <f>IF(C17="","",IF(MONTH(C17+1)&lt;&gt;MONTH(C17),"",C17+1))</f>
        <v>45755</v>
      </c>
      <c r="F17" s="51">
        <f>SUMIF($T$11:$T$68,E17,$S$11:$S$46)</f>
        <v>-1386.23</v>
      </c>
      <c r="G17" s="50">
        <f>IF(E17="","",IF(MONTH(E17+1)&lt;&gt;MONTH(E17),"",E17+1))</f>
        <v>45756</v>
      </c>
      <c r="H17" s="51">
        <f>SUMIF($T$11:$T$68,G17,$S$11:$S$46)</f>
        <v>-98</v>
      </c>
      <c r="I17" s="50">
        <f>IF(G17="","",IF(MONTH(G17+1)&lt;&gt;MONTH(G17),"",G17+1))</f>
        <v>45757</v>
      </c>
      <c r="J17" s="51">
        <f>SUMIF($T$11:$T$68,I17,$S$11:$S$46)</f>
        <v>-50</v>
      </c>
      <c r="K17" s="50">
        <f>IF(I17="","",IF(MONTH(I17+1)&lt;&gt;MONTH(I17),"",I17+1))</f>
        <v>45758</v>
      </c>
      <c r="L17" s="51">
        <f>SUMIF($T$11:$T$68,K17,$S$11:$S$46)</f>
        <v>0</v>
      </c>
      <c r="M17" s="50">
        <f>IF(K17="","",IF(MONTH(K17+1)&lt;&gt;MONTH(K17),"",K17+1))</f>
        <v>45759</v>
      </c>
      <c r="N17" s="51">
        <f>SUMIF($T$11:$T$68,M17,$S$11:$S$46)</f>
        <v>-102</v>
      </c>
      <c r="O17" s="23"/>
      <c r="P17" s="385" t="s">
        <v>47</v>
      </c>
      <c r="Q17" s="386"/>
      <c r="R17" s="387">
        <v>1.0</v>
      </c>
      <c r="S17" s="389">
        <v>800.0</v>
      </c>
      <c r="T17" s="384">
        <f t="shared" si="1"/>
        <v>45748</v>
      </c>
      <c r="U17" s="64"/>
      <c r="V17" s="23"/>
      <c r="W17" s="64"/>
      <c r="X17" s="303"/>
      <c r="Y17" s="23"/>
      <c r="Z17" s="23"/>
    </row>
    <row r="18" ht="18.75" customHeight="1">
      <c r="A18" s="55"/>
      <c r="B18" s="56"/>
      <c r="C18" s="55"/>
      <c r="D18" s="56"/>
      <c r="E18" s="410"/>
      <c r="F18" s="411"/>
      <c r="K18" s="58" t="s">
        <v>139</v>
      </c>
      <c r="L18" s="57">
        <v>-99.0</v>
      </c>
      <c r="M18" s="55"/>
      <c r="N18" s="56"/>
      <c r="O18" s="23"/>
      <c r="P18" s="385" t="s">
        <v>19</v>
      </c>
      <c r="Q18" s="386"/>
      <c r="R18" s="387">
        <v>2.0</v>
      </c>
      <c r="S18" s="388">
        <v>2183.0</v>
      </c>
      <c r="T18" s="384">
        <f t="shared" si="1"/>
        <v>45749</v>
      </c>
      <c r="U18" s="64"/>
      <c r="V18" s="23"/>
      <c r="Y18" s="23"/>
      <c r="Z18" s="23"/>
    </row>
    <row r="19" ht="18.75" customHeight="1">
      <c r="A19" s="55"/>
      <c r="B19" s="56"/>
      <c r="C19" s="55"/>
      <c r="D19" s="56"/>
      <c r="E19" s="55"/>
      <c r="F19" s="56"/>
      <c r="G19" s="55"/>
      <c r="H19" s="56"/>
      <c r="I19" s="55"/>
      <c r="J19" s="56"/>
      <c r="K19" s="58"/>
      <c r="L19" s="57"/>
      <c r="M19" s="55"/>
      <c r="N19" s="56"/>
      <c r="O19" s="23"/>
      <c r="P19" s="385" t="s">
        <v>151</v>
      </c>
      <c r="Q19" s="386"/>
      <c r="R19" s="387">
        <v>16.0</v>
      </c>
      <c r="S19" s="388">
        <v>2183.0</v>
      </c>
      <c r="T19" s="384">
        <f t="shared" si="1"/>
        <v>45763</v>
      </c>
      <c r="U19" s="64"/>
      <c r="V19" s="23"/>
      <c r="W19" s="64"/>
      <c r="X19" s="303"/>
      <c r="Y19" s="23"/>
      <c r="Z19" s="23"/>
    </row>
    <row r="20" ht="18.75" customHeight="1">
      <c r="A20" s="55"/>
      <c r="B20" s="56"/>
      <c r="C20" s="55"/>
      <c r="D20" s="56"/>
      <c r="E20" s="55"/>
      <c r="F20" s="56"/>
      <c r="G20" s="55"/>
      <c r="H20" s="56"/>
      <c r="I20" s="55"/>
      <c r="J20" s="56"/>
      <c r="K20" s="55"/>
      <c r="L20" s="57"/>
      <c r="M20" s="55"/>
      <c r="N20" s="56"/>
      <c r="O20" s="23"/>
      <c r="P20" s="390" t="s">
        <v>80</v>
      </c>
      <c r="Q20" s="391"/>
      <c r="R20" s="412">
        <v>3.0</v>
      </c>
      <c r="S20" s="393">
        <f t="array" ref="S20">-INDEX(PaymentSchedule!$E$21:$AG875,MATCH(PaymentSchedule!$B$24,PaymentSchedule!$B$21:$B$100),MATCH($P20,PaymentSchedule!$E$19:$AG$19,0))</f>
        <v>0</v>
      </c>
      <c r="T20" s="394">
        <f t="shared" si="1"/>
        <v>45750</v>
      </c>
      <c r="U20" s="64"/>
      <c r="V20" s="23"/>
      <c r="W20" s="64"/>
      <c r="X20" s="303"/>
      <c r="Y20" s="23"/>
      <c r="Z20" s="23"/>
    </row>
    <row r="21" ht="18.75" customHeight="1">
      <c r="A21" s="55"/>
      <c r="B21" s="56"/>
      <c r="C21" s="55"/>
      <c r="D21" s="56"/>
      <c r="E21" s="55"/>
      <c r="F21" s="56"/>
      <c r="G21" s="55"/>
      <c r="H21" s="56"/>
      <c r="I21" s="55"/>
      <c r="J21" s="56"/>
      <c r="K21" s="55"/>
      <c r="L21" s="56"/>
      <c r="M21" s="55"/>
      <c r="N21" s="56"/>
      <c r="O21" s="23"/>
      <c r="P21" s="395" t="s">
        <v>83</v>
      </c>
      <c r="Q21" s="391"/>
      <c r="R21" s="392">
        <v>19.0</v>
      </c>
      <c r="S21" s="393">
        <f t="array" ref="S21">-INDEX(PaymentSchedule!$E$21:$AG875,MATCH(PaymentSchedule!$B$24,PaymentSchedule!$B$21:$B$100),MATCH($P21,PaymentSchedule!$E$19:$AG$19,0))</f>
        <v>-78.85</v>
      </c>
      <c r="T21" s="394">
        <f t="shared" si="1"/>
        <v>45766</v>
      </c>
      <c r="U21" s="64"/>
      <c r="V21" s="303"/>
      <c r="W21" s="64"/>
      <c r="X21" s="303"/>
      <c r="Y21" s="23"/>
      <c r="Z21" s="23"/>
    </row>
    <row r="22" ht="18.75" customHeight="1">
      <c r="A22" s="66" t="s">
        <v>22</v>
      </c>
      <c r="B22" s="67">
        <f>N16+SUM(B17:B21)</f>
        <v>2314.79</v>
      </c>
      <c r="C22" s="66"/>
      <c r="D22" s="67">
        <f>B22+SUM(D17:D21)</f>
        <v>2314.79</v>
      </c>
      <c r="E22" s="66"/>
      <c r="F22" s="67">
        <f>D22+SUM(F17:F21)</f>
        <v>928.56</v>
      </c>
      <c r="G22" s="66"/>
      <c r="H22" s="67">
        <f>F22+SUM(H17:H21)</f>
        <v>830.56</v>
      </c>
      <c r="I22" s="66"/>
      <c r="J22" s="67">
        <f>H22+SUM(J17:J21)</f>
        <v>780.56</v>
      </c>
      <c r="K22" s="66"/>
      <c r="L22" s="67">
        <f>J22+SUM(L17:L21)</f>
        <v>681.56</v>
      </c>
      <c r="M22" s="66"/>
      <c r="N22" s="67">
        <f>L22+SUM(N17:N21)</f>
        <v>579.56</v>
      </c>
      <c r="O22" s="68"/>
      <c r="P22" s="390" t="s">
        <v>84</v>
      </c>
      <c r="Q22" s="391"/>
      <c r="R22" s="392">
        <v>5.0</v>
      </c>
      <c r="S22" s="393">
        <f t="array" ref="S22">-INDEX(PaymentSchedule!$E$21:$AG875,MATCH(PaymentSchedule!$B$24,PaymentSchedule!$B$21:$B$100),MATCH($P22,PaymentSchedule!$E$19:$AG$19,0))</f>
        <v>-20.96</v>
      </c>
      <c r="T22" s="394">
        <f t="shared" si="1"/>
        <v>45752</v>
      </c>
      <c r="W22" s="71"/>
      <c r="X22" s="309"/>
      <c r="Y22" s="71"/>
      <c r="Z22" s="69"/>
    </row>
    <row r="23" ht="18.75" customHeight="1">
      <c r="A23" s="50">
        <f>IF(M17="","",IF(MONTH(M17+1)&lt;&gt;MONTH(M17),"",M17+1))</f>
        <v>45760</v>
      </c>
      <c r="B23" s="51">
        <f>SUMIF($T$11:$T$68,A23,$S$11:$S$46)</f>
        <v>0</v>
      </c>
      <c r="C23" s="50">
        <f>IF(A23="","",IF(MONTH(A23+1)&lt;&gt;MONTH(A23),"",A23+1))</f>
        <v>45761</v>
      </c>
      <c r="D23" s="51">
        <f>SUMIF($T$11:$T$68,C23,$S$11:$S$46)</f>
        <v>0</v>
      </c>
      <c r="E23" s="50">
        <f>IF(C23="","",IF(MONTH(C23+1)&lt;&gt;MONTH(C23),"",C23+1))</f>
        <v>45762</v>
      </c>
      <c r="F23" s="51">
        <f>SUMIF($T$11:$T$68,E23,$S$11:$S$46)</f>
        <v>0</v>
      </c>
      <c r="G23" s="50">
        <f>IF(E23="","",IF(MONTH(E23+1)&lt;&gt;MONTH(E23),"",E23+1))</f>
        <v>45763</v>
      </c>
      <c r="H23" s="51">
        <f>SUMIF($T$11:$T$68,G23,$S$11:$S$46)</f>
        <v>2085</v>
      </c>
      <c r="I23" s="50">
        <f>IF(G23="","",IF(MONTH(G23+1)&lt;&gt;MONTH(G23),"",G23+1))</f>
        <v>45764</v>
      </c>
      <c r="J23" s="51">
        <f>SUMIF($T$11:$T$68,I23,$S$11:$S$46)</f>
        <v>-9.99</v>
      </c>
      <c r="K23" s="50">
        <f>IF(I23="","",IF(MONTH(I23+1)&lt;&gt;MONTH(I23),"",I23+1))</f>
        <v>45765</v>
      </c>
      <c r="L23" s="51">
        <f>SUMIF($T$11:$T$68,K23,$S$11:$S$46)</f>
        <v>-206</v>
      </c>
      <c r="M23" s="50">
        <f>IF(K23="","",IF(MONTH(K23+1)&lt;&gt;MONTH(K23),"",K23+1))</f>
        <v>45766</v>
      </c>
      <c r="N23" s="51">
        <f>SUMIF($T$11:$T$68,M23,$S$11:$S$46)</f>
        <v>-78.85</v>
      </c>
      <c r="O23" s="23"/>
      <c r="P23" s="385" t="s">
        <v>46</v>
      </c>
      <c r="Q23" s="386"/>
      <c r="R23" s="387">
        <v>25.0</v>
      </c>
      <c r="S23" s="388">
        <v>-10.99</v>
      </c>
      <c r="T23" s="384">
        <f t="shared" si="1"/>
        <v>45772</v>
      </c>
      <c r="U23" s="64"/>
      <c r="V23" s="23"/>
      <c r="W23" s="64"/>
      <c r="X23" s="303"/>
      <c r="Y23" s="64"/>
      <c r="Z23" s="23"/>
    </row>
    <row r="24" ht="18.75" customHeight="1">
      <c r="A24" s="55"/>
      <c r="B24" s="56"/>
      <c r="C24" s="58"/>
      <c r="D24" s="57"/>
      <c r="E24" s="55"/>
      <c r="F24" s="56"/>
      <c r="G24" s="413"/>
      <c r="H24" s="411">
        <v>-29.0</v>
      </c>
      <c r="I24" s="55"/>
      <c r="J24" s="56"/>
      <c r="M24" s="58" t="s">
        <v>158</v>
      </c>
      <c r="N24" s="57">
        <v>-72.74</v>
      </c>
      <c r="O24" s="23"/>
      <c r="P24" s="380" t="s">
        <v>44</v>
      </c>
      <c r="Q24" s="381"/>
      <c r="R24" s="382">
        <v>25.0</v>
      </c>
      <c r="S24" s="397">
        <v>-18.35</v>
      </c>
      <c r="T24" s="384">
        <f t="shared" si="1"/>
        <v>45772</v>
      </c>
      <c r="U24" s="64"/>
      <c r="V24" s="23"/>
      <c r="W24" s="64"/>
      <c r="X24" s="303"/>
      <c r="Y24" s="64"/>
      <c r="Z24" s="23"/>
    </row>
    <row r="25" ht="18.75" customHeight="1">
      <c r="A25" s="55"/>
      <c r="B25" s="56"/>
      <c r="C25" s="55"/>
      <c r="D25" s="57"/>
      <c r="E25" s="55"/>
      <c r="F25" s="56"/>
      <c r="G25" s="55"/>
      <c r="H25" s="57">
        <v>-5.44</v>
      </c>
      <c r="I25" s="55"/>
      <c r="J25" s="56"/>
      <c r="K25" s="58"/>
      <c r="L25" s="57"/>
      <c r="M25" s="55"/>
      <c r="N25" s="56"/>
      <c r="O25" s="23"/>
      <c r="P25" s="398" t="s">
        <v>25</v>
      </c>
      <c r="Q25" s="399"/>
      <c r="R25" s="400">
        <v>8.0</v>
      </c>
      <c r="S25" s="393">
        <f t="array" ref="S25">-INDEX(PaymentSchedule!$E$21:$AG875,MATCH(PaymentSchedule!$B$24,PaymentSchedule!$B$21:$B$100),MATCH($P25,PaymentSchedule!$E$19:$AG$19,0))</f>
        <v>-35</v>
      </c>
      <c r="T25" s="394">
        <f t="shared" si="1"/>
        <v>45755</v>
      </c>
      <c r="U25" s="64"/>
      <c r="V25" s="23"/>
      <c r="W25" s="64"/>
      <c r="X25" s="303"/>
      <c r="Y25" s="64"/>
      <c r="Z25" s="64"/>
    </row>
    <row r="26" ht="18.75" customHeight="1">
      <c r="A26" s="55"/>
      <c r="B26" s="56"/>
      <c r="C26" s="55"/>
      <c r="D26" s="56"/>
      <c r="E26" s="55"/>
      <c r="F26" s="56"/>
      <c r="G26" s="55"/>
      <c r="H26" s="56"/>
      <c r="I26" s="55"/>
      <c r="J26" s="56"/>
      <c r="K26" s="58"/>
      <c r="L26" s="57"/>
      <c r="M26" s="55"/>
      <c r="N26" s="56"/>
      <c r="O26" s="23"/>
      <c r="P26" s="385" t="s">
        <v>40</v>
      </c>
      <c r="Q26" s="386"/>
      <c r="R26" s="387">
        <v>12.0</v>
      </c>
      <c r="S26" s="388">
        <v>-102.0</v>
      </c>
      <c r="T26" s="384">
        <f t="shared" si="1"/>
        <v>45759</v>
      </c>
      <c r="U26" s="64"/>
      <c r="V26" s="23"/>
      <c r="W26" s="64"/>
      <c r="X26" s="303"/>
      <c r="Y26" s="64"/>
      <c r="Z26" s="23"/>
    </row>
    <row r="27" ht="18.75" customHeight="1">
      <c r="A27" s="55"/>
      <c r="B27" s="56"/>
      <c r="C27" s="55"/>
      <c r="D27" s="56"/>
      <c r="E27" s="55"/>
      <c r="F27" s="56"/>
      <c r="G27" s="55"/>
      <c r="H27" s="56"/>
      <c r="I27" s="55"/>
      <c r="J27" s="56"/>
      <c r="K27" s="55"/>
      <c r="L27" s="56"/>
      <c r="M27" s="55"/>
      <c r="N27" s="56"/>
      <c r="O27" s="23"/>
      <c r="P27" s="319" t="s">
        <v>34</v>
      </c>
      <c r="Q27" s="320"/>
      <c r="R27" s="321"/>
      <c r="S27" s="322">
        <v>-6.0</v>
      </c>
      <c r="T27" s="323" t="str">
        <f t="shared" si="1"/>
        <v>-</v>
      </c>
      <c r="U27" s="64"/>
      <c r="V27" s="23"/>
      <c r="W27" s="64"/>
      <c r="X27" s="303"/>
      <c r="Y27" s="64"/>
      <c r="Z27" s="23"/>
    </row>
    <row r="28" ht="18.75" customHeight="1">
      <c r="A28" s="66" t="s">
        <v>22</v>
      </c>
      <c r="B28" s="67">
        <f>N22+SUM(B23:B27)</f>
        <v>579.56</v>
      </c>
      <c r="C28" s="66"/>
      <c r="D28" s="67">
        <f>B28+SUM(D23:D27)</f>
        <v>579.56</v>
      </c>
      <c r="E28" s="66"/>
      <c r="F28" s="67">
        <f>D28+SUM(F23:F27)</f>
        <v>579.56</v>
      </c>
      <c r="G28" s="66"/>
      <c r="H28" s="67">
        <f>F28+SUM(H23:H27)</f>
        <v>2630.12</v>
      </c>
      <c r="I28" s="66"/>
      <c r="J28" s="67">
        <f>H28+SUM(J23:J27)</f>
        <v>2620.13</v>
      </c>
      <c r="K28" s="66"/>
      <c r="L28" s="67">
        <f>J28+SUM(L23:L27)</f>
        <v>2414.13</v>
      </c>
      <c r="M28" s="66"/>
      <c r="N28" s="67">
        <f>L28+SUM(N23:N27)</f>
        <v>2262.54</v>
      </c>
      <c r="O28" s="68"/>
      <c r="P28" s="385" t="s">
        <v>34</v>
      </c>
      <c r="Q28" s="386"/>
      <c r="R28" s="387">
        <v>24.0</v>
      </c>
      <c r="S28" s="388"/>
      <c r="T28" s="384">
        <f t="shared" si="1"/>
        <v>45771</v>
      </c>
      <c r="U28" s="71"/>
      <c r="V28" s="69"/>
      <c r="W28" s="71"/>
      <c r="X28" s="309"/>
      <c r="Y28" s="69"/>
      <c r="Z28" s="69"/>
    </row>
    <row r="29" ht="18.75" customHeight="1">
      <c r="A29" s="50">
        <f>IF(M23="","",IF(MONTH(M23+1)&lt;&gt;MONTH(M23),"",M23+1))</f>
        <v>45767</v>
      </c>
      <c r="B29" s="51">
        <f>SUMIF($T$11:$T$68,A29,$S$11:$S$46)</f>
        <v>0</v>
      </c>
      <c r="C29" s="50">
        <f>IF(A29="","",IF(MONTH(A29+1)&lt;&gt;MONTH(A29),"",A29+1))</f>
        <v>45768</v>
      </c>
      <c r="D29" s="51">
        <f>SUMIF($T$11:$T$68,C29,$S$11:$S$46)</f>
        <v>0</v>
      </c>
      <c r="E29" s="50">
        <f>IF(C29="","",IF(MONTH(C29+1)&lt;&gt;MONTH(C29),"",C29+1))</f>
        <v>45769</v>
      </c>
      <c r="F29" s="51">
        <f>SUMIF($T$11:$T$68,E29,$S$11:$S$46)</f>
        <v>0</v>
      </c>
      <c r="G29" s="50">
        <f>IF(E29="","",IF(MONTH(E29+1)&lt;&gt;MONTH(E29),"",E29+1))</f>
        <v>45770</v>
      </c>
      <c r="H29" s="51">
        <f>SUMIF($T$11:$T$68,G29,$S$11:$S$46)</f>
        <v>-98</v>
      </c>
      <c r="I29" s="50">
        <f>IF(G29="","",IF(MONTH(G29+1)&lt;&gt;MONTH(G29),"",G29+1))</f>
        <v>45771</v>
      </c>
      <c r="J29" s="51">
        <f>SUMIF($T$11:$T$68,I29,$S$11:$S$46)</f>
        <v>0</v>
      </c>
      <c r="K29" s="50">
        <f>IF(I29="","",IF(MONTH(I29+1)&lt;&gt;MONTH(I29),"",I29+1))</f>
        <v>45772</v>
      </c>
      <c r="L29" s="51">
        <f>SUMIF($T$11:$T$68,K29,$S$11:$S$46)</f>
        <v>-29.34</v>
      </c>
      <c r="M29" s="50">
        <f>IF(K29="","",IF(MONTH(K29+1)&lt;&gt;MONTH(K29),"",K29+1))</f>
        <v>45773</v>
      </c>
      <c r="N29" s="51">
        <f>SUMIF($T$11:$T$68,M29,$S$11:$S$46)</f>
        <v>0</v>
      </c>
      <c r="O29" s="23"/>
      <c r="P29" s="319" t="s">
        <v>49</v>
      </c>
      <c r="Q29" s="320"/>
      <c r="R29" s="321"/>
      <c r="S29" s="322"/>
      <c r="T29" s="323" t="str">
        <f t="shared" si="1"/>
        <v>-</v>
      </c>
      <c r="U29" s="64"/>
      <c r="V29" s="23"/>
      <c r="W29" s="64"/>
      <c r="X29" s="303"/>
      <c r="Y29" s="23"/>
      <c r="Z29" s="23"/>
    </row>
    <row r="30" ht="18.75" customHeight="1">
      <c r="A30" s="55"/>
      <c r="B30" s="56"/>
      <c r="C30" s="55"/>
      <c r="D30" s="57"/>
      <c r="E30" s="55"/>
      <c r="F30" s="56"/>
      <c r="G30" s="58"/>
      <c r="H30" s="57"/>
      <c r="I30" s="58"/>
      <c r="J30" s="57"/>
      <c r="K30" s="55"/>
      <c r="L30" s="57"/>
      <c r="M30" s="58"/>
      <c r="N30" s="57"/>
      <c r="O30" s="23"/>
      <c r="P30" s="398" t="s">
        <v>89</v>
      </c>
      <c r="Q30" s="399"/>
      <c r="R30" s="400">
        <v>18.0</v>
      </c>
      <c r="S30" s="393">
        <f t="array" ref="S30">-INDEX(PaymentSchedule!$E$21:$AG875,MATCH(PaymentSchedule!$B$24,PaymentSchedule!$B$21:$B$100),MATCH($P30,PaymentSchedule!$E$19:$AG$19,0))</f>
        <v>-206</v>
      </c>
      <c r="T30" s="394">
        <f t="shared" si="1"/>
        <v>45765</v>
      </c>
      <c r="U30" s="64"/>
      <c r="V30" s="23"/>
      <c r="W30" s="64"/>
      <c r="X30" s="303"/>
      <c r="Y30" s="23"/>
      <c r="Z30" s="23"/>
    </row>
    <row r="31" ht="18.75" customHeight="1">
      <c r="A31" s="55"/>
      <c r="B31" s="56"/>
      <c r="C31" s="55"/>
      <c r="D31" s="56"/>
      <c r="E31" s="55"/>
      <c r="F31" s="56"/>
      <c r="G31" s="55"/>
      <c r="H31" s="56"/>
      <c r="I31" s="55"/>
      <c r="J31" s="57"/>
      <c r="K31" s="55"/>
      <c r="L31" s="57"/>
      <c r="M31" s="58"/>
      <c r="N31" s="57"/>
      <c r="O31" s="23"/>
      <c r="P31" s="390" t="s">
        <v>85</v>
      </c>
      <c r="Q31" s="402"/>
      <c r="R31" s="392">
        <v>6.0</v>
      </c>
      <c r="S31" s="393">
        <f t="array" ref="S31">-INDEX(PaymentSchedule!$E$21:$AG875,MATCH(PaymentSchedule!$B$24,PaymentSchedule!$B$21:$B$100),MATCH($P31,PaymentSchedule!$E$19:$AG$19,0))</f>
        <v>-109</v>
      </c>
      <c r="T31" s="394">
        <f t="shared" si="1"/>
        <v>45753</v>
      </c>
      <c r="U31" s="64"/>
      <c r="V31" s="23"/>
      <c r="W31" s="64"/>
      <c r="X31" s="303"/>
      <c r="Y31" s="23"/>
      <c r="Z31" s="23"/>
    </row>
    <row r="32" ht="18.75" customHeight="1">
      <c r="A32" s="55"/>
      <c r="B32" s="56"/>
      <c r="C32" s="55"/>
      <c r="D32" s="56"/>
      <c r="E32" s="55"/>
      <c r="F32" s="56"/>
      <c r="G32" s="55"/>
      <c r="H32" s="56"/>
      <c r="I32" s="55"/>
      <c r="J32" s="56"/>
      <c r="K32" s="55"/>
      <c r="L32" s="57"/>
      <c r="M32" s="58" t="s">
        <v>139</v>
      </c>
      <c r="N32" s="57">
        <v>-98.94</v>
      </c>
      <c r="O32" s="23"/>
      <c r="P32" s="398" t="s">
        <v>86</v>
      </c>
      <c r="Q32" s="399"/>
      <c r="R32" s="400">
        <v>8.0</v>
      </c>
      <c r="S32" s="393">
        <f t="array" ref="S32">-INDEX(PaymentSchedule!$E$21:$AG875,MATCH(PaymentSchedule!$B$24,PaymentSchedule!$B$21:$B$100),MATCH($P32,PaymentSchedule!$E$19:$AG$19,0))</f>
        <v>-791.16</v>
      </c>
      <c r="T32" s="394">
        <f t="shared" si="1"/>
        <v>45755</v>
      </c>
      <c r="U32" s="64"/>
      <c r="V32" s="23"/>
      <c r="W32" s="64"/>
      <c r="X32" s="303"/>
      <c r="Y32" s="23"/>
      <c r="Z32" s="23"/>
    </row>
    <row r="33" ht="18.75" customHeight="1">
      <c r="A33" s="55"/>
      <c r="B33" s="56"/>
      <c r="C33" s="55"/>
      <c r="D33" s="56"/>
      <c r="E33" s="55"/>
      <c r="F33" s="56"/>
      <c r="G33" s="55"/>
      <c r="H33" s="56"/>
      <c r="I33" s="55"/>
      <c r="J33" s="56"/>
      <c r="K33" s="55"/>
      <c r="L33" s="56"/>
      <c r="M33" s="55"/>
      <c r="N33" s="56"/>
      <c r="O33" s="23"/>
      <c r="P33" s="398" t="s">
        <v>20</v>
      </c>
      <c r="Q33" s="399"/>
      <c r="R33" s="400">
        <v>4.0</v>
      </c>
      <c r="S33" s="393">
        <f t="array" ref="S33">-INDEX(PaymentSchedule!$E$21:$AG875,MATCH(PaymentSchedule!$B$24,PaymentSchedule!$B$21:$B$100),MATCH($P33,PaymentSchedule!$E$19:$AG$19,0))</f>
        <v>-1487.37</v>
      </c>
      <c r="T33" s="394">
        <f t="shared" si="1"/>
        <v>45751</v>
      </c>
      <c r="U33" s="64"/>
      <c r="V33" s="23"/>
      <c r="W33" s="64"/>
      <c r="X33" s="303"/>
      <c r="Y33" s="23"/>
      <c r="Z33" s="23"/>
    </row>
    <row r="34" ht="18.75" customHeight="1">
      <c r="A34" s="66" t="s">
        <v>22</v>
      </c>
      <c r="B34" s="67">
        <f>N28+SUM(B29:B33)</f>
        <v>2262.54</v>
      </c>
      <c r="C34" s="66"/>
      <c r="D34" s="67">
        <f>B34+SUM(D29:D33)</f>
        <v>2262.54</v>
      </c>
      <c r="E34" s="66"/>
      <c r="F34" s="67">
        <f>D34+SUM(F29:F33)</f>
        <v>2262.54</v>
      </c>
      <c r="G34" s="66"/>
      <c r="H34" s="67">
        <f>F34+SUM(H29:H33)</f>
        <v>2164.54</v>
      </c>
      <c r="I34" s="66"/>
      <c r="J34" s="67">
        <f>H34+SUM(J29:J33)</f>
        <v>2164.54</v>
      </c>
      <c r="K34" s="66"/>
      <c r="L34" s="67">
        <f>J34+SUM(L29:L33)</f>
        <v>2135.2</v>
      </c>
      <c r="M34" s="66"/>
      <c r="N34" s="67">
        <f>L34+SUM(N29:N33)</f>
        <v>2036.26</v>
      </c>
      <c r="O34" s="68"/>
      <c r="P34" s="385" t="s">
        <v>51</v>
      </c>
      <c r="Q34" s="386"/>
      <c r="R34" s="387">
        <v>8.0</v>
      </c>
      <c r="S34" s="388">
        <v>-26.99</v>
      </c>
      <c r="T34" s="384">
        <f t="shared" si="1"/>
        <v>45755</v>
      </c>
      <c r="U34" s="71"/>
      <c r="V34" s="69"/>
      <c r="W34" s="71"/>
      <c r="X34" s="309"/>
      <c r="Y34" s="69"/>
      <c r="Z34" s="69"/>
    </row>
    <row r="35" ht="18.75" customHeight="1">
      <c r="A35" s="50">
        <f>IF(M29="","",IF(MONTH(M29+1)&lt;&gt;MONTH(M29),"",M29+1))</f>
        <v>45774</v>
      </c>
      <c r="B35" s="51">
        <f>SUMIF($T$11:$T$68,A35,$S$11:$S$46)</f>
        <v>0</v>
      </c>
      <c r="C35" s="50">
        <f>IF(A35="","",IF(MONTH(A35+1)&lt;&gt;MONTH(A35),"",A35+1))</f>
        <v>45775</v>
      </c>
      <c r="D35" s="51">
        <f>SUMIF($T$11:$T$68,C35,$S$11:$S$46)</f>
        <v>-189.57</v>
      </c>
      <c r="E35" s="50">
        <f>IF(C35="","",IF(MONTH(C35+1)&lt;&gt;MONTH(C35),"",C35+1))</f>
        <v>45776</v>
      </c>
      <c r="F35" s="51">
        <f>SUMIF($T$11:$T$68,E35,$S$11:$S$46)</f>
        <v>-21.59</v>
      </c>
      <c r="G35" s="50">
        <f>IF(E35="","",IF(MONTH(E35+1)&lt;&gt;MONTH(E35),"",E35+1))</f>
        <v>45777</v>
      </c>
      <c r="H35" s="51">
        <f>SUMIF($T$11:$T$68,G35,$S$11:$S$46)</f>
        <v>-335.72</v>
      </c>
      <c r="I35" s="50" t="str">
        <f>IF(G35="","",IF(MONTH(G35+1)&lt;&gt;MONTH(G35),"",G35+1))</f>
        <v/>
      </c>
      <c r="J35" s="51">
        <f>SUMIF($T$11:$T$68,I35,$S$11:$S$46)</f>
        <v>0</v>
      </c>
      <c r="K35" s="50" t="str">
        <f>IF(I35="","",IF(MONTH(I35+1)&lt;&gt;MONTH(I35),"",I35+1))</f>
        <v/>
      </c>
      <c r="L35" s="51">
        <f>SUMIF($T$11:$T$68,K35,$S$11:$S$46)</f>
        <v>0</v>
      </c>
      <c r="M35" s="50" t="str">
        <f>IF(K35="","",IF(MONTH(K35+1)&lt;&gt;MONTH(K35),"",K35+1))</f>
        <v/>
      </c>
      <c r="N35" s="51">
        <f>SUMIF($T$11:$T$68,M35,$S$11:$S$46)</f>
        <v>0</v>
      </c>
      <c r="O35" s="23"/>
      <c r="P35" s="385" t="s">
        <v>53</v>
      </c>
      <c r="Q35" s="386"/>
      <c r="R35" s="387">
        <v>28.0</v>
      </c>
      <c r="S35" s="388">
        <v>-3.0</v>
      </c>
      <c r="T35" s="384">
        <f t="shared" si="1"/>
        <v>45775</v>
      </c>
      <c r="U35" s="64"/>
      <c r="V35" s="23"/>
      <c r="W35" s="64"/>
      <c r="X35" s="303"/>
      <c r="Y35" s="23"/>
      <c r="Z35" s="23"/>
    </row>
    <row r="36" ht="18.75" customHeight="1">
      <c r="A36" s="55"/>
      <c r="B36" s="56"/>
      <c r="C36" s="58"/>
      <c r="D36" s="57"/>
      <c r="E36" s="58" t="s">
        <v>163</v>
      </c>
      <c r="F36" s="57">
        <v>-60.0</v>
      </c>
      <c r="G36" s="58"/>
      <c r="H36" s="57">
        <v>2225.0</v>
      </c>
      <c r="I36" s="55"/>
      <c r="J36" s="56"/>
      <c r="K36" s="55"/>
      <c r="L36" s="56"/>
      <c r="M36" s="55"/>
      <c r="N36" s="56"/>
      <c r="O36" s="23"/>
      <c r="P36" s="385" t="s">
        <v>27</v>
      </c>
      <c r="Q36" s="386"/>
      <c r="R36" s="387">
        <v>4.0</v>
      </c>
      <c r="S36" s="388">
        <v>-33.0</v>
      </c>
      <c r="T36" s="384">
        <f t="shared" si="1"/>
        <v>45751</v>
      </c>
      <c r="U36" s="64"/>
      <c r="V36" s="23"/>
      <c r="W36" s="64"/>
      <c r="X36" s="303"/>
      <c r="Y36" s="23"/>
      <c r="Z36" s="23"/>
    </row>
    <row r="37" ht="18.75" customHeight="1">
      <c r="A37" s="55"/>
      <c r="B37" s="56"/>
      <c r="C37" s="58" t="s">
        <v>160</v>
      </c>
      <c r="D37" s="57">
        <v>-16.2</v>
      </c>
      <c r="E37" s="58"/>
      <c r="F37" s="57"/>
      <c r="G37" s="55"/>
      <c r="H37" s="56"/>
      <c r="I37" s="55"/>
      <c r="J37" s="56"/>
      <c r="K37" s="55"/>
      <c r="L37" s="56"/>
      <c r="M37" s="55"/>
      <c r="N37" s="56"/>
      <c r="O37" s="23"/>
      <c r="P37" s="414" t="s">
        <v>164</v>
      </c>
      <c r="Q37" s="415"/>
      <c r="R37" s="416">
        <v>5.0</v>
      </c>
      <c r="S37" s="383">
        <v>-50.0</v>
      </c>
      <c r="T37" s="384">
        <f t="shared" si="1"/>
        <v>45752</v>
      </c>
      <c r="U37" s="64"/>
      <c r="V37" s="23"/>
      <c r="W37" s="64"/>
      <c r="X37" s="303"/>
      <c r="Y37" s="23"/>
      <c r="Z37" s="23"/>
    </row>
    <row r="38" ht="18.75" customHeight="1">
      <c r="A38" s="55"/>
      <c r="B38" s="56"/>
      <c r="C38" s="58" t="s">
        <v>161</v>
      </c>
      <c r="D38" s="57">
        <v>-20.9</v>
      </c>
      <c r="E38" s="58"/>
      <c r="F38" s="57"/>
      <c r="G38" s="55"/>
      <c r="H38" s="56"/>
      <c r="I38" s="55"/>
      <c r="J38" s="56"/>
      <c r="K38" s="55"/>
      <c r="L38" s="56"/>
      <c r="M38" s="55"/>
      <c r="N38" s="56"/>
      <c r="O38" s="23"/>
      <c r="P38" s="406"/>
      <c r="Q38" s="368"/>
      <c r="R38" s="408"/>
      <c r="S38" s="409"/>
      <c r="T38" s="323"/>
      <c r="U38" s="64"/>
      <c r="V38" s="23"/>
      <c r="W38" s="64"/>
      <c r="X38" s="303"/>
      <c r="Y38" s="23"/>
      <c r="Z38" s="23"/>
    </row>
    <row r="39" ht="18.75" customHeight="1">
      <c r="A39" s="55"/>
      <c r="B39" s="56"/>
      <c r="C39" s="55"/>
      <c r="D39" s="56"/>
      <c r="E39" s="55"/>
      <c r="F39" s="56"/>
      <c r="G39" s="55"/>
      <c r="H39" s="56"/>
      <c r="I39" s="55"/>
      <c r="J39" s="56"/>
      <c r="K39" s="55"/>
      <c r="L39" s="56"/>
      <c r="M39" s="55"/>
      <c r="N39" s="56"/>
      <c r="O39" s="23"/>
      <c r="P39" s="398" t="s">
        <v>37</v>
      </c>
      <c r="Q39" s="399"/>
      <c r="R39" s="400">
        <v>8.0</v>
      </c>
      <c r="S39" s="393">
        <v>-83.0</v>
      </c>
      <c r="T39" s="394">
        <f t="shared" ref="T39:T48" si="2">IF(ISBLANK(R39),"-",IF(R39&gt;DAY(EOMONTH(DATE($B$2,$E$2,1),0)),EOMONTH(DATE($B$2,$E$2,1),0),DATE($B$2,$E$2,R39)))</f>
        <v>45755</v>
      </c>
      <c r="U39" s="64"/>
      <c r="V39" s="23"/>
      <c r="W39" s="64"/>
      <c r="X39" s="303"/>
      <c r="Y39" s="23"/>
      <c r="Z39" s="23"/>
    </row>
    <row r="40" ht="18.75" customHeight="1">
      <c r="A40" s="66" t="s">
        <v>22</v>
      </c>
      <c r="B40" s="67">
        <f>N34+SUM(B35:B39)</f>
        <v>2036.26</v>
      </c>
      <c r="C40" s="66"/>
      <c r="D40" s="67">
        <f>B40+SUM(D35:D39)</f>
        <v>1809.59</v>
      </c>
      <c r="E40" s="66"/>
      <c r="F40" s="67">
        <f>D40+SUM(F35:F39)</f>
        <v>1728</v>
      </c>
      <c r="G40" s="66"/>
      <c r="H40" s="67">
        <f>F40+SUM(H35:H39)</f>
        <v>3617.28</v>
      </c>
      <c r="I40" s="66"/>
      <c r="J40" s="67">
        <f>H40+SUM(J35:J39)</f>
        <v>3617.28</v>
      </c>
      <c r="K40" s="66"/>
      <c r="L40" s="67">
        <f>J40+SUM(L35:L39)</f>
        <v>3617.28</v>
      </c>
      <c r="M40" s="66"/>
      <c r="N40" s="67">
        <f>L40+SUM(N35:N39)</f>
        <v>3617.28</v>
      </c>
      <c r="O40" s="68"/>
      <c r="P40" s="385" t="s">
        <v>38</v>
      </c>
      <c r="Q40" s="386"/>
      <c r="R40" s="387">
        <v>10.0</v>
      </c>
      <c r="S40" s="388">
        <v>-50.0</v>
      </c>
      <c r="T40" s="384">
        <f t="shared" si="2"/>
        <v>45757</v>
      </c>
      <c r="U40" s="71"/>
      <c r="V40" s="69"/>
      <c r="W40" s="71"/>
      <c r="X40" s="309"/>
      <c r="Y40" s="69"/>
      <c r="Z40" s="69"/>
    </row>
    <row r="41" ht="18.75" customHeight="1">
      <c r="A41" s="50" t="str">
        <f>IF(M35="","",IF(MONTH(M35+1)&lt;&gt;MONTH(M35),"",M35+1))</f>
        <v/>
      </c>
      <c r="B41" s="51">
        <f>SUMIF($T$11:$T$68,A41,$S$11:$S$46)</f>
        <v>0</v>
      </c>
      <c r="C41" s="50" t="str">
        <f>IF(A41="","",IF(MONTH(A41+1)&lt;&gt;MONTH(A41),"",A41+1))</f>
        <v/>
      </c>
      <c r="D41" s="51">
        <f>SUMIF($T$11:$T$68,C41,$S$11:$S$46)</f>
        <v>0</v>
      </c>
      <c r="E41" s="77"/>
      <c r="F41" s="77" t="s">
        <v>50</v>
      </c>
      <c r="G41" s="77"/>
      <c r="H41" s="77"/>
      <c r="I41" s="77"/>
      <c r="J41" s="77"/>
      <c r="K41" s="77"/>
      <c r="L41" s="77"/>
      <c r="M41" s="77"/>
      <c r="N41" s="77"/>
      <c r="P41" s="398" t="s">
        <v>36</v>
      </c>
      <c r="Q41" s="399"/>
      <c r="R41" s="400">
        <v>8.0</v>
      </c>
      <c r="S41" s="393">
        <f t="array" ref="S41">-INDEX(PaymentSchedule!$E$21:$AG875,MATCH(PaymentSchedule!$B$24,PaymentSchedule!$B$21:$B$100),MATCH($P41,PaymentSchedule!$E$19:$AG$19,0))</f>
        <v>-450.08</v>
      </c>
      <c r="T41" s="394">
        <f t="shared" si="2"/>
        <v>45755</v>
      </c>
      <c r="V41" s="313"/>
      <c r="X41" s="314"/>
    </row>
    <row r="42" ht="18.75" customHeight="1">
      <c r="A42" s="55"/>
      <c r="B42" s="56"/>
      <c r="C42" s="55"/>
      <c r="D42" s="56"/>
      <c r="E42" s="77"/>
      <c r="F42" s="77" t="s">
        <v>52</v>
      </c>
      <c r="G42" s="77"/>
      <c r="H42" s="77"/>
      <c r="I42" s="77"/>
      <c r="J42" s="77"/>
      <c r="K42" s="77"/>
      <c r="L42" s="77"/>
      <c r="M42" s="77"/>
      <c r="N42" s="77"/>
      <c r="P42" s="385" t="s">
        <v>57</v>
      </c>
      <c r="Q42" s="386"/>
      <c r="R42" s="387">
        <v>30.0</v>
      </c>
      <c r="S42" s="388">
        <v>-226.72</v>
      </c>
      <c r="T42" s="384">
        <f t="shared" si="2"/>
        <v>45777</v>
      </c>
      <c r="V42" s="313"/>
      <c r="X42" s="314"/>
    </row>
    <row r="43" ht="18.75" customHeight="1">
      <c r="A43" s="55"/>
      <c r="B43" s="56"/>
      <c r="C43" s="55"/>
      <c r="D43" s="56"/>
      <c r="E43" s="77"/>
      <c r="F43" s="77"/>
      <c r="G43" s="77"/>
      <c r="H43" s="77"/>
      <c r="I43" s="77"/>
      <c r="J43" s="77"/>
      <c r="K43" s="77"/>
      <c r="L43" s="77"/>
      <c r="M43" s="77"/>
      <c r="N43" s="77"/>
      <c r="P43" s="385" t="s">
        <v>24</v>
      </c>
      <c r="Q43" s="386"/>
      <c r="R43" s="387">
        <v>1.0</v>
      </c>
      <c r="S43" s="388">
        <v>-57.0</v>
      </c>
      <c r="T43" s="384">
        <f t="shared" si="2"/>
        <v>45748</v>
      </c>
      <c r="V43" s="313"/>
    </row>
    <row r="44" ht="18.75" customHeight="1">
      <c r="A44" s="55"/>
      <c r="B44" s="56"/>
      <c r="C44" s="55"/>
      <c r="D44" s="56"/>
      <c r="E44" s="77"/>
      <c r="F44" s="77"/>
      <c r="G44" s="77"/>
      <c r="H44" s="77"/>
      <c r="I44" s="77"/>
      <c r="J44" s="77"/>
      <c r="K44" s="77"/>
      <c r="L44" s="77"/>
      <c r="M44" s="77"/>
      <c r="N44" s="77"/>
      <c r="P44" s="385" t="s">
        <v>26</v>
      </c>
      <c r="Q44" s="386"/>
      <c r="R44" s="387">
        <v>2.0</v>
      </c>
      <c r="S44" s="388">
        <v>-98.0</v>
      </c>
      <c r="T44" s="384">
        <f t="shared" si="2"/>
        <v>45749</v>
      </c>
      <c r="V44" s="313"/>
      <c r="X44" s="314"/>
    </row>
    <row r="45" ht="18.75" customHeight="1">
      <c r="A45" s="55"/>
      <c r="B45" s="56"/>
      <c r="C45" s="55"/>
      <c r="D45" s="56"/>
      <c r="E45" s="77"/>
      <c r="F45" s="77"/>
      <c r="G45" s="77"/>
      <c r="H45" s="77"/>
      <c r="I45" s="77"/>
      <c r="J45" s="77"/>
      <c r="K45" s="77"/>
      <c r="L45" s="77"/>
      <c r="M45" s="77"/>
      <c r="N45" s="77"/>
      <c r="P45" s="385" t="s">
        <v>26</v>
      </c>
      <c r="Q45" s="386"/>
      <c r="R45" s="387">
        <v>9.0</v>
      </c>
      <c r="S45" s="388">
        <v>-98.0</v>
      </c>
      <c r="T45" s="384">
        <f t="shared" si="2"/>
        <v>45756</v>
      </c>
    </row>
    <row r="46" ht="18.75" customHeight="1">
      <c r="A46" s="66" t="s">
        <v>22</v>
      </c>
      <c r="B46" s="67">
        <f>N40+SUM(B41:B45)</f>
        <v>3617.28</v>
      </c>
      <c r="C46" s="66"/>
      <c r="D46" s="67">
        <f>B46+SUM(D41:D45)</f>
        <v>3617.28</v>
      </c>
      <c r="E46" s="77"/>
      <c r="F46" s="77"/>
      <c r="G46" s="77"/>
      <c r="H46" s="77"/>
      <c r="I46" s="77"/>
      <c r="J46" s="77"/>
      <c r="K46" s="77"/>
      <c r="L46" s="77"/>
      <c r="M46" s="77"/>
      <c r="N46" s="77"/>
      <c r="P46" s="385" t="s">
        <v>26</v>
      </c>
      <c r="Q46" s="386"/>
      <c r="R46" s="387">
        <v>16.0</v>
      </c>
      <c r="S46" s="388">
        <v>-98.0</v>
      </c>
      <c r="T46" s="384">
        <f t="shared" si="2"/>
        <v>45763</v>
      </c>
    </row>
    <row r="47" ht="12.75" customHeight="1">
      <c r="P47" s="385" t="s">
        <v>26</v>
      </c>
      <c r="Q47" s="386"/>
      <c r="R47" s="387">
        <v>23.0</v>
      </c>
      <c r="S47" s="388">
        <v>-98.0</v>
      </c>
      <c r="T47" s="384">
        <f t="shared" si="2"/>
        <v>45770</v>
      </c>
    </row>
    <row r="48" ht="12.75" customHeight="1">
      <c r="P48" s="385" t="s">
        <v>26</v>
      </c>
      <c r="Q48" s="386"/>
      <c r="R48" s="387">
        <v>30.0</v>
      </c>
      <c r="S48" s="388">
        <v>-98.0</v>
      </c>
      <c r="T48" s="384">
        <f t="shared" si="2"/>
        <v>45777</v>
      </c>
    </row>
    <row r="49" ht="12.75" customHeight="1">
      <c r="P49" s="319"/>
      <c r="Q49" s="320"/>
      <c r="R49" s="321"/>
      <c r="S49" s="322"/>
      <c r="T49" s="323"/>
    </row>
    <row r="50" ht="12.75" customHeight="1">
      <c r="P50" s="367"/>
      <c r="Q50" s="407"/>
      <c r="R50" s="405"/>
      <c r="S50" s="409"/>
      <c r="T50" s="323" t="str">
        <f t="shared" ref="T50:T51" si="3">IF(ISBLANK(R50),"-",IF(R50&gt;DAY(EOMONTH(DATE($B$2,$E$2,1),0)),EOMONTH(DATE($B$2,$E$2,1),0),DATE($B$2,$E$2,R50)))</f>
        <v>-</v>
      </c>
    </row>
    <row r="51" ht="12.75" customHeight="1">
      <c r="P51" s="332"/>
      <c r="Q51" s="333"/>
      <c r="R51" s="334"/>
      <c r="S51" s="335"/>
      <c r="T51" s="323" t="str">
        <f t="shared" si="3"/>
        <v>-</v>
      </c>
    </row>
    <row r="52" ht="12.75" customHeight="1">
      <c r="P52" s="332"/>
      <c r="Q52" s="333"/>
      <c r="R52" s="334"/>
      <c r="S52" s="335"/>
      <c r="T52" s="323" t="str">
        <f t="shared" ref="T52:T57" si="4">IF(ISBLANK(R52),"-",IF(R52&gt;DAY(EOMONTH(DATE($B$2,$E$2,1),0)),EOMONTH(DATE($B$2,$E$2,1),0),DATE($B$2,$E$2,$R$47)))</f>
        <v>-</v>
      </c>
    </row>
    <row r="53" ht="12.75" customHeight="1">
      <c r="P53" s="319"/>
      <c r="Q53" s="320"/>
      <c r="R53" s="321"/>
      <c r="S53" s="322"/>
      <c r="T53" s="323" t="str">
        <f t="shared" si="4"/>
        <v>-</v>
      </c>
    </row>
    <row r="54" ht="12.75" customHeight="1">
      <c r="P54" s="332"/>
      <c r="Q54" s="333"/>
      <c r="R54" s="334"/>
      <c r="S54" s="335"/>
      <c r="T54" s="323" t="str">
        <f t="shared" si="4"/>
        <v>-</v>
      </c>
    </row>
    <row r="55" ht="12.75" customHeight="1">
      <c r="P55" s="332"/>
      <c r="Q55" s="333"/>
      <c r="R55" s="334"/>
      <c r="S55" s="335"/>
      <c r="T55" s="323" t="str">
        <f t="shared" si="4"/>
        <v>-</v>
      </c>
    </row>
    <row r="56" ht="12.75" customHeight="1">
      <c r="P56" s="332"/>
      <c r="Q56" s="333"/>
      <c r="R56" s="334"/>
      <c r="S56" s="335"/>
      <c r="T56" s="323" t="str">
        <f t="shared" si="4"/>
        <v>-</v>
      </c>
    </row>
    <row r="57" ht="12.75" customHeight="1">
      <c r="P57" s="332"/>
      <c r="Q57" s="333"/>
      <c r="R57" s="334"/>
      <c r="S57" s="335"/>
      <c r="T57" s="323" t="str">
        <f t="shared" si="4"/>
        <v>-</v>
      </c>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row>
    <row r="873" ht="12.75" customHeight="1">
      <c r="R873" s="336"/>
    </row>
    <row r="874" ht="12.75" customHeight="1">
      <c r="R874" s="336"/>
    </row>
    <row r="875" ht="12.75" customHeight="1">
      <c r="R875" s="336"/>
    </row>
  </sheetData>
  <mergeCells count="11">
    <mergeCell ref="G9:H9"/>
    <mergeCell ref="I9:J9"/>
    <mergeCell ref="K9:L9"/>
    <mergeCell ref="M9:N9"/>
    <mergeCell ref="M5:N5"/>
    <mergeCell ref="S5:T5"/>
    <mergeCell ref="M6:N6"/>
    <mergeCell ref="S6:T6"/>
    <mergeCell ref="A9:B9"/>
    <mergeCell ref="C9:D9"/>
    <mergeCell ref="E9:F9"/>
  </mergeCells>
  <conditionalFormatting sqref="S1:S875">
    <cfRule type="cellIs" dxfId="5" priority="1" operator="lessThan">
      <formula>0</formula>
    </cfRule>
  </conditionalFormatting>
  <dataValidations>
    <dataValidation type="list" allowBlank="1" showErrorMessage="1" sqref="Q12:Q57">
      <formula1>"✔"</formula1>
    </dataValidation>
    <dataValidation type="custom" allowBlank="1" showDropDown="1" sqref="T12:T57">
      <formula1>OR(NOT(ISERROR(DATEVALUE(T12))), AND(ISNUMBER(T12), LEFT(CELL("format", T12))="D"))</formula1>
    </dataValidation>
  </dataValidations>
  <hyperlinks>
    <hyperlink r:id="rId1" ref="T3"/>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13"/>
    <col customWidth="1" min="2" max="2" width="8.63"/>
    <col customWidth="1" min="3" max="3" width="8.5"/>
    <col customWidth="1" min="4" max="4" width="8.63"/>
    <col customWidth="1" min="5" max="5" width="9.0"/>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5.75"/>
    <col customWidth="1" min="21" max="22" width="8.63"/>
    <col customWidth="1" min="23" max="23" width="24.5"/>
    <col customWidth="1" min="24" max="24" width="14.38"/>
    <col customWidth="1" min="25" max="27"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2024.0</v>
      </c>
      <c r="C2" s="3"/>
      <c r="D2" s="9" t="s">
        <v>2</v>
      </c>
      <c r="E2" s="10">
        <v>12.0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17"/>
      <c r="P3" s="6"/>
      <c r="Q3" s="418"/>
      <c r="R3" s="419"/>
      <c r="S3" s="281"/>
      <c r="T3" s="17"/>
    </row>
    <row r="4" ht="12.75" customHeight="1">
      <c r="N4" s="18"/>
      <c r="P4" s="19"/>
      <c r="Q4" s="19"/>
      <c r="R4" s="285"/>
      <c r="S4" s="286"/>
      <c r="T4" s="19"/>
    </row>
    <row r="5" ht="25.5" customHeight="1">
      <c r="A5" s="21" t="str">
        <f>UPPER(TEXT(B8,"mmmm yyyy"))</f>
        <v>DECEMBER 2024</v>
      </c>
      <c r="B5" s="22"/>
      <c r="C5" s="22"/>
      <c r="D5" s="22"/>
      <c r="E5" s="22"/>
      <c r="F5" s="22"/>
      <c r="G5" s="22"/>
      <c r="H5" s="23"/>
      <c r="I5" s="23"/>
      <c r="J5" s="23"/>
      <c r="K5" s="22"/>
      <c r="L5" s="24" t="s">
        <v>7</v>
      </c>
      <c r="M5" s="25">
        <f>'Nov 2024'!D46</f>
        <v>4742.997</v>
      </c>
      <c r="N5" s="26"/>
      <c r="O5" s="23"/>
      <c r="P5" s="27"/>
      <c r="Q5" s="27"/>
      <c r="R5" s="287" t="s">
        <v>8</v>
      </c>
      <c r="S5" s="288">
        <f>SUMIF(A18:N21,"&gt;0")+SUMIF(A24:N27,"&gt;0")+SUMIF(A30:N33,"&gt;0")+SUMIF(A36:N39,"&gt;0")+SUMIF(A42:D45,"&gt;0")+SUMIF(S12:S49,"&gt;0")+SUMIF(A12:N15,"&gt;0")</f>
        <v>5734.89</v>
      </c>
      <c r="U5" s="23"/>
      <c r="V5" s="289">
        <f>sum(S5+S6)</f>
        <v>-988.38</v>
      </c>
      <c r="W5" s="23"/>
      <c r="X5" s="23"/>
      <c r="Y5" s="23"/>
      <c r="Z5" s="23"/>
      <c r="AA5" s="23"/>
    </row>
    <row r="6" ht="25.5" customHeight="1">
      <c r="A6" s="31"/>
      <c r="B6" s="31"/>
      <c r="C6" s="31"/>
      <c r="D6" s="31"/>
      <c r="E6" s="31"/>
      <c r="F6" s="32"/>
      <c r="G6" s="33"/>
      <c r="H6" s="34"/>
      <c r="I6" s="34"/>
      <c r="J6" s="34"/>
      <c r="K6" s="31"/>
      <c r="L6" s="24" t="s">
        <v>9</v>
      </c>
      <c r="M6" s="35">
        <f>D46</f>
        <v>3773.84</v>
      </c>
      <c r="O6" s="34"/>
      <c r="P6" s="36"/>
      <c r="Q6" s="36"/>
      <c r="R6" s="287" t="s">
        <v>10</v>
      </c>
      <c r="S6" s="288">
        <f>SUMIF(A18:N21,"&lt;0")+SUMIF(A24:N27,"&lt;0")+SUMIF(A30:N33,"&lt;0")+SUMIF(A36:N39,"&lt;0")+SUMIF(A42:D45,"&lt;0")+SUMIF(S12:S206,"&lt;0")+SUMIF(A12:N15,"&lt;0")</f>
        <v>-6723.27</v>
      </c>
      <c r="U6" s="34"/>
      <c r="V6" s="34"/>
      <c r="W6" s="34"/>
      <c r="X6" s="420" t="s">
        <v>165</v>
      </c>
      <c r="Y6" s="420">
        <v>133.19</v>
      </c>
      <c r="Z6" s="34"/>
      <c r="AA6" s="34"/>
    </row>
    <row r="7" ht="12.75" customHeight="1">
      <c r="A7" s="31"/>
      <c r="B7" s="31"/>
      <c r="C7" s="31"/>
      <c r="D7" s="31"/>
      <c r="E7" s="31"/>
      <c r="F7" s="31"/>
      <c r="G7" s="31"/>
      <c r="H7" s="31"/>
      <c r="I7" s="31"/>
      <c r="J7" s="31"/>
      <c r="K7" s="31"/>
      <c r="L7" s="31"/>
      <c r="M7" s="31"/>
      <c r="N7" s="31"/>
      <c r="O7" s="34"/>
      <c r="P7" s="36"/>
      <c r="Q7" s="36"/>
      <c r="R7" s="290"/>
      <c r="S7" s="291"/>
      <c r="T7" s="36"/>
      <c r="U7" s="34"/>
      <c r="V7" s="34"/>
      <c r="W7" s="34"/>
      <c r="X7" s="420" t="s">
        <v>166</v>
      </c>
      <c r="Y7" s="420">
        <v>293.44</v>
      </c>
      <c r="Z7" s="34"/>
      <c r="AA7" s="34"/>
    </row>
    <row r="8" ht="12.75" hidden="1" customHeight="1">
      <c r="A8" s="34" t="s">
        <v>11</v>
      </c>
      <c r="B8" s="38">
        <f>DATE(B2,E2,1)</f>
        <v>45627</v>
      </c>
      <c r="C8" s="34"/>
      <c r="D8" s="34"/>
      <c r="E8" s="34"/>
      <c r="F8" s="34"/>
      <c r="G8" s="34"/>
      <c r="H8" s="34"/>
      <c r="I8" s="34"/>
      <c r="J8" s="34"/>
      <c r="K8" s="34"/>
      <c r="L8" s="34"/>
      <c r="M8" s="34"/>
      <c r="N8" s="34"/>
      <c r="O8" s="34"/>
      <c r="P8" s="36"/>
      <c r="Q8" s="36"/>
      <c r="R8" s="290"/>
      <c r="S8" s="291"/>
      <c r="T8" s="36"/>
      <c r="U8" s="34"/>
      <c r="V8" s="34"/>
      <c r="W8" s="34"/>
      <c r="X8" s="34"/>
      <c r="Y8" s="34"/>
      <c r="Z8" s="34"/>
      <c r="AA8" s="34"/>
    </row>
    <row r="9" ht="18.0" customHeight="1">
      <c r="A9" s="39">
        <f>A17</f>
        <v>45634</v>
      </c>
      <c r="B9" s="40"/>
      <c r="C9" s="39">
        <f>C17</f>
        <v>45635</v>
      </c>
      <c r="D9" s="40"/>
      <c r="E9" s="39">
        <f>E17</f>
        <v>45636</v>
      </c>
      <c r="F9" s="40"/>
      <c r="G9" s="39">
        <f>G17</f>
        <v>45637</v>
      </c>
      <c r="H9" s="40"/>
      <c r="I9" s="39">
        <f>I17</f>
        <v>45638</v>
      </c>
      <c r="J9" s="40"/>
      <c r="K9" s="39">
        <f>K17</f>
        <v>45639</v>
      </c>
      <c r="L9" s="40"/>
      <c r="M9" s="39">
        <f>M17</f>
        <v>45640</v>
      </c>
      <c r="N9" s="40"/>
      <c r="O9" s="23"/>
      <c r="P9" s="41" t="s">
        <v>12</v>
      </c>
      <c r="Q9" s="42"/>
      <c r="R9" s="292"/>
      <c r="S9" s="293"/>
      <c r="T9" s="44"/>
      <c r="U9" s="23"/>
      <c r="V9" s="23"/>
      <c r="W9" s="23"/>
      <c r="X9" s="64" t="s">
        <v>167</v>
      </c>
      <c r="Y9" s="64">
        <v>175.24</v>
      </c>
      <c r="Z9" s="23"/>
      <c r="AA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64" t="s">
        <v>168</v>
      </c>
      <c r="Y10" s="64">
        <v>57.0</v>
      </c>
      <c r="Z10" s="23"/>
      <c r="AA10" s="23"/>
    </row>
    <row r="11" ht="12.75" customHeight="1">
      <c r="A11" s="50">
        <f>IF(WEEKDAY($B$8,1)=$H$2,$B$8,"")</f>
        <v>45627</v>
      </c>
      <c r="B11" s="51">
        <f>SUMIF($T$11:$T$133,A11,$S$11:$S$94)</f>
        <v>-57</v>
      </c>
      <c r="C11" s="50">
        <f>IF(A11="",IF(WEEKDAY($B$8,1)=MOD($H$2,7)+1,$B$8,""),A11+1)</f>
        <v>45628</v>
      </c>
      <c r="D11" s="51">
        <f>SUMIF($T$11:$T$133,C11,$S$11:$S$94)</f>
        <v>-150</v>
      </c>
      <c r="E11" s="50">
        <f>IF(C11="",IF(WEEKDAY($B$8,1)=MOD($H$2+1,7)+1,$B$8,""),C11+1)</f>
        <v>45629</v>
      </c>
      <c r="F11" s="51">
        <f>SUMIF($T$11:$T$133,E11,$S$11:$S$94)</f>
        <v>-1087.81</v>
      </c>
      <c r="G11" s="50">
        <f>IF(E11="",IF(WEEKDAY($B$8,1)=MOD($H$2+2,7)+1,$B$8,""),E11+1)</f>
        <v>45630</v>
      </c>
      <c r="H11" s="51">
        <f>SUMIF($T$11:$T$133,G11,$S$11:$S$94)</f>
        <v>-996.59</v>
      </c>
      <c r="I11" s="50">
        <f>IF(G11="",IF(WEEKDAY($B$8,1)=MOD($H$2+3,7)+1,$B$8,""),G11+1)</f>
        <v>45631</v>
      </c>
      <c r="J11" s="51">
        <f>SUMIF($T$11:$T$133,I11,$S$11:$S$94)</f>
        <v>-974.69</v>
      </c>
      <c r="K11" s="50">
        <f>IF(I11="",IF(WEEKDAY($B$8,1)=MOD($H$2+4,7)+1,$B$8,""),I11+1)</f>
        <v>45632</v>
      </c>
      <c r="L11" s="51">
        <f>SUMIF($T$11:$T$133,K11,$S$11:$S$94)</f>
        <v>-16.19</v>
      </c>
      <c r="M11" s="50">
        <f>IF(K11="",IF(WEEKDAY($B$8,1)=MOD($H$2+5,7)+1,$B$8,""),K11+1)</f>
        <v>45633</v>
      </c>
      <c r="N11" s="51">
        <f>SUMIF($T$11:$T$133,M11,$S$11:$S$94)</f>
        <v>0</v>
      </c>
      <c r="O11" s="23"/>
      <c r="P11" s="52" t="s">
        <v>13</v>
      </c>
      <c r="Q11" s="53" t="s">
        <v>14</v>
      </c>
      <c r="R11" s="53" t="s">
        <v>15</v>
      </c>
      <c r="S11" s="96" t="s">
        <v>16</v>
      </c>
      <c r="T11" s="53" t="s">
        <v>17</v>
      </c>
      <c r="U11" s="23"/>
      <c r="V11" s="23"/>
      <c r="W11" s="23"/>
      <c r="X11" s="23"/>
      <c r="Y11" s="23"/>
      <c r="Z11" s="23"/>
      <c r="AA11" s="23"/>
    </row>
    <row r="12" ht="18.75" customHeight="1">
      <c r="A12" s="55"/>
      <c r="B12" s="56"/>
      <c r="C12" s="58"/>
      <c r="D12" s="57"/>
      <c r="E12" s="55"/>
      <c r="F12" s="56"/>
      <c r="G12" s="55"/>
      <c r="H12" s="56"/>
      <c r="I12" s="58"/>
      <c r="J12" s="57"/>
      <c r="K12" s="55"/>
      <c r="L12" s="56"/>
      <c r="M12" s="55"/>
      <c r="N12" s="56"/>
      <c r="O12" s="23"/>
      <c r="P12" s="72" t="s">
        <v>55</v>
      </c>
      <c r="Q12" s="421"/>
      <c r="R12" s="422">
        <v>30.0</v>
      </c>
      <c r="S12" s="75">
        <v>-18.35</v>
      </c>
      <c r="T12" s="63">
        <f t="shared" ref="T12:T48" si="1">IF(ISBLANK(R12),"-",IF(R12&gt;DAY(EOMONTH(DATE($B$2,$E$2,1),0)),EOMONTH(DATE($B$2,$E$2,1),0),DATE($B$2,$E$2,R12)))</f>
        <v>45656</v>
      </c>
      <c r="U12" s="64"/>
      <c r="V12" s="23"/>
      <c r="W12" s="64"/>
      <c r="X12" s="303"/>
      <c r="Y12" s="303"/>
      <c r="Z12" s="23"/>
      <c r="AA12" s="23"/>
    </row>
    <row r="13" ht="18.75" customHeight="1">
      <c r="A13" s="55"/>
      <c r="B13" s="56"/>
      <c r="C13" s="55"/>
      <c r="D13" s="56"/>
      <c r="E13" s="55"/>
      <c r="F13" s="56"/>
      <c r="G13" s="55"/>
      <c r="H13" s="56"/>
      <c r="I13" s="55"/>
      <c r="J13" s="57"/>
      <c r="K13" s="55"/>
      <c r="L13" s="56"/>
      <c r="M13" s="55"/>
      <c r="N13" s="56"/>
      <c r="O13" s="23"/>
      <c r="P13" s="59" t="s">
        <v>29</v>
      </c>
      <c r="Q13" s="423"/>
      <c r="R13" s="424">
        <v>6.0</v>
      </c>
      <c r="S13" s="70">
        <v>-16.19</v>
      </c>
      <c r="T13" s="63">
        <f t="shared" si="1"/>
        <v>45632</v>
      </c>
      <c r="U13" s="64"/>
      <c r="V13" s="23"/>
      <c r="W13" s="64"/>
      <c r="X13" s="303"/>
      <c r="Y13" s="303">
        <v>700.0</v>
      </c>
      <c r="Z13" s="23"/>
      <c r="AA13" s="303">
        <f>sum(Y13:Y33)</f>
        <v>23</v>
      </c>
    </row>
    <row r="14" ht="18.75" customHeight="1">
      <c r="A14" s="55"/>
      <c r="B14" s="56"/>
      <c r="C14" s="55"/>
      <c r="D14" s="56"/>
      <c r="E14" s="55"/>
      <c r="F14" s="56"/>
      <c r="G14" s="55"/>
      <c r="H14" s="56"/>
      <c r="I14" s="58"/>
      <c r="J14" s="57"/>
      <c r="K14" s="55"/>
      <c r="L14" s="56"/>
      <c r="M14" s="55"/>
      <c r="N14" s="56"/>
      <c r="O14" s="23"/>
      <c r="P14" s="59" t="s">
        <v>43</v>
      </c>
      <c r="Q14" s="423"/>
      <c r="R14" s="424">
        <v>17.0</v>
      </c>
      <c r="S14" s="70">
        <v>-9.99</v>
      </c>
      <c r="T14" s="63">
        <f t="shared" si="1"/>
        <v>45643</v>
      </c>
      <c r="U14" s="64"/>
      <c r="V14" s="23"/>
      <c r="W14" s="64" t="s">
        <v>169</v>
      </c>
      <c r="X14" s="303" t="s">
        <v>167</v>
      </c>
      <c r="Y14" s="303">
        <v>-133.0</v>
      </c>
      <c r="Z14" s="23"/>
      <c r="AA14" s="23"/>
    </row>
    <row r="15" ht="18.75" customHeight="1">
      <c r="A15" s="55"/>
      <c r="B15" s="56"/>
      <c r="C15" s="55"/>
      <c r="D15" s="56"/>
      <c r="E15" s="55"/>
      <c r="F15" s="56"/>
      <c r="G15" s="55"/>
      <c r="H15" s="56"/>
      <c r="I15" s="55"/>
      <c r="J15" s="56"/>
      <c r="K15" s="55"/>
      <c r="L15" s="56"/>
      <c r="M15" s="55"/>
      <c r="N15" s="56"/>
      <c r="O15" s="23"/>
      <c r="P15" s="59" t="s">
        <v>54</v>
      </c>
      <c r="Q15" s="423"/>
      <c r="R15" s="424">
        <v>30.0</v>
      </c>
      <c r="S15" s="70">
        <v>-11.0</v>
      </c>
      <c r="T15" s="63">
        <f t="shared" si="1"/>
        <v>45656</v>
      </c>
      <c r="U15" s="64"/>
      <c r="V15" s="23"/>
      <c r="W15" s="64" t="s">
        <v>170</v>
      </c>
      <c r="X15" s="303" t="s">
        <v>165</v>
      </c>
      <c r="Y15" s="303">
        <v>-37.0</v>
      </c>
      <c r="Z15" s="23"/>
      <c r="AA15" s="23"/>
    </row>
    <row r="16" ht="18.75" customHeight="1">
      <c r="A16" s="66" t="s">
        <v>22</v>
      </c>
      <c r="B16" s="67">
        <f>$M$5+SUM(B11:B15)</f>
        <v>4685.997</v>
      </c>
      <c r="C16" s="66"/>
      <c r="D16" s="355">
        <v>4555.22</v>
      </c>
      <c r="E16" s="66"/>
      <c r="F16" s="67">
        <f>D16+SUM(F11:F15)</f>
        <v>3467.41</v>
      </c>
      <c r="G16" s="66"/>
      <c r="H16" s="67">
        <f>F16+SUM(H11:H15)</f>
        <v>2470.82</v>
      </c>
      <c r="I16" s="66"/>
      <c r="J16" s="67">
        <f>H16+SUM(J11:J15)</f>
        <v>1496.13</v>
      </c>
      <c r="K16" s="66"/>
      <c r="L16" s="67">
        <f>J16+SUM(L11:L15)</f>
        <v>1479.94</v>
      </c>
      <c r="M16" s="66"/>
      <c r="N16" s="67">
        <f>L16+SUM(N11:N15)</f>
        <v>1479.94</v>
      </c>
      <c r="O16" s="68"/>
      <c r="P16" s="59" t="s">
        <v>56</v>
      </c>
      <c r="Q16" s="423"/>
      <c r="R16" s="424">
        <v>4.0</v>
      </c>
      <c r="S16" s="70">
        <v>-96.0</v>
      </c>
      <c r="T16" s="63">
        <f t="shared" si="1"/>
        <v>45630</v>
      </c>
      <c r="U16" s="71"/>
      <c r="V16" s="69"/>
      <c r="W16" s="71" t="s">
        <v>171</v>
      </c>
      <c r="X16" s="303" t="s">
        <v>168</v>
      </c>
      <c r="Y16" s="303">
        <v>-22.0</v>
      </c>
      <c r="Z16" s="69"/>
      <c r="AA16" s="69"/>
    </row>
    <row r="17" ht="18.75" customHeight="1">
      <c r="A17" s="50">
        <f>IF(M11="","",IF(MONTH(M11+1)&lt;&gt;MONTH(M11),"",M11+1))</f>
        <v>45634</v>
      </c>
      <c r="B17" s="51">
        <f>SUMIF($T$11:$T$133,A17,$S$11:$S$94)</f>
        <v>0</v>
      </c>
      <c r="C17" s="50">
        <f>IF(A17="","",IF(MONTH(A17+1)&lt;&gt;MONTH(A17),"",A17+1))</f>
        <v>45635</v>
      </c>
      <c r="D17" s="51">
        <f>SUMIF($T$11:$T$133,C17,$S$11:$S$94)</f>
        <v>-510</v>
      </c>
      <c r="E17" s="50">
        <f>IF(C17="","",IF(MONTH(C17+1)&lt;&gt;MONTH(C17),"",C17+1))</f>
        <v>45636</v>
      </c>
      <c r="F17" s="51">
        <f>SUMIF($T$11:$T$133,E17,$S$11:$S$94)</f>
        <v>-85</v>
      </c>
      <c r="G17" s="50">
        <f>IF(E17="","",IF(MONTH(E17+1)&lt;&gt;MONTH(E17),"",E17+1))</f>
        <v>45637</v>
      </c>
      <c r="H17" s="51">
        <f>SUMIF($T$11:$T$133,G17,$S$11:$S$94)</f>
        <v>-148</v>
      </c>
      <c r="I17" s="50">
        <f>IF(G17="","",IF(MONTH(G17+1)&lt;&gt;MONTH(G17),"",G17+1))</f>
        <v>45638</v>
      </c>
      <c r="J17" s="51">
        <f>SUMIF($T$11:$T$133,I17,$S$11:$S$94)</f>
        <v>1902.44</v>
      </c>
      <c r="K17" s="50">
        <f>IF(I17="","",IF(MONTH(I17+1)&lt;&gt;MONTH(I17),"",I17+1))</f>
        <v>45639</v>
      </c>
      <c r="L17" s="51">
        <f>SUMIF($T$11:$T$133,K17,$S$11:$S$94)</f>
        <v>-474</v>
      </c>
      <c r="M17" s="50">
        <f>IF(K17="","",IF(MONTH(K17+1)&lt;&gt;MONTH(K17),"",K17+1))</f>
        <v>45640</v>
      </c>
      <c r="N17" s="51">
        <f>SUMIF($T$11:$T$133,M17,$S$11:$S$94)</f>
        <v>0</v>
      </c>
      <c r="O17" s="23"/>
      <c r="P17" s="59" t="s">
        <v>30</v>
      </c>
      <c r="Q17" s="423"/>
      <c r="R17" s="424">
        <v>5.0</v>
      </c>
      <c r="S17" s="70">
        <v>-183.53</v>
      </c>
      <c r="T17" s="63">
        <f t="shared" si="1"/>
        <v>45631</v>
      </c>
      <c r="U17" s="64"/>
      <c r="V17" s="23"/>
      <c r="W17" s="64" t="s">
        <v>172</v>
      </c>
      <c r="X17" s="303" t="s">
        <v>168</v>
      </c>
      <c r="Y17" s="303">
        <v>-17.0</v>
      </c>
      <c r="Z17" s="23"/>
      <c r="AA17" s="23"/>
    </row>
    <row r="18" ht="18.75" customHeight="1">
      <c r="A18" s="55"/>
      <c r="B18" s="56"/>
      <c r="C18" s="58"/>
      <c r="D18" s="57"/>
      <c r="E18" s="55"/>
      <c r="F18" s="57"/>
      <c r="G18" s="58" t="s">
        <v>139</v>
      </c>
      <c r="H18" s="57">
        <v>-53.0</v>
      </c>
      <c r="I18" s="425" t="s">
        <v>31</v>
      </c>
      <c r="J18" s="310">
        <v>102.96</v>
      </c>
      <c r="K18" s="55"/>
      <c r="L18" s="57"/>
      <c r="M18" s="58" t="s">
        <v>173</v>
      </c>
      <c r="N18" s="57">
        <f>sum(Y14:Y27)</f>
        <v>-677</v>
      </c>
      <c r="O18" s="23"/>
      <c r="P18" s="59" t="s">
        <v>18</v>
      </c>
      <c r="Q18" s="423"/>
      <c r="R18" s="424">
        <v>12.0</v>
      </c>
      <c r="S18" s="70">
        <v>2004.44</v>
      </c>
      <c r="T18" s="63">
        <f t="shared" si="1"/>
        <v>45638</v>
      </c>
      <c r="U18" s="64"/>
      <c r="V18" s="23"/>
      <c r="W18" s="108" t="s">
        <v>174</v>
      </c>
      <c r="X18" s="303" t="s">
        <v>167</v>
      </c>
      <c r="Y18" s="303">
        <v>-38.0</v>
      </c>
      <c r="Z18" s="23"/>
      <c r="AA18" s="23"/>
    </row>
    <row r="19" ht="18.75" customHeight="1">
      <c r="A19" s="55"/>
      <c r="B19" s="56"/>
      <c r="C19" s="55"/>
      <c r="D19" s="56"/>
      <c r="E19" s="55"/>
      <c r="F19" s="56"/>
      <c r="G19" s="55"/>
      <c r="H19" s="56"/>
      <c r="I19" s="58"/>
      <c r="J19" s="57"/>
      <c r="K19" s="55"/>
      <c r="L19" s="56"/>
      <c r="M19" s="55"/>
      <c r="N19" s="56"/>
      <c r="O19" s="23"/>
      <c r="P19" s="59" t="s">
        <v>41</v>
      </c>
      <c r="Q19" s="423"/>
      <c r="R19" s="424">
        <v>25.0</v>
      </c>
      <c r="S19" s="70">
        <v>2004.44</v>
      </c>
      <c r="T19" s="63">
        <f t="shared" si="1"/>
        <v>45651</v>
      </c>
      <c r="U19" s="64"/>
      <c r="V19" s="23"/>
      <c r="W19" s="64" t="s">
        <v>175</v>
      </c>
      <c r="X19" s="303" t="s">
        <v>166</v>
      </c>
      <c r="Y19" s="303">
        <v>-10.0</v>
      </c>
      <c r="Z19" s="23"/>
      <c r="AA19" s="23"/>
    </row>
    <row r="20" ht="18.75" customHeight="1">
      <c r="A20" s="55"/>
      <c r="B20" s="56"/>
      <c r="C20" s="55"/>
      <c r="D20" s="56"/>
      <c r="E20" s="55"/>
      <c r="F20" s="56"/>
      <c r="G20" s="55"/>
      <c r="H20" s="56"/>
      <c r="I20" s="55"/>
      <c r="J20" s="56"/>
      <c r="K20" s="55"/>
      <c r="L20" s="56"/>
      <c r="M20" s="55"/>
      <c r="N20" s="56"/>
      <c r="O20" s="23"/>
      <c r="P20" s="59" t="s">
        <v>176</v>
      </c>
      <c r="Q20" s="424"/>
      <c r="R20" s="424">
        <v>13.0</v>
      </c>
      <c r="S20" s="426">
        <v>-474.0</v>
      </c>
      <c r="T20" s="63">
        <f t="shared" si="1"/>
        <v>45639</v>
      </c>
      <c r="U20" s="64"/>
      <c r="V20" s="23"/>
      <c r="W20" s="64" t="s">
        <v>177</v>
      </c>
      <c r="X20" s="303" t="s">
        <v>166</v>
      </c>
      <c r="Y20" s="303">
        <v>-20.0</v>
      </c>
      <c r="Z20" s="23"/>
      <c r="AA20" s="23"/>
    </row>
    <row r="21" ht="18.75" customHeight="1">
      <c r="A21" s="55"/>
      <c r="B21" s="56"/>
      <c r="C21" s="55"/>
      <c r="D21" s="56"/>
      <c r="E21" s="55"/>
      <c r="F21" s="56"/>
      <c r="G21" s="55"/>
      <c r="H21" s="56"/>
      <c r="I21" s="55"/>
      <c r="J21" s="56"/>
      <c r="K21" s="55"/>
      <c r="L21" s="56"/>
      <c r="M21" s="55"/>
      <c r="N21" s="56"/>
      <c r="O21" s="23"/>
      <c r="P21" s="59" t="s">
        <v>46</v>
      </c>
      <c r="Q21" s="423"/>
      <c r="R21" s="424">
        <v>25.0</v>
      </c>
      <c r="S21" s="70">
        <v>-12.0</v>
      </c>
      <c r="T21" s="63">
        <f t="shared" si="1"/>
        <v>45651</v>
      </c>
      <c r="U21" s="64"/>
      <c r="V21" s="303"/>
      <c r="W21" s="64" t="s">
        <v>178</v>
      </c>
      <c r="X21" s="303" t="s">
        <v>166</v>
      </c>
      <c r="Y21" s="303">
        <v>-119.0</v>
      </c>
      <c r="Z21" s="23"/>
      <c r="AA21" s="23"/>
    </row>
    <row r="22" ht="18.75" customHeight="1">
      <c r="A22" s="66" t="s">
        <v>22</v>
      </c>
      <c r="B22" s="67">
        <f>N16+SUM(B17:B21)</f>
        <v>1479.94</v>
      </c>
      <c r="C22" s="66"/>
      <c r="D22" s="67">
        <f>B22+SUM(D17:D21)</f>
        <v>969.94</v>
      </c>
      <c r="E22" s="66"/>
      <c r="F22" s="67">
        <f>D22+SUM(F17:F21)</f>
        <v>884.94</v>
      </c>
      <c r="G22" s="66"/>
      <c r="H22" s="67">
        <f>F22+SUM(H17:H21)</f>
        <v>683.94</v>
      </c>
      <c r="I22" s="66"/>
      <c r="J22" s="67">
        <f>H22+SUM(J17:J21)</f>
        <v>2689.34</v>
      </c>
      <c r="K22" s="66"/>
      <c r="L22" s="67">
        <f>J22+SUM(L17:L21)</f>
        <v>2215.34</v>
      </c>
      <c r="M22" s="66"/>
      <c r="N22" s="67">
        <f>L22+SUM(N17:N21)</f>
        <v>1538.34</v>
      </c>
      <c r="O22" s="68"/>
      <c r="P22" s="72" t="s">
        <v>44</v>
      </c>
      <c r="Q22" s="421"/>
      <c r="R22" s="422">
        <v>25.0</v>
      </c>
      <c r="S22" s="75">
        <v>-18.35</v>
      </c>
      <c r="T22" s="63">
        <f t="shared" si="1"/>
        <v>45651</v>
      </c>
      <c r="W22" s="71" t="s">
        <v>179</v>
      </c>
      <c r="X22" s="303" t="s">
        <v>166</v>
      </c>
      <c r="Y22" s="303">
        <v>-114.0</v>
      </c>
      <c r="Z22" s="69"/>
      <c r="AA22" s="69"/>
    </row>
    <row r="23" ht="18.75" customHeight="1">
      <c r="A23" s="50">
        <f>IF(M17="","",IF(MONTH(M17+1)&lt;&gt;MONTH(M17),"",M17+1))</f>
        <v>45641</v>
      </c>
      <c r="B23" s="51">
        <f>SUMIF($T$11:$T$133,A23,$S$11:$S$94)</f>
        <v>0</v>
      </c>
      <c r="C23" s="50">
        <f>IF(A23="","",IF(MONTH(A23+1)&lt;&gt;MONTH(A23),"",A23+1))</f>
        <v>45642</v>
      </c>
      <c r="D23" s="51">
        <f>SUMIF($T$11:$T$133,C23,$S$11:$S$94)</f>
        <v>-150</v>
      </c>
      <c r="E23" s="50">
        <f>IF(C23="","",IF(MONTH(C23+1)&lt;&gt;MONTH(C23),"",C23+1))</f>
        <v>45643</v>
      </c>
      <c r="F23" s="51">
        <f>SUMIF($T$11:$T$133,E23,$S$11:$S$94)</f>
        <v>-9.99</v>
      </c>
      <c r="G23" s="50">
        <f>IF(E23="","",IF(MONTH(E23+1)&lt;&gt;MONTH(E23),"",E23+1))</f>
        <v>45644</v>
      </c>
      <c r="H23" s="51">
        <f>SUMIF($T$11:$T$133,G23,$S$11:$S$94)</f>
        <v>0</v>
      </c>
      <c r="I23" s="50">
        <f>IF(G23="","",IF(MONTH(G23+1)&lt;&gt;MONTH(G23),"",G23+1))</f>
        <v>45645</v>
      </c>
      <c r="J23" s="51">
        <f>SUMIF($T$11:$T$133,I23,$S$11:$S$94)</f>
        <v>0</v>
      </c>
      <c r="K23" s="50">
        <f>IF(I23="","",IF(MONTH(I23+1)&lt;&gt;MONTH(I23),"",I23+1))</f>
        <v>45646</v>
      </c>
      <c r="L23" s="51">
        <f>SUMIF($T$11:$T$133,K23,$S$11:$S$94)</f>
        <v>0</v>
      </c>
      <c r="M23" s="50">
        <f>IF(K23="","",IF(MONTH(K23+1)&lt;&gt;MONTH(K23),"",K23+1))</f>
        <v>45647</v>
      </c>
      <c r="N23" s="51">
        <f>SUMIF($T$11:$T$133,M23,$S$11:$S$94)</f>
        <v>0</v>
      </c>
      <c r="O23" s="23"/>
      <c r="P23" s="59" t="s">
        <v>25</v>
      </c>
      <c r="Q23" s="423"/>
      <c r="R23" s="424">
        <v>9.0</v>
      </c>
      <c r="S23" s="70">
        <v>-35.0</v>
      </c>
      <c r="T23" s="63">
        <f t="shared" si="1"/>
        <v>45635</v>
      </c>
      <c r="U23" s="64"/>
      <c r="V23" s="23"/>
      <c r="W23" s="64" t="s">
        <v>180</v>
      </c>
      <c r="X23" s="303" t="s">
        <v>165</v>
      </c>
      <c r="Y23" s="303">
        <v>-86.0</v>
      </c>
      <c r="Z23" s="23"/>
      <c r="AA23" s="23"/>
    </row>
    <row r="24" ht="18.75" customHeight="1">
      <c r="A24" s="58"/>
      <c r="B24" s="57"/>
      <c r="C24" s="425"/>
      <c r="D24" s="310"/>
      <c r="E24" s="58"/>
      <c r="F24" s="57"/>
      <c r="G24" s="55"/>
      <c r="H24" s="57"/>
      <c r="I24" s="55"/>
      <c r="J24" s="57">
        <v>125.75</v>
      </c>
      <c r="K24" s="58"/>
      <c r="L24" s="57"/>
      <c r="M24" s="55"/>
      <c r="N24" s="56"/>
      <c r="O24" s="23"/>
      <c r="P24" s="59" t="s">
        <v>40</v>
      </c>
      <c r="Q24" s="423"/>
      <c r="R24" s="424">
        <v>12.0</v>
      </c>
      <c r="S24" s="70">
        <v>-102.0</v>
      </c>
      <c r="T24" s="63">
        <f t="shared" si="1"/>
        <v>45638</v>
      </c>
      <c r="U24" s="64"/>
      <c r="V24" s="23"/>
      <c r="W24" s="64" t="s">
        <v>181</v>
      </c>
      <c r="X24" s="108" t="s">
        <v>168</v>
      </c>
      <c r="Y24" s="108">
        <v>-40.0</v>
      </c>
      <c r="Z24" s="23"/>
      <c r="AA24" s="23"/>
    </row>
    <row r="25" ht="18.75" customHeight="1">
      <c r="A25" s="55"/>
      <c r="B25" s="57"/>
      <c r="C25" s="55"/>
      <c r="D25" s="56"/>
      <c r="E25" s="58"/>
      <c r="F25" s="57"/>
      <c r="G25" s="55"/>
      <c r="H25" s="56"/>
      <c r="I25" s="55"/>
      <c r="J25" s="56"/>
      <c r="K25" s="55"/>
      <c r="L25" s="56"/>
      <c r="M25" s="55"/>
      <c r="N25" s="56"/>
      <c r="O25" s="23"/>
      <c r="P25" s="59" t="s">
        <v>34</v>
      </c>
      <c r="Q25" s="423"/>
      <c r="R25" s="424">
        <v>10.0</v>
      </c>
      <c r="S25" s="70">
        <v>-5.0</v>
      </c>
      <c r="T25" s="63">
        <f t="shared" si="1"/>
        <v>45636</v>
      </c>
      <c r="U25" s="64"/>
      <c r="V25" s="23"/>
      <c r="W25" s="64" t="s">
        <v>182</v>
      </c>
      <c r="X25" s="303" t="s">
        <v>165</v>
      </c>
      <c r="Y25" s="303">
        <v>-21.0</v>
      </c>
      <c r="Z25" s="23"/>
      <c r="AA25" s="23"/>
    </row>
    <row r="26" ht="18.75" customHeight="1">
      <c r="A26" s="55"/>
      <c r="B26" s="56"/>
      <c r="C26" s="55"/>
      <c r="D26" s="56"/>
      <c r="E26" s="55"/>
      <c r="F26" s="56"/>
      <c r="G26" s="55"/>
      <c r="H26" s="56"/>
      <c r="I26" s="55"/>
      <c r="J26" s="56"/>
      <c r="K26" s="55"/>
      <c r="L26" s="56"/>
      <c r="M26" s="55"/>
      <c r="N26" s="56"/>
      <c r="O26" s="23"/>
      <c r="P26" s="59" t="s">
        <v>34</v>
      </c>
      <c r="Q26" s="423"/>
      <c r="R26" s="424">
        <v>26.0</v>
      </c>
      <c r="S26" s="70">
        <v>-6.0</v>
      </c>
      <c r="T26" s="63">
        <f t="shared" si="1"/>
        <v>45652</v>
      </c>
      <c r="U26" s="64"/>
      <c r="V26" s="64"/>
      <c r="W26" s="64" t="s">
        <v>183</v>
      </c>
      <c r="X26" s="303" t="s">
        <v>168</v>
      </c>
      <c r="Y26" s="303">
        <v>-12.0</v>
      </c>
      <c r="Z26" s="23"/>
      <c r="AA26" s="23"/>
    </row>
    <row r="27" ht="18.75" customHeight="1">
      <c r="A27" s="55"/>
      <c r="B27" s="56"/>
      <c r="C27" s="55"/>
      <c r="D27" s="56"/>
      <c r="E27" s="55"/>
      <c r="F27" s="56"/>
      <c r="G27" s="55"/>
      <c r="H27" s="56"/>
      <c r="I27" s="55"/>
      <c r="J27" s="56"/>
      <c r="K27" s="55"/>
      <c r="L27" s="56"/>
      <c r="M27" s="55"/>
      <c r="N27" s="56"/>
      <c r="O27" s="23"/>
      <c r="P27" s="59" t="s">
        <v>49</v>
      </c>
      <c r="Q27" s="423"/>
      <c r="R27" s="424">
        <v>26.0</v>
      </c>
      <c r="S27" s="70">
        <v>-7.55</v>
      </c>
      <c r="T27" s="63">
        <f t="shared" si="1"/>
        <v>45652</v>
      </c>
      <c r="U27" s="64"/>
      <c r="V27" s="23"/>
      <c r="W27" s="64" t="s">
        <v>184</v>
      </c>
      <c r="X27" s="303" t="s">
        <v>166</v>
      </c>
      <c r="Y27" s="303">
        <v>-8.0</v>
      </c>
      <c r="Z27" s="23"/>
      <c r="AA27" s="23"/>
    </row>
    <row r="28" ht="18.75" customHeight="1">
      <c r="A28" s="66" t="s">
        <v>22</v>
      </c>
      <c r="B28" s="67">
        <f>N22+SUM(B23:B27)</f>
        <v>1538.34</v>
      </c>
      <c r="C28" s="66"/>
      <c r="D28" s="67">
        <f>B28+SUM(D23:D27)</f>
        <v>1388.34</v>
      </c>
      <c r="E28" s="66"/>
      <c r="F28" s="67">
        <f>D28+SUM(F23:F27)</f>
        <v>1378.35</v>
      </c>
      <c r="G28" s="66"/>
      <c r="H28" s="67">
        <f>F28+SUM(H23:H27)</f>
        <v>1378.35</v>
      </c>
      <c r="I28" s="66"/>
      <c r="J28" s="67">
        <f>H28+SUM(J23:J27)</f>
        <v>1504.1</v>
      </c>
      <c r="K28" s="66"/>
      <c r="L28" s="67">
        <f>J28+SUM(L23:L27)</f>
        <v>1504.1</v>
      </c>
      <c r="M28" s="66"/>
      <c r="N28" s="67">
        <f>L28+SUM(N23:N27)</f>
        <v>1504.1</v>
      </c>
      <c r="O28" s="68"/>
      <c r="P28" s="59" t="s">
        <v>35</v>
      </c>
      <c r="Q28" s="423"/>
      <c r="R28" s="424">
        <v>5.0</v>
      </c>
      <c r="S28" s="70">
        <v>-791.16</v>
      </c>
      <c r="T28" s="63">
        <f t="shared" si="1"/>
        <v>45631</v>
      </c>
      <c r="U28" s="71"/>
      <c r="V28" s="69"/>
      <c r="W28" s="71"/>
      <c r="X28" s="309"/>
      <c r="Y28" s="309"/>
      <c r="Z28" s="69"/>
      <c r="AA28" s="69"/>
    </row>
    <row r="29" ht="18.75" customHeight="1">
      <c r="A29" s="50">
        <f>IF(M23="","",IF(MONTH(M23+1)&lt;&gt;MONTH(M23),"",M23+1))</f>
        <v>45648</v>
      </c>
      <c r="B29" s="51">
        <f>SUMIF($T$11:$T$133,A29,$S$11:$S$94)</f>
        <v>0</v>
      </c>
      <c r="C29" s="50">
        <f>IF(A29="","",IF(MONTH(A29+1)&lt;&gt;MONTH(A29),"",A29+1))</f>
        <v>45649</v>
      </c>
      <c r="D29" s="51">
        <f>SUMIF($T$11:$T$133,C29,$S$11:$S$94)</f>
        <v>0</v>
      </c>
      <c r="E29" s="50">
        <f>IF(C29="","",IF(MONTH(C29+1)&lt;&gt;MONTH(C29),"",C29+1))</f>
        <v>45650</v>
      </c>
      <c r="F29" s="51">
        <f>SUMIF($T$11:$T$133,E29,$S$11:$S$94)</f>
        <v>694.25</v>
      </c>
      <c r="G29" s="50">
        <f>IF(E29="","",IF(MONTH(E29+1)&lt;&gt;MONTH(E29),"",E29+1))</f>
        <v>45651</v>
      </c>
      <c r="H29" s="51">
        <f>SUMIF($T$11:$T$133,G29,$S$11:$S$94)</f>
        <v>1974.09</v>
      </c>
      <c r="I29" s="50">
        <f>IF(G29="","",IF(MONTH(G29+1)&lt;&gt;MONTH(G29),"",G29+1))</f>
        <v>45652</v>
      </c>
      <c r="J29" s="51">
        <f>SUMIF($T$11:$T$133,I29,$S$11:$S$94)</f>
        <v>-13.55</v>
      </c>
      <c r="K29" s="50">
        <f>IF(I29="","",IF(MONTH(I29+1)&lt;&gt;MONTH(I29),"",I29+1))</f>
        <v>45653</v>
      </c>
      <c r="L29" s="51">
        <f>SUMIF($T$11:$T$133,K29,$S$11:$S$94)</f>
        <v>-150</v>
      </c>
      <c r="M29" s="50">
        <f>IF(K29="","",IF(MONTH(K29+1)&lt;&gt;MONTH(K29),"",K29+1))</f>
        <v>45654</v>
      </c>
      <c r="N29" s="51">
        <f>SUMIF($T$11:$T$133,M29,$S$11:$S$94)</f>
        <v>0</v>
      </c>
      <c r="O29" s="23"/>
      <c r="P29" s="59" t="s">
        <v>20</v>
      </c>
      <c r="Q29" s="423"/>
      <c r="R29" s="424">
        <v>3.0</v>
      </c>
      <c r="S29" s="70">
        <v>-1560.81</v>
      </c>
      <c r="T29" s="63">
        <f t="shared" si="1"/>
        <v>45629</v>
      </c>
      <c r="U29" s="64"/>
      <c r="V29" s="23"/>
      <c r="W29" s="64"/>
      <c r="X29" s="303"/>
      <c r="Y29" s="303"/>
      <c r="AA29" s="23"/>
    </row>
    <row r="30" ht="18.75" customHeight="1">
      <c r="A30" s="55"/>
      <c r="B30" s="56"/>
      <c r="C30" s="58"/>
      <c r="D30" s="57"/>
      <c r="E30" s="55"/>
      <c r="F30" s="57"/>
      <c r="G30" s="55"/>
      <c r="H30" s="56"/>
      <c r="I30" s="55"/>
      <c r="J30" s="310">
        <v>99.3</v>
      </c>
      <c r="K30" s="55"/>
      <c r="L30" s="57"/>
      <c r="M30" s="55"/>
      <c r="N30" s="56"/>
      <c r="O30" s="23"/>
      <c r="P30" s="59" t="s">
        <v>51</v>
      </c>
      <c r="Q30" s="423"/>
      <c r="R30" s="424">
        <v>9.0</v>
      </c>
      <c r="S30" s="70">
        <v>-24.0</v>
      </c>
      <c r="T30" s="63">
        <f t="shared" si="1"/>
        <v>45635</v>
      </c>
      <c r="U30" s="64"/>
      <c r="V30" s="23"/>
      <c r="W30" s="64"/>
      <c r="X30" s="303"/>
      <c r="Y30" s="303"/>
      <c r="Z30" s="23"/>
      <c r="AA30" s="23"/>
    </row>
    <row r="31" ht="18.75" customHeight="1">
      <c r="A31" s="55"/>
      <c r="B31" s="56"/>
      <c r="C31" s="55"/>
      <c r="D31" s="56"/>
      <c r="E31" s="55"/>
      <c r="F31" s="56"/>
      <c r="G31" s="55"/>
      <c r="H31" s="56"/>
      <c r="I31" s="55"/>
      <c r="J31" s="56"/>
      <c r="K31" s="55"/>
      <c r="L31" s="56"/>
      <c r="M31" s="55"/>
      <c r="N31" s="56"/>
      <c r="O31" s="23"/>
      <c r="P31" s="59" t="s">
        <v>53</v>
      </c>
      <c r="Q31" s="423"/>
      <c r="R31" s="424">
        <v>30.0</v>
      </c>
      <c r="S31" s="70">
        <v>-3.0</v>
      </c>
      <c r="T31" s="63">
        <f t="shared" si="1"/>
        <v>45656</v>
      </c>
      <c r="U31" s="64"/>
      <c r="Z31" s="23"/>
      <c r="AA31" s="23"/>
    </row>
    <row r="32" ht="18.75" customHeight="1">
      <c r="A32" s="55"/>
      <c r="B32" s="56"/>
      <c r="C32" s="55"/>
      <c r="D32" s="56"/>
      <c r="E32" s="55"/>
      <c r="F32" s="57"/>
      <c r="G32" s="55"/>
      <c r="H32" s="56"/>
      <c r="I32" s="55"/>
      <c r="J32" s="56"/>
      <c r="K32" s="55"/>
      <c r="L32" s="56"/>
      <c r="M32" s="55"/>
      <c r="N32" s="56"/>
      <c r="O32" s="23"/>
      <c r="P32" s="59" t="s">
        <v>27</v>
      </c>
      <c r="Q32" s="423"/>
      <c r="R32" s="424">
        <v>4.0</v>
      </c>
      <c r="S32" s="70">
        <v>-33.0</v>
      </c>
      <c r="T32" s="63">
        <f t="shared" si="1"/>
        <v>45630</v>
      </c>
      <c r="U32" s="64"/>
      <c r="Z32" s="23"/>
      <c r="AA32" s="23"/>
    </row>
    <row r="33" ht="18.75" customHeight="1">
      <c r="A33" s="55"/>
      <c r="B33" s="56"/>
      <c r="C33" s="55"/>
      <c r="D33" s="56"/>
      <c r="E33" s="55"/>
      <c r="F33" s="56"/>
      <c r="G33" s="55"/>
      <c r="H33" s="56"/>
      <c r="I33" s="55"/>
      <c r="J33" s="56"/>
      <c r="K33" s="55"/>
      <c r="L33" s="56"/>
      <c r="M33" s="55"/>
      <c r="N33" s="56"/>
      <c r="O33" s="23"/>
      <c r="P33" s="59" t="s">
        <v>37</v>
      </c>
      <c r="Q33" s="423"/>
      <c r="R33" s="424">
        <v>10.0</v>
      </c>
      <c r="S33" s="70">
        <v>-80.0</v>
      </c>
      <c r="T33" s="63">
        <f t="shared" si="1"/>
        <v>45636</v>
      </c>
      <c r="U33" s="64"/>
      <c r="Z33" s="23"/>
      <c r="AA33" s="23"/>
    </row>
    <row r="34" ht="18.75" customHeight="1">
      <c r="A34" s="66" t="s">
        <v>22</v>
      </c>
      <c r="B34" s="67">
        <f>N28+SUM(B29:B33)</f>
        <v>1504.1</v>
      </c>
      <c r="C34" s="66"/>
      <c r="D34" s="67">
        <f>B34+SUM(D29:D33)</f>
        <v>1504.1</v>
      </c>
      <c r="E34" s="66"/>
      <c r="F34" s="67">
        <f>D34+SUM(F29:F33)</f>
        <v>2198.35</v>
      </c>
      <c r="G34" s="66"/>
      <c r="H34" s="67">
        <f>F34+SUM(H29:H33)</f>
        <v>4172.44</v>
      </c>
      <c r="I34" s="66"/>
      <c r="J34" s="67">
        <f>H34+SUM(J29:J33)</f>
        <v>4258.19</v>
      </c>
      <c r="K34" s="66"/>
      <c r="L34" s="67">
        <f>J34+SUM(L29:L33)</f>
        <v>4108.19</v>
      </c>
      <c r="M34" s="66"/>
      <c r="N34" s="67">
        <f>L34+SUM(N29:N33)</f>
        <v>4108.19</v>
      </c>
      <c r="O34" s="68"/>
      <c r="P34" s="59" t="s">
        <v>38</v>
      </c>
      <c r="Q34" s="423"/>
      <c r="R34" s="424">
        <v>11.0</v>
      </c>
      <c r="S34" s="70">
        <v>-50.0</v>
      </c>
      <c r="T34" s="63">
        <f t="shared" si="1"/>
        <v>45637</v>
      </c>
      <c r="U34" s="71"/>
      <c r="Z34" s="69"/>
      <c r="AA34" s="69"/>
    </row>
    <row r="35" ht="18.75" customHeight="1">
      <c r="A35" s="50">
        <f>IF(M29="","",IF(MONTH(M29+1)&lt;&gt;MONTH(M29),"",M29+1))</f>
        <v>45655</v>
      </c>
      <c r="B35" s="51">
        <f>SUMIF($T$11:$T$133,A35,$S$11:$S$94)</f>
        <v>0</v>
      </c>
      <c r="C35" s="50">
        <f>IF(A35="","",IF(MONTH(A35+1)&lt;&gt;MONTH(A35),"",A35+1))</f>
        <v>45656</v>
      </c>
      <c r="D35" s="51">
        <f>SUMIF($T$11:$T$133,C35,$S$11:$S$94)</f>
        <v>-311.35</v>
      </c>
      <c r="E35" s="50">
        <f>IF(C35="","",IF(MONTH(C35+1)&lt;&gt;MONTH(C35),"",C35+1))</f>
        <v>45657</v>
      </c>
      <c r="F35" s="51">
        <f>SUMIF($T$11:$T$133,E35,$S$11:$S$94)</f>
        <v>0</v>
      </c>
      <c r="G35" s="50" t="str">
        <f>IF(E35="","",IF(MONTH(E35+1)&lt;&gt;MONTH(E35),"",E35+1))</f>
        <v/>
      </c>
      <c r="H35" s="51">
        <f>SUMIF($T$11:$T$133,G35,$S$11:$S$94)</f>
        <v>0</v>
      </c>
      <c r="I35" s="50" t="str">
        <f>IF(G35="","",IF(MONTH(G35+1)&lt;&gt;MONTH(G35),"",G35+1))</f>
        <v/>
      </c>
      <c r="J35" s="51">
        <f>SUMIF($T$11:$T$133,I35,$S$11:$S$94)</f>
        <v>0</v>
      </c>
      <c r="K35" s="50" t="str">
        <f>IF(I35="","",IF(MONTH(I35+1)&lt;&gt;MONTH(I35),"",I35+1))</f>
        <v/>
      </c>
      <c r="L35" s="51">
        <f>SUMIF($T$11:$T$133,K35,$S$11:$S$94)</f>
        <v>0</v>
      </c>
      <c r="M35" s="50" t="str">
        <f>IF(K35="","",IF(MONTH(K35+1)&lt;&gt;MONTH(K35),"",K35+1))</f>
        <v/>
      </c>
      <c r="N35" s="51">
        <f>SUMIF($T$11:$T$133,M35,$S$11:$S$94)</f>
        <v>0</v>
      </c>
      <c r="O35" s="23"/>
      <c r="P35" s="59" t="s">
        <v>36</v>
      </c>
      <c r="Q35" s="423"/>
      <c r="R35" s="424">
        <v>9.0</v>
      </c>
      <c r="S35" s="70">
        <v>-451.0</v>
      </c>
      <c r="T35" s="63">
        <f t="shared" si="1"/>
        <v>45635</v>
      </c>
      <c r="U35" s="64"/>
      <c r="V35" s="64" t="s">
        <v>28</v>
      </c>
      <c r="W35" s="64"/>
      <c r="X35" s="303"/>
      <c r="Y35" s="303">
        <f>'Nov 2024'!X33</f>
        <v>150</v>
      </c>
      <c r="Z35" s="23"/>
      <c r="AA35" s="23"/>
    </row>
    <row r="36" ht="18.75" customHeight="1">
      <c r="A36" s="55"/>
      <c r="B36" s="56"/>
      <c r="C36" s="55"/>
      <c r="D36" s="57">
        <v>-13.0</v>
      </c>
      <c r="E36" s="58"/>
      <c r="F36" s="57"/>
      <c r="G36" s="55"/>
      <c r="H36" s="56"/>
      <c r="I36" s="55"/>
      <c r="J36" s="57"/>
      <c r="K36" s="55"/>
      <c r="L36" s="57"/>
      <c r="M36" s="55"/>
      <c r="N36" s="57"/>
      <c r="O36" s="23"/>
      <c r="P36" s="59" t="s">
        <v>57</v>
      </c>
      <c r="Q36" s="423"/>
      <c r="R36" s="424">
        <v>4.0</v>
      </c>
      <c r="S36" s="426">
        <v>-171.63</v>
      </c>
      <c r="T36" s="63">
        <f t="shared" si="1"/>
        <v>45630</v>
      </c>
      <c r="U36" s="64"/>
      <c r="V36" s="23"/>
      <c r="W36" s="64">
        <v>16.0</v>
      </c>
      <c r="X36" s="303"/>
      <c r="Y36" s="303">
        <v>150.0</v>
      </c>
      <c r="Z36" s="23"/>
      <c r="AA36" s="23"/>
    </row>
    <row r="37" ht="18.75" customHeight="1">
      <c r="A37" s="55"/>
      <c r="B37" s="56"/>
      <c r="C37" s="55"/>
      <c r="D37" s="57">
        <v>-10.0</v>
      </c>
      <c r="E37" s="55"/>
      <c r="F37" s="56"/>
      <c r="G37" s="55"/>
      <c r="H37" s="56"/>
      <c r="I37" s="55"/>
      <c r="J37" s="56"/>
      <c r="K37" s="55"/>
      <c r="L37" s="56"/>
      <c r="M37" s="55"/>
      <c r="N37" s="56"/>
      <c r="O37" s="23"/>
      <c r="P37" s="59" t="s">
        <v>57</v>
      </c>
      <c r="Q37" s="423"/>
      <c r="R37" s="424">
        <v>30.0</v>
      </c>
      <c r="S37" s="70">
        <v>-279.0</v>
      </c>
      <c r="T37" s="63">
        <f t="shared" si="1"/>
        <v>45656</v>
      </c>
      <c r="U37" s="64"/>
      <c r="V37" s="23"/>
      <c r="W37" s="64">
        <v>30.0</v>
      </c>
      <c r="X37" s="303"/>
      <c r="Y37" s="303">
        <v>150.0</v>
      </c>
      <c r="Z37" s="23"/>
      <c r="AA37" s="23"/>
    </row>
    <row r="38" ht="18.75" customHeight="1">
      <c r="A38" s="55"/>
      <c r="B38" s="56"/>
      <c r="C38" s="55"/>
      <c r="D38" s="56"/>
      <c r="E38" s="55"/>
      <c r="F38" s="56"/>
      <c r="G38" s="55"/>
      <c r="H38" s="56"/>
      <c r="I38" s="55"/>
      <c r="J38" s="56"/>
      <c r="K38" s="55"/>
      <c r="L38" s="56"/>
      <c r="M38" s="55"/>
      <c r="N38" s="56"/>
      <c r="O38" s="23"/>
      <c r="P38" s="59" t="s">
        <v>28</v>
      </c>
      <c r="Q38" s="423"/>
      <c r="R38" s="424">
        <v>2.0</v>
      </c>
      <c r="S38" s="70">
        <v>-150.0</v>
      </c>
      <c r="T38" s="63">
        <f t="shared" si="1"/>
        <v>45628</v>
      </c>
      <c r="U38" s="64"/>
      <c r="V38" s="69"/>
      <c r="W38" s="71"/>
      <c r="X38" s="303"/>
      <c r="Y38" s="303">
        <f>sum(Y35:Y37)</f>
        <v>450</v>
      </c>
      <c r="Z38" s="23"/>
      <c r="AA38" s="23"/>
    </row>
    <row r="39" ht="18.75" customHeight="1">
      <c r="A39" s="55"/>
      <c r="B39" s="56"/>
      <c r="C39" s="55"/>
      <c r="D39" s="56"/>
      <c r="E39" s="55"/>
      <c r="F39" s="56"/>
      <c r="G39" s="55"/>
      <c r="H39" s="56"/>
      <c r="I39" s="55"/>
      <c r="J39" s="56"/>
      <c r="K39" s="55"/>
      <c r="L39" s="56"/>
      <c r="M39" s="55"/>
      <c r="N39" s="56"/>
      <c r="O39" s="23"/>
      <c r="P39" s="59" t="s">
        <v>28</v>
      </c>
      <c r="Q39" s="423"/>
      <c r="R39" s="424">
        <v>16.0</v>
      </c>
      <c r="S39" s="70">
        <v>-150.0</v>
      </c>
      <c r="T39" s="63">
        <f t="shared" si="1"/>
        <v>45642</v>
      </c>
      <c r="U39" s="64"/>
      <c r="V39" s="23"/>
      <c r="W39" s="64"/>
      <c r="X39" s="303"/>
      <c r="Y39" s="303"/>
      <c r="Z39" s="23"/>
      <c r="AA39" s="23"/>
    </row>
    <row r="40" ht="18.75" customHeight="1">
      <c r="A40" s="66" t="s">
        <v>22</v>
      </c>
      <c r="B40" s="67">
        <f>N34+SUM(B35:B39)</f>
        <v>4108.19</v>
      </c>
      <c r="C40" s="66"/>
      <c r="D40" s="67">
        <f>B40+SUM(D35:D39)</f>
        <v>3773.84</v>
      </c>
      <c r="E40" s="66"/>
      <c r="F40" s="67">
        <f>D40+SUM(F35:F39)</f>
        <v>3773.84</v>
      </c>
      <c r="G40" s="66"/>
      <c r="H40" s="67">
        <f>F40+SUM(H35:H39)</f>
        <v>3773.84</v>
      </c>
      <c r="I40" s="66"/>
      <c r="J40" s="67">
        <f>H40+SUM(J35:J39)</f>
        <v>3773.84</v>
      </c>
      <c r="K40" s="66"/>
      <c r="L40" s="67">
        <f>J40+SUM(L35:L39)</f>
        <v>3773.84</v>
      </c>
      <c r="M40" s="66"/>
      <c r="N40" s="67">
        <f>L40+SUM(N35:N39)</f>
        <v>3773.84</v>
      </c>
      <c r="O40" s="68"/>
      <c r="P40" s="59" t="s">
        <v>28</v>
      </c>
      <c r="Q40" s="423"/>
      <c r="R40" s="424">
        <v>27.0</v>
      </c>
      <c r="S40" s="70">
        <v>-150.0</v>
      </c>
      <c r="T40" s="63">
        <f t="shared" si="1"/>
        <v>45653</v>
      </c>
      <c r="U40" s="71"/>
      <c r="V40" s="69"/>
      <c r="W40" s="71"/>
      <c r="X40" s="309"/>
      <c r="Y40" s="309"/>
      <c r="Z40" s="69"/>
      <c r="AA40" s="69"/>
    </row>
    <row r="41" ht="18.75" customHeight="1">
      <c r="A41" s="50" t="str">
        <f>IF(M35="","",IF(MONTH(M35+1)&lt;&gt;MONTH(M35),"",M35+1))</f>
        <v/>
      </c>
      <c r="B41" s="51">
        <f>SUMIF($T$11:$T$133,A41,$S$11:$S$94)</f>
        <v>0</v>
      </c>
      <c r="C41" s="50" t="str">
        <f>IF(A41="","",IF(MONTH(A41+1)&lt;&gt;MONTH(A41),"",A41+1))</f>
        <v/>
      </c>
      <c r="D41" s="51">
        <f>SUMIF($T$11:$T$133,C41,$S$11:$S$94)</f>
        <v>0</v>
      </c>
      <c r="E41" s="77"/>
      <c r="F41" s="77" t="s">
        <v>50</v>
      </c>
      <c r="G41" s="77"/>
      <c r="H41" s="77"/>
      <c r="I41" s="77"/>
      <c r="J41" s="77"/>
      <c r="K41" s="77"/>
      <c r="L41" s="77"/>
      <c r="M41" s="77"/>
      <c r="N41" s="77"/>
      <c r="P41" s="59" t="s">
        <v>58</v>
      </c>
      <c r="Q41" s="423"/>
      <c r="R41" s="424">
        <v>4.0</v>
      </c>
      <c r="S41" s="70">
        <v>-597.96</v>
      </c>
      <c r="T41" s="63">
        <f t="shared" si="1"/>
        <v>45630</v>
      </c>
      <c r="V41" s="313"/>
      <c r="X41" s="314"/>
      <c r="Y41" s="314"/>
    </row>
    <row r="42" ht="18.75" customHeight="1">
      <c r="A42" s="55"/>
      <c r="B42" s="56"/>
      <c r="C42" s="55"/>
      <c r="D42" s="56"/>
      <c r="E42" s="77"/>
      <c r="F42" s="77" t="s">
        <v>52</v>
      </c>
      <c r="G42" s="77"/>
      <c r="H42" s="77"/>
      <c r="I42" s="77"/>
      <c r="J42" s="77"/>
      <c r="K42" s="77"/>
      <c r="L42" s="77"/>
      <c r="M42" s="77"/>
      <c r="N42" s="77"/>
      <c r="P42" s="59" t="s">
        <v>59</v>
      </c>
      <c r="Q42" s="423"/>
      <c r="R42" s="424">
        <v>3.0</v>
      </c>
      <c r="S42" s="426">
        <v>598.0</v>
      </c>
      <c r="T42" s="63">
        <f t="shared" si="1"/>
        <v>45629</v>
      </c>
      <c r="V42" s="313"/>
      <c r="X42" s="314"/>
      <c r="Y42" s="314"/>
    </row>
    <row r="43" ht="18.75" customHeight="1">
      <c r="A43" s="55"/>
      <c r="B43" s="56"/>
      <c r="C43" s="55"/>
      <c r="D43" s="56"/>
      <c r="E43" s="77"/>
      <c r="F43" s="77"/>
      <c r="G43" s="77"/>
      <c r="H43" s="77"/>
      <c r="I43" s="77"/>
      <c r="J43" s="77"/>
      <c r="K43" s="77"/>
      <c r="L43" s="77"/>
      <c r="M43" s="77"/>
      <c r="N43" s="77"/>
      <c r="P43" s="59" t="s">
        <v>24</v>
      </c>
      <c r="Q43" s="423"/>
      <c r="R43" s="424">
        <v>1.0</v>
      </c>
      <c r="S43" s="70">
        <v>-57.0</v>
      </c>
      <c r="T43" s="63">
        <f t="shared" si="1"/>
        <v>45627</v>
      </c>
      <c r="V43" s="313"/>
    </row>
    <row r="44" ht="18.75" customHeight="1">
      <c r="A44" s="55"/>
      <c r="B44" s="56"/>
      <c r="C44" s="55"/>
      <c r="D44" s="56"/>
      <c r="E44" s="77"/>
      <c r="F44" s="77"/>
      <c r="G44" s="77"/>
      <c r="H44" s="77"/>
      <c r="I44" s="77"/>
      <c r="J44" s="77"/>
      <c r="K44" s="77"/>
      <c r="L44" s="77"/>
      <c r="M44" s="77"/>
      <c r="N44" s="77"/>
      <c r="P44" s="59" t="s">
        <v>26</v>
      </c>
      <c r="Q44" s="423"/>
      <c r="R44" s="424">
        <v>4.0</v>
      </c>
      <c r="S44" s="70">
        <v>-98.0</v>
      </c>
      <c r="T44" s="63">
        <f t="shared" si="1"/>
        <v>45630</v>
      </c>
      <c r="V44" s="313"/>
      <c r="X44" s="314"/>
      <c r="Y44" s="314"/>
    </row>
    <row r="45" ht="18.75" customHeight="1">
      <c r="A45" s="55"/>
      <c r="B45" s="56"/>
      <c r="C45" s="55"/>
      <c r="D45" s="56"/>
      <c r="E45" s="77"/>
      <c r="F45" s="77"/>
      <c r="G45" s="77"/>
      <c r="H45" s="77"/>
      <c r="I45" s="77"/>
      <c r="J45" s="77"/>
      <c r="K45" s="77"/>
      <c r="L45" s="77"/>
      <c r="M45" s="77"/>
      <c r="N45" s="77"/>
      <c r="P45" s="59" t="s">
        <v>26</v>
      </c>
      <c r="Q45" s="423"/>
      <c r="R45" s="424">
        <v>11.0</v>
      </c>
      <c r="S45" s="70">
        <v>-98.0</v>
      </c>
      <c r="T45" s="63">
        <f t="shared" si="1"/>
        <v>45637</v>
      </c>
    </row>
    <row r="46" ht="18.75" customHeight="1">
      <c r="A46" s="66" t="s">
        <v>22</v>
      </c>
      <c r="B46" s="67">
        <f>N40+SUM(B41:B45)</f>
        <v>3773.84</v>
      </c>
      <c r="C46" s="66"/>
      <c r="D46" s="67">
        <f>B46+SUM(D41:D45)</f>
        <v>3773.84</v>
      </c>
      <c r="E46" s="77"/>
      <c r="F46" s="77"/>
      <c r="G46" s="77"/>
      <c r="H46" s="77"/>
      <c r="I46" s="77"/>
      <c r="J46" s="77"/>
      <c r="K46" s="77"/>
      <c r="L46" s="77"/>
      <c r="M46" s="77"/>
      <c r="N46" s="77"/>
      <c r="P46" s="59" t="s">
        <v>163</v>
      </c>
      <c r="Q46" s="423"/>
      <c r="R46" s="424">
        <v>3.0</v>
      </c>
      <c r="S46" s="70">
        <v>-125.0</v>
      </c>
      <c r="T46" s="63">
        <f t="shared" si="1"/>
        <v>45629</v>
      </c>
    </row>
    <row r="47" ht="18.75" customHeight="1">
      <c r="A47" s="327"/>
      <c r="B47" s="328"/>
      <c r="C47" s="327"/>
      <c r="D47" s="328"/>
      <c r="E47" s="329"/>
      <c r="F47" s="329"/>
      <c r="G47" s="329"/>
      <c r="H47" s="329"/>
      <c r="I47" s="329"/>
      <c r="J47" s="329"/>
      <c r="K47" s="329"/>
      <c r="L47" s="329"/>
      <c r="M47" s="329"/>
      <c r="N47" s="329"/>
      <c r="P47" s="59" t="s">
        <v>19</v>
      </c>
      <c r="Q47" s="423"/>
      <c r="R47" s="424">
        <v>24.0</v>
      </c>
      <c r="S47" s="70">
        <v>800.0</v>
      </c>
      <c r="T47" s="63">
        <f t="shared" si="1"/>
        <v>45650</v>
      </c>
    </row>
    <row r="48" ht="20.25" customHeight="1">
      <c r="A48" s="327"/>
      <c r="B48" s="328"/>
      <c r="C48" s="327"/>
      <c r="D48" s="328"/>
      <c r="E48" s="330"/>
      <c r="P48" s="59" t="s">
        <v>163</v>
      </c>
      <c r="Q48" s="423"/>
      <c r="R48" s="424">
        <v>24.0</v>
      </c>
      <c r="S48" s="70">
        <v>-105.75</v>
      </c>
      <c r="T48" s="63">
        <f t="shared" si="1"/>
        <v>45650</v>
      </c>
    </row>
    <row r="49" ht="20.25" customHeight="1">
      <c r="P49" s="78"/>
      <c r="Q49" s="112"/>
      <c r="R49" s="427"/>
      <c r="S49" s="113"/>
      <c r="T49" s="82"/>
    </row>
    <row r="50" ht="12.75" customHeight="1">
      <c r="P50" s="115"/>
      <c r="Q50" s="116"/>
      <c r="R50" s="428"/>
      <c r="S50" s="118"/>
      <c r="T50" s="82" t="str">
        <f>IF(ISBLANK(R50),"-",IF(R50&gt;DAY(EOMONTH(DATE($B$2,$E$2,1),0)),EOMONTH(DATE($B$2,$E$2,1),0),DATE($B$2,$E$2,R50)))</f>
        <v>-</v>
      </c>
    </row>
    <row r="51" ht="12.75" customHeight="1">
      <c r="R51" s="336"/>
      <c r="S51" s="337"/>
    </row>
    <row r="52" ht="12.75" customHeight="1">
      <c r="R52" s="336"/>
      <c r="S52" s="337"/>
    </row>
    <row r="53" ht="12.75" customHeight="1">
      <c r="R53" s="336"/>
      <c r="S53" s="337"/>
    </row>
    <row r="54" ht="12.75" customHeight="1">
      <c r="R54" s="336"/>
      <c r="S54" s="337"/>
    </row>
    <row r="55" ht="12.75" customHeight="1">
      <c r="R55" s="336"/>
      <c r="S55" s="337"/>
    </row>
    <row r="56" ht="12.75" customHeight="1">
      <c r="R56" s="336"/>
      <c r="S56" s="337"/>
    </row>
    <row r="57" ht="12.75" customHeight="1">
      <c r="R57" s="336"/>
      <c r="S57" s="337"/>
    </row>
    <row r="58" ht="12.75" customHeight="1">
      <c r="R58" s="336"/>
      <c r="S58" s="337"/>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c r="S927" s="337"/>
    </row>
    <row r="928" ht="12.75" customHeight="1">
      <c r="R928" s="336"/>
      <c r="S928" s="337"/>
    </row>
    <row r="929" ht="12.75" customHeight="1">
      <c r="R929" s="336"/>
      <c r="S929" s="337"/>
    </row>
    <row r="930" ht="12.75" customHeight="1">
      <c r="R930" s="336"/>
      <c r="S930" s="337"/>
    </row>
    <row r="931" ht="12.75" customHeight="1">
      <c r="R931" s="336"/>
      <c r="S931" s="337"/>
    </row>
    <row r="932" ht="12.75" customHeight="1">
      <c r="R932" s="336"/>
      <c r="S932" s="337"/>
    </row>
    <row r="933" ht="12.75" customHeight="1">
      <c r="R933" s="336"/>
      <c r="S933" s="337"/>
    </row>
    <row r="934" ht="12.75" customHeight="1">
      <c r="R934" s="336"/>
      <c r="S934" s="337"/>
    </row>
    <row r="935" ht="12.75" customHeight="1">
      <c r="R935" s="336"/>
      <c r="S935" s="337"/>
    </row>
    <row r="936" ht="12.75" customHeight="1">
      <c r="R936" s="336"/>
      <c r="S936" s="337"/>
    </row>
    <row r="937" ht="12.75" customHeight="1">
      <c r="R937" s="336"/>
    </row>
    <row r="938" ht="12.75" customHeight="1">
      <c r="R938" s="336"/>
    </row>
    <row r="939" ht="12.75" customHeight="1">
      <c r="R939" s="336"/>
    </row>
    <row r="940" ht="12.75" customHeight="1">
      <c r="R940" s="336"/>
    </row>
  </sheetData>
  <mergeCells count="11">
    <mergeCell ref="G9:H9"/>
    <mergeCell ref="I9:J9"/>
    <mergeCell ref="K9:L9"/>
    <mergeCell ref="M9:N9"/>
    <mergeCell ref="M5:N5"/>
    <mergeCell ref="S5:T5"/>
    <mergeCell ref="M6:N6"/>
    <mergeCell ref="S6:T6"/>
    <mergeCell ref="A9:B9"/>
    <mergeCell ref="C9:D9"/>
    <mergeCell ref="E9:F9"/>
  </mergeCells>
  <conditionalFormatting sqref="S1:S940">
    <cfRule type="cellIs" dxfId="5" priority="1" operator="lessThan">
      <formula>0</formula>
    </cfRule>
  </conditionalFormatting>
  <dataValidations>
    <dataValidation type="list" allowBlank="1" showErrorMessage="1" sqref="Q12:Q50">
      <formula1>"✔"</formula1>
    </dataValidation>
    <dataValidation type="custom" allowBlank="1" showDropDown="1" sqref="T12:T50">
      <formula1>OR(NOT(ISERROR(DATEVALUE(T12))), AND(ISNUMBER(T12), LEFT(CELL("format", T12))="D"))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12.88"/>
    <col customWidth="1" min="4" max="4" width="8.63"/>
    <col customWidth="1" min="5" max="5" width="8.38"/>
    <col customWidth="1" min="6" max="6" width="8.63"/>
    <col customWidth="1" min="7" max="7" width="6.13"/>
    <col customWidth="1" min="8" max="8" width="8.63"/>
    <col customWidth="1" min="9" max="9" width="14.38"/>
    <col customWidth="1" min="10" max="10" width="8.63"/>
    <col customWidth="1" min="11" max="11" width="6.13"/>
    <col customWidth="1" min="12" max="12" width="8.63"/>
    <col customWidth="1" min="13" max="13" width="6.13"/>
    <col customWidth="1" min="14" max="14" width="8.63"/>
    <col customWidth="1" min="15" max="15" width="2.13"/>
    <col customWidth="1" min="16" max="20" width="15.88"/>
    <col customWidth="1" min="21" max="26" width="8.63"/>
  </cols>
  <sheetData>
    <row r="1" ht="24.75" customHeight="1">
      <c r="A1" s="429" t="s">
        <v>0</v>
      </c>
      <c r="B1" s="430"/>
      <c r="C1" s="430"/>
      <c r="D1" s="431"/>
      <c r="E1" s="431"/>
      <c r="F1" s="430"/>
      <c r="G1" s="430"/>
      <c r="H1" s="430"/>
      <c r="I1" s="430"/>
      <c r="J1" s="432"/>
      <c r="K1" s="433"/>
      <c r="L1" s="432"/>
      <c r="M1" s="432"/>
      <c r="N1" s="432"/>
      <c r="O1" s="432"/>
      <c r="P1" s="434"/>
      <c r="Q1" s="434"/>
      <c r="R1" s="435"/>
      <c r="S1" s="436"/>
      <c r="T1" s="437"/>
    </row>
    <row r="2" ht="12.75" customHeight="1">
      <c r="A2" s="438" t="s">
        <v>1</v>
      </c>
      <c r="B2" s="439">
        <v>2025.0</v>
      </c>
      <c r="C2" s="431"/>
      <c r="D2" s="438" t="s">
        <v>2</v>
      </c>
      <c r="E2" s="439">
        <v>5.0</v>
      </c>
      <c r="F2" s="431"/>
      <c r="G2" s="438" t="s">
        <v>3</v>
      </c>
      <c r="H2" s="440">
        <v>1.0</v>
      </c>
      <c r="I2" s="441" t="s">
        <v>4</v>
      </c>
      <c r="J2" s="432"/>
      <c r="K2" s="433"/>
      <c r="L2" s="442"/>
      <c r="M2" s="442"/>
      <c r="N2" s="442"/>
      <c r="O2" s="442"/>
      <c r="P2" s="443"/>
      <c r="Q2" s="443"/>
      <c r="R2" s="444"/>
      <c r="S2" s="445"/>
      <c r="T2" s="446" t="s">
        <v>5</v>
      </c>
    </row>
    <row r="3" ht="12.75" customHeight="1">
      <c r="A3" s="431"/>
      <c r="B3" s="431"/>
      <c r="C3" s="431"/>
      <c r="D3" s="431"/>
      <c r="E3" s="431"/>
      <c r="F3" s="431"/>
      <c r="G3" s="431"/>
      <c r="H3" s="431"/>
      <c r="I3" s="432"/>
      <c r="J3" s="432"/>
      <c r="K3" s="432"/>
      <c r="L3" s="432"/>
      <c r="M3" s="432"/>
      <c r="N3" s="432"/>
      <c r="O3" s="432"/>
      <c r="P3" s="434"/>
      <c r="Q3" s="434"/>
      <c r="R3" s="435"/>
      <c r="S3" s="436"/>
      <c r="T3" s="447" t="s">
        <v>6</v>
      </c>
    </row>
    <row r="4" ht="12.75" customHeight="1">
      <c r="N4" s="448"/>
      <c r="P4" s="19"/>
      <c r="Q4" s="19"/>
      <c r="R4" s="285"/>
      <c r="S4" s="286"/>
      <c r="T4" s="19"/>
    </row>
    <row r="5" ht="25.5" customHeight="1">
      <c r="A5" s="449" t="str">
        <f>UPPER(TEXT(B8,"mmmm yyyy"))</f>
        <v>MAY 2025</v>
      </c>
      <c r="B5" s="450"/>
      <c r="C5" s="450"/>
      <c r="D5" s="450"/>
      <c r="E5" s="450"/>
      <c r="F5" s="450"/>
      <c r="G5" s="450"/>
      <c r="H5" s="451"/>
      <c r="I5" s="451"/>
      <c r="J5" s="451"/>
      <c r="K5" s="450"/>
      <c r="L5" s="452" t="s">
        <v>7</v>
      </c>
      <c r="M5" s="453">
        <f>'April 2025'!D46</f>
        <v>3617.28</v>
      </c>
      <c r="N5" s="26"/>
      <c r="O5" s="451"/>
      <c r="P5" s="454"/>
      <c r="Q5" s="454"/>
      <c r="R5" s="455" t="s">
        <v>8</v>
      </c>
      <c r="S5" s="456">
        <f>SUMIF(A18:N21,"&gt;0")+SUMIF(A24:N27,"&gt;0")+SUMIF(A30:N33,"&gt;0")+SUMIF(A36:N39,"&gt;0")+SUMIF(A42:D45,"&gt;0")+SUMIF(S12:S46,"&gt;0")+SUMIF(A12:N15,"&gt;0")</f>
        <v>6501.49</v>
      </c>
      <c r="U5" s="451"/>
      <c r="V5" s="457">
        <f>sum(S5+S6)</f>
        <v>222.7</v>
      </c>
      <c r="W5" s="451"/>
      <c r="X5" s="451"/>
      <c r="Y5" s="451"/>
      <c r="Z5" s="451"/>
    </row>
    <row r="6" ht="25.5" customHeight="1">
      <c r="A6" s="458"/>
      <c r="B6" s="458"/>
      <c r="C6" s="458"/>
      <c r="D6" s="458"/>
      <c r="E6" s="458"/>
      <c r="F6" s="459"/>
      <c r="G6" s="460"/>
      <c r="H6" s="461"/>
      <c r="I6" s="461"/>
      <c r="J6" s="461"/>
      <c r="K6" s="458"/>
      <c r="L6" s="452" t="s">
        <v>9</v>
      </c>
      <c r="M6" s="462">
        <f>D46</f>
        <v>3774.89</v>
      </c>
      <c r="O6" s="461"/>
      <c r="P6" s="463"/>
      <c r="Q6" s="463"/>
      <c r="R6" s="455" t="s">
        <v>10</v>
      </c>
      <c r="S6" s="456">
        <f>SUMIF(A18:N21,"&lt;0")+SUMIF(A24:N27,"&lt;0")+SUMIF(A30:N33,"&lt;0")+SUMIF(A36:N39,"&lt;0")+SUMIF(A42:D45,"&lt;0")+SUMIF(S12:S189,"&lt;0")+SUMIF(A12:N15,"&lt;0")</f>
        <v>-6278.79</v>
      </c>
      <c r="U6" s="461"/>
      <c r="V6" s="461"/>
      <c r="W6" s="461"/>
      <c r="X6" s="461"/>
      <c r="Y6" s="461"/>
      <c r="Z6" s="461"/>
    </row>
    <row r="7" ht="12.75" customHeight="1">
      <c r="A7" s="458"/>
      <c r="B7" s="458"/>
      <c r="C7" s="458"/>
      <c r="D7" s="458"/>
      <c r="E7" s="458"/>
      <c r="F7" s="458"/>
      <c r="G7" s="458"/>
      <c r="H7" s="458"/>
      <c r="I7" s="458"/>
      <c r="J7" s="458"/>
      <c r="K7" s="458"/>
      <c r="L7" s="458"/>
      <c r="M7" s="458"/>
      <c r="N7" s="458"/>
      <c r="O7" s="461"/>
      <c r="P7" s="463"/>
      <c r="Q7" s="463"/>
      <c r="R7" s="464"/>
      <c r="S7" s="465"/>
      <c r="T7" s="463"/>
      <c r="U7" s="461"/>
      <c r="V7" s="461"/>
      <c r="W7" s="461"/>
      <c r="X7" s="461"/>
      <c r="Y7" s="461"/>
      <c r="Z7" s="461"/>
    </row>
    <row r="8" ht="12.75" hidden="1" customHeight="1">
      <c r="A8" s="461" t="s">
        <v>11</v>
      </c>
      <c r="B8" s="466">
        <f>DATE(B2,E2,1)</f>
        <v>45778</v>
      </c>
      <c r="C8" s="461"/>
      <c r="D8" s="461"/>
      <c r="E8" s="461"/>
      <c r="F8" s="461"/>
      <c r="G8" s="461"/>
      <c r="H8" s="461"/>
      <c r="I8" s="461"/>
      <c r="J8" s="461"/>
      <c r="K8" s="461"/>
      <c r="L8" s="461"/>
      <c r="M8" s="461"/>
      <c r="N8" s="461"/>
      <c r="O8" s="461"/>
      <c r="P8" s="463"/>
      <c r="Q8" s="463"/>
      <c r="R8" s="464"/>
      <c r="S8" s="465"/>
      <c r="T8" s="463"/>
      <c r="U8" s="461"/>
      <c r="V8" s="461"/>
      <c r="W8" s="461"/>
      <c r="X8" s="461"/>
      <c r="Y8" s="461"/>
      <c r="Z8" s="461"/>
    </row>
    <row r="9" ht="18.0" customHeight="1">
      <c r="A9" s="467">
        <f>A17</f>
        <v>45781</v>
      </c>
      <c r="B9" s="40"/>
      <c r="C9" s="467">
        <f>C17</f>
        <v>45782</v>
      </c>
      <c r="D9" s="40"/>
      <c r="E9" s="467">
        <f>E17</f>
        <v>45783</v>
      </c>
      <c r="F9" s="40"/>
      <c r="G9" s="467">
        <f>G17</f>
        <v>45784</v>
      </c>
      <c r="H9" s="40"/>
      <c r="I9" s="467">
        <f>I17</f>
        <v>45785</v>
      </c>
      <c r="J9" s="40"/>
      <c r="K9" s="467">
        <f>K17</f>
        <v>45786</v>
      </c>
      <c r="L9" s="40"/>
      <c r="M9" s="467">
        <f>M17</f>
        <v>45787</v>
      </c>
      <c r="N9" s="40"/>
      <c r="O9" s="451"/>
      <c r="P9" s="468" t="s">
        <v>12</v>
      </c>
      <c r="Q9" s="469"/>
      <c r="R9" s="470"/>
      <c r="S9" s="471"/>
      <c r="T9" s="472"/>
      <c r="U9" s="451"/>
      <c r="V9" s="451"/>
      <c r="W9" s="451"/>
      <c r="X9" s="451"/>
      <c r="Y9" s="451"/>
      <c r="Z9" s="451"/>
    </row>
    <row r="10" ht="12.75" customHeight="1">
      <c r="A10" s="473"/>
      <c r="B10" s="474"/>
      <c r="C10" s="473"/>
      <c r="D10" s="474"/>
      <c r="E10" s="473"/>
      <c r="F10" s="474"/>
      <c r="G10" s="473"/>
      <c r="H10" s="474"/>
      <c r="I10" s="473"/>
      <c r="J10" s="474"/>
      <c r="K10" s="473"/>
      <c r="L10" s="474"/>
      <c r="M10" s="473"/>
      <c r="N10" s="474"/>
      <c r="O10" s="451"/>
      <c r="P10" s="475"/>
      <c r="Q10" s="476"/>
      <c r="R10" s="476"/>
      <c r="S10" s="477"/>
      <c r="T10" s="476"/>
      <c r="U10" s="451"/>
      <c r="V10" s="451"/>
      <c r="W10" s="451"/>
      <c r="X10" s="451"/>
      <c r="Y10" s="451"/>
      <c r="Z10" s="451"/>
    </row>
    <row r="11" ht="12.75" customHeight="1">
      <c r="A11" s="478" t="str">
        <f>IF(WEEKDAY($B$8,1)=$H$2,$B$8,"")</f>
        <v/>
      </c>
      <c r="B11" s="479"/>
      <c r="C11" s="478" t="str">
        <f>IF(A11="",IF(WEEKDAY($B$8,1)=MOD($H$2,7)+1,$B$8,""),A11+1)</f>
        <v/>
      </c>
      <c r="D11" s="479"/>
      <c r="E11" s="478" t="str">
        <f>IF(C11="",IF(WEEKDAY($B$8,1)=MOD($H$2+1,7)+1,$B$8,""),C11+1)</f>
        <v/>
      </c>
      <c r="F11" s="479"/>
      <c r="G11" s="478" t="str">
        <f>IF(E11="",IF(WEEKDAY($B$8,1)=MOD($H$2+2,7)+1,$B$8,""),E11+1)</f>
        <v/>
      </c>
      <c r="H11" s="479"/>
      <c r="I11" s="478">
        <f>IF(G11="",IF(WEEKDAY($B$8,1)=MOD($H$2+3,7)+1,$B$8,""),G11+1)</f>
        <v>45778</v>
      </c>
      <c r="J11" s="479">
        <f>SUMIF($T$11:$T$116,I11,$S$11:$S$77)</f>
        <v>761</v>
      </c>
      <c r="K11" s="478">
        <f>IF(I11="",IF(WEEKDAY($B$8,1)=MOD($H$2+4,7)+1,$B$8,""),I11+1)</f>
        <v>45779</v>
      </c>
      <c r="L11" s="479">
        <f>SUMIF($T$11:$T$116,K11,$S$11:$S$77)</f>
        <v>-156.5</v>
      </c>
      <c r="M11" s="478">
        <f>IF(K11="",IF(WEEKDAY($B$8,1)=MOD($H$2+5,7)+1,$B$8,""),K11+1)</f>
        <v>45780</v>
      </c>
      <c r="N11" s="479">
        <f>SUMIF($T$11:$T$116,M11,$S$11:$S$77)</f>
        <v>0</v>
      </c>
      <c r="O11" s="451"/>
      <c r="P11" s="480" t="s">
        <v>13</v>
      </c>
      <c r="Q11" s="481" t="s">
        <v>14</v>
      </c>
      <c r="R11" s="481" t="s">
        <v>15</v>
      </c>
      <c r="S11" s="482" t="s">
        <v>16</v>
      </c>
      <c r="T11" s="481" t="s">
        <v>17</v>
      </c>
      <c r="U11" s="451"/>
      <c r="V11" s="451"/>
      <c r="W11" s="451"/>
      <c r="X11" s="451"/>
      <c r="Y11" s="451"/>
      <c r="Z11" s="451"/>
    </row>
    <row r="12" ht="18.75" customHeight="1">
      <c r="A12" s="483"/>
      <c r="B12" s="484"/>
      <c r="C12" s="483"/>
      <c r="D12" s="484"/>
      <c r="E12" s="483"/>
      <c r="F12" s="484"/>
      <c r="G12" s="483"/>
      <c r="H12" s="484"/>
      <c r="I12" s="485" t="s">
        <v>185</v>
      </c>
      <c r="J12" s="486">
        <v>-62.32</v>
      </c>
      <c r="K12" s="58"/>
      <c r="L12" s="486"/>
      <c r="M12" s="483"/>
      <c r="N12" s="486">
        <v>-120.01</v>
      </c>
      <c r="O12" s="451"/>
      <c r="P12" s="487" t="s">
        <v>47</v>
      </c>
      <c r="Q12" s="488"/>
      <c r="R12" s="489">
        <v>1.0</v>
      </c>
      <c r="S12" s="490">
        <v>818.0</v>
      </c>
      <c r="T12" s="491">
        <f t="shared" ref="T12:T14" si="1">IF(ISBLANK(R12),"-",IF(R12&gt;DAY(EOMONTH(DATE($B$2,$E$2,1),0)),EOMONTH(DATE($B$2,$E$2,1),0),DATE($B$2,$E$2,R12)))</f>
        <v>45778</v>
      </c>
      <c r="U12" s="492"/>
      <c r="V12" s="451"/>
      <c r="W12" s="492"/>
      <c r="X12" s="493"/>
      <c r="Y12" s="451"/>
      <c r="Z12" s="451"/>
    </row>
    <row r="13" ht="18.75" customHeight="1">
      <c r="A13" s="483"/>
      <c r="B13" s="484"/>
      <c r="C13" s="483"/>
      <c r="D13" s="484"/>
      <c r="E13" s="483"/>
      <c r="F13" s="484"/>
      <c r="G13" s="483"/>
      <c r="H13" s="484"/>
      <c r="I13" s="483"/>
      <c r="J13" s="486"/>
      <c r="K13" s="58"/>
      <c r="L13" s="57"/>
      <c r="M13" s="483"/>
      <c r="N13" s="484"/>
      <c r="O13" s="451"/>
      <c r="P13" s="487" t="s">
        <v>24</v>
      </c>
      <c r="Q13" s="488"/>
      <c r="R13" s="489">
        <v>1.0</v>
      </c>
      <c r="S13" s="494">
        <v>-57.0</v>
      </c>
      <c r="T13" s="491">
        <f t="shared" si="1"/>
        <v>45778</v>
      </c>
      <c r="U13" s="492"/>
      <c r="V13" s="451"/>
      <c r="W13" s="492"/>
      <c r="X13" s="493"/>
      <c r="Y13" s="451"/>
      <c r="Z13" s="451"/>
    </row>
    <row r="14" ht="18.75" customHeight="1">
      <c r="A14" s="483"/>
      <c r="B14" s="484"/>
      <c r="C14" s="483"/>
      <c r="D14" s="484"/>
      <c r="E14" s="483"/>
      <c r="F14" s="484"/>
      <c r="G14" s="483"/>
      <c r="H14" s="484"/>
      <c r="I14" s="485"/>
      <c r="J14" s="486"/>
      <c r="K14" s="58"/>
      <c r="L14" s="57"/>
      <c r="M14" s="483"/>
      <c r="N14" s="484"/>
      <c r="O14" s="451"/>
      <c r="P14" s="495" t="s">
        <v>84</v>
      </c>
      <c r="Q14" s="496"/>
      <c r="R14" s="497">
        <v>2.0</v>
      </c>
      <c r="S14" s="393">
        <f t="array" ref="S14">-INDEX(PaymentSchedule!$E$21:$AG923,MATCH(PaymentSchedule!$B$25,PaymentSchedule!$B$21:$B$100),MATCH($P14,PaymentSchedule!$E$19:$AG$19,0))</f>
        <v>-156.5</v>
      </c>
      <c r="T14" s="498">
        <f t="shared" si="1"/>
        <v>45779</v>
      </c>
      <c r="U14" s="492"/>
      <c r="V14" s="451"/>
      <c r="W14" s="492"/>
      <c r="X14" s="493"/>
      <c r="Y14" s="451"/>
      <c r="Z14" s="451"/>
    </row>
    <row r="15" ht="18.75" customHeight="1">
      <c r="A15" s="483"/>
      <c r="B15" s="484"/>
      <c r="C15" s="483"/>
      <c r="D15" s="484"/>
      <c r="E15" s="483"/>
      <c r="F15" s="484"/>
      <c r="G15" s="483"/>
      <c r="H15" s="484"/>
      <c r="I15" s="483"/>
      <c r="J15" s="484"/>
      <c r="K15" s="483"/>
      <c r="L15" s="484"/>
      <c r="M15" s="483"/>
      <c r="N15" s="484"/>
      <c r="O15" s="451"/>
      <c r="P15" s="390" t="s">
        <v>83</v>
      </c>
      <c r="Q15" s="402"/>
      <c r="R15" s="392">
        <v>3.0</v>
      </c>
      <c r="S15" s="393">
        <f t="array" ref="S15">-INDEX(PaymentSchedule!$E$21:$AG923,MATCH(PaymentSchedule!$B$25,PaymentSchedule!$B$21:$B$100),MATCH($P15,PaymentSchedule!$E$19:$AG$19,0))</f>
        <v>0</v>
      </c>
      <c r="T15" s="499">
        <f>IF(ISBLANK(R15),"-",IF(R15&gt;DAY(EOMONTH(DATE($B$2,$E$2,1),0)),EOMONTH(DATE($B$2,$E$2,1),0),DATE($B$2,$E$2,R15)))</f>
        <v>45780</v>
      </c>
      <c r="U15" s="492"/>
      <c r="V15" s="451"/>
      <c r="W15" s="492"/>
      <c r="X15" s="493"/>
      <c r="Y15" s="451"/>
      <c r="Z15" s="451"/>
    </row>
    <row r="16" ht="18.75" customHeight="1">
      <c r="A16" s="500" t="s">
        <v>22</v>
      </c>
      <c r="B16" s="501">
        <f>$M$5+SUM(B11:B15)</f>
        <v>3617.28</v>
      </c>
      <c r="C16" s="500"/>
      <c r="D16" s="501">
        <f>B16+SUM(D11:D15)</f>
        <v>3617.28</v>
      </c>
      <c r="E16" s="500"/>
      <c r="F16" s="501">
        <f>D16+SUM(F11:F15)</f>
        <v>3617.28</v>
      </c>
      <c r="G16" s="500"/>
      <c r="H16" s="501">
        <f>F16+SUM(H11:H15)</f>
        <v>3617.28</v>
      </c>
      <c r="I16" s="500"/>
      <c r="J16" s="501">
        <f>H16+SUM(J11:J15)</f>
        <v>4315.96</v>
      </c>
      <c r="K16" s="500"/>
      <c r="L16" s="501">
        <f>J16+SUM(L11:L15)</f>
        <v>4159.46</v>
      </c>
      <c r="M16" s="500"/>
      <c r="N16" s="501">
        <f>L16+SUM(N11:N15)</f>
        <v>4039.45</v>
      </c>
      <c r="O16" s="502"/>
      <c r="P16" s="414" t="s">
        <v>186</v>
      </c>
      <c r="Q16" s="415"/>
      <c r="R16" s="416">
        <v>4.0</v>
      </c>
      <c r="S16" s="383">
        <v>-50.0</v>
      </c>
      <c r="T16" s="384">
        <f t="shared" ref="T16:T29" si="2">IF(ISBLANK(R16),"-",IF(R16&gt;DAY(EOMONTH(DATE($B$2,$E$2,1),0)),EOMONTH(DATE($B$2,$E$2,1),0),DATE($B$2,$E$2,R16)))</f>
        <v>45781</v>
      </c>
      <c r="U16" s="503"/>
      <c r="V16" s="504"/>
      <c r="W16" s="503"/>
      <c r="X16" s="505"/>
      <c r="Y16" s="504"/>
      <c r="Z16" s="504"/>
    </row>
    <row r="17" ht="18.75" customHeight="1">
      <c r="A17" s="478">
        <f>IF(M11="","",IF(MONTH(M11+1)&lt;&gt;MONTH(M11),"",M11+1))</f>
        <v>45781</v>
      </c>
      <c r="B17" s="479">
        <f>SUMIF($T$11:$T$116,A17,$S$11:$S$77)</f>
        <v>-50</v>
      </c>
      <c r="C17" s="478">
        <f>IF(A17="","",IF(MONTH(A17+1)&lt;&gt;MONTH(A17),"",A17+1))</f>
        <v>45782</v>
      </c>
      <c r="D17" s="479">
        <f>SUMIF($T$11:$T$116,C17,$S$11:$S$77)</f>
        <v>-2311.53</v>
      </c>
      <c r="E17" s="478">
        <f>IF(C17="","",IF(MONTH(C17+1)&lt;&gt;MONTH(C17),"",C17+1))</f>
        <v>45783</v>
      </c>
      <c r="F17" s="479">
        <f>SUMIF($T$11:$T$116,E17,$S$11:$S$77)</f>
        <v>0</v>
      </c>
      <c r="G17" s="478">
        <f>IF(E17="","",IF(MONTH(E17+1)&lt;&gt;MONTH(E17),"",E17+1))</f>
        <v>45784</v>
      </c>
      <c r="H17" s="479">
        <f>SUMIF($T$11:$T$116,G17,$S$11:$S$77)</f>
        <v>-133</v>
      </c>
      <c r="I17" s="478">
        <f>IF(G17="","",IF(MONTH(G17+1)&lt;&gt;MONTH(G17),"",G17+1))</f>
        <v>45785</v>
      </c>
      <c r="J17" s="479">
        <f>SUMIF($T$11:$T$116,I17,$S$11:$S$77)</f>
        <v>-603.07</v>
      </c>
      <c r="K17" s="478">
        <f>IF(I17="","",IF(MONTH(I17+1)&lt;&gt;MONTH(I17),"",I17+1))</f>
        <v>45786</v>
      </c>
      <c r="L17" s="479">
        <f>SUMIF($T$11:$T$116,K17,$S$11:$S$77)</f>
        <v>0</v>
      </c>
      <c r="M17" s="478">
        <f>IF(K17="","",IF(MONTH(K17+1)&lt;&gt;MONTH(K17),"",K17+1))</f>
        <v>45787</v>
      </c>
      <c r="N17" s="479">
        <f>SUMIF($T$11:$T$116,M17,$S$11:$S$77)</f>
        <v>-83</v>
      </c>
      <c r="O17" s="451"/>
      <c r="P17" s="487" t="s">
        <v>187</v>
      </c>
      <c r="Q17" s="488"/>
      <c r="R17" s="489">
        <v>5.0</v>
      </c>
      <c r="S17" s="388">
        <f t="array" ref="S17">-INDEX(PaymentSchedule!$E$21:$AG923,MATCH(PaymentSchedule!$B$25,PaymentSchedule!$B$21:$B$100),MATCH($P17,PaymentSchedule!$E$19:$AG$19,0))</f>
        <v>-791.16</v>
      </c>
      <c r="T17" s="491">
        <f t="shared" si="2"/>
        <v>45782</v>
      </c>
      <c r="U17" s="492"/>
      <c r="V17" s="451"/>
      <c r="W17" s="492"/>
      <c r="X17" s="493"/>
      <c r="Y17" s="451"/>
      <c r="Z17" s="451"/>
    </row>
    <row r="18" ht="18.75" customHeight="1">
      <c r="A18" s="483"/>
      <c r="B18" s="486">
        <v>-96.76</v>
      </c>
      <c r="C18" s="485"/>
      <c r="D18" s="486">
        <v>-21.0</v>
      </c>
      <c r="E18" s="483"/>
      <c r="F18" s="484"/>
      <c r="G18" s="483"/>
      <c r="H18" s="484"/>
      <c r="I18" s="483"/>
      <c r="J18" s="484"/>
      <c r="K18" s="485"/>
      <c r="L18" s="486"/>
      <c r="M18" s="483"/>
      <c r="N18" s="484"/>
      <c r="O18" s="451"/>
      <c r="P18" s="506" t="s">
        <v>20</v>
      </c>
      <c r="Q18" s="507"/>
      <c r="R18" s="508">
        <v>5.0</v>
      </c>
      <c r="S18" s="393">
        <f t="array" ref="S18">-INDEX(PaymentSchedule!$E$21:$AG923,MATCH(PaymentSchedule!$B$25,PaymentSchedule!$B$21:$B$100),MATCH($P18,PaymentSchedule!$E$19:$AG$19,0))</f>
        <v>-1487.37</v>
      </c>
      <c r="T18" s="498">
        <f t="shared" si="2"/>
        <v>45782</v>
      </c>
      <c r="U18" s="492"/>
      <c r="V18" s="451"/>
      <c r="Y18" s="451"/>
      <c r="Z18" s="451"/>
    </row>
    <row r="19" ht="18.75" customHeight="1">
      <c r="A19" s="483"/>
      <c r="B19" s="486"/>
      <c r="C19" s="485"/>
      <c r="D19" s="486"/>
      <c r="E19" s="483"/>
      <c r="F19" s="484"/>
      <c r="G19" s="485"/>
      <c r="H19" s="486"/>
      <c r="I19" s="483"/>
      <c r="J19" s="484"/>
      <c r="K19" s="483"/>
      <c r="L19" s="484"/>
      <c r="M19" s="483"/>
      <c r="N19" s="484"/>
      <c r="O19" s="451"/>
      <c r="P19" s="487" t="s">
        <v>27</v>
      </c>
      <c r="Q19" s="488"/>
      <c r="R19" s="489">
        <v>5.0</v>
      </c>
      <c r="S19" s="494">
        <v>-33.0</v>
      </c>
      <c r="T19" s="491">
        <f t="shared" si="2"/>
        <v>45782</v>
      </c>
      <c r="U19" s="492"/>
      <c r="V19" s="451"/>
      <c r="W19" s="492"/>
      <c r="X19" s="493"/>
      <c r="Y19" s="451"/>
      <c r="Z19" s="451"/>
    </row>
    <row r="20" ht="18.75" customHeight="1">
      <c r="A20" s="483"/>
      <c r="B20" s="484"/>
      <c r="C20" s="483"/>
      <c r="D20" s="484"/>
      <c r="E20" s="483"/>
      <c r="F20" s="484"/>
      <c r="G20" s="483"/>
      <c r="H20" s="484"/>
      <c r="I20" s="483"/>
      <c r="J20" s="484"/>
      <c r="K20" s="483"/>
      <c r="L20" s="484"/>
      <c r="M20" s="483"/>
      <c r="N20" s="484"/>
      <c r="O20" s="451"/>
      <c r="P20" s="506" t="s">
        <v>25</v>
      </c>
      <c r="Q20" s="507"/>
      <c r="R20" s="508">
        <v>7.0</v>
      </c>
      <c r="S20" s="393">
        <f t="array" ref="S20">-INDEX(PaymentSchedule!$E$21:$AG923,MATCH(PaymentSchedule!$B$25,PaymentSchedule!$B$21:$B$100),MATCH($P20,PaymentSchedule!$E$19:$AG$19,0))</f>
        <v>-35</v>
      </c>
      <c r="T20" s="498">
        <f t="shared" si="2"/>
        <v>45784</v>
      </c>
      <c r="U20" s="492"/>
      <c r="V20" s="451"/>
      <c r="W20" s="492"/>
      <c r="X20" s="493"/>
      <c r="Y20" s="451"/>
      <c r="Z20" s="451"/>
    </row>
    <row r="21" ht="18.75" customHeight="1">
      <c r="A21" s="483"/>
      <c r="B21" s="484"/>
      <c r="C21" s="483"/>
      <c r="D21" s="484"/>
      <c r="E21" s="483"/>
      <c r="F21" s="484"/>
      <c r="G21" s="483"/>
      <c r="H21" s="484"/>
      <c r="I21" s="483"/>
      <c r="J21" s="484"/>
      <c r="K21" s="483"/>
      <c r="L21" s="484"/>
      <c r="M21" s="483"/>
      <c r="N21" s="484"/>
      <c r="O21" s="451"/>
      <c r="P21" s="487" t="s">
        <v>26</v>
      </c>
      <c r="Q21" s="488"/>
      <c r="R21" s="489">
        <v>7.0</v>
      </c>
      <c r="S21" s="494">
        <v>-98.0</v>
      </c>
      <c r="T21" s="491">
        <f t="shared" si="2"/>
        <v>45784</v>
      </c>
      <c r="U21" s="492"/>
      <c r="V21" s="493"/>
      <c r="W21" s="492"/>
      <c r="X21" s="493"/>
      <c r="Y21" s="451"/>
      <c r="Z21" s="451"/>
    </row>
    <row r="22" ht="18.75" customHeight="1">
      <c r="A22" s="500" t="s">
        <v>22</v>
      </c>
      <c r="B22" s="501">
        <f>N16+SUM(B17:B21)</f>
        <v>3892.69</v>
      </c>
      <c r="C22" s="500"/>
      <c r="D22" s="501">
        <f>B22+SUM(D17:D21)</f>
        <v>1560.16</v>
      </c>
      <c r="E22" s="500"/>
      <c r="F22" s="501">
        <f>D22+SUM(F17:F21)</f>
        <v>1560.16</v>
      </c>
      <c r="G22" s="500"/>
      <c r="H22" s="501">
        <f>F22+SUM(H17:H21)</f>
        <v>1427.16</v>
      </c>
      <c r="I22" s="500"/>
      <c r="J22" s="501">
        <f>H22+SUM(J17:J21)</f>
        <v>824.09</v>
      </c>
      <c r="K22" s="500"/>
      <c r="L22" s="501">
        <f>J22+SUM(L17:L21)</f>
        <v>824.09</v>
      </c>
      <c r="M22" s="500"/>
      <c r="N22" s="501">
        <f>L22+SUM(N17:N21)</f>
        <v>741.09</v>
      </c>
      <c r="O22" s="502"/>
      <c r="P22" s="487" t="s">
        <v>51</v>
      </c>
      <c r="Q22" s="488"/>
      <c r="R22" s="489">
        <v>8.0</v>
      </c>
      <c r="S22" s="494">
        <v>-26.99</v>
      </c>
      <c r="T22" s="491">
        <f t="shared" si="2"/>
        <v>45785</v>
      </c>
      <c r="W22" s="503"/>
      <c r="X22" s="505"/>
      <c r="Y22" s="504"/>
      <c r="Z22" s="504"/>
    </row>
    <row r="23" ht="18.75" customHeight="1">
      <c r="A23" s="478">
        <f>IF(M17="","",IF(MONTH(M17+1)&lt;&gt;MONTH(M17),"",M17+1))</f>
        <v>45788</v>
      </c>
      <c r="B23" s="479">
        <f>SUMIF($T$11:$T$116,A23,$S$11:$S$77)</f>
        <v>-50</v>
      </c>
      <c r="C23" s="478">
        <f>IF(A23="","",IF(MONTH(A23+1)&lt;&gt;MONTH(A23),"",A23+1))</f>
        <v>45789</v>
      </c>
      <c r="D23" s="479">
        <f>SUMIF($T$11:$T$116,C23,$S$11:$S$77)</f>
        <v>0</v>
      </c>
      <c r="E23" s="478">
        <f>IF(C23="","",IF(MONTH(C23+1)&lt;&gt;MONTH(C23),"",C23+1))</f>
        <v>45790</v>
      </c>
      <c r="F23" s="479">
        <f>SUMIF($T$11:$T$116,E23,$S$11:$S$77)</f>
        <v>-102</v>
      </c>
      <c r="G23" s="478">
        <f>IF(E23="","",IF(MONTH(E23+1)&lt;&gt;MONTH(E23),"",E23+1))</f>
        <v>45791</v>
      </c>
      <c r="H23" s="479">
        <f>SUMIF($T$11:$T$116,G23,$S$11:$S$77)</f>
        <v>2127</v>
      </c>
      <c r="I23" s="478">
        <f>IF(G23="","",IF(MONTH(G23+1)&lt;&gt;MONTH(G23),"",G23+1))</f>
        <v>45792</v>
      </c>
      <c r="J23" s="479">
        <f>SUMIF($T$11:$T$116,I23,$S$11:$S$77)</f>
        <v>-283.25</v>
      </c>
      <c r="K23" s="478">
        <f>IF(I23="","",IF(MONTH(I23+1)&lt;&gt;MONTH(I23),"",I23+1))</f>
        <v>45793</v>
      </c>
      <c r="L23" s="479">
        <f>SUMIF($T$11:$T$116,K23,$S$11:$S$77)</f>
        <v>0</v>
      </c>
      <c r="M23" s="478">
        <f>IF(K23="","",IF(MONTH(K23+1)&lt;&gt;MONTH(K23),"",K23+1))</f>
        <v>45794</v>
      </c>
      <c r="N23" s="479">
        <f>SUMIF($T$11:$T$116,M23,$S$11:$S$77)</f>
        <v>-15.98</v>
      </c>
      <c r="O23" s="451"/>
      <c r="P23" s="506" t="s">
        <v>85</v>
      </c>
      <c r="Q23" s="507"/>
      <c r="R23" s="508">
        <v>8.0</v>
      </c>
      <c r="S23" s="393">
        <f t="array" ref="S23">-INDEX(PaymentSchedule!$E$21:$AG923,MATCH(PaymentSchedule!$B$25,PaymentSchedule!$B$21:$B$100),MATCH($P23,PaymentSchedule!$E$19:$AG$19,0))</f>
        <v>-126</v>
      </c>
      <c r="T23" s="498">
        <f t="shared" si="2"/>
        <v>45785</v>
      </c>
      <c r="U23" s="492"/>
      <c r="V23" s="451"/>
      <c r="W23" s="492"/>
      <c r="X23" s="493"/>
      <c r="Y23" s="451"/>
      <c r="Z23" s="451"/>
    </row>
    <row r="24" ht="18.75" customHeight="1">
      <c r="A24" s="483"/>
      <c r="B24" s="484"/>
      <c r="C24" s="58"/>
      <c r="D24" s="57"/>
      <c r="E24" s="483"/>
      <c r="F24" s="486"/>
      <c r="G24" s="509"/>
      <c r="H24" s="510"/>
      <c r="I24" s="483"/>
      <c r="J24" s="484"/>
      <c r="K24" s="485" t="s">
        <v>188</v>
      </c>
      <c r="L24" s="486"/>
      <c r="M24" s="483"/>
      <c r="N24" s="484"/>
      <c r="O24" s="451"/>
      <c r="P24" s="506" t="s">
        <v>36</v>
      </c>
      <c r="Q24" s="507"/>
      <c r="R24" s="508">
        <v>8.0</v>
      </c>
      <c r="S24" s="393">
        <f t="array" ref="S24">-INDEX(PaymentSchedule!$E$21:$AG923,MATCH(PaymentSchedule!$B$25,PaymentSchedule!$B$21:$B$100),MATCH($P24,PaymentSchedule!$E$19:$AG$19,0))</f>
        <v>-450.08</v>
      </c>
      <c r="T24" s="498">
        <f t="shared" si="2"/>
        <v>45785</v>
      </c>
      <c r="U24" s="492"/>
      <c r="V24" s="451"/>
      <c r="W24" s="492"/>
      <c r="X24" s="493"/>
      <c r="Y24" s="451"/>
      <c r="Z24" s="451"/>
    </row>
    <row r="25" ht="18.75" customHeight="1">
      <c r="A25" s="483"/>
      <c r="B25" s="484"/>
      <c r="C25" s="58"/>
      <c r="D25" s="57"/>
      <c r="E25" s="483"/>
      <c r="F25" s="484"/>
      <c r="G25" s="483"/>
      <c r="H25" s="484"/>
      <c r="I25" s="485"/>
      <c r="J25" s="484"/>
      <c r="K25" s="483"/>
      <c r="L25" s="484"/>
      <c r="M25" s="483"/>
      <c r="N25" s="484"/>
      <c r="O25" s="451"/>
      <c r="P25" s="506" t="s">
        <v>37</v>
      </c>
      <c r="Q25" s="507"/>
      <c r="R25" s="508">
        <v>10.0</v>
      </c>
      <c r="S25" s="393">
        <f t="array" ref="S25">-INDEX(PaymentSchedule!$E$21:$AG923,MATCH(PaymentSchedule!$B$25,PaymentSchedule!$B$21:$B$100),MATCH($P25,PaymentSchedule!$E$19:$AG$19,0))</f>
        <v>-83</v>
      </c>
      <c r="T25" s="498">
        <f t="shared" si="2"/>
        <v>45787</v>
      </c>
      <c r="U25" s="492"/>
      <c r="V25" s="451"/>
      <c r="W25" s="492"/>
      <c r="X25" s="493"/>
      <c r="Y25" s="451"/>
      <c r="Z25" s="451"/>
    </row>
    <row r="26" ht="18.75" customHeight="1">
      <c r="A26" s="483"/>
      <c r="B26" s="484"/>
      <c r="C26" s="483"/>
      <c r="D26" s="484"/>
      <c r="E26" s="483"/>
      <c r="F26" s="484"/>
      <c r="G26" s="483"/>
      <c r="H26" s="484"/>
      <c r="I26" s="483"/>
      <c r="J26" s="484"/>
      <c r="K26" s="483"/>
      <c r="L26" s="484"/>
      <c r="M26" s="483"/>
      <c r="N26" s="484"/>
      <c r="O26" s="451"/>
      <c r="P26" s="487" t="s">
        <v>38</v>
      </c>
      <c r="Q26" s="488"/>
      <c r="R26" s="489">
        <v>11.0</v>
      </c>
      <c r="S26" s="494">
        <v>-50.0</v>
      </c>
      <c r="T26" s="491">
        <f t="shared" si="2"/>
        <v>45788</v>
      </c>
      <c r="U26" s="492"/>
      <c r="V26" s="451"/>
      <c r="W26" s="492"/>
      <c r="X26" s="493"/>
      <c r="Y26" s="451"/>
      <c r="Z26" s="451"/>
    </row>
    <row r="27" ht="18.75" customHeight="1">
      <c r="A27" s="483"/>
      <c r="B27" s="484"/>
      <c r="C27" s="483"/>
      <c r="D27" s="484"/>
      <c r="E27" s="483"/>
      <c r="F27" s="484"/>
      <c r="G27" s="483"/>
      <c r="I27" s="483"/>
      <c r="J27" s="486">
        <v>-15.24</v>
      </c>
      <c r="K27" s="483"/>
      <c r="L27" s="484"/>
      <c r="M27" s="483"/>
      <c r="N27" s="484"/>
      <c r="O27" s="451"/>
      <c r="P27" s="487" t="s">
        <v>40</v>
      </c>
      <c r="Q27" s="488"/>
      <c r="R27" s="489">
        <v>13.0</v>
      </c>
      <c r="S27" s="494">
        <v>-102.0</v>
      </c>
      <c r="T27" s="491">
        <f t="shared" si="2"/>
        <v>45790</v>
      </c>
      <c r="U27" s="492"/>
      <c r="V27" s="451"/>
      <c r="W27" s="492"/>
      <c r="X27" s="493"/>
      <c r="Y27" s="451"/>
      <c r="Z27" s="451"/>
    </row>
    <row r="28" ht="18.75" customHeight="1">
      <c r="A28" s="500" t="s">
        <v>22</v>
      </c>
      <c r="B28" s="501">
        <f>N22+SUM(B23:B27)</f>
        <v>691.09</v>
      </c>
      <c r="C28" s="500"/>
      <c r="D28" s="501">
        <f>B28+SUM(D23:D27)</f>
        <v>691.09</v>
      </c>
      <c r="E28" s="500"/>
      <c r="F28" s="501">
        <f>D28+SUM(F23:F27)</f>
        <v>589.09</v>
      </c>
      <c r="G28" s="500"/>
      <c r="H28" s="501">
        <f>F28+SUM(H23:H27)</f>
        <v>2716.09</v>
      </c>
      <c r="I28" s="500"/>
      <c r="J28" s="501">
        <f>H28+SUM(J23:J27)</f>
        <v>2417.6</v>
      </c>
      <c r="K28" s="500"/>
      <c r="L28" s="501">
        <f>J28+SUM(L23:L27)</f>
        <v>2417.6</v>
      </c>
      <c r="M28" s="500"/>
      <c r="N28" s="501">
        <f>L28+SUM(N23:N27)</f>
        <v>2401.62</v>
      </c>
      <c r="O28" s="502"/>
      <c r="P28" s="487" t="s">
        <v>26</v>
      </c>
      <c r="Q28" s="488"/>
      <c r="R28" s="489">
        <v>14.0</v>
      </c>
      <c r="S28" s="494">
        <v>-98.0</v>
      </c>
      <c r="T28" s="491">
        <f t="shared" si="2"/>
        <v>45791</v>
      </c>
      <c r="U28" s="503"/>
      <c r="V28" s="504"/>
      <c r="W28" s="503"/>
      <c r="X28" s="505"/>
      <c r="Y28" s="504"/>
      <c r="Z28" s="504"/>
    </row>
    <row r="29" ht="18.75" customHeight="1">
      <c r="A29" s="478">
        <f>IF(M23="","",IF(MONTH(M23+1)&lt;&gt;MONTH(M23),"",M23+1))</f>
        <v>45795</v>
      </c>
      <c r="B29" s="479">
        <f>SUMIF($T$11:$T$116,A29,$S$11:$S$77)</f>
        <v>0</v>
      </c>
      <c r="C29" s="478">
        <f>IF(A29="","",IF(MONTH(A29+1)&lt;&gt;MONTH(A29),"",A29+1))</f>
        <v>45796</v>
      </c>
      <c r="D29" s="479">
        <f>SUMIF($T$11:$T$116,C29,$S$11:$S$77)</f>
        <v>0</v>
      </c>
      <c r="E29" s="478">
        <f>IF(C29="","",IF(MONTH(C29+1)&lt;&gt;MONTH(C29),"",C29+1))</f>
        <v>45797</v>
      </c>
      <c r="F29" s="479">
        <f>SUMIF($T$11:$T$116,E29,$S$11:$S$77)</f>
        <v>-206</v>
      </c>
      <c r="G29" s="478">
        <f>IF(E29="","",IF(MONTH(E29+1)&lt;&gt;MONTH(E29),"",E29+1))</f>
        <v>45798</v>
      </c>
      <c r="H29" s="479">
        <f>SUMIF($T$11:$T$116,G29,$S$11:$S$77)</f>
        <v>0</v>
      </c>
      <c r="I29" s="478">
        <f>IF(G29="","",IF(MONTH(G29+1)&lt;&gt;MONTH(G29),"",G29+1))</f>
        <v>45799</v>
      </c>
      <c r="J29" s="479">
        <f>SUMIF($T$11:$T$116,I29,$S$11:$S$77)</f>
        <v>0</v>
      </c>
      <c r="K29" s="478">
        <f>IF(I29="","",IF(MONTH(I29+1)&lt;&gt;MONTH(I29),"",I29+1))</f>
        <v>45800</v>
      </c>
      <c r="L29" s="479">
        <f>SUMIF($T$11:$T$116,K29,$S$11:$S$77)</f>
        <v>990</v>
      </c>
      <c r="M29" s="478">
        <f>IF(K29="","",IF(MONTH(K29+1)&lt;&gt;MONTH(K29),"",K29+1))</f>
        <v>45801</v>
      </c>
      <c r="N29" s="479">
        <f>SUMIF($T$11:$T$116,M29,$S$11:$S$77)</f>
        <v>0</v>
      </c>
      <c r="O29" s="451"/>
      <c r="P29" s="487" t="s">
        <v>151</v>
      </c>
      <c r="Q29" s="488"/>
      <c r="R29" s="489">
        <v>14.0</v>
      </c>
      <c r="S29" s="388">
        <v>2225.0</v>
      </c>
      <c r="T29" s="491">
        <f t="shared" si="2"/>
        <v>45791</v>
      </c>
      <c r="U29" s="492"/>
      <c r="V29" s="451"/>
      <c r="W29" s="492"/>
      <c r="X29" s="493"/>
      <c r="Y29" s="451"/>
      <c r="Z29" s="451"/>
    </row>
    <row r="30" ht="18.75" customHeight="1">
      <c r="A30" s="58"/>
      <c r="B30" s="57"/>
      <c r="C30" s="485"/>
      <c r="D30" s="486"/>
      <c r="E30" s="485" t="s">
        <v>189</v>
      </c>
      <c r="F30" s="486">
        <v>-40.06</v>
      </c>
      <c r="G30" s="485"/>
      <c r="H30" s="486"/>
      <c r="K30" s="485"/>
      <c r="L30" s="486">
        <v>-14.06</v>
      </c>
      <c r="M30" s="483"/>
      <c r="N30" s="486">
        <v>-41.52</v>
      </c>
      <c r="O30" s="451"/>
      <c r="P30" s="414" t="s">
        <v>190</v>
      </c>
      <c r="Q30" s="511"/>
      <c r="R30" s="416">
        <v>15.0</v>
      </c>
      <c r="S30" s="383">
        <v>-283.25</v>
      </c>
      <c r="T30" s="384">
        <f>IF(ISBLANK(R30),"-",IF(R30&gt;DAY(EOMONTH(DATE($B$2,$E$2,1),0)),EOMONTH(DATE($B$2,$E$2,1),0),DATE($B$2,$E$2,R30)))</f>
        <v>45792</v>
      </c>
      <c r="U30" s="492"/>
      <c r="V30" s="451"/>
      <c r="W30" s="492"/>
      <c r="X30" s="493"/>
      <c r="Y30" s="451"/>
      <c r="Z30" s="451"/>
    </row>
    <row r="31" ht="18.75" customHeight="1">
      <c r="A31" s="483"/>
      <c r="B31" s="484"/>
      <c r="C31" s="58"/>
      <c r="D31" s="57"/>
      <c r="E31" s="483"/>
      <c r="F31" s="484"/>
      <c r="G31" s="483"/>
      <c r="H31" s="484"/>
      <c r="I31" s="483"/>
      <c r="J31" s="484"/>
      <c r="K31" s="483"/>
      <c r="L31" s="484"/>
      <c r="M31" s="483"/>
      <c r="N31" s="486">
        <v>-124.39</v>
      </c>
      <c r="O31" s="451"/>
      <c r="P31" s="487" t="s">
        <v>43</v>
      </c>
      <c r="Q31" s="488"/>
      <c r="R31" s="489">
        <v>17.0</v>
      </c>
      <c r="S31" s="494">
        <v>-9.99</v>
      </c>
      <c r="T31" s="491">
        <f t="shared" ref="T31:T46" si="3">IF(ISBLANK(R31),"-",IF(R31&gt;DAY(EOMONTH(DATE($B$2,$E$2,1),0)),EOMONTH(DATE($B$2,$E$2,1),0),DATE($B$2,$E$2,R31)))</f>
        <v>45794</v>
      </c>
      <c r="U31" s="492"/>
      <c r="V31" s="451"/>
      <c r="W31" s="492"/>
      <c r="X31" s="493"/>
      <c r="Y31" s="451"/>
      <c r="Z31" s="451"/>
    </row>
    <row r="32" ht="18.75" customHeight="1">
      <c r="A32" s="483"/>
      <c r="B32" s="484"/>
      <c r="C32" s="483"/>
      <c r="D32" s="484"/>
      <c r="E32" s="483"/>
      <c r="F32" s="484"/>
      <c r="G32" s="483"/>
      <c r="H32" s="484"/>
      <c r="I32" s="483"/>
      <c r="J32" s="486"/>
      <c r="K32" s="483"/>
      <c r="L32" s="484"/>
      <c r="M32" s="483"/>
      <c r="N32" s="484"/>
      <c r="O32" s="451"/>
      <c r="P32" s="487" t="s">
        <v>34</v>
      </c>
      <c r="Q32" s="488"/>
      <c r="R32" s="489">
        <v>17.0</v>
      </c>
      <c r="S32" s="494">
        <v>-5.99</v>
      </c>
      <c r="T32" s="491">
        <f t="shared" si="3"/>
        <v>45794</v>
      </c>
      <c r="U32" s="492"/>
      <c r="V32" s="451"/>
      <c r="W32" s="492"/>
      <c r="X32" s="493"/>
      <c r="Y32" s="451"/>
      <c r="Z32" s="451"/>
    </row>
    <row r="33" ht="18.75" customHeight="1">
      <c r="A33" s="483"/>
      <c r="B33" s="484"/>
      <c r="C33" s="483"/>
      <c r="D33" s="484"/>
      <c r="E33" s="483"/>
      <c r="F33" s="484"/>
      <c r="G33" s="483"/>
      <c r="H33" s="484"/>
      <c r="I33" s="483"/>
      <c r="J33" s="484"/>
      <c r="K33" s="483"/>
      <c r="L33" s="484"/>
      <c r="M33" s="483"/>
      <c r="N33" s="484"/>
      <c r="O33" s="451"/>
      <c r="P33" s="390" t="s">
        <v>89</v>
      </c>
      <c r="Q33" s="402"/>
      <c r="R33" s="392">
        <v>20.0</v>
      </c>
      <c r="S33" s="393">
        <f t="array" ref="S33">-INDEX(PaymentSchedule!$E$21:$AG923,MATCH(PaymentSchedule!$B$25,PaymentSchedule!$B$21:$B$100),MATCH($P33,PaymentSchedule!$E$19:$AG$19,0))</f>
        <v>-206</v>
      </c>
      <c r="T33" s="498">
        <f t="shared" si="3"/>
        <v>45797</v>
      </c>
      <c r="U33" s="492"/>
      <c r="V33" s="451"/>
      <c r="W33" s="492"/>
      <c r="X33" s="493"/>
      <c r="Y33" s="451"/>
      <c r="Z33" s="451"/>
    </row>
    <row r="34" ht="18.75" customHeight="1">
      <c r="A34" s="500" t="s">
        <v>22</v>
      </c>
      <c r="B34" s="512">
        <v>2336.53</v>
      </c>
      <c r="C34" s="500"/>
      <c r="D34" s="501">
        <f>B34+SUM(D29:D33)</f>
        <v>2336.53</v>
      </c>
      <c r="E34" s="500"/>
      <c r="F34" s="501">
        <f>D34+SUM(F29:F33)</f>
        <v>2090.47</v>
      </c>
      <c r="G34" s="500"/>
      <c r="H34" s="501">
        <f>F34+SUM(H29:H33)</f>
        <v>2090.47</v>
      </c>
      <c r="I34" s="500"/>
      <c r="J34" s="501">
        <f>H34+SUM(J29:J33)</f>
        <v>2090.47</v>
      </c>
      <c r="K34" s="500"/>
      <c r="L34" s="501">
        <f>J34+SUM(L29:L33)</f>
        <v>3066.41</v>
      </c>
      <c r="M34" s="500"/>
      <c r="N34" s="501">
        <f>L34+SUM(N29:N33)</f>
        <v>2900.5</v>
      </c>
      <c r="O34" s="502"/>
      <c r="P34" s="487" t="s">
        <v>191</v>
      </c>
      <c r="Q34" s="488"/>
      <c r="R34" s="489">
        <v>23.0</v>
      </c>
      <c r="S34" s="388">
        <v>990.0</v>
      </c>
      <c r="T34" s="491">
        <f t="shared" si="3"/>
        <v>45800</v>
      </c>
      <c r="U34" s="503"/>
      <c r="V34" s="504"/>
      <c r="W34" s="503"/>
      <c r="X34" s="505"/>
      <c r="Y34" s="504"/>
      <c r="Z34" s="504"/>
    </row>
    <row r="35" ht="18.75" customHeight="1">
      <c r="A35" s="478">
        <f>IF(M29="","",IF(MONTH(M29+1)&lt;&gt;MONTH(M29),"",M29+1))</f>
        <v>45802</v>
      </c>
      <c r="B35" s="479">
        <f>SUMIF($T$11:$T$116,A35,$S$11:$S$77)</f>
        <v>-29.34</v>
      </c>
      <c r="C35" s="478">
        <f>IF(A35="","",IF(MONTH(A35+1)&lt;&gt;MONTH(A35),"",A35+1))</f>
        <v>45803</v>
      </c>
      <c r="D35" s="479">
        <f>SUMIF($T$11:$T$116,C35,$S$11:$S$77)</f>
        <v>0</v>
      </c>
      <c r="E35" s="478">
        <f>IF(C35="","",IF(MONTH(C35+1)&lt;&gt;MONTH(C35),"",C35+1))</f>
        <v>45804</v>
      </c>
      <c r="F35" s="479">
        <f>SUMIF($T$11:$T$116,E35,$S$11:$S$77)</f>
        <v>0</v>
      </c>
      <c r="G35" s="478">
        <f>IF(E35="","",IF(MONTH(E35+1)&lt;&gt;MONTH(E35),"",E35+1))</f>
        <v>45805</v>
      </c>
      <c r="H35" s="479">
        <f>SUMIF($T$11:$T$116,G35,$S$11:$S$77)</f>
        <v>-190</v>
      </c>
      <c r="I35" s="478">
        <f>IF(G35="","",IF(MONTH(G35+1)&lt;&gt;MONTH(G35),"",G35+1))</f>
        <v>45806</v>
      </c>
      <c r="J35" s="479">
        <f>SUMIF($T$11:$T$116,I35,$S$11:$S$77)</f>
        <v>1976.39</v>
      </c>
      <c r="K35" s="478">
        <f>IF(I35="","",IF(MONTH(I35+1)&lt;&gt;MONTH(I35),"",I35+1))</f>
        <v>45807</v>
      </c>
      <c r="L35" s="479">
        <f>SUMIF($T$11:$T$116,K35,$S$11:$S$77)</f>
        <v>0</v>
      </c>
      <c r="M35" s="478">
        <f>IF(K35="","",IF(MONTH(K35+1)&lt;&gt;MONTH(K35),"",K35+1))</f>
        <v>45808</v>
      </c>
      <c r="N35" s="479">
        <f>SUMIF($T$11:$T$116,M35,$S$11:$S$77)</f>
        <v>-418.35</v>
      </c>
      <c r="O35" s="451"/>
      <c r="P35" s="487" t="s">
        <v>34</v>
      </c>
      <c r="Q35" s="488"/>
      <c r="R35" s="489">
        <v>24.0</v>
      </c>
      <c r="S35" s="494"/>
      <c r="T35" s="491">
        <f t="shared" si="3"/>
        <v>45801</v>
      </c>
      <c r="U35" s="492"/>
      <c r="V35" s="451"/>
      <c r="W35" s="492"/>
      <c r="X35" s="493"/>
      <c r="Y35" s="451"/>
      <c r="Z35" s="451"/>
    </row>
    <row r="36" ht="18.75" customHeight="1">
      <c r="A36" s="483"/>
      <c r="B36" s="486">
        <v>73.49</v>
      </c>
      <c r="C36" s="58"/>
      <c r="D36" s="57"/>
      <c r="E36" s="410" t="s">
        <v>192</v>
      </c>
      <c r="F36" s="57">
        <v>-707.8</v>
      </c>
      <c r="H36" s="484">
        <v>170.0</v>
      </c>
      <c r="K36" s="483"/>
      <c r="L36" s="486"/>
      <c r="M36" s="483"/>
      <c r="N36" s="484"/>
      <c r="O36" s="451"/>
      <c r="P36" s="487" t="s">
        <v>46</v>
      </c>
      <c r="Q36" s="488"/>
      <c r="R36" s="489">
        <v>25.0</v>
      </c>
      <c r="S36" s="494">
        <v>-10.99</v>
      </c>
      <c r="T36" s="491">
        <f t="shared" si="3"/>
        <v>45802</v>
      </c>
      <c r="U36" s="492"/>
      <c r="V36" s="451"/>
      <c r="W36" s="492"/>
      <c r="X36" s="493"/>
      <c r="Y36" s="451"/>
      <c r="Z36" s="451"/>
    </row>
    <row r="37" ht="18.75" customHeight="1">
      <c r="A37" s="483"/>
      <c r="B37" s="484"/>
      <c r="C37" s="58"/>
      <c r="D37" s="57"/>
      <c r="E37" s="483"/>
      <c r="F37" s="484"/>
      <c r="G37" s="483"/>
      <c r="H37" s="484"/>
      <c r="K37" s="483"/>
      <c r="L37" s="484"/>
      <c r="M37" s="483"/>
      <c r="N37" s="484"/>
      <c r="O37" s="451"/>
      <c r="P37" s="513" t="s">
        <v>44</v>
      </c>
      <c r="Q37" s="514"/>
      <c r="R37" s="515">
        <v>25.0</v>
      </c>
      <c r="S37" s="516">
        <v>-18.35</v>
      </c>
      <c r="T37" s="491">
        <f t="shared" si="3"/>
        <v>45802</v>
      </c>
      <c r="U37" s="492"/>
      <c r="V37" s="451"/>
      <c r="W37" s="492"/>
      <c r="X37" s="493"/>
      <c r="Y37" s="451"/>
      <c r="Z37" s="451"/>
    </row>
    <row r="38" ht="18.75" customHeight="1">
      <c r="A38" s="483"/>
      <c r="B38" s="484"/>
      <c r="E38" s="483"/>
      <c r="F38" s="484"/>
      <c r="G38" s="483"/>
      <c r="H38" s="484"/>
      <c r="I38" s="483"/>
      <c r="J38" s="484"/>
      <c r="K38" s="483"/>
      <c r="L38" s="484"/>
      <c r="M38" s="483"/>
      <c r="N38" s="484"/>
      <c r="O38" s="451"/>
      <c r="P38" s="487" t="s">
        <v>30</v>
      </c>
      <c r="Q38" s="488"/>
      <c r="R38" s="489">
        <v>28.0</v>
      </c>
      <c r="S38" s="383">
        <v>-187.0</v>
      </c>
      <c r="T38" s="491">
        <f t="shared" si="3"/>
        <v>45805</v>
      </c>
      <c r="U38" s="492"/>
      <c r="V38" s="451"/>
      <c r="W38" s="492"/>
      <c r="X38" s="493"/>
      <c r="Y38" s="451"/>
      <c r="Z38" s="451"/>
    </row>
    <row r="39" ht="18.75" customHeight="1">
      <c r="A39" s="483"/>
      <c r="B39" s="484"/>
      <c r="C39" s="483"/>
      <c r="D39" s="484"/>
      <c r="E39" s="483"/>
      <c r="F39" s="484"/>
      <c r="G39" s="483"/>
      <c r="H39" s="484"/>
      <c r="I39" s="483"/>
      <c r="J39" s="484"/>
      <c r="K39" s="483"/>
      <c r="L39" s="484"/>
      <c r="M39" s="483"/>
      <c r="N39" s="484"/>
      <c r="O39" s="451"/>
      <c r="P39" s="487" t="s">
        <v>53</v>
      </c>
      <c r="Q39" s="488"/>
      <c r="R39" s="489">
        <v>28.0</v>
      </c>
      <c r="S39" s="494">
        <v>-3.0</v>
      </c>
      <c r="T39" s="491">
        <f t="shared" si="3"/>
        <v>45805</v>
      </c>
      <c r="U39" s="492"/>
      <c r="V39" s="492"/>
      <c r="W39" s="492"/>
      <c r="X39" s="493"/>
      <c r="Y39" s="451"/>
      <c r="Z39" s="451"/>
    </row>
    <row r="40" ht="18.75" customHeight="1">
      <c r="A40" s="500" t="s">
        <v>22</v>
      </c>
      <c r="B40" s="501">
        <f>N34+SUM(B35:B39)</f>
        <v>2944.65</v>
      </c>
      <c r="C40" s="500"/>
      <c r="D40" s="501">
        <f>B40+SUM(D35:D39)</f>
        <v>2944.65</v>
      </c>
      <c r="E40" s="500"/>
      <c r="F40" s="501">
        <f>D40+SUM(F35:F39)</f>
        <v>2236.85</v>
      </c>
      <c r="G40" s="500"/>
      <c r="H40" s="501">
        <f>F40+SUM(H35:H39)</f>
        <v>2216.85</v>
      </c>
      <c r="I40" s="500"/>
      <c r="J40" s="501">
        <f>H40+SUM(J35:J39)</f>
        <v>4193.24</v>
      </c>
      <c r="K40" s="500"/>
      <c r="L40" s="501">
        <f>J40+SUM(L35:L39)</f>
        <v>4193.24</v>
      </c>
      <c r="M40" s="500"/>
      <c r="N40" s="501">
        <f>L40+SUM(N35:N39)</f>
        <v>3774.89</v>
      </c>
      <c r="O40" s="502"/>
      <c r="P40" s="487" t="s">
        <v>29</v>
      </c>
      <c r="Q40" s="488"/>
      <c r="R40" s="489">
        <v>29.0</v>
      </c>
      <c r="S40" s="494">
        <v>-21.59</v>
      </c>
      <c r="T40" s="491">
        <f t="shared" si="3"/>
        <v>45806</v>
      </c>
      <c r="U40" s="503"/>
      <c r="V40" s="504"/>
      <c r="W40" s="503"/>
      <c r="X40" s="505"/>
      <c r="Y40" s="504"/>
      <c r="Z40" s="504"/>
    </row>
    <row r="41" ht="18.75" customHeight="1">
      <c r="A41" s="478" t="str">
        <f>IF(M35="","",IF(MONTH(M35+1)&lt;&gt;MONTH(M35),"",M35+1))</f>
        <v/>
      </c>
      <c r="B41" s="479">
        <f>SUMIF($T$11:$T$116,A41,$S$11:$S$77)</f>
        <v>0</v>
      </c>
      <c r="C41" s="478" t="str">
        <f>IF(A41="","",IF(MONTH(A41+1)&lt;&gt;MONTH(A41),"",A41+1))</f>
        <v/>
      </c>
      <c r="D41" s="479">
        <f>SUMIF($T$11:$T$116,C41,$S$11:$S$77)</f>
        <v>0</v>
      </c>
      <c r="E41" s="517"/>
      <c r="F41" s="517" t="s">
        <v>50</v>
      </c>
      <c r="G41" s="517"/>
      <c r="H41" s="517"/>
      <c r="I41" s="517"/>
      <c r="J41" s="517"/>
      <c r="K41" s="517"/>
      <c r="L41" s="517"/>
      <c r="M41" s="517"/>
      <c r="N41" s="517"/>
      <c r="P41" s="487" t="s">
        <v>48</v>
      </c>
      <c r="Q41" s="488"/>
      <c r="R41" s="489">
        <v>29.0</v>
      </c>
      <c r="S41" s="388">
        <v>2225.0</v>
      </c>
      <c r="T41" s="491">
        <f t="shared" si="3"/>
        <v>45806</v>
      </c>
      <c r="V41" s="313"/>
      <c r="X41" s="314"/>
    </row>
    <row r="42" ht="18.75" customHeight="1">
      <c r="A42" s="483"/>
      <c r="B42" s="484"/>
      <c r="C42" s="483"/>
      <c r="D42" s="484"/>
      <c r="E42" s="517"/>
      <c r="F42" s="517" t="s">
        <v>52</v>
      </c>
      <c r="G42" s="517"/>
      <c r="H42" s="517"/>
      <c r="I42" s="517"/>
      <c r="J42" s="517"/>
      <c r="K42" s="517"/>
      <c r="L42" s="517"/>
      <c r="M42" s="517"/>
      <c r="N42" s="517"/>
      <c r="P42" s="487" t="s">
        <v>57</v>
      </c>
      <c r="Q42" s="488"/>
      <c r="R42" s="489">
        <v>29.0</v>
      </c>
      <c r="S42" s="494">
        <v>-216.03</v>
      </c>
      <c r="T42" s="491">
        <f t="shared" si="3"/>
        <v>45806</v>
      </c>
      <c r="V42" s="313"/>
      <c r="X42" s="314"/>
    </row>
    <row r="43" ht="18.75" customHeight="1">
      <c r="A43" s="483"/>
      <c r="B43" s="484"/>
      <c r="C43" s="483"/>
      <c r="D43" s="484"/>
      <c r="E43" s="517"/>
      <c r="F43" s="517"/>
      <c r="G43" s="517"/>
      <c r="H43" s="517"/>
      <c r="I43" s="517"/>
      <c r="J43" s="517"/>
      <c r="K43" s="517"/>
      <c r="L43" s="517"/>
      <c r="M43" s="517"/>
      <c r="N43" s="517"/>
      <c r="P43" s="513" t="s">
        <v>55</v>
      </c>
      <c r="Q43" s="514"/>
      <c r="R43" s="515">
        <v>31.0</v>
      </c>
      <c r="S43" s="516">
        <v>-18.35</v>
      </c>
      <c r="T43" s="491">
        <f t="shared" si="3"/>
        <v>45808</v>
      </c>
      <c r="V43" s="313"/>
    </row>
    <row r="44" ht="18.75" customHeight="1">
      <c r="A44" s="483"/>
      <c r="B44" s="484"/>
      <c r="C44" s="483"/>
      <c r="D44" s="484"/>
      <c r="E44" s="517"/>
      <c r="F44" s="517"/>
      <c r="G44" s="517"/>
      <c r="H44" s="517"/>
      <c r="I44" s="517"/>
      <c r="J44" s="517"/>
      <c r="K44" s="517"/>
      <c r="L44" s="517"/>
      <c r="M44" s="517"/>
      <c r="N44" s="517"/>
      <c r="P44" s="487" t="s">
        <v>54</v>
      </c>
      <c r="Q44" s="488"/>
      <c r="R44" s="489">
        <v>29.0</v>
      </c>
      <c r="S44" s="494">
        <v>-10.99</v>
      </c>
      <c r="T44" s="491">
        <f t="shared" si="3"/>
        <v>45806</v>
      </c>
      <c r="V44" s="313"/>
      <c r="X44" s="314"/>
    </row>
    <row r="45" ht="18.75" customHeight="1">
      <c r="A45" s="483"/>
      <c r="B45" s="484"/>
      <c r="C45" s="483"/>
      <c r="D45" s="484"/>
      <c r="E45" s="517"/>
      <c r="F45" s="517"/>
      <c r="G45" s="517"/>
      <c r="H45" s="517"/>
      <c r="I45" s="517"/>
      <c r="J45" s="518">
        <v>16.2</v>
      </c>
      <c r="K45" s="517"/>
      <c r="L45" s="517"/>
      <c r="M45" s="517"/>
      <c r="N45" s="517"/>
      <c r="P45" s="519" t="s">
        <v>188</v>
      </c>
      <c r="Q45" s="511"/>
      <c r="R45" s="416">
        <v>31.0</v>
      </c>
      <c r="S45" s="383">
        <v>-400.0</v>
      </c>
      <c r="T45" s="491">
        <f t="shared" si="3"/>
        <v>45808</v>
      </c>
    </row>
    <row r="46" ht="18.75" customHeight="1">
      <c r="A46" s="500" t="s">
        <v>22</v>
      </c>
      <c r="B46" s="501">
        <f>N40+SUM(B41:B45)</f>
        <v>3774.89</v>
      </c>
      <c r="C46" s="500"/>
      <c r="D46" s="501">
        <f>B46+SUM(D41:D45)</f>
        <v>3774.89</v>
      </c>
      <c r="E46" s="517"/>
      <c r="F46" s="517"/>
      <c r="G46" s="517"/>
      <c r="H46" s="517"/>
      <c r="I46" s="517"/>
      <c r="J46" s="518">
        <v>20.9</v>
      </c>
      <c r="K46" s="517"/>
      <c r="L46" s="517"/>
      <c r="M46" s="517"/>
      <c r="N46" s="517"/>
      <c r="P46" s="520" t="s">
        <v>26</v>
      </c>
      <c r="Q46" s="521"/>
      <c r="R46" s="522"/>
      <c r="S46" s="523"/>
      <c r="T46" s="524" t="str">
        <f t="shared" si="3"/>
        <v>-</v>
      </c>
    </row>
    <row r="47" ht="12.75" customHeight="1">
      <c r="J47" s="108">
        <v>60.0</v>
      </c>
      <c r="P47" s="520" t="s">
        <v>26</v>
      </c>
      <c r="Q47" s="521"/>
      <c r="R47" s="522"/>
      <c r="S47" s="523"/>
      <c r="T47" s="524"/>
    </row>
    <row r="48" ht="12.75" customHeight="1">
      <c r="J48" s="108">
        <v>68.0</v>
      </c>
      <c r="P48" s="520" t="s">
        <v>49</v>
      </c>
      <c r="Q48" s="521"/>
      <c r="R48" s="522"/>
      <c r="S48" s="523"/>
      <c r="T48" s="524" t="str">
        <f>IF(ISBLANK(R48),"-",IF(R48&gt;DAY(EOMONTH(DATE($B$2,$E$2,1),0)),EOMONTH(DATE($B$2,$E$2,1),0),DATE($B$2,$E$2,R48)))</f>
        <v>-</v>
      </c>
    </row>
    <row r="49" ht="12.75" customHeight="1">
      <c r="J49" s="108">
        <v>22.61</v>
      </c>
      <c r="P49" s="319"/>
      <c r="Q49" s="320"/>
      <c r="R49" s="321"/>
      <c r="S49" s="322"/>
      <c r="T49" s="323"/>
    </row>
    <row r="50" ht="12.75" customHeight="1">
      <c r="P50" s="406"/>
      <c r="Q50" s="407"/>
      <c r="R50" s="408"/>
      <c r="S50" s="409"/>
      <c r="T50" s="323"/>
    </row>
    <row r="51" ht="12.75" customHeight="1">
      <c r="P51" s="525"/>
      <c r="Q51" s="526"/>
      <c r="R51" s="527"/>
      <c r="S51" s="528"/>
      <c r="T51" s="529" t="str">
        <f t="shared" ref="T51:T57" si="4">IF(ISBLANK(R51),"-",IF(R51&gt;DAY(EOMONTH(DATE($B$2,$E$2,1),0)),EOMONTH(DATE($B$2,$E$2,1),0),DATE($B$2,$E$2,$R$47)))</f>
        <v>-</v>
      </c>
    </row>
    <row r="52" ht="12.75" customHeight="1">
      <c r="P52" s="319"/>
      <c r="Q52" s="320"/>
      <c r="R52" s="321"/>
      <c r="S52" s="322"/>
      <c r="T52" s="529" t="str">
        <f t="shared" si="4"/>
        <v>-</v>
      </c>
    </row>
    <row r="53" ht="12.75" customHeight="1">
      <c r="P53" s="525"/>
      <c r="Q53" s="526"/>
      <c r="R53" s="527"/>
      <c r="S53" s="528"/>
      <c r="T53" s="529" t="str">
        <f t="shared" si="4"/>
        <v>-</v>
      </c>
    </row>
    <row r="54" ht="12.75" customHeight="1">
      <c r="P54" s="525"/>
      <c r="Q54" s="526"/>
      <c r="R54" s="527"/>
      <c r="S54" s="528"/>
      <c r="T54" s="529" t="str">
        <f t="shared" si="4"/>
        <v>-</v>
      </c>
    </row>
    <row r="55" ht="12.75" customHeight="1">
      <c r="P55" s="525"/>
      <c r="Q55" s="526"/>
      <c r="R55" s="527"/>
      <c r="S55" s="528"/>
      <c r="T55" s="529" t="str">
        <f t="shared" si="4"/>
        <v>-</v>
      </c>
    </row>
    <row r="56" ht="12.75" customHeight="1">
      <c r="P56" s="525"/>
      <c r="Q56" s="526"/>
      <c r="R56" s="527"/>
      <c r="S56" s="528"/>
      <c r="T56" s="529" t="str">
        <f t="shared" si="4"/>
        <v>-</v>
      </c>
    </row>
    <row r="57" ht="12.75" customHeight="1">
      <c r="P57" s="525"/>
      <c r="Q57" s="526"/>
      <c r="R57" s="527"/>
      <c r="S57" s="528"/>
      <c r="T57" s="529" t="str">
        <f t="shared" si="4"/>
        <v>-</v>
      </c>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row>
    <row r="921" ht="12.75" customHeight="1">
      <c r="R921" s="336"/>
    </row>
    <row r="922" ht="12.75" customHeight="1">
      <c r="R922" s="336"/>
    </row>
    <row r="923" ht="12.75" customHeight="1">
      <c r="R923" s="336"/>
    </row>
  </sheetData>
  <mergeCells count="11">
    <mergeCell ref="G9:H9"/>
    <mergeCell ref="I9:J9"/>
    <mergeCell ref="K9:L9"/>
    <mergeCell ref="M9:N9"/>
    <mergeCell ref="M5:N5"/>
    <mergeCell ref="S5:T5"/>
    <mergeCell ref="M6:N6"/>
    <mergeCell ref="S6:T6"/>
    <mergeCell ref="A9:B9"/>
    <mergeCell ref="C9:D9"/>
    <mergeCell ref="E9:F9"/>
  </mergeCells>
  <conditionalFormatting sqref="S1:S923">
    <cfRule type="cellIs" dxfId="5" priority="1" operator="lessThan">
      <formula>0</formula>
    </cfRule>
  </conditionalFormatting>
  <dataValidations>
    <dataValidation type="list" allowBlank="1" showErrorMessage="1" sqref="Q12:Q57">
      <formula1>"✔"</formula1>
    </dataValidation>
    <dataValidation type="custom" allowBlank="1" showDropDown="1" sqref="T12:T57">
      <formula1>OR(NOT(ISERROR(DATEVALUE(T12))), AND(ISNUMBER(T12), LEFT(CELL("format", T12))="D"))</formula1>
    </dataValidation>
  </dataValidations>
  <hyperlinks>
    <hyperlink r:id="rId1" ref="T3"/>
  </hyperlinks>
  <drawing r:id="rId2"/>
  <tableParts count="1">
    <tablePart r:id="rId4"/>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11.5"/>
    <col customWidth="1" min="4" max="4" width="8.63"/>
    <col customWidth="1" min="5" max="5" width="9.13"/>
    <col customWidth="1" min="6" max="6" width="8.63"/>
    <col customWidth="1" min="7" max="7" width="6.13"/>
    <col customWidth="1" min="8" max="8" width="8.63"/>
    <col customWidth="1" min="9" max="9" width="11.5"/>
    <col customWidth="1" min="10" max="10" width="8.63"/>
    <col customWidth="1" min="11" max="11" width="10.63"/>
    <col customWidth="1" min="12" max="12" width="8.63"/>
    <col customWidth="1" min="13" max="13" width="6.13"/>
    <col customWidth="1" min="14" max="14" width="8.63"/>
    <col customWidth="1" min="15" max="15" width="2.13"/>
    <col customWidth="1" min="16" max="20" width="16.0"/>
    <col customWidth="1" min="21" max="22" width="8.63"/>
    <col customWidth="1" min="23" max="23" width="10.75"/>
    <col customWidth="1" min="24" max="26" width="8.63"/>
  </cols>
  <sheetData>
    <row r="1" ht="24.75" customHeight="1">
      <c r="A1" s="530">
        <v>2107.0</v>
      </c>
      <c r="B1" s="2"/>
      <c r="C1" s="2"/>
      <c r="D1" s="3"/>
      <c r="E1" s="3"/>
      <c r="F1" s="2"/>
      <c r="G1" s="2"/>
      <c r="H1" s="2"/>
      <c r="I1" s="2"/>
      <c r="J1" s="4"/>
      <c r="K1" s="5"/>
      <c r="L1" s="4"/>
      <c r="M1" s="4"/>
      <c r="N1" s="4"/>
      <c r="O1" s="4"/>
      <c r="P1" s="6"/>
      <c r="Q1" s="6"/>
      <c r="R1" s="280"/>
      <c r="S1" s="281"/>
      <c r="T1" s="8"/>
    </row>
    <row r="2" ht="12.75" customHeight="1">
      <c r="A2" s="530">
        <v>2107.0</v>
      </c>
      <c r="B2" s="10">
        <v>2025.0</v>
      </c>
      <c r="C2" s="3"/>
      <c r="D2" s="9" t="s">
        <v>2</v>
      </c>
      <c r="E2" s="10">
        <v>6.0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JUNE 2025</v>
      </c>
      <c r="B5" s="22"/>
      <c r="C5" s="22"/>
      <c r="D5" s="22"/>
      <c r="E5" s="22"/>
      <c r="F5" s="22"/>
      <c r="G5" s="22"/>
      <c r="H5" s="23"/>
      <c r="I5" s="23"/>
      <c r="J5" s="23"/>
      <c r="K5" s="22"/>
      <c r="L5" s="24" t="s">
        <v>7</v>
      </c>
      <c r="M5" s="25">
        <f>'May 2025'!D46</f>
        <v>3774.89</v>
      </c>
      <c r="N5" s="26"/>
      <c r="O5" s="23"/>
      <c r="P5" s="27"/>
      <c r="Q5" s="27"/>
      <c r="R5" s="287" t="s">
        <v>8</v>
      </c>
      <c r="S5" s="288">
        <f>SUMIF(A18:N21,"&gt;0")+SUMIF(A24:N27,"&gt;0")+SUMIF(A30:N33,"&gt;0")+SUMIF(A36:N39,"&gt;0")+SUMIF(A42:D45,"&gt;0")+SUMIF(S12:S46,"&gt;0")+SUMIF(A12:N15,"&gt;0")</f>
        <v>4489.5</v>
      </c>
      <c r="U5" s="23"/>
      <c r="V5" s="289">
        <f>sum(S5+S6)</f>
        <v>-850.22</v>
      </c>
      <c r="W5" s="23"/>
      <c r="X5" s="23"/>
      <c r="Y5" s="23"/>
      <c r="Z5" s="23"/>
    </row>
    <row r="6" ht="25.5" customHeight="1">
      <c r="A6" s="31"/>
      <c r="B6" s="31"/>
      <c r="C6" s="31"/>
      <c r="D6" s="31"/>
      <c r="E6" s="31"/>
      <c r="F6" s="32"/>
      <c r="G6" s="33"/>
      <c r="H6" s="34"/>
      <c r="I6" s="34"/>
      <c r="J6" s="34"/>
      <c r="K6" s="31"/>
      <c r="L6" s="24" t="s">
        <v>9</v>
      </c>
      <c r="M6" s="35">
        <f>D46</f>
        <v>2958.82</v>
      </c>
      <c r="O6" s="34"/>
      <c r="P6" s="36"/>
      <c r="Q6" s="36"/>
      <c r="R6" s="287" t="s">
        <v>10</v>
      </c>
      <c r="S6" s="288">
        <f>SUMIF(A18:N21,"&lt;0")+SUMIF(A24:N27,"&lt;0")+SUMIF(A30:N33,"&lt;0")+SUMIF(A36:N39,"&lt;0")+SUMIF(A42:D45,"&lt;0")+SUMIF(S12:S186,"&lt;0")+SUMIF(A12:N15,"&lt;0")</f>
        <v>-5339.72</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45809</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45816</v>
      </c>
      <c r="B9" s="40"/>
      <c r="C9" s="39">
        <f>C17</f>
        <v>45817</v>
      </c>
      <c r="D9" s="40"/>
      <c r="E9" s="39">
        <f>E17</f>
        <v>45818</v>
      </c>
      <c r="F9" s="40"/>
      <c r="G9" s="39">
        <f>G17</f>
        <v>45819</v>
      </c>
      <c r="H9" s="40"/>
      <c r="I9" s="39">
        <f>I17</f>
        <v>45820</v>
      </c>
      <c r="J9" s="40"/>
      <c r="K9" s="39">
        <f>K17</f>
        <v>45821</v>
      </c>
      <c r="L9" s="40"/>
      <c r="M9" s="39">
        <f>M17</f>
        <v>45822</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f>IF(WEEKDAY($B$8,1)=$H$2,$B$8,"")</f>
        <v>45809</v>
      </c>
      <c r="B11" s="51">
        <f>SUMIF($T$11:$T$113,A11,$S$11:$S$74)</f>
        <v>-57</v>
      </c>
      <c r="C11" s="50">
        <f>IF(A11="",IF(WEEKDAY($B$8,1)=MOD($H$2,7)+1,$B$8,""),A11+1)</f>
        <v>45810</v>
      </c>
      <c r="D11" s="51">
        <f>SUMIF($T$11:$T$113,C11,$S$11:$S$74)</f>
        <v>-1487.37</v>
      </c>
      <c r="E11" s="50">
        <f>IF(C11="",IF(WEEKDAY($B$8,1)=MOD($H$2+1,7)+1,$B$8,""),C11+1)</f>
        <v>45811</v>
      </c>
      <c r="F11" s="51">
        <f>SUMIF($T$11:$T$113,E11,$S$11:$S$74)</f>
        <v>0</v>
      </c>
      <c r="G11" s="50">
        <f>IF(E11="",IF(WEEKDAY($B$8,1)=MOD($H$2+2,7)+1,$B$8,""),E11+1)</f>
        <v>45812</v>
      </c>
      <c r="H11" s="51">
        <f>SUMIF($T$11:$T$113,G11,$S$11:$S$74)</f>
        <v>-33</v>
      </c>
      <c r="I11" s="50">
        <f>IF(G11="",IF(WEEKDAY($B$8,1)=MOD($H$2+3,7)+1,$B$8,""),G11+1)</f>
        <v>45813</v>
      </c>
      <c r="J11" s="51">
        <f>SUMIF($T$11:$T$113,I11,$S$11:$S$74)</f>
        <v>-791.16</v>
      </c>
      <c r="K11" s="50">
        <f>IF(I11="",IF(WEEKDAY($B$8,1)=MOD($H$2+4,7)+1,$B$8,""),I11+1)</f>
        <v>45814</v>
      </c>
      <c r="L11" s="51">
        <f>SUMIF($T$11:$T$113,K11,$S$11:$S$74)</f>
        <v>-133</v>
      </c>
      <c r="M11" s="50">
        <f>IF(K11="",IF(WEEKDAY($B$8,1)=MOD($H$2+5,7)+1,$B$8,""),K11+1)</f>
        <v>45815</v>
      </c>
      <c r="N11" s="51">
        <f>SUMIF($T$11:$T$113,M11,$S$11:$S$74)</f>
        <v>0</v>
      </c>
      <c r="O11" s="23"/>
      <c r="P11" s="52" t="s">
        <v>13</v>
      </c>
      <c r="Q11" s="53" t="s">
        <v>14</v>
      </c>
      <c r="R11" s="53" t="s">
        <v>15</v>
      </c>
      <c r="S11" s="96" t="s">
        <v>16</v>
      </c>
      <c r="T11" s="53" t="s">
        <v>17</v>
      </c>
      <c r="U11" s="23"/>
      <c r="V11" s="23"/>
      <c r="W11" s="23"/>
      <c r="X11" s="23"/>
      <c r="Y11" s="23"/>
      <c r="Z11" s="23"/>
    </row>
    <row r="12" ht="18.75" customHeight="1">
      <c r="A12" s="55"/>
      <c r="B12" s="56"/>
      <c r="C12" s="58" t="s">
        <v>193</v>
      </c>
      <c r="D12" s="57">
        <v>-200.0</v>
      </c>
      <c r="E12" s="58" t="s">
        <v>194</v>
      </c>
      <c r="F12" s="57">
        <v>-118.69</v>
      </c>
      <c r="G12" s="55"/>
      <c r="H12" s="56"/>
      <c r="I12" s="58"/>
      <c r="J12" s="57"/>
      <c r="K12" s="55"/>
      <c r="L12" s="56"/>
      <c r="M12" s="55"/>
      <c r="N12" s="56"/>
      <c r="O12" s="23"/>
      <c r="P12" s="398" t="s">
        <v>20</v>
      </c>
      <c r="Q12" s="399"/>
      <c r="R12" s="400">
        <v>2.0</v>
      </c>
      <c r="S12" s="393">
        <f t="array" ref="S12">-INDEX(PaymentSchedule!$E$21:$AG920,MATCH(PaymentSchedule!$B$26,PaymentSchedule!$B$21:$B$100),MATCH($P12,PaymentSchedule!$E$19:$AG$19,0))</f>
        <v>-1487.37</v>
      </c>
      <c r="T12" s="394">
        <f>IF(ISBLANK(R12),"-",IF(R12&gt;DAY(EOMONTH(DATE($B$2,$E$2,1),0)),EOMONTH(DATE($B$2,$E$2,1),0),DATE($B$2,$E$2,R12)))</f>
        <v>45810</v>
      </c>
      <c r="U12" s="64"/>
      <c r="V12" s="23"/>
      <c r="W12" s="64"/>
      <c r="X12" s="303"/>
      <c r="Y12" s="23"/>
      <c r="Z12" s="23"/>
    </row>
    <row r="13" ht="18.75" customHeight="1">
      <c r="A13" s="55"/>
      <c r="B13" s="56"/>
      <c r="C13" s="58"/>
      <c r="D13" s="57"/>
      <c r="E13" s="55"/>
      <c r="F13" s="56"/>
      <c r="G13" s="55"/>
      <c r="H13" s="56"/>
      <c r="I13" s="55"/>
      <c r="J13" s="57"/>
      <c r="K13" s="55"/>
      <c r="L13" s="56"/>
      <c r="M13" s="55"/>
      <c r="N13" s="56"/>
      <c r="O13" s="23"/>
      <c r="P13" s="531" t="s">
        <v>84</v>
      </c>
      <c r="Q13" s="402"/>
      <c r="R13" s="532">
        <v>3.0</v>
      </c>
      <c r="S13" s="393">
        <f t="array" ref="S13">-INDEX(PaymentSchedule!$E$21:$AG920,MATCH(PaymentSchedule!$B$26,PaymentSchedule!$B$21:$B$100),MATCH($P13,PaymentSchedule!$E$19:$AG$19,0))</f>
        <v>0</v>
      </c>
      <c r="T13" s="533">
        <f>IF(ISBLANK(R13),"-",IF(R13&gt;DAY(EOMONTH(DATE($B$2,$E$2,1),0)),EOMONTH(DATE($B$2,$E$2,1),0),DATE($B$2,$E$2,R13)))</f>
        <v>45811</v>
      </c>
      <c r="U13" s="64"/>
      <c r="V13" s="23"/>
      <c r="W13" s="64"/>
      <c r="X13" s="303"/>
      <c r="Y13" s="23"/>
      <c r="Z13" s="23"/>
    </row>
    <row r="14" ht="18.75" customHeight="1">
      <c r="A14" s="55"/>
      <c r="B14" s="56"/>
      <c r="C14" s="55"/>
      <c r="D14" s="56"/>
      <c r="E14" s="55"/>
      <c r="F14" s="56"/>
      <c r="G14" s="55"/>
      <c r="H14" s="56"/>
      <c r="I14" s="58"/>
      <c r="J14" s="57"/>
      <c r="K14" s="55"/>
      <c r="L14" s="56"/>
      <c r="M14" s="55"/>
      <c r="N14" s="56"/>
      <c r="O14" s="23"/>
      <c r="P14" s="398" t="s">
        <v>86</v>
      </c>
      <c r="Q14" s="399"/>
      <c r="R14" s="400">
        <v>5.0</v>
      </c>
      <c r="S14" s="393">
        <f t="array" ref="S14">-INDEX(PaymentSchedule!$E$21:$AG920,MATCH(PaymentSchedule!$B$26,PaymentSchedule!$B$21:$B$100),MATCH($P14,PaymentSchedule!$E$19:$AG$19,0))</f>
        <v>-791.16</v>
      </c>
      <c r="T14" s="394">
        <f t="shared" ref="T14:T31" si="1">IF(ISBLANK(R14),"-",IF(R14&gt;DAY(EOMONTH(DATE($B$2,$E$2,1),0)),EOMONTH(DATE($B$2,$E$2,1),0),DATE($B$2,$E$2,R14)))</f>
        <v>45813</v>
      </c>
      <c r="U14" s="64"/>
      <c r="V14" s="23"/>
      <c r="W14" s="64"/>
      <c r="X14" s="303"/>
      <c r="Y14" s="23"/>
      <c r="Z14" s="23"/>
    </row>
    <row r="15" ht="18.75" customHeight="1">
      <c r="A15" s="55"/>
      <c r="B15" s="56"/>
      <c r="C15" s="55"/>
      <c r="D15" s="56"/>
      <c r="E15" s="55"/>
      <c r="F15" s="56"/>
      <c r="G15" s="55"/>
      <c r="H15" s="56"/>
      <c r="I15" s="55"/>
      <c r="J15" s="56"/>
      <c r="K15" s="55"/>
      <c r="L15" s="56"/>
      <c r="M15" s="55"/>
      <c r="N15" s="56"/>
      <c r="O15" s="23"/>
      <c r="P15" s="398" t="s">
        <v>85</v>
      </c>
      <c r="Q15" s="399"/>
      <c r="R15" s="400">
        <v>6.0</v>
      </c>
      <c r="S15" s="393">
        <f t="array" ref="S15">-INDEX(PaymentSchedule!$E$21:$AG920,MATCH(PaymentSchedule!$B$26,PaymentSchedule!$B$21:$B$100),MATCH($P15,PaymentSchedule!$E$19:$AG$19,0))</f>
        <v>-133</v>
      </c>
      <c r="T15" s="394">
        <f t="shared" si="1"/>
        <v>45814</v>
      </c>
      <c r="U15" s="64"/>
      <c r="V15" s="23"/>
      <c r="W15" s="64"/>
      <c r="X15" s="303"/>
      <c r="Y15" s="23"/>
      <c r="Z15" s="23"/>
    </row>
    <row r="16" ht="18.75" customHeight="1">
      <c r="A16" s="66" t="s">
        <v>22</v>
      </c>
      <c r="B16" s="355">
        <v>3736.68</v>
      </c>
      <c r="C16" s="66"/>
      <c r="D16" s="67">
        <f>B16+SUM(D11:D15)</f>
        <v>2049.31</v>
      </c>
      <c r="E16" s="66"/>
      <c r="F16" s="67">
        <f>D16+SUM(F11:F15)</f>
        <v>1930.62</v>
      </c>
      <c r="G16" s="66"/>
      <c r="H16" s="67">
        <f>F16+SUM(H11:H15)</f>
        <v>1897.62</v>
      </c>
      <c r="I16" s="66"/>
      <c r="J16" s="67">
        <f>H16+SUM(J11:J15)</f>
        <v>1106.46</v>
      </c>
      <c r="K16" s="66"/>
      <c r="L16" s="67">
        <f>J16+SUM(L11:L15)</f>
        <v>973.46</v>
      </c>
      <c r="M16" s="66"/>
      <c r="N16" s="67">
        <f>L16+SUM(N11:N15)</f>
        <v>973.46</v>
      </c>
      <c r="O16" s="68"/>
      <c r="P16" s="398" t="s">
        <v>25</v>
      </c>
      <c r="Q16" s="399"/>
      <c r="R16" s="400">
        <v>9.0</v>
      </c>
      <c r="S16" s="393">
        <f t="array" ref="S16">-INDEX(PaymentSchedule!$E$21:$AG920,MATCH(PaymentSchedule!$B$26,PaymentSchedule!$B$21:$B$100),MATCH($P16,PaymentSchedule!$E$19:$AG$19,0))</f>
        <v>-35</v>
      </c>
      <c r="T16" s="394">
        <f t="shared" si="1"/>
        <v>45817</v>
      </c>
      <c r="U16" s="71"/>
      <c r="V16" s="69"/>
      <c r="W16" s="71"/>
      <c r="X16" s="309"/>
      <c r="Y16" s="69"/>
      <c r="Z16" s="69"/>
    </row>
    <row r="17" ht="18.75" customHeight="1">
      <c r="A17" s="50">
        <f>IF(M11="","",IF(MONTH(M11+1)&lt;&gt;MONTH(M11),"",M11+1))</f>
        <v>45816</v>
      </c>
      <c r="B17" s="51">
        <f>SUMIF($T$11:$T$113,A17,$S$11:$S$74)</f>
        <v>-24</v>
      </c>
      <c r="C17" s="50">
        <f>IF(A17="","",IF(MONTH(A17+1)&lt;&gt;MONTH(A17),"",A17+1))</f>
        <v>45817</v>
      </c>
      <c r="D17" s="51">
        <f>SUMIF($T$11:$T$113,C17,$S$11:$S$74)</f>
        <v>-485.08</v>
      </c>
      <c r="E17" s="50">
        <f>IF(C17="","",IF(MONTH(C17+1)&lt;&gt;MONTH(C17),"",C17+1))</f>
        <v>45818</v>
      </c>
      <c r="F17" s="51">
        <f>SUMIF($T$11:$T$113,E17,$S$11:$S$74)</f>
        <v>-50</v>
      </c>
      <c r="G17" s="50">
        <f>IF(E17="","",IF(MONTH(E17+1)&lt;&gt;MONTH(E17),"",E17+1))</f>
        <v>45819</v>
      </c>
      <c r="H17" s="51">
        <f>SUMIF($T$11:$T$113,G17,$S$11:$S$74)</f>
        <v>-80</v>
      </c>
      <c r="I17" s="50">
        <f>IF(G17="","",IF(MONTH(G17+1)&lt;&gt;MONTH(G17),"",G17+1))</f>
        <v>45820</v>
      </c>
      <c r="J17" s="51">
        <f>SUMIF($T$11:$T$113,I17,$S$11:$S$74)</f>
        <v>2225</v>
      </c>
      <c r="K17" s="50">
        <f>IF(I17="","",IF(MONTH(I17+1)&lt;&gt;MONTH(I17),"",I17+1))</f>
        <v>45821</v>
      </c>
      <c r="L17" s="51">
        <f>SUMIF($T$11:$T$113,K17,$S$11:$S$74)</f>
        <v>-102</v>
      </c>
      <c r="M17" s="50">
        <f>IF(K17="","",IF(MONTH(K17+1)&lt;&gt;MONTH(K17),"",K17+1))</f>
        <v>45822</v>
      </c>
      <c r="N17" s="51">
        <f>SUMIF($T$11:$T$113,M17,$S$11:$S$74)</f>
        <v>0</v>
      </c>
      <c r="O17" s="23"/>
      <c r="P17" s="398" t="s">
        <v>36</v>
      </c>
      <c r="Q17" s="399"/>
      <c r="R17" s="400">
        <v>9.0</v>
      </c>
      <c r="S17" s="393">
        <f t="array" ref="S17">-INDEX(PaymentSchedule!$E$21:$AG920,MATCH(PaymentSchedule!$B$26,PaymentSchedule!$B$21:$B$100),MATCH($P17,PaymentSchedule!$E$19:$AG$19,0))</f>
        <v>-450.08</v>
      </c>
      <c r="T17" s="394">
        <f t="shared" si="1"/>
        <v>45817</v>
      </c>
      <c r="U17" s="64"/>
      <c r="V17" s="23"/>
      <c r="W17" s="64"/>
      <c r="X17" s="303"/>
      <c r="Y17" s="23"/>
      <c r="Z17" s="23"/>
    </row>
    <row r="18" ht="18.75" customHeight="1">
      <c r="A18" s="55"/>
      <c r="B18" s="56"/>
      <c r="C18" s="58"/>
      <c r="D18" s="57">
        <v>-1.61</v>
      </c>
      <c r="E18" s="58" t="s">
        <v>195</v>
      </c>
      <c r="F18" s="57">
        <v>-117.51</v>
      </c>
      <c r="G18" s="55"/>
      <c r="H18" s="57"/>
      <c r="J18" s="57"/>
      <c r="K18" s="58" t="s">
        <v>139</v>
      </c>
      <c r="L18" s="57">
        <v>-52.06</v>
      </c>
      <c r="M18" s="55"/>
      <c r="N18" s="56"/>
      <c r="O18" s="23"/>
      <c r="P18" s="398" t="s">
        <v>37</v>
      </c>
      <c r="Q18" s="399"/>
      <c r="R18" s="400">
        <v>11.0</v>
      </c>
      <c r="S18" s="393">
        <v>-80.0</v>
      </c>
      <c r="T18" s="394">
        <f t="shared" si="1"/>
        <v>45819</v>
      </c>
      <c r="U18" s="64"/>
      <c r="V18" s="23"/>
      <c r="Y18" s="23"/>
      <c r="Z18" s="23"/>
    </row>
    <row r="19" ht="18.75" customHeight="1">
      <c r="A19" s="55"/>
      <c r="B19" s="56"/>
      <c r="C19" s="55"/>
      <c r="D19" s="56"/>
      <c r="E19" s="55"/>
      <c r="F19" s="56"/>
      <c r="G19" s="55"/>
      <c r="H19" s="56"/>
      <c r="I19" s="55"/>
      <c r="J19" s="56"/>
      <c r="K19" s="410"/>
      <c r="L19" s="57">
        <v>-7.62</v>
      </c>
      <c r="M19" s="55"/>
      <c r="N19" s="57"/>
      <c r="O19" s="23"/>
      <c r="P19" s="390" t="s">
        <v>89</v>
      </c>
      <c r="Q19" s="402"/>
      <c r="R19" s="392">
        <v>26.0</v>
      </c>
      <c r="S19" s="393">
        <f t="array" ref="S19">-INDEX(PaymentSchedule!$E$21:$AG920,MATCH(PaymentSchedule!$B$26,PaymentSchedule!$B$21:$B$100),MATCH($P19,PaymentSchedule!$E$19:$AG$19,0))</f>
        <v>-73</v>
      </c>
      <c r="T19" s="394">
        <f t="shared" si="1"/>
        <v>45834</v>
      </c>
      <c r="U19" s="64"/>
      <c r="V19" s="23"/>
      <c r="W19" s="64"/>
      <c r="X19" s="303"/>
      <c r="Y19" s="23"/>
      <c r="Z19" s="23"/>
    </row>
    <row r="20" ht="18.75" customHeight="1">
      <c r="A20" s="55"/>
      <c r="B20" s="56"/>
      <c r="C20" s="55"/>
      <c r="D20" s="56"/>
      <c r="E20" s="55"/>
      <c r="F20" s="56"/>
      <c r="G20" s="55"/>
      <c r="H20" s="56"/>
      <c r="I20" s="55"/>
      <c r="J20" s="56"/>
      <c r="L20" s="57">
        <v>-6.14</v>
      </c>
      <c r="M20" s="55"/>
      <c r="N20" s="56"/>
      <c r="O20" s="23"/>
      <c r="P20" s="385" t="s">
        <v>47</v>
      </c>
      <c r="Q20" s="386"/>
      <c r="R20" s="387">
        <v>1.0</v>
      </c>
      <c r="S20" s="490"/>
      <c r="T20" s="384">
        <f t="shared" si="1"/>
        <v>45809</v>
      </c>
      <c r="U20" s="64"/>
      <c r="V20" s="23"/>
      <c r="W20" s="410"/>
      <c r="X20" s="57"/>
      <c r="Y20" s="23"/>
      <c r="Z20" s="23"/>
    </row>
    <row r="21" ht="18.75" customHeight="1">
      <c r="A21" s="55"/>
      <c r="B21" s="56"/>
      <c r="C21" s="55"/>
      <c r="D21" s="56"/>
      <c r="E21" s="55"/>
      <c r="F21" s="56"/>
      <c r="G21" s="55"/>
      <c r="H21" s="56"/>
      <c r="I21" s="55"/>
      <c r="J21" s="56"/>
      <c r="K21" s="534"/>
      <c r="L21" s="535"/>
      <c r="M21" s="55"/>
      <c r="N21" s="56"/>
      <c r="O21" s="23"/>
      <c r="P21" s="385" t="s">
        <v>24</v>
      </c>
      <c r="Q21" s="386"/>
      <c r="R21" s="387">
        <v>1.0</v>
      </c>
      <c r="S21" s="388">
        <v>-57.0</v>
      </c>
      <c r="T21" s="384">
        <f t="shared" si="1"/>
        <v>45809</v>
      </c>
      <c r="U21" s="64"/>
      <c r="V21" s="303"/>
      <c r="W21" s="64"/>
      <c r="X21" s="303"/>
      <c r="Y21" s="23"/>
      <c r="Z21" s="23"/>
    </row>
    <row r="22" ht="18.75" customHeight="1">
      <c r="A22" s="66" t="s">
        <v>22</v>
      </c>
      <c r="B22" s="355">
        <v>946.47</v>
      </c>
      <c r="C22" s="66"/>
      <c r="D22" s="67">
        <f>B22+SUM(D17:D21)</f>
        <v>459.78</v>
      </c>
      <c r="E22" s="66"/>
      <c r="F22" s="67">
        <f>D22+SUM(F17:F21)</f>
        <v>292.27</v>
      </c>
      <c r="G22" s="66"/>
      <c r="H22" s="67">
        <f>F22+SUM(H17:H21)</f>
        <v>212.27</v>
      </c>
      <c r="I22" s="66"/>
      <c r="J22" s="67">
        <f>H22+SUM(J17:J21)</f>
        <v>2437.27</v>
      </c>
      <c r="K22" s="66"/>
      <c r="L22" s="67">
        <f>J22+SUM(L17:L21)</f>
        <v>2269.45</v>
      </c>
      <c r="M22" s="66"/>
      <c r="N22" s="67">
        <f>L22+SUM(N17:N21)</f>
        <v>2269.45</v>
      </c>
      <c r="O22" s="68"/>
      <c r="P22" s="385" t="s">
        <v>27</v>
      </c>
      <c r="Q22" s="386"/>
      <c r="R22" s="387">
        <v>4.0</v>
      </c>
      <c r="S22" s="388">
        <v>-33.0</v>
      </c>
      <c r="T22" s="384">
        <f t="shared" si="1"/>
        <v>45812</v>
      </c>
      <c r="W22" s="71"/>
      <c r="X22" s="309"/>
      <c r="Y22" s="69"/>
      <c r="Z22" s="69"/>
    </row>
    <row r="23" ht="18.75" customHeight="1">
      <c r="A23" s="50">
        <f>IF(M17="","",IF(MONTH(M17+1)&lt;&gt;MONTH(M17),"",M17+1))</f>
        <v>45823</v>
      </c>
      <c r="B23" s="51">
        <f>SUMIF($T$11:$T$113,A23,$S$11:$S$74)</f>
        <v>0</v>
      </c>
      <c r="C23" s="50">
        <f>IF(A23="","",IF(MONTH(A23+1)&lt;&gt;MONTH(A23),"",A23+1))</f>
        <v>45824</v>
      </c>
      <c r="D23" s="51">
        <f>SUMIF($T$11:$T$113,C23,$S$11:$S$74)</f>
        <v>0</v>
      </c>
      <c r="E23" s="50">
        <f>IF(C23="","",IF(MONTH(C23+1)&lt;&gt;MONTH(C23),"",C23+1))</f>
        <v>45825</v>
      </c>
      <c r="F23" s="51">
        <f>SUMIF($T$11:$T$113,E23,$S$11:$S$74)</f>
        <v>-9.99</v>
      </c>
      <c r="G23" s="50">
        <f>IF(E23="","",IF(MONTH(E23+1)&lt;&gt;MONTH(E23),"",E23+1))</f>
        <v>45826</v>
      </c>
      <c r="H23" s="51">
        <f>SUMIF($T$11:$T$113,G23,$S$11:$S$74)</f>
        <v>0</v>
      </c>
      <c r="I23" s="50">
        <f>IF(G23="","",IF(MONTH(G23+1)&lt;&gt;MONTH(G23),"",G23+1))</f>
        <v>45827</v>
      </c>
      <c r="J23" s="51">
        <f>SUMIF($T$11:$T$113,I23,$S$11:$S$74)</f>
        <v>0</v>
      </c>
      <c r="K23" s="50">
        <f>IF(I23="","",IF(MONTH(I23+1)&lt;&gt;MONTH(I23),"",I23+1))</f>
        <v>45828</v>
      </c>
      <c r="L23" s="51">
        <f>SUMIF($T$11:$T$113,K23,$S$11:$S$74)</f>
        <v>-400</v>
      </c>
      <c r="M23" s="50">
        <f>IF(K23="","",IF(MONTH(K23+1)&lt;&gt;MONTH(K23),"",K23+1))</f>
        <v>45829</v>
      </c>
      <c r="N23" s="51">
        <f>SUMIF($T$11:$T$113,M23,$S$11:$S$74)</f>
        <v>0</v>
      </c>
      <c r="O23" s="23"/>
      <c r="P23" s="414" t="s">
        <v>186</v>
      </c>
      <c r="Q23" s="415"/>
      <c r="R23" s="416">
        <v>4.0</v>
      </c>
      <c r="S23" s="383"/>
      <c r="T23" s="384">
        <f t="shared" si="1"/>
        <v>45812</v>
      </c>
      <c r="U23" s="64"/>
      <c r="V23" s="23"/>
      <c r="W23" s="64"/>
      <c r="X23" s="303"/>
      <c r="Y23" s="23"/>
      <c r="Z23" s="23"/>
    </row>
    <row r="24" ht="18.75" customHeight="1">
      <c r="A24" s="55"/>
      <c r="B24" s="56"/>
      <c r="E24" s="58"/>
      <c r="F24" s="57"/>
      <c r="G24" s="58"/>
      <c r="H24" s="57"/>
      <c r="I24" s="58" t="s">
        <v>196</v>
      </c>
      <c r="J24" s="57"/>
      <c r="K24" s="410"/>
      <c r="L24" s="57"/>
      <c r="M24" s="55"/>
      <c r="N24" s="56"/>
      <c r="O24" s="23"/>
      <c r="P24" s="385" t="s">
        <v>26</v>
      </c>
      <c r="Q24" s="386"/>
      <c r="R24" s="387">
        <v>6.0</v>
      </c>
      <c r="S24" s="388"/>
      <c r="T24" s="384">
        <f t="shared" si="1"/>
        <v>45814</v>
      </c>
      <c r="U24" s="64"/>
      <c r="V24" s="23"/>
      <c r="W24" s="64"/>
      <c r="X24" s="303"/>
      <c r="Y24" s="23"/>
      <c r="Z24" s="23"/>
    </row>
    <row r="25" ht="18.75" customHeight="1">
      <c r="A25" s="55"/>
      <c r="B25" s="56"/>
      <c r="C25" s="58"/>
      <c r="D25" s="57"/>
      <c r="E25" s="58"/>
      <c r="F25" s="57"/>
      <c r="G25" s="55"/>
      <c r="H25" s="57">
        <v>-300.72</v>
      </c>
      <c r="I25" s="55"/>
      <c r="J25" s="56"/>
      <c r="K25" s="55"/>
      <c r="L25" s="57"/>
      <c r="M25" s="55"/>
      <c r="N25" s="56"/>
      <c r="O25" s="23"/>
      <c r="P25" s="385" t="s">
        <v>51</v>
      </c>
      <c r="Q25" s="386"/>
      <c r="R25" s="387">
        <v>8.0</v>
      </c>
      <c r="S25" s="388">
        <v>-24.0</v>
      </c>
      <c r="T25" s="384">
        <f t="shared" si="1"/>
        <v>45816</v>
      </c>
      <c r="U25" s="64"/>
      <c r="V25" s="23"/>
      <c r="W25" s="64"/>
      <c r="X25" s="303"/>
      <c r="Y25" s="23"/>
      <c r="Z25" s="23"/>
    </row>
    <row r="26" ht="18.75" customHeight="1">
      <c r="A26" s="55"/>
      <c r="B26" s="56"/>
      <c r="C26" s="55"/>
      <c r="D26" s="56"/>
      <c r="E26" s="55"/>
      <c r="F26" s="56"/>
      <c r="G26" s="55"/>
      <c r="H26" s="57">
        <v>-50.5</v>
      </c>
      <c r="I26" s="55"/>
      <c r="J26" s="56"/>
      <c r="K26" s="55"/>
      <c r="L26" s="56"/>
      <c r="M26" s="55"/>
      <c r="N26" s="56"/>
      <c r="O26" s="23"/>
      <c r="P26" s="385" t="s">
        <v>38</v>
      </c>
      <c r="Q26" s="386"/>
      <c r="R26" s="387">
        <v>10.0</v>
      </c>
      <c r="S26" s="388">
        <v>-50.0</v>
      </c>
      <c r="T26" s="384">
        <f t="shared" si="1"/>
        <v>45818</v>
      </c>
      <c r="U26" s="64"/>
      <c r="V26" s="23"/>
      <c r="W26" s="64"/>
      <c r="X26" s="303"/>
      <c r="Y26" s="23"/>
      <c r="Z26" s="23"/>
    </row>
    <row r="27" ht="18.75" customHeight="1">
      <c r="A27" s="55"/>
      <c r="B27" s="56"/>
      <c r="C27" s="55"/>
      <c r="D27" s="56"/>
      <c r="E27" s="55"/>
      <c r="F27" s="56"/>
      <c r="G27" s="55"/>
      <c r="H27" s="56"/>
      <c r="I27" s="55"/>
      <c r="J27" s="56"/>
      <c r="K27" s="55"/>
      <c r="L27" s="56"/>
      <c r="M27" s="55"/>
      <c r="N27" s="56"/>
      <c r="O27" s="23"/>
      <c r="P27" s="385" t="s">
        <v>19</v>
      </c>
      <c r="Q27" s="386"/>
      <c r="R27" s="387">
        <v>12.0</v>
      </c>
      <c r="S27" s="388">
        <v>2225.0</v>
      </c>
      <c r="T27" s="384">
        <f t="shared" si="1"/>
        <v>45820</v>
      </c>
      <c r="U27" s="64"/>
      <c r="V27" s="23"/>
      <c r="W27" s="64"/>
      <c r="X27" s="303"/>
      <c r="Y27" s="23"/>
      <c r="Z27" s="23"/>
    </row>
    <row r="28" ht="18.75" customHeight="1">
      <c r="A28" s="66" t="s">
        <v>22</v>
      </c>
      <c r="B28" s="67">
        <f>N22+SUM(B23:B27)</f>
        <v>2269.45</v>
      </c>
      <c r="C28" s="66"/>
      <c r="D28" s="67">
        <f>B28+SUM(D23:D27)</f>
        <v>2269.45</v>
      </c>
      <c r="E28" s="66"/>
      <c r="F28" s="67">
        <f>D28+SUM(F23:F27)</f>
        <v>2259.46</v>
      </c>
      <c r="G28" s="66"/>
      <c r="H28" s="67">
        <f>F28+SUM(H23:H27)</f>
        <v>1908.24</v>
      </c>
      <c r="I28" s="66"/>
      <c r="J28" s="67">
        <f>H28+SUM(J23:J27)</f>
        <v>1908.24</v>
      </c>
      <c r="K28" s="66"/>
      <c r="L28" s="67">
        <f>J28+SUM(L23:L27)</f>
        <v>1508.24</v>
      </c>
      <c r="M28" s="66"/>
      <c r="N28" s="67">
        <f>L28+SUM(N23:N27)</f>
        <v>1508.24</v>
      </c>
      <c r="O28" s="68"/>
      <c r="P28" s="385" t="s">
        <v>40</v>
      </c>
      <c r="Q28" s="386"/>
      <c r="R28" s="387">
        <v>13.0</v>
      </c>
      <c r="S28" s="388">
        <v>-102.0</v>
      </c>
      <c r="T28" s="384">
        <f t="shared" si="1"/>
        <v>45821</v>
      </c>
      <c r="U28" s="71"/>
      <c r="V28" s="69"/>
      <c r="W28" s="71"/>
      <c r="X28" s="309"/>
      <c r="Y28" s="69"/>
      <c r="Z28" s="69"/>
    </row>
    <row r="29" ht="18.75" customHeight="1">
      <c r="A29" s="50">
        <f>IF(M23="","",IF(MONTH(M23+1)&lt;&gt;MONTH(M23),"",M23+1))</f>
        <v>45830</v>
      </c>
      <c r="B29" s="51">
        <f>SUMIF($T$11:$T$113,A29,$S$11:$S$74)</f>
        <v>0</v>
      </c>
      <c r="C29" s="50">
        <f>IF(A29="","",IF(MONTH(A29+1)&lt;&gt;MONTH(A29),"",A29+1))</f>
        <v>45831</v>
      </c>
      <c r="D29" s="51">
        <f>SUMIF($T$11:$T$113,C29,$S$11:$S$74)</f>
        <v>39.5</v>
      </c>
      <c r="E29" s="50">
        <f>IF(C29="","",IF(MONTH(C29+1)&lt;&gt;MONTH(C29),"",C29+1))</f>
        <v>45832</v>
      </c>
      <c r="F29" s="51">
        <f>SUMIF($T$11:$T$113,E29,$S$11:$S$74)</f>
        <v>0</v>
      </c>
      <c r="G29" s="50">
        <f>IF(E29="","",IF(MONTH(E29+1)&lt;&gt;MONTH(E29),"",E29+1))</f>
        <v>45833</v>
      </c>
      <c r="H29" s="51">
        <f>SUMIF($T$11:$T$113,G29,$S$11:$S$74)</f>
        <v>-18.35</v>
      </c>
      <c r="I29" s="50">
        <f>IF(G29="","",IF(MONTH(G29+1)&lt;&gt;MONTH(G29),"",G29+1))</f>
        <v>45834</v>
      </c>
      <c r="J29" s="51">
        <f>SUMIF($T$11:$T$113,I29,$S$11:$S$74)</f>
        <v>2141.01</v>
      </c>
      <c r="K29" s="50">
        <f>IF(I29="","",IF(MONTH(I29+1)&lt;&gt;MONTH(I29),"",I29+1))</f>
        <v>45835</v>
      </c>
      <c r="L29" s="51">
        <f>SUMIF($T$11:$T$113,K29,$S$11:$S$74)</f>
        <v>0</v>
      </c>
      <c r="M29" s="50">
        <f>IF(K29="","",IF(MONTH(K29+1)&lt;&gt;MONTH(K29),"",K29+1))</f>
        <v>45836</v>
      </c>
      <c r="N29" s="51">
        <f>SUMIF($T$11:$T$113,M29,$S$11:$S$74)</f>
        <v>-249</v>
      </c>
      <c r="O29" s="23"/>
      <c r="P29" s="385" t="s">
        <v>26</v>
      </c>
      <c r="Q29" s="386"/>
      <c r="R29" s="387">
        <v>13.0</v>
      </c>
      <c r="S29" s="388"/>
      <c r="T29" s="384">
        <f t="shared" si="1"/>
        <v>45821</v>
      </c>
      <c r="U29" s="64"/>
      <c r="V29" s="23"/>
      <c r="W29" s="64"/>
      <c r="X29" s="303"/>
      <c r="Y29" s="23"/>
      <c r="Z29" s="23"/>
    </row>
    <row r="30" ht="18.75" customHeight="1">
      <c r="A30" s="55"/>
      <c r="B30" s="56"/>
      <c r="C30" s="485"/>
      <c r="D30" s="486"/>
      <c r="E30" s="58"/>
      <c r="F30" s="57"/>
      <c r="G30" s="58"/>
      <c r="H30" s="57"/>
      <c r="I30" s="58" t="s">
        <v>197</v>
      </c>
      <c r="J30" s="57">
        <v>-400.0</v>
      </c>
      <c r="K30" s="410"/>
      <c r="L30" s="57"/>
      <c r="M30" s="58" t="s">
        <v>163</v>
      </c>
      <c r="N30" s="57"/>
      <c r="O30" s="23"/>
      <c r="P30" s="385" t="s">
        <v>43</v>
      </c>
      <c r="Q30" s="386"/>
      <c r="R30" s="387">
        <v>17.0</v>
      </c>
      <c r="S30" s="388">
        <v>-9.99</v>
      </c>
      <c r="T30" s="384">
        <f t="shared" si="1"/>
        <v>45825</v>
      </c>
      <c r="U30" s="64"/>
      <c r="V30" s="23"/>
      <c r="W30" s="64"/>
      <c r="X30" s="303"/>
      <c r="Y30" s="23"/>
      <c r="Z30" s="23"/>
    </row>
    <row r="31" ht="18.75" customHeight="1">
      <c r="A31" s="55"/>
      <c r="B31" s="56"/>
      <c r="C31" s="58"/>
      <c r="D31" s="57"/>
      <c r="E31" s="55"/>
      <c r="F31" s="56"/>
      <c r="G31" s="55"/>
      <c r="H31" s="56"/>
      <c r="I31" s="58"/>
      <c r="J31" s="57"/>
      <c r="M31" s="55"/>
      <c r="N31" s="56"/>
      <c r="O31" s="23"/>
      <c r="P31" s="385" t="s">
        <v>34</v>
      </c>
      <c r="Q31" s="386"/>
      <c r="R31" s="387">
        <v>17.0</v>
      </c>
      <c r="S31" s="388"/>
      <c r="T31" s="384">
        <f t="shared" si="1"/>
        <v>45825</v>
      </c>
      <c r="U31" s="64"/>
      <c r="V31" s="23"/>
      <c r="W31" s="64"/>
      <c r="X31" s="303"/>
      <c r="Y31" s="23"/>
      <c r="Z31" s="23"/>
    </row>
    <row r="32" ht="18.75" customHeight="1">
      <c r="A32" s="55"/>
      <c r="B32" s="56"/>
      <c r="C32" s="55"/>
      <c r="D32" s="56"/>
      <c r="E32" s="55"/>
      <c r="F32" s="56"/>
      <c r="G32" s="55"/>
      <c r="H32" s="56"/>
      <c r="I32" s="55"/>
      <c r="J32" s="56"/>
      <c r="M32" s="55"/>
      <c r="N32" s="56"/>
      <c r="O32" s="23"/>
      <c r="P32" s="519" t="s">
        <v>188</v>
      </c>
      <c r="Q32" s="511"/>
      <c r="R32" s="416">
        <v>20.0</v>
      </c>
      <c r="S32" s="383">
        <v>-400.0</v>
      </c>
      <c r="T32" s="536">
        <f>IF(ISBLANK(R32),"-",IF(R32&gt;DAY(EOMONTH(DATE($B$2,$E$2,1),0)),EOMONTH(DATE($B$2,$E$2,1),0),DATE($B$2,$E$2,R32)))</f>
        <v>45828</v>
      </c>
      <c r="U32" s="64"/>
      <c r="V32" s="23"/>
      <c r="W32" s="64"/>
      <c r="X32" s="303"/>
      <c r="Y32" s="23"/>
      <c r="Z32" s="23"/>
    </row>
    <row r="33" ht="18.75" customHeight="1">
      <c r="A33" s="55"/>
      <c r="B33" s="56"/>
      <c r="C33" s="55"/>
      <c r="D33" s="56"/>
      <c r="E33" s="55"/>
      <c r="F33" s="56"/>
      <c r="G33" s="55"/>
      <c r="H33" s="56"/>
      <c r="I33" s="55"/>
      <c r="J33" s="57"/>
      <c r="K33" s="55"/>
      <c r="L33" s="56"/>
      <c r="M33" s="55"/>
      <c r="N33" s="56"/>
      <c r="O33" s="23"/>
      <c r="P33" s="385" t="s">
        <v>26</v>
      </c>
      <c r="Q33" s="386"/>
      <c r="R33" s="387">
        <v>20.0</v>
      </c>
      <c r="S33" s="388"/>
      <c r="T33" s="384">
        <f t="shared" ref="T33:T46" si="2">IF(ISBLANK(R33),"-",IF(R33&gt;DAY(EOMONTH(DATE($B$2,$E$2,1),0)),EOMONTH(DATE($B$2,$E$2,1),0),DATE($B$2,$E$2,R33)))</f>
        <v>45828</v>
      </c>
      <c r="U33" s="64"/>
      <c r="V33" s="23"/>
      <c r="W33" s="64"/>
      <c r="X33" s="303"/>
      <c r="Y33" s="23"/>
      <c r="Z33" s="23"/>
    </row>
    <row r="34" ht="18.75" customHeight="1">
      <c r="A34" s="66" t="s">
        <v>22</v>
      </c>
      <c r="B34" s="67">
        <f>N28+SUM(B29:B33)</f>
        <v>1508.24</v>
      </c>
      <c r="C34" s="66"/>
      <c r="D34" s="67">
        <f>B34+SUM(D29:D33)</f>
        <v>1547.74</v>
      </c>
      <c r="E34" s="66"/>
      <c r="F34" s="67">
        <f>D34+SUM(F29:F33)</f>
        <v>1547.74</v>
      </c>
      <c r="G34" s="66"/>
      <c r="H34" s="67">
        <f>F34+SUM(H29:H33)</f>
        <v>1529.39</v>
      </c>
      <c r="I34" s="66"/>
      <c r="J34" s="67">
        <f>H34+SUM(J29:J33)</f>
        <v>3270.4</v>
      </c>
      <c r="K34" s="66"/>
      <c r="L34" s="67">
        <f>J34+SUM(L29:L33)</f>
        <v>3270.4</v>
      </c>
      <c r="M34" s="66"/>
      <c r="N34" s="67">
        <f>L34+SUM(N29:N33)</f>
        <v>3021.4</v>
      </c>
      <c r="O34" s="68"/>
      <c r="P34" s="385" t="s">
        <v>30</v>
      </c>
      <c r="Q34" s="386"/>
      <c r="R34" s="387">
        <v>23.0</v>
      </c>
      <c r="S34" s="537">
        <v>39.5</v>
      </c>
      <c r="T34" s="384">
        <f t="shared" si="2"/>
        <v>45831</v>
      </c>
      <c r="U34" s="71"/>
      <c r="V34" s="69"/>
      <c r="W34" s="71"/>
      <c r="X34" s="309"/>
      <c r="Y34" s="69"/>
      <c r="Z34" s="69"/>
    </row>
    <row r="35" ht="18.75" customHeight="1">
      <c r="A35" s="50">
        <f>IF(M29="","",IF(MONTH(M29+1)&lt;&gt;MONTH(M29),"",M29+1))</f>
        <v>45837</v>
      </c>
      <c r="B35" s="51">
        <f>SUMIF($T$11:$T$113,A35,$S$11:$S$74)</f>
        <v>-3</v>
      </c>
      <c r="C35" s="50">
        <f>IF(A35="","",IF(MONTH(A35+1)&lt;&gt;MONTH(A35),"",A35+1))</f>
        <v>45838</v>
      </c>
      <c r="D35" s="51">
        <f>SUMIF($T$11:$T$113,C35,$S$11:$S$74)</f>
        <v>-32.59</v>
      </c>
      <c r="E35" s="50" t="str">
        <f>IF(C35="","",IF(MONTH(C35+1)&lt;&gt;MONTH(C35),"",C35+1))</f>
        <v/>
      </c>
      <c r="F35" s="51">
        <f>SUMIF($T$11:$T$113,E35,$S$11:$S$74)</f>
        <v>0</v>
      </c>
      <c r="G35" s="50" t="str">
        <f>IF(E35="","",IF(MONTH(E35+1)&lt;&gt;MONTH(E35),"",E35+1))</f>
        <v/>
      </c>
      <c r="H35" s="51">
        <f>SUMIF($T$11:$T$113,G35,$S$11:$S$74)</f>
        <v>0</v>
      </c>
      <c r="I35" s="50" t="str">
        <f>IF(G35="","",IF(MONTH(G35+1)&lt;&gt;MONTH(G35),"",G35+1))</f>
        <v/>
      </c>
      <c r="J35" s="51">
        <f>SUMIF($T$11:$T$113,I35,$S$11:$S$74)</f>
        <v>0</v>
      </c>
      <c r="K35" s="50" t="str">
        <f>IF(I35="","",IF(MONTH(I35+1)&lt;&gt;MONTH(I35),"",I35+1))</f>
        <v/>
      </c>
      <c r="L35" s="51">
        <f>SUMIF($T$11:$T$113,K35,$S$11:$S$74)</f>
        <v>0</v>
      </c>
      <c r="M35" s="50" t="str">
        <f>IF(K35="","",IF(MONTH(K35+1)&lt;&gt;MONTH(K35),"",K35+1))</f>
        <v/>
      </c>
      <c r="N35" s="51">
        <f>SUMIF($T$11:$T$113,M35,$S$11:$S$74)</f>
        <v>0</v>
      </c>
      <c r="O35" s="23"/>
      <c r="P35" s="385" t="s">
        <v>34</v>
      </c>
      <c r="Q35" s="386"/>
      <c r="R35" s="387">
        <v>24.0</v>
      </c>
      <c r="S35" s="388"/>
      <c r="T35" s="384">
        <f t="shared" si="2"/>
        <v>45832</v>
      </c>
      <c r="U35" s="64"/>
      <c r="V35" s="23"/>
      <c r="W35" s="64"/>
      <c r="X35" s="303"/>
      <c r="Y35" s="23"/>
      <c r="Z35" s="23"/>
    </row>
    <row r="36" ht="18.75" customHeight="1">
      <c r="A36" s="55"/>
      <c r="B36" s="56"/>
      <c r="C36" s="55"/>
      <c r="D36" s="57">
        <v>-26.99</v>
      </c>
      <c r="E36" s="55"/>
      <c r="F36" s="56"/>
      <c r="G36" s="55"/>
      <c r="H36" s="56"/>
      <c r="I36" s="55"/>
      <c r="J36" s="56"/>
      <c r="K36" s="55"/>
      <c r="L36" s="56"/>
      <c r="M36" s="55"/>
      <c r="N36" s="56"/>
      <c r="O36" s="23"/>
      <c r="P36" s="380" t="s">
        <v>44</v>
      </c>
      <c r="Q36" s="381"/>
      <c r="R36" s="382">
        <v>25.0</v>
      </c>
      <c r="S36" s="397">
        <v>-18.35</v>
      </c>
      <c r="T36" s="384">
        <f t="shared" si="2"/>
        <v>45833</v>
      </c>
      <c r="U36" s="64"/>
      <c r="V36" s="23"/>
      <c r="W36" s="64"/>
      <c r="X36" s="303"/>
      <c r="Y36" s="23"/>
      <c r="Z36" s="23"/>
    </row>
    <row r="37" ht="18.75" customHeight="1">
      <c r="A37" s="55"/>
      <c r="B37" s="56"/>
      <c r="C37" s="58"/>
      <c r="D37" s="57"/>
      <c r="E37" s="55"/>
      <c r="F37" s="56"/>
      <c r="G37" s="55"/>
      <c r="H37" s="56"/>
      <c r="I37" s="55"/>
      <c r="J37" s="56"/>
      <c r="K37" s="55"/>
      <c r="L37" s="56"/>
      <c r="M37" s="55"/>
      <c r="N37" s="56"/>
      <c r="O37" s="23"/>
      <c r="P37" s="385" t="s">
        <v>46</v>
      </c>
      <c r="Q37" s="386"/>
      <c r="R37" s="387">
        <v>26.0</v>
      </c>
      <c r="S37" s="388">
        <v>-10.99</v>
      </c>
      <c r="T37" s="384">
        <f t="shared" si="2"/>
        <v>45834</v>
      </c>
      <c r="U37" s="64"/>
      <c r="V37" s="23"/>
      <c r="W37" s="64"/>
      <c r="X37" s="303"/>
      <c r="Y37" s="23"/>
      <c r="Z37" s="23"/>
    </row>
    <row r="38" ht="18.75" customHeight="1">
      <c r="A38" s="55"/>
      <c r="B38" s="56"/>
      <c r="C38" s="410"/>
      <c r="D38" s="57"/>
      <c r="E38" s="55"/>
      <c r="F38" s="56"/>
      <c r="G38" s="55"/>
      <c r="H38" s="56"/>
      <c r="I38" s="55"/>
      <c r="J38" s="56"/>
      <c r="K38" s="55"/>
      <c r="L38" s="56"/>
      <c r="M38" s="55"/>
      <c r="N38" s="56"/>
      <c r="O38" s="23"/>
      <c r="P38" s="385" t="s">
        <v>151</v>
      </c>
      <c r="Q38" s="386"/>
      <c r="R38" s="387">
        <v>26.0</v>
      </c>
      <c r="S38" s="388">
        <v>2225.0</v>
      </c>
      <c r="T38" s="384">
        <f t="shared" si="2"/>
        <v>45834</v>
      </c>
      <c r="U38" s="64"/>
      <c r="V38" s="23"/>
      <c r="W38" s="64"/>
      <c r="X38" s="303"/>
      <c r="Y38" s="23"/>
      <c r="Z38" s="23"/>
    </row>
    <row r="39" ht="18.75" customHeight="1">
      <c r="A39" s="55"/>
      <c r="B39" s="56"/>
      <c r="C39" s="55"/>
      <c r="D39" s="56"/>
      <c r="E39" s="55"/>
      <c r="F39" s="56"/>
      <c r="G39" s="55"/>
      <c r="H39" s="56"/>
      <c r="I39" s="55"/>
      <c r="J39" s="56"/>
      <c r="K39" s="55"/>
      <c r="L39" s="56"/>
      <c r="M39" s="55"/>
      <c r="N39" s="56"/>
      <c r="O39" s="23"/>
      <c r="P39" s="385" t="s">
        <v>57</v>
      </c>
      <c r="Q39" s="386"/>
      <c r="R39" s="387">
        <v>28.0</v>
      </c>
      <c r="S39" s="388">
        <v>-249.0</v>
      </c>
      <c r="T39" s="384">
        <f t="shared" si="2"/>
        <v>45836</v>
      </c>
      <c r="U39" s="64"/>
      <c r="V39" s="23"/>
      <c r="W39" s="64"/>
      <c r="X39" s="303"/>
      <c r="Y39" s="23"/>
      <c r="Z39" s="23"/>
    </row>
    <row r="40" ht="18.75" customHeight="1">
      <c r="A40" s="66" t="s">
        <v>22</v>
      </c>
      <c r="B40" s="67">
        <f>N34+SUM(B35:B39)</f>
        <v>3018.4</v>
      </c>
      <c r="C40" s="66"/>
      <c r="D40" s="67">
        <f>B40+SUM(D35:D39)</f>
        <v>2958.82</v>
      </c>
      <c r="E40" s="66"/>
      <c r="F40" s="67">
        <f>D40+SUM(F35:F39)</f>
        <v>2958.82</v>
      </c>
      <c r="G40" s="66"/>
      <c r="H40" s="67">
        <f>F40+SUM(H35:H39)</f>
        <v>2958.82</v>
      </c>
      <c r="I40" s="66"/>
      <c r="J40" s="67">
        <f>H40+SUM(J35:J39)</f>
        <v>2958.82</v>
      </c>
      <c r="K40" s="66"/>
      <c r="L40" s="67">
        <f>J40+SUM(L35:L39)</f>
        <v>2958.82</v>
      </c>
      <c r="M40" s="66"/>
      <c r="N40" s="67">
        <f>L40+SUM(N35:N39)</f>
        <v>2958.82</v>
      </c>
      <c r="O40" s="68"/>
      <c r="P40" s="385" t="s">
        <v>53</v>
      </c>
      <c r="Q40" s="386"/>
      <c r="R40" s="387">
        <v>29.0</v>
      </c>
      <c r="S40" s="388">
        <v>-3.0</v>
      </c>
      <c r="T40" s="384">
        <f t="shared" si="2"/>
        <v>45837</v>
      </c>
      <c r="U40" s="71"/>
      <c r="V40" s="69"/>
      <c r="W40" s="71"/>
      <c r="X40" s="309"/>
      <c r="Y40" s="69"/>
      <c r="Z40" s="69"/>
    </row>
    <row r="41" ht="18.75" customHeight="1">
      <c r="A41" s="50" t="str">
        <f>IF(M35="","",IF(MONTH(M35+1)&lt;&gt;MONTH(M35),"",M35+1))</f>
        <v/>
      </c>
      <c r="B41" s="51">
        <f>SUMIF($T$11:$T$113,A41,$S$11:$S$74)</f>
        <v>0</v>
      </c>
      <c r="C41" s="50" t="str">
        <f>IF(A41="","",IF(MONTH(A41+1)&lt;&gt;MONTH(A41),"",A41+1))</f>
        <v/>
      </c>
      <c r="D41" s="51">
        <f>SUMIF($T$11:$T$113,C41,$S$11:$S$74)</f>
        <v>0</v>
      </c>
      <c r="E41" s="77"/>
      <c r="F41" s="77" t="s">
        <v>50</v>
      </c>
      <c r="G41" s="77"/>
      <c r="H41" s="77"/>
      <c r="I41" s="77"/>
      <c r="J41" s="77"/>
      <c r="K41" s="77"/>
      <c r="L41" s="77"/>
      <c r="M41" s="77"/>
      <c r="N41" s="77"/>
      <c r="P41" s="538" t="s">
        <v>55</v>
      </c>
      <c r="Q41" s="539"/>
      <c r="R41" s="540"/>
      <c r="S41" s="365">
        <v>-18.35</v>
      </c>
      <c r="T41" s="323" t="str">
        <f t="shared" si="2"/>
        <v>-</v>
      </c>
      <c r="V41" s="313"/>
      <c r="X41" s="314"/>
    </row>
    <row r="42" ht="18.75" customHeight="1">
      <c r="A42" s="55"/>
      <c r="B42" s="56"/>
      <c r="C42" s="55"/>
      <c r="D42" s="57"/>
      <c r="E42" s="77"/>
      <c r="F42" s="77" t="s">
        <v>52</v>
      </c>
      <c r="G42" s="77"/>
      <c r="H42" s="77"/>
      <c r="I42" s="77"/>
      <c r="J42" s="77"/>
      <c r="K42" s="77"/>
      <c r="L42" s="77"/>
      <c r="M42" s="77"/>
      <c r="N42" s="77"/>
      <c r="P42" s="385" t="s">
        <v>54</v>
      </c>
      <c r="Q42" s="386"/>
      <c r="R42" s="387">
        <v>30.0</v>
      </c>
      <c r="S42" s="388">
        <v>-11.0</v>
      </c>
      <c r="T42" s="384">
        <f t="shared" si="2"/>
        <v>45838</v>
      </c>
      <c r="V42" s="313"/>
      <c r="X42" s="314"/>
    </row>
    <row r="43" ht="18.75" customHeight="1">
      <c r="A43" s="55"/>
      <c r="B43" s="56"/>
      <c r="C43" s="55"/>
      <c r="D43" s="56"/>
      <c r="E43" s="77"/>
      <c r="F43" s="77"/>
      <c r="G43" s="77"/>
      <c r="H43" s="77"/>
      <c r="I43" s="77"/>
      <c r="J43" s="77"/>
      <c r="K43" s="77"/>
      <c r="L43" s="77"/>
      <c r="M43" s="77"/>
      <c r="N43" s="77"/>
      <c r="P43" s="385" t="s">
        <v>29</v>
      </c>
      <c r="Q43" s="386"/>
      <c r="R43" s="387">
        <v>30.0</v>
      </c>
      <c r="S43" s="388">
        <v>-21.59</v>
      </c>
      <c r="T43" s="384">
        <f t="shared" si="2"/>
        <v>45838</v>
      </c>
      <c r="V43" s="313"/>
    </row>
    <row r="44" ht="18.75" customHeight="1">
      <c r="A44" s="55"/>
      <c r="B44" s="56"/>
      <c r="C44" s="55"/>
      <c r="D44" s="56"/>
      <c r="E44" s="77"/>
      <c r="F44" s="77"/>
      <c r="G44" s="77"/>
      <c r="H44" s="77"/>
      <c r="I44" s="77"/>
      <c r="J44" s="77"/>
      <c r="K44" s="77"/>
      <c r="L44" s="77"/>
      <c r="M44" s="77"/>
      <c r="N44" s="77"/>
      <c r="P44" s="319" t="s">
        <v>49</v>
      </c>
      <c r="Q44" s="320"/>
      <c r="R44" s="321"/>
      <c r="S44" s="322"/>
      <c r="T44" s="323" t="str">
        <f t="shared" si="2"/>
        <v>-</v>
      </c>
      <c r="V44" s="313"/>
      <c r="X44" s="314"/>
    </row>
    <row r="45" ht="18.75" customHeight="1">
      <c r="A45" s="55"/>
      <c r="B45" s="56"/>
      <c r="C45" s="55"/>
      <c r="D45" s="56"/>
      <c r="E45" s="77"/>
      <c r="F45" s="77"/>
      <c r="G45" s="77"/>
      <c r="H45" s="77"/>
      <c r="I45" s="77"/>
      <c r="J45" s="77"/>
      <c r="K45" s="77"/>
      <c r="L45" s="77"/>
      <c r="M45" s="77"/>
      <c r="N45" s="77"/>
      <c r="P45" s="367"/>
      <c r="Q45" s="407"/>
      <c r="R45" s="408"/>
      <c r="S45" s="409"/>
      <c r="T45" s="323" t="str">
        <f t="shared" si="2"/>
        <v>-</v>
      </c>
    </row>
    <row r="46" ht="18.75" customHeight="1">
      <c r="A46" s="66" t="s">
        <v>22</v>
      </c>
      <c r="B46" s="67">
        <f>N40+SUM(B41:B45)</f>
        <v>2958.82</v>
      </c>
      <c r="C46" s="66"/>
      <c r="D46" s="67">
        <f>B46+SUM(D41:D45)</f>
        <v>2958.82</v>
      </c>
      <c r="E46" s="77"/>
      <c r="F46" s="77"/>
      <c r="G46" s="77"/>
      <c r="H46" s="77"/>
      <c r="I46" s="77"/>
      <c r="J46" s="77"/>
      <c r="K46" s="77"/>
      <c r="L46" s="77"/>
      <c r="M46" s="77"/>
      <c r="N46" s="77"/>
      <c r="P46" s="367"/>
      <c r="Q46" s="368"/>
      <c r="R46" s="408"/>
      <c r="S46" s="409"/>
      <c r="T46" s="323" t="str">
        <f t="shared" si="2"/>
        <v>-</v>
      </c>
    </row>
    <row r="47" ht="12.75" customHeight="1">
      <c r="P47" s="367"/>
      <c r="Q47" s="368"/>
      <c r="R47" s="405"/>
      <c r="S47" s="370"/>
      <c r="T47" s="376"/>
    </row>
    <row r="48" ht="12.75" customHeight="1">
      <c r="P48" s="367"/>
      <c r="Q48" s="407"/>
      <c r="R48" s="405"/>
      <c r="S48" s="370"/>
      <c r="T48" s="323" t="str">
        <f>IF(ISBLANK(R48),"-",IF(R48&gt;DAY(EOMONTH(DATE($B$2,$E$2,1),0)),EOMONTH(DATE($B$2,$E$2,1),0),DATE($B$2,$E$2,R48)))</f>
        <v>-</v>
      </c>
    </row>
    <row r="49" ht="12.75" customHeight="1">
      <c r="J49" s="108">
        <v>60.0</v>
      </c>
      <c r="P49" s="367"/>
      <c r="Q49" s="407"/>
      <c r="R49" s="408"/>
      <c r="S49" s="541"/>
      <c r="T49" s="376"/>
    </row>
    <row r="50" ht="12.75" customHeight="1">
      <c r="J50" s="108">
        <v>16.2</v>
      </c>
      <c r="P50" s="319"/>
      <c r="Q50" s="320"/>
      <c r="R50" s="321"/>
      <c r="S50" s="322"/>
      <c r="T50" s="376" t="str">
        <f t="shared" ref="T50:T56" si="3">IF(ISBLANK(R50),"-",IF(R50&gt;DAY(EOMONTH(DATE($B$2,$E$2,1),0)),EOMONTH(DATE($B$2,$E$2,1),0),DATE($B$2,$E$2,$R$47)))</f>
        <v>-</v>
      </c>
    </row>
    <row r="51" ht="12.75" customHeight="1">
      <c r="J51" s="108">
        <v>20.9</v>
      </c>
      <c r="P51" s="542"/>
      <c r="Q51" s="407"/>
      <c r="R51" s="543"/>
      <c r="S51" s="544"/>
      <c r="T51" s="376" t="str">
        <f t="shared" si="3"/>
        <v>-</v>
      </c>
    </row>
    <row r="52" ht="12.75" customHeight="1">
      <c r="J52" s="108">
        <v>22.61</v>
      </c>
      <c r="P52" s="542"/>
      <c r="Q52" s="407"/>
      <c r="R52" s="543"/>
      <c r="S52" s="544"/>
      <c r="T52" s="376" t="str">
        <f t="shared" si="3"/>
        <v>-</v>
      </c>
    </row>
    <row r="53" ht="12.75" customHeight="1">
      <c r="P53" s="542"/>
      <c r="Q53" s="407"/>
      <c r="R53" s="543"/>
      <c r="S53" s="544"/>
      <c r="T53" s="376" t="str">
        <f t="shared" si="3"/>
        <v>-</v>
      </c>
    </row>
    <row r="54" ht="12.75" customHeight="1">
      <c r="P54" s="542"/>
      <c r="Q54" s="407"/>
      <c r="R54" s="543"/>
      <c r="S54" s="544"/>
      <c r="T54" s="376" t="str">
        <f t="shared" si="3"/>
        <v>-</v>
      </c>
    </row>
    <row r="55" ht="12.75" customHeight="1">
      <c r="P55" s="542"/>
      <c r="Q55" s="407"/>
      <c r="R55" s="543"/>
      <c r="S55" s="544"/>
      <c r="T55" s="376" t="str">
        <f t="shared" si="3"/>
        <v>-</v>
      </c>
    </row>
    <row r="56" ht="12.75" customHeight="1">
      <c r="P56" s="542"/>
      <c r="Q56" s="407"/>
      <c r="R56" s="543"/>
      <c r="S56" s="544"/>
      <c r="T56" s="376" t="str">
        <f t="shared" si="3"/>
        <v>-</v>
      </c>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row>
    <row r="918" ht="12.75" customHeight="1">
      <c r="R918" s="336"/>
    </row>
    <row r="919" ht="12.75" customHeight="1">
      <c r="R919" s="336"/>
    </row>
    <row r="920" ht="12.75" customHeight="1">
      <c r="R920" s="336"/>
    </row>
  </sheetData>
  <mergeCells count="11">
    <mergeCell ref="G9:H9"/>
    <mergeCell ref="I9:J9"/>
    <mergeCell ref="K9:L9"/>
    <mergeCell ref="M9:N9"/>
    <mergeCell ref="M5:N5"/>
    <mergeCell ref="S5:T5"/>
    <mergeCell ref="M6:N6"/>
    <mergeCell ref="S6:T6"/>
    <mergeCell ref="A9:B9"/>
    <mergeCell ref="C9:D9"/>
    <mergeCell ref="E9:F9"/>
  </mergeCells>
  <conditionalFormatting sqref="A1:A2 S1:S920">
    <cfRule type="cellIs" dxfId="5" priority="1" operator="lessThan">
      <formula>0</formula>
    </cfRule>
  </conditionalFormatting>
  <dataValidations>
    <dataValidation type="list" allowBlank="1" showErrorMessage="1" sqref="Q12:Q56">
      <formula1>"✔"</formula1>
    </dataValidation>
    <dataValidation type="custom" allowBlank="1" showDropDown="1" sqref="T12:T56">
      <formula1>OR(NOT(ISERROR(DATEVALUE(T12))), AND(ISNUMBER(T12), LEFT(CELL("format", T12))="D"))</formula1>
    </dataValidation>
  </dataValidations>
  <hyperlinks>
    <hyperlink r:id="rId1" ref="T3"/>
  </hyperlinks>
  <drawing r:id="rId2"/>
  <tableParts count="2">
    <tablePart r:id="rId5"/>
    <tablePart r:id="rId6"/>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10.75"/>
    <col customWidth="1" min="4" max="4" width="8.63"/>
    <col customWidth="1" min="5" max="5" width="9.0"/>
    <col customWidth="1" min="6" max="6" width="8.63"/>
    <col customWidth="1" min="7" max="7" width="6.13"/>
    <col customWidth="1" min="8" max="8" width="8.63"/>
    <col customWidth="1" min="9" max="9" width="6.13"/>
    <col customWidth="1" min="10" max="10" width="8.63"/>
    <col customWidth="1" min="11" max="11" width="10.88"/>
    <col customWidth="1" min="12" max="12" width="8.63"/>
    <col customWidth="1" min="13" max="13" width="9.75"/>
    <col customWidth="1" min="14" max="14" width="8.63"/>
    <col customWidth="1" min="15" max="15" width="2.13"/>
    <col customWidth="1" min="16" max="16" width="27.38"/>
    <col customWidth="1" min="17" max="20" width="16.25"/>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2025.0</v>
      </c>
      <c r="C2" s="3"/>
      <c r="D2" s="9" t="s">
        <v>2</v>
      </c>
      <c r="E2" s="10">
        <v>7.0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JULY 2025</v>
      </c>
      <c r="B5" s="22"/>
      <c r="C5" s="22"/>
      <c r="D5" s="22"/>
      <c r="E5" s="22"/>
      <c r="F5" s="22"/>
      <c r="G5" s="22"/>
      <c r="H5" s="23"/>
      <c r="I5" s="23"/>
      <c r="J5" s="23"/>
      <c r="K5" s="22"/>
      <c r="L5" s="24" t="s">
        <v>7</v>
      </c>
      <c r="M5" s="25">
        <f>'June 2025 '!D46</f>
        <v>2958.82</v>
      </c>
      <c r="N5" s="26"/>
      <c r="O5" s="23"/>
      <c r="P5" s="27"/>
      <c r="Q5" s="27"/>
      <c r="R5" s="287" t="s">
        <v>8</v>
      </c>
      <c r="S5" s="288">
        <f>SUMIF(A18:N21,"&gt;0")+SUMIF(A24:N27,"&gt;0")+SUMIF(A30:N33,"&gt;0")+SUMIF(A36:N39,"&gt;0")+SUMIF(A42:D45,"&gt;0")+SUMIF(S12:S46,"&gt;0")+SUMIF(A12:N15,"&gt;0")</f>
        <v>6335.94</v>
      </c>
      <c r="U5" s="23"/>
      <c r="V5" s="289">
        <f>sum(S5+S6)</f>
        <v>-134.33</v>
      </c>
      <c r="W5" s="23"/>
      <c r="X5" s="23"/>
      <c r="Y5" s="23"/>
      <c r="Z5" s="23"/>
    </row>
    <row r="6" ht="25.5" customHeight="1">
      <c r="A6" s="31"/>
      <c r="B6" s="31"/>
      <c r="C6" s="31"/>
      <c r="D6" s="31"/>
      <c r="E6" s="31"/>
      <c r="F6" s="32"/>
      <c r="G6" s="33"/>
      <c r="H6" s="34"/>
      <c r="I6" s="34"/>
      <c r="J6" s="34"/>
      <c r="K6" s="31"/>
      <c r="L6" s="24" t="s">
        <v>9</v>
      </c>
      <c r="M6" s="35">
        <f>D46</f>
        <v>2956.7</v>
      </c>
      <c r="O6" s="34"/>
      <c r="P6" s="36"/>
      <c r="Q6" s="36"/>
      <c r="R6" s="287" t="s">
        <v>10</v>
      </c>
      <c r="S6" s="288">
        <f>SUMIF(A18:N21,"&lt;0")+SUMIF(A24:N27,"&lt;0")+SUMIF(A30:N33,"&lt;0")+SUMIF(A36:N39,"&lt;0")+SUMIF(A42:D45,"&lt;0")+SUMIF(S12:S174,"&lt;0")+SUMIF(A12:N15,"&lt;0")</f>
        <v>-6470.27</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45839</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45844</v>
      </c>
      <c r="B9" s="40"/>
      <c r="C9" s="39">
        <f>C17</f>
        <v>45845</v>
      </c>
      <c r="D9" s="40"/>
      <c r="E9" s="39">
        <f>E17</f>
        <v>45846</v>
      </c>
      <c r="F9" s="40"/>
      <c r="G9" s="39">
        <f>G17</f>
        <v>45847</v>
      </c>
      <c r="H9" s="40"/>
      <c r="I9" s="39">
        <f>I17</f>
        <v>45848</v>
      </c>
      <c r="J9" s="40"/>
      <c r="K9" s="39">
        <f>K17</f>
        <v>45849</v>
      </c>
      <c r="L9" s="40"/>
      <c r="M9" s="39">
        <f>M17</f>
        <v>45850</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SUMIF($T$11:$T$101,A11,$S$11:$S$62)</f>
        <v>0</v>
      </c>
      <c r="C11" s="50" t="str">
        <f>IF(A11="",IF(WEEKDAY($B$8,1)=MOD($H$2,7)+1,$B$8,""),A11+1)</f>
        <v/>
      </c>
      <c r="D11" s="51">
        <f>SUMIF($T$11:$T$101,C11,$S$11:$S$62)</f>
        <v>0</v>
      </c>
      <c r="E11" s="50">
        <f>IF(C11="",IF(WEEKDAY($B$8,1)=MOD($H$2+1,7)+1,$B$8,""),C11+1)</f>
        <v>45839</v>
      </c>
      <c r="F11" s="51">
        <f>SUMIF($T$11:$T$101,E11,$S$11:$S$62)</f>
        <v>-57</v>
      </c>
      <c r="G11" s="50">
        <f>IF(E11="",IF(WEEKDAY($B$8,1)=MOD($H$2+2,7)+1,$B$8,""),E11+1)</f>
        <v>45840</v>
      </c>
      <c r="H11" s="51">
        <f>SUMIF($T$11:$T$101,G11,$S$11:$S$62)</f>
        <v>900</v>
      </c>
      <c r="I11" s="50">
        <f>IF(G11="",IF(WEEKDAY($B$8,1)=MOD($H$2+3,7)+1,$B$8,""),G11+1)</f>
        <v>45841</v>
      </c>
      <c r="J11" s="51">
        <f>SUMIF($T$11:$T$101,I11,$S$11:$S$62)</f>
        <v>-1520.37</v>
      </c>
      <c r="K11" s="50">
        <f>IF(I11="",IF(WEEKDAY($B$8,1)=MOD($H$2+4,7)+1,$B$8,""),I11+1)</f>
        <v>45842</v>
      </c>
      <c r="L11" s="51">
        <f>SUMIF($T$11:$T$101,K11,$S$11:$S$62)</f>
        <v>0</v>
      </c>
      <c r="M11" s="50">
        <f>IF(K11="",IF(WEEKDAY($B$8,1)=MOD($H$2+5,7)+1,$B$8,""),K11+1)</f>
        <v>45843</v>
      </c>
      <c r="N11" s="51">
        <f>SUMIF($T$11:$T$101,M11,$S$11:$S$62)</f>
        <v>0</v>
      </c>
      <c r="O11" s="23"/>
      <c r="P11" s="52" t="s">
        <v>13</v>
      </c>
      <c r="Q11" s="53" t="s">
        <v>14</v>
      </c>
      <c r="R11" s="53" t="s">
        <v>15</v>
      </c>
      <c r="S11" s="96" t="s">
        <v>16</v>
      </c>
      <c r="T11" s="53" t="s">
        <v>17</v>
      </c>
      <c r="U11" s="23"/>
      <c r="V11" s="23"/>
      <c r="W11" s="23"/>
      <c r="X11" s="23"/>
      <c r="Y11" s="23"/>
      <c r="Z11" s="23"/>
    </row>
    <row r="12" ht="18.75" customHeight="1">
      <c r="A12" s="55"/>
      <c r="B12" s="56"/>
      <c r="C12" s="55"/>
      <c r="D12" s="56"/>
      <c r="E12" s="58"/>
      <c r="F12" s="57">
        <v>-0.84</v>
      </c>
      <c r="G12" s="55"/>
      <c r="H12" s="57">
        <v>-3.24</v>
      </c>
      <c r="I12" s="58"/>
      <c r="J12" s="57"/>
      <c r="K12" s="55"/>
      <c r="L12" s="56"/>
      <c r="M12" s="55"/>
      <c r="N12" s="57">
        <v>-7.5</v>
      </c>
      <c r="O12" s="23"/>
      <c r="P12" s="398" t="s">
        <v>20</v>
      </c>
      <c r="Q12" s="399"/>
      <c r="R12" s="400">
        <v>3.0</v>
      </c>
      <c r="S12" s="393">
        <f t="array" ref="S12">-INDEX(PaymentSchedule!$E$21:$AG908,MATCH(PaymentSchedule!$B$27,PaymentSchedule!$B$21:$B$100),MATCH($P12,PaymentSchedule!$E$19:$AG$19,0))</f>
        <v>-1487.37</v>
      </c>
      <c r="T12" s="394">
        <f t="shared" ref="T12:T30" si="1">IF(ISBLANK(R12),"-",IF(R12&gt;DAY(EOMONTH(DATE($B$2,$E$2,1),0)),EOMONTH(DATE($B$2,$E$2,1),0),DATE($B$2,$E$2,R12)))</f>
        <v>45841</v>
      </c>
      <c r="U12" s="64"/>
      <c r="V12" s="23"/>
      <c r="W12" s="64"/>
      <c r="X12" s="303"/>
      <c r="Y12" s="23"/>
      <c r="Z12" s="23"/>
    </row>
    <row r="13" ht="18.75" customHeight="1">
      <c r="A13" s="55"/>
      <c r="B13" s="56"/>
      <c r="C13" s="55"/>
      <c r="D13" s="56"/>
      <c r="E13" s="55"/>
      <c r="F13" s="57">
        <v>-1.08</v>
      </c>
      <c r="G13" s="55"/>
      <c r="H13" s="57"/>
      <c r="I13" s="55"/>
      <c r="J13" s="57"/>
      <c r="K13" s="55"/>
      <c r="L13" s="56"/>
      <c r="M13" s="55"/>
      <c r="N13" s="56"/>
      <c r="O13" s="23"/>
      <c r="P13" s="398" t="s">
        <v>25</v>
      </c>
      <c r="Q13" s="399"/>
      <c r="R13" s="400">
        <v>8.0</v>
      </c>
      <c r="S13" s="393">
        <f t="array" ref="S13">-INDEX(PaymentSchedule!$E$21:$AG908,MATCH(PaymentSchedule!$B$27,PaymentSchedule!$B$21:$B$100),MATCH($P13,PaymentSchedule!$E$19:$AG$19,0))</f>
        <v>-35</v>
      </c>
      <c r="T13" s="394">
        <f t="shared" si="1"/>
        <v>45846</v>
      </c>
      <c r="U13" s="64"/>
      <c r="V13" s="23"/>
      <c r="W13" s="64"/>
      <c r="X13" s="303"/>
      <c r="Y13" s="23"/>
      <c r="Z13" s="23"/>
    </row>
    <row r="14" ht="18.75" customHeight="1">
      <c r="A14" s="55"/>
      <c r="B14" s="56"/>
      <c r="C14" s="55"/>
      <c r="D14" s="56"/>
      <c r="E14" s="55"/>
      <c r="F14" s="56"/>
      <c r="G14" s="55"/>
      <c r="H14" s="56"/>
      <c r="I14" s="58"/>
      <c r="J14" s="57"/>
      <c r="K14" s="55"/>
      <c r="L14" s="56"/>
      <c r="M14" s="55"/>
      <c r="N14" s="56"/>
      <c r="O14" s="23"/>
      <c r="P14" s="398" t="s">
        <v>86</v>
      </c>
      <c r="Q14" s="399"/>
      <c r="R14" s="400">
        <v>8.0</v>
      </c>
      <c r="S14" s="393">
        <f t="array" ref="S14">-INDEX(PaymentSchedule!$E$21:$AG908,MATCH(PaymentSchedule!$B$27,PaymentSchedule!$B$21:$B$100),MATCH($P14,PaymentSchedule!$E$19:$AG$19,0))</f>
        <v>-791.16</v>
      </c>
      <c r="T14" s="394">
        <f t="shared" si="1"/>
        <v>45846</v>
      </c>
      <c r="U14" s="64"/>
      <c r="V14" s="23"/>
      <c r="W14" s="64"/>
      <c r="X14" s="303"/>
      <c r="Y14" s="23"/>
      <c r="Z14" s="23"/>
    </row>
    <row r="15" ht="18.75" customHeight="1">
      <c r="A15" s="55"/>
      <c r="B15" s="56"/>
      <c r="C15" s="55"/>
      <c r="D15" s="56"/>
      <c r="E15" s="55"/>
      <c r="F15" s="56"/>
      <c r="G15" s="55"/>
      <c r="H15" s="56"/>
      <c r="I15" s="55"/>
      <c r="J15" s="56"/>
      <c r="K15" s="55"/>
      <c r="L15" s="56"/>
      <c r="M15" s="55"/>
      <c r="N15" s="56"/>
      <c r="O15" s="23"/>
      <c r="P15" s="398" t="s">
        <v>85</v>
      </c>
      <c r="Q15" s="399"/>
      <c r="R15" s="400">
        <v>9.0</v>
      </c>
      <c r="S15" s="393">
        <f t="array" ref="S15">-INDEX(PaymentSchedule!$E$21:$AG908,MATCH(PaymentSchedule!$B$27,PaymentSchedule!$B$21:$B$100),MATCH($P15,PaymentSchedule!$E$19:$AG$19,0))</f>
        <v>-129</v>
      </c>
      <c r="T15" s="394">
        <f t="shared" si="1"/>
        <v>45847</v>
      </c>
      <c r="U15" s="64"/>
      <c r="V15" s="23"/>
      <c r="W15" s="64"/>
      <c r="X15" s="303"/>
      <c r="Y15" s="23"/>
      <c r="Z15" s="23"/>
    </row>
    <row r="16" ht="18.75" customHeight="1">
      <c r="A16" s="66" t="s">
        <v>22</v>
      </c>
      <c r="B16" s="67">
        <f>$M$5+SUM(B11:B15)</f>
        <v>2958.82</v>
      </c>
      <c r="C16" s="66"/>
      <c r="D16" s="67">
        <f>B16+SUM(D11:D15)</f>
        <v>2958.82</v>
      </c>
      <c r="E16" s="66"/>
      <c r="F16" s="67">
        <f>D16+SUM(F11:F15)</f>
        <v>2899.9</v>
      </c>
      <c r="G16" s="66"/>
      <c r="H16" s="67">
        <f>F16+SUM(H11:H15)</f>
        <v>3796.66</v>
      </c>
      <c r="I16" s="66"/>
      <c r="J16" s="67">
        <f>H16+SUM(J11:J15)</f>
        <v>2276.29</v>
      </c>
      <c r="K16" s="66"/>
      <c r="L16" s="67">
        <f>J16+SUM(L11:L15)</f>
        <v>2276.29</v>
      </c>
      <c r="M16" s="66"/>
      <c r="N16" s="67">
        <f>L16+SUM(N11:N15)</f>
        <v>2268.79</v>
      </c>
      <c r="O16" s="68"/>
      <c r="P16" s="398" t="s">
        <v>36</v>
      </c>
      <c r="Q16" s="399"/>
      <c r="R16" s="400">
        <v>9.0</v>
      </c>
      <c r="S16" s="393">
        <f t="array" ref="S16">-INDEX(PaymentSchedule!$E$21:$AG908,MATCH(PaymentSchedule!$B$27,PaymentSchedule!$B$21:$B$100),MATCH($P16,PaymentSchedule!$E$19:$AG$19,0))</f>
        <v>-450.08</v>
      </c>
      <c r="T16" s="394">
        <f t="shared" si="1"/>
        <v>45847</v>
      </c>
      <c r="U16" s="71"/>
      <c r="V16" s="71"/>
      <c r="W16" s="71"/>
      <c r="X16" s="309"/>
      <c r="Y16" s="69"/>
      <c r="Z16" s="69"/>
    </row>
    <row r="17" ht="18.75" customHeight="1">
      <c r="A17" s="50">
        <f>IF(M11="","",IF(MONTH(M11+1)&lt;&gt;MONTH(M11),"",M11+1))</f>
        <v>45844</v>
      </c>
      <c r="B17" s="51">
        <f>SUMIF($T$11:$T$101,A17,$S$11:$S$62)</f>
        <v>0</v>
      </c>
      <c r="C17" s="50">
        <f>IF(A17="","",IF(MONTH(A17+1)&lt;&gt;MONTH(A17),"",A17+1))</f>
        <v>45845</v>
      </c>
      <c r="D17" s="51">
        <f>SUMIF($T$11:$T$101,C17,$S$11:$S$62)</f>
        <v>0</v>
      </c>
      <c r="E17" s="50">
        <f>IF(C17="","",IF(MONTH(C17+1)&lt;&gt;MONTH(C17),"",C17+1))</f>
        <v>45846</v>
      </c>
      <c r="F17" s="51">
        <f>SUMIF($T$11:$T$101,E17,$S$11:$S$62)</f>
        <v>-853.15</v>
      </c>
      <c r="G17" s="50">
        <f>IF(E17="","",IF(MONTH(E17+1)&lt;&gt;MONTH(E17),"",E17+1))</f>
        <v>45847</v>
      </c>
      <c r="H17" s="51">
        <f>SUMIF($T$11:$T$101,G17,$S$11:$S$62)</f>
        <v>-656.08</v>
      </c>
      <c r="I17" s="50">
        <f>IF(G17="","",IF(MONTH(G17+1)&lt;&gt;MONTH(G17),"",G17+1))</f>
        <v>45848</v>
      </c>
      <c r="J17" s="51">
        <f>SUMIF($T$11:$T$101,I17,$S$11:$S$62)</f>
        <v>2123.83</v>
      </c>
      <c r="K17" s="50">
        <f>IF(I17="","",IF(MONTH(I17+1)&lt;&gt;MONTH(I17),"",I17+1))</f>
        <v>45849</v>
      </c>
      <c r="L17" s="51">
        <f>SUMIF($T$11:$T$101,K17,$S$11:$S$62)</f>
        <v>0</v>
      </c>
      <c r="M17" s="50">
        <f>IF(K17="","",IF(MONTH(K17+1)&lt;&gt;MONTH(K17),"",K17+1))</f>
        <v>45850</v>
      </c>
      <c r="N17" s="51">
        <f>SUMIF($T$11:$T$101,M17,$S$11:$S$62)</f>
        <v>0</v>
      </c>
      <c r="O17" s="23"/>
      <c r="P17" s="398" t="s">
        <v>37</v>
      </c>
      <c r="Q17" s="399"/>
      <c r="R17" s="400">
        <v>9.0</v>
      </c>
      <c r="S17" s="393">
        <f t="array" ref="S17">-INDEX(PaymentSchedule!$E$21:$AG908,MATCH(PaymentSchedule!$B$27,PaymentSchedule!$B$21:$B$100),MATCH($P17,PaymentSchedule!$E$19:$AG$19,0))</f>
        <v>-77</v>
      </c>
      <c r="T17" s="394">
        <f t="shared" si="1"/>
        <v>45847</v>
      </c>
      <c r="U17" s="64"/>
      <c r="V17" s="23"/>
      <c r="W17" s="64"/>
      <c r="X17" s="303"/>
      <c r="Y17" s="23"/>
      <c r="Z17" s="23"/>
    </row>
    <row r="18" ht="18.75" customHeight="1">
      <c r="A18" s="55"/>
      <c r="B18" s="57"/>
      <c r="C18" s="55"/>
      <c r="D18" s="57"/>
      <c r="E18" s="58"/>
      <c r="F18" s="57"/>
      <c r="G18" s="58" t="s">
        <v>188</v>
      </c>
      <c r="H18" s="545">
        <v>800.0</v>
      </c>
      <c r="I18" s="58" t="s">
        <v>24</v>
      </c>
      <c r="J18" s="57">
        <v>-60.0</v>
      </c>
      <c r="K18" s="58"/>
      <c r="L18" s="57"/>
      <c r="M18" s="58"/>
      <c r="N18" s="57"/>
      <c r="O18" s="23"/>
      <c r="P18" s="546" t="s">
        <v>89</v>
      </c>
      <c r="Q18" s="547"/>
      <c r="R18" s="548"/>
      <c r="S18" s="549">
        <v>-100.0</v>
      </c>
      <c r="T18" s="550" t="str">
        <f t="shared" si="1"/>
        <v>-</v>
      </c>
      <c r="U18" s="64"/>
      <c r="V18" s="23"/>
      <c r="Y18" s="23"/>
      <c r="Z18" s="23"/>
    </row>
    <row r="19" ht="18.75" customHeight="1">
      <c r="A19" s="55"/>
      <c r="B19" s="56"/>
      <c r="C19" s="55"/>
      <c r="D19" s="56"/>
      <c r="E19" s="55"/>
      <c r="F19" s="56"/>
      <c r="G19" s="58"/>
      <c r="H19" s="545"/>
      <c r="I19" s="58" t="s">
        <v>188</v>
      </c>
      <c r="J19" s="57">
        <v>-800.0</v>
      </c>
      <c r="K19" s="410"/>
      <c r="L19" s="57"/>
      <c r="M19" s="410" t="s">
        <v>139</v>
      </c>
      <c r="N19" s="57">
        <v>-99.0</v>
      </c>
      <c r="O19" s="23"/>
      <c r="P19" s="551" t="s">
        <v>87</v>
      </c>
      <c r="Q19" s="552"/>
      <c r="R19" s="553"/>
      <c r="S19" s="549">
        <f t="array" ref="S19">-INDEX(PaymentSchedule!$E$21:$AG908,MATCH(PaymentSchedule!$B$27,PaymentSchedule!$B$21:$B$100),MATCH($P19,PaymentSchedule!$E$19:$AG$19,0))</f>
        <v>0</v>
      </c>
      <c r="T19" s="550" t="str">
        <f t="shared" si="1"/>
        <v>-</v>
      </c>
      <c r="U19" s="64"/>
      <c r="V19" s="64"/>
      <c r="W19" s="64"/>
      <c r="X19" s="303"/>
      <c r="Y19" s="23"/>
      <c r="Z19" s="23"/>
    </row>
    <row r="20" ht="18.75" customHeight="1">
      <c r="A20" s="55"/>
      <c r="B20" s="56"/>
      <c r="C20" s="55"/>
      <c r="D20" s="56"/>
      <c r="E20" s="55"/>
      <c r="F20" s="56"/>
      <c r="G20" s="58"/>
      <c r="H20" s="545"/>
      <c r="I20" s="55"/>
      <c r="J20" s="56"/>
      <c r="K20" s="58"/>
      <c r="L20" s="57"/>
      <c r="M20" s="55"/>
      <c r="N20" s="56"/>
      <c r="O20" s="23"/>
      <c r="P20" s="385" t="s">
        <v>24</v>
      </c>
      <c r="Q20" s="386"/>
      <c r="R20" s="387">
        <v>1.0</v>
      </c>
      <c r="S20" s="388">
        <v>-57.0</v>
      </c>
      <c r="T20" s="384">
        <f t="shared" si="1"/>
        <v>45839</v>
      </c>
      <c r="U20" s="64"/>
      <c r="V20" s="23"/>
      <c r="W20" s="64"/>
      <c r="X20" s="303"/>
      <c r="Y20" s="23"/>
      <c r="Z20" s="23"/>
    </row>
    <row r="21" ht="18.75" customHeight="1">
      <c r="A21" s="55"/>
      <c r="B21" s="56"/>
      <c r="C21" s="55"/>
      <c r="D21" s="56"/>
      <c r="E21" s="55"/>
      <c r="F21" s="56"/>
      <c r="G21" s="58"/>
      <c r="H21" s="545"/>
      <c r="I21" s="55"/>
      <c r="J21" s="56"/>
      <c r="M21" s="55"/>
      <c r="N21" s="56"/>
      <c r="O21" s="23"/>
      <c r="P21" s="385" t="s">
        <v>47</v>
      </c>
      <c r="Q21" s="386"/>
      <c r="R21" s="387">
        <v>2.0</v>
      </c>
      <c r="S21" s="490">
        <v>950.0</v>
      </c>
      <c r="T21" s="384">
        <f t="shared" si="1"/>
        <v>45840</v>
      </c>
      <c r="U21" s="64"/>
      <c r="V21" s="303"/>
      <c r="W21" s="64"/>
      <c r="X21" s="303"/>
      <c r="Y21" s="23"/>
      <c r="Z21" s="23"/>
    </row>
    <row r="22" ht="18.75" customHeight="1">
      <c r="A22" s="66" t="s">
        <v>22</v>
      </c>
      <c r="B22" s="67">
        <f>N16+SUM(B17:B21)</f>
        <v>2268.79</v>
      </c>
      <c r="C22" s="66"/>
      <c r="D22" s="67">
        <f>B22+SUM(D17:D21)</f>
        <v>2268.79</v>
      </c>
      <c r="E22" s="66"/>
      <c r="F22" s="67">
        <f>D22+SUM(F17:F21)</f>
        <v>1415.64</v>
      </c>
      <c r="G22" s="66"/>
      <c r="H22" s="67">
        <f>F22+SUM(H17:H21)</f>
        <v>1559.56</v>
      </c>
      <c r="I22" s="66"/>
      <c r="J22" s="67">
        <f>H22+SUM(J17:J21)</f>
        <v>2823.39</v>
      </c>
      <c r="K22" s="66"/>
      <c r="L22" s="67">
        <f>J22+SUM(L17:L21)</f>
        <v>2823.39</v>
      </c>
      <c r="M22" s="66"/>
      <c r="N22" s="67">
        <f>L22+SUM(N17:N21)</f>
        <v>2724.39</v>
      </c>
      <c r="O22" s="68"/>
      <c r="P22" s="414" t="s">
        <v>186</v>
      </c>
      <c r="Q22" s="415"/>
      <c r="R22" s="416">
        <v>2.0</v>
      </c>
      <c r="S22" s="383">
        <v>-50.0</v>
      </c>
      <c r="T22" s="384">
        <f t="shared" si="1"/>
        <v>45840</v>
      </c>
      <c r="W22" s="71"/>
      <c r="X22" s="309"/>
      <c r="Y22" s="69"/>
      <c r="Z22" s="69"/>
    </row>
    <row r="23" ht="18.75" customHeight="1">
      <c r="A23" s="50">
        <f>IF(M17="","",IF(MONTH(M17+1)&lt;&gt;MONTH(M17),"",M17+1))</f>
        <v>45851</v>
      </c>
      <c r="B23" s="51">
        <f>SUMIF($T$11:$T$101,A23,$S$11:$S$62)</f>
        <v>0</v>
      </c>
      <c r="C23" s="50">
        <f>IF(A23="","",IF(MONTH(A23+1)&lt;&gt;MONTH(A23),"",A23+1))</f>
        <v>45852</v>
      </c>
      <c r="D23" s="51">
        <f>SUMIF($T$11:$T$101,C23,$S$11:$S$62)</f>
        <v>-102</v>
      </c>
      <c r="E23" s="50">
        <f>IF(C23="","",IF(MONTH(C23+1)&lt;&gt;MONTH(C23),"",C23+1))</f>
        <v>45853</v>
      </c>
      <c r="F23" s="51">
        <f>SUMIF($T$11:$T$101,E23,$S$11:$S$62)</f>
        <v>-30</v>
      </c>
      <c r="G23" s="50">
        <f>IF(E23="","",IF(MONTH(E23+1)&lt;&gt;MONTH(E23),"",E23+1))</f>
        <v>45854</v>
      </c>
      <c r="H23" s="51">
        <f>SUMIF($T$11:$T$101,G23,$S$11:$S$62)</f>
        <v>0</v>
      </c>
      <c r="I23" s="50">
        <f>IF(G23="","",IF(MONTH(G23+1)&lt;&gt;MONTH(G23),"",G23+1))</f>
        <v>45855</v>
      </c>
      <c r="J23" s="51">
        <f>SUMIF($T$11:$T$101,I23,$S$11:$S$62)</f>
        <v>-9.99</v>
      </c>
      <c r="K23" s="50">
        <f>IF(I23="","",IF(MONTH(I23+1)&lt;&gt;MONTH(I23),"",I23+1))</f>
        <v>45856</v>
      </c>
      <c r="L23" s="51">
        <f>SUMIF($T$11:$T$101,K23,$S$11:$S$62)</f>
        <v>-400</v>
      </c>
      <c r="M23" s="50">
        <f>IF(K23="","",IF(MONTH(K23+1)&lt;&gt;MONTH(K23),"",K23+1))</f>
        <v>45857</v>
      </c>
      <c r="N23" s="51">
        <f>SUMIF($T$11:$T$101,M23,$S$11:$S$62)</f>
        <v>-296.86</v>
      </c>
      <c r="O23" s="23"/>
      <c r="P23" s="385" t="s">
        <v>27</v>
      </c>
      <c r="Q23" s="386"/>
      <c r="R23" s="387">
        <v>3.0</v>
      </c>
      <c r="S23" s="388">
        <v>-33.0</v>
      </c>
      <c r="T23" s="384">
        <f t="shared" si="1"/>
        <v>45841</v>
      </c>
      <c r="U23" s="64"/>
      <c r="V23" s="23"/>
      <c r="W23" s="64"/>
      <c r="X23" s="303"/>
      <c r="Y23" s="23"/>
      <c r="Z23" s="23"/>
    </row>
    <row r="24" ht="18.75" customHeight="1">
      <c r="A24" s="58" t="s">
        <v>198</v>
      </c>
      <c r="B24" s="57">
        <v>-79.61</v>
      </c>
      <c r="C24" s="108" t="s">
        <v>199</v>
      </c>
      <c r="D24" s="57">
        <v>-125.0</v>
      </c>
      <c r="F24" s="57"/>
      <c r="G24" s="413"/>
      <c r="H24" s="535"/>
      <c r="I24" s="58"/>
      <c r="J24" s="57"/>
      <c r="K24" s="58"/>
      <c r="L24" s="57"/>
      <c r="M24" s="58"/>
      <c r="N24" s="57"/>
      <c r="O24" s="23"/>
      <c r="P24" s="385" t="s">
        <v>51</v>
      </c>
      <c r="Q24" s="386"/>
      <c r="R24" s="387">
        <v>8.0</v>
      </c>
      <c r="S24" s="388">
        <v>-26.99</v>
      </c>
      <c r="T24" s="384">
        <f t="shared" si="1"/>
        <v>45846</v>
      </c>
      <c r="U24" s="64"/>
      <c r="V24" s="23"/>
      <c r="W24" s="64"/>
      <c r="X24" s="303"/>
      <c r="Y24" s="23"/>
      <c r="Z24" s="23"/>
    </row>
    <row r="25" ht="18.75" customHeight="1">
      <c r="A25" s="55"/>
      <c r="B25" s="56"/>
      <c r="C25" s="410" t="s">
        <v>200</v>
      </c>
      <c r="D25" s="57">
        <v>-81.29</v>
      </c>
      <c r="E25" s="410"/>
      <c r="F25" s="57"/>
      <c r="G25" s="55"/>
      <c r="H25" s="56"/>
      <c r="I25" s="55"/>
      <c r="J25" s="56"/>
      <c r="K25" s="534"/>
      <c r="L25" s="57"/>
      <c r="M25" s="55"/>
      <c r="N25" s="57"/>
      <c r="O25" s="23"/>
      <c r="P25" s="385" t="s">
        <v>38</v>
      </c>
      <c r="Q25" s="386"/>
      <c r="R25" s="387">
        <v>10.0</v>
      </c>
      <c r="S25" s="388">
        <v>-95.0</v>
      </c>
      <c r="T25" s="384">
        <f t="shared" si="1"/>
        <v>45848</v>
      </c>
      <c r="U25" s="64"/>
      <c r="V25" s="23"/>
      <c r="W25" s="64"/>
      <c r="X25" s="303"/>
      <c r="Y25" s="23"/>
      <c r="Z25" s="23"/>
    </row>
    <row r="26" ht="18.75" customHeight="1">
      <c r="A26" s="55"/>
      <c r="B26" s="56"/>
      <c r="C26" s="55"/>
      <c r="D26" s="57"/>
      <c r="E26" s="55"/>
      <c r="F26" s="56"/>
      <c r="G26" s="55"/>
      <c r="H26" s="56"/>
      <c r="I26" s="55"/>
      <c r="J26" s="56"/>
      <c r="K26" s="55"/>
      <c r="L26" s="56"/>
      <c r="M26" s="55"/>
      <c r="N26" s="56"/>
      <c r="O26" s="23"/>
      <c r="P26" s="385" t="s">
        <v>34</v>
      </c>
      <c r="Q26" s="386"/>
      <c r="R26" s="387">
        <v>10.0</v>
      </c>
      <c r="S26" s="388">
        <v>-5.99</v>
      </c>
      <c r="T26" s="384">
        <f t="shared" si="1"/>
        <v>45848</v>
      </c>
      <c r="U26" s="64"/>
      <c r="V26" s="23"/>
      <c r="W26" s="64"/>
      <c r="X26" s="303"/>
      <c r="Y26" s="23"/>
      <c r="Z26" s="23"/>
    </row>
    <row r="27" ht="18.75" customHeight="1">
      <c r="A27" s="55"/>
      <c r="B27" s="56"/>
      <c r="C27" s="55"/>
      <c r="D27" s="57"/>
      <c r="E27" s="55"/>
      <c r="F27" s="56"/>
      <c r="G27" s="55"/>
      <c r="H27" s="56"/>
      <c r="I27" s="55"/>
      <c r="J27" s="56"/>
      <c r="K27" s="55"/>
      <c r="L27" s="56"/>
      <c r="M27" s="55"/>
      <c r="N27" s="56"/>
      <c r="O27" s="23"/>
      <c r="P27" s="385" t="s">
        <v>29</v>
      </c>
      <c r="Q27" s="386"/>
      <c r="R27" s="387">
        <v>28.0</v>
      </c>
      <c r="S27" s="388">
        <v>-21.59</v>
      </c>
      <c r="T27" s="384">
        <f t="shared" si="1"/>
        <v>45866</v>
      </c>
      <c r="U27" s="64"/>
      <c r="V27" s="23"/>
      <c r="W27" s="64"/>
      <c r="X27" s="303"/>
      <c r="Y27" s="23"/>
      <c r="Z27" s="23"/>
    </row>
    <row r="28" ht="18.75" customHeight="1">
      <c r="A28" s="66" t="s">
        <v>22</v>
      </c>
      <c r="B28" s="67">
        <f>N22+SUM(B23:B27)</f>
        <v>2644.78</v>
      </c>
      <c r="C28" s="66"/>
      <c r="D28" s="67">
        <f>B28+SUM(D23:D27)</f>
        <v>2336.49</v>
      </c>
      <c r="E28" s="66"/>
      <c r="F28" s="67">
        <f>D28+SUM(F23:F27)</f>
        <v>2306.49</v>
      </c>
      <c r="G28" s="66"/>
      <c r="H28" s="67">
        <f>F28+SUM(H23:H27)</f>
        <v>2306.49</v>
      </c>
      <c r="I28" s="66"/>
      <c r="J28" s="67">
        <f>H28+SUM(J23:J27)</f>
        <v>2296.5</v>
      </c>
      <c r="K28" s="66"/>
      <c r="L28" s="67">
        <f>J28+SUM(L23:L27)</f>
        <v>1896.5</v>
      </c>
      <c r="M28" s="66"/>
      <c r="N28" s="67">
        <f>L28+SUM(N23:N27)</f>
        <v>1599.64</v>
      </c>
      <c r="O28" s="68"/>
      <c r="P28" s="385" t="s">
        <v>19</v>
      </c>
      <c r="Q28" s="386"/>
      <c r="R28" s="387">
        <v>10.0</v>
      </c>
      <c r="S28" s="490">
        <v>2224.82</v>
      </c>
      <c r="T28" s="384">
        <f t="shared" si="1"/>
        <v>45848</v>
      </c>
      <c r="U28" s="71"/>
      <c r="V28" s="69"/>
      <c r="W28" s="71"/>
      <c r="X28" s="309"/>
      <c r="Y28" s="69"/>
      <c r="Z28" s="69"/>
    </row>
    <row r="29" ht="18.75" customHeight="1">
      <c r="A29" s="50">
        <f>IF(M23="","",IF(MONTH(M23+1)&lt;&gt;MONTH(M23),"",M23+1))</f>
        <v>45858</v>
      </c>
      <c r="B29" s="51">
        <f>SUMIF($T$11:$T$101,A29,$S$11:$S$62)</f>
        <v>0</v>
      </c>
      <c r="C29" s="50">
        <f>IF(A29="","",IF(MONTH(A29+1)&lt;&gt;MONTH(A29),"",A29+1))</f>
        <v>45859</v>
      </c>
      <c r="D29" s="51">
        <f>SUMIF($T$11:$T$101,C29,$S$11:$S$62)</f>
        <v>0</v>
      </c>
      <c r="E29" s="50">
        <f>IF(C29="","",IF(MONTH(C29+1)&lt;&gt;MONTH(C29),"",C29+1))</f>
        <v>45860</v>
      </c>
      <c r="F29" s="51">
        <f>SUMIF($T$11:$T$101,E29,$S$11:$S$62)</f>
        <v>0</v>
      </c>
      <c r="G29" s="50">
        <f>IF(E29="","",IF(MONTH(E29+1)&lt;&gt;MONTH(E29),"",E29+1))</f>
        <v>45861</v>
      </c>
      <c r="H29" s="51">
        <f>SUMIF($T$11:$T$101,G29,$S$11:$S$62)</f>
        <v>0</v>
      </c>
      <c r="I29" s="50">
        <f>IF(G29="","",IF(MONTH(G29+1)&lt;&gt;MONTH(G29),"",G29+1))</f>
        <v>45862</v>
      </c>
      <c r="J29" s="51">
        <f>SUMIF($T$11:$T$101,I29,$S$11:$S$62)</f>
        <v>2301.12</v>
      </c>
      <c r="K29" s="50">
        <f>IF(I29="","",IF(MONTH(I29+1)&lt;&gt;MONTH(I29),"",I29+1))</f>
        <v>45863</v>
      </c>
      <c r="L29" s="51">
        <f>SUMIF($T$11:$T$101,K29,$S$11:$S$62)</f>
        <v>-29.34</v>
      </c>
      <c r="M29" s="50">
        <f>IF(K29="","",IF(MONTH(K29+1)&lt;&gt;MONTH(K29),"",K29+1))</f>
        <v>45864</v>
      </c>
      <c r="N29" s="51">
        <f>SUMIF($T$11:$T$101,M29,$S$11:$S$62)</f>
        <v>0</v>
      </c>
      <c r="O29" s="23"/>
      <c r="P29" s="385" t="s">
        <v>26</v>
      </c>
      <c r="Q29" s="386"/>
      <c r="R29" s="387">
        <v>11.0</v>
      </c>
      <c r="S29" s="388"/>
      <c r="T29" s="384">
        <f t="shared" si="1"/>
        <v>45849</v>
      </c>
      <c r="U29" s="64"/>
      <c r="V29" s="23"/>
      <c r="W29" s="64"/>
      <c r="X29" s="303"/>
      <c r="Y29" s="23"/>
      <c r="Z29" s="23"/>
    </row>
    <row r="30" ht="18.75" customHeight="1">
      <c r="A30" s="58" t="s">
        <v>201</v>
      </c>
      <c r="B30" s="57">
        <v>-206.0</v>
      </c>
      <c r="C30" s="55"/>
      <c r="D30" s="57"/>
      <c r="E30" s="55"/>
      <c r="F30" s="56"/>
      <c r="G30" s="485" t="s">
        <v>202</v>
      </c>
      <c r="H30" s="486"/>
      <c r="I30" s="58" t="s">
        <v>203</v>
      </c>
      <c r="J30" s="57">
        <v>-22.61</v>
      </c>
      <c r="K30" s="58" t="s">
        <v>87</v>
      </c>
      <c r="L30" s="57">
        <v>-10.89</v>
      </c>
      <c r="M30" s="58" t="s">
        <v>160</v>
      </c>
      <c r="N30" s="57"/>
      <c r="O30" s="23"/>
      <c r="P30" s="385" t="s">
        <v>40</v>
      </c>
      <c r="Q30" s="386"/>
      <c r="R30" s="387">
        <v>14.0</v>
      </c>
      <c r="S30" s="388">
        <v>-102.0</v>
      </c>
      <c r="T30" s="384">
        <f t="shared" si="1"/>
        <v>45852</v>
      </c>
      <c r="U30" s="64"/>
      <c r="V30" s="23"/>
      <c r="W30" s="64"/>
      <c r="X30" s="303"/>
      <c r="Y30" s="23"/>
      <c r="Z30" s="23"/>
    </row>
    <row r="31" ht="18.75" customHeight="1">
      <c r="A31" s="55"/>
      <c r="B31" s="56"/>
      <c r="C31" s="58" t="s">
        <v>204</v>
      </c>
      <c r="D31" s="57">
        <v>-48.0</v>
      </c>
      <c r="E31" s="55"/>
      <c r="F31" s="56"/>
      <c r="G31" s="55"/>
      <c r="H31" s="56"/>
      <c r="I31" s="55"/>
      <c r="J31" s="56"/>
      <c r="K31" s="410"/>
      <c r="L31" s="57"/>
      <c r="M31" s="58" t="s">
        <v>161</v>
      </c>
      <c r="N31" s="57"/>
      <c r="O31" s="23"/>
      <c r="P31" s="414" t="s">
        <v>205</v>
      </c>
      <c r="Q31" s="511"/>
      <c r="R31" s="416">
        <v>15.0</v>
      </c>
      <c r="S31" s="383">
        <v>-30.0</v>
      </c>
      <c r="T31" s="384">
        <f>IF(ISBLANK(R31),"-",IF(R31&gt;DAY(EOMONTH(DATE($B$2,$E$2,1),0)),EOMONTH(DATE($B$2,$E$2,1),0),DATE($B$2,$E$2,R31)))</f>
        <v>45853</v>
      </c>
      <c r="U31" s="64"/>
      <c r="V31" s="23"/>
      <c r="W31" s="64"/>
      <c r="X31" s="303"/>
      <c r="Y31" s="23"/>
      <c r="Z31" s="23"/>
    </row>
    <row r="32" ht="18.75" customHeight="1">
      <c r="A32" s="55"/>
      <c r="B32" s="56"/>
      <c r="C32" s="58" t="s">
        <v>206</v>
      </c>
      <c r="D32" s="57">
        <v>-1.08</v>
      </c>
      <c r="E32" s="55"/>
      <c r="F32" s="56"/>
      <c r="G32" s="55"/>
      <c r="H32" s="56"/>
      <c r="I32" s="55"/>
      <c r="J32" s="56"/>
      <c r="K32" s="410"/>
      <c r="L32" s="57"/>
      <c r="M32" s="55"/>
      <c r="N32" s="56"/>
      <c r="O32" s="23"/>
      <c r="P32" s="385" t="s">
        <v>43</v>
      </c>
      <c r="Q32" s="386"/>
      <c r="R32" s="387">
        <v>17.0</v>
      </c>
      <c r="S32" s="388">
        <v>-9.99</v>
      </c>
      <c r="T32" s="384">
        <f>IF(ISBLANK(R32),"-",IF(R32&gt;DAY(EOMONTH(DATE($B$2,$E$2,1),0)),EOMONTH(DATE($B$2,$E$2,1),0),DATE($B$2,$E$2,R32)))</f>
        <v>45855</v>
      </c>
      <c r="U32" s="64"/>
      <c r="V32" s="23"/>
      <c r="W32" s="64"/>
      <c r="X32" s="303"/>
      <c r="Y32" s="23"/>
      <c r="Z32" s="23"/>
    </row>
    <row r="33" ht="18.75" customHeight="1">
      <c r="A33" s="55"/>
      <c r="B33" s="56"/>
      <c r="C33" s="55"/>
      <c r="D33" s="56"/>
      <c r="E33" s="55"/>
      <c r="F33" s="56"/>
      <c r="G33" s="55"/>
      <c r="H33" s="56"/>
      <c r="I33" s="55"/>
      <c r="J33" s="56"/>
      <c r="K33" s="58"/>
      <c r="L33" s="57"/>
      <c r="M33" s="55"/>
      <c r="N33" s="56"/>
      <c r="O33" s="23"/>
      <c r="P33" s="519" t="s">
        <v>188</v>
      </c>
      <c r="Q33" s="511"/>
      <c r="R33" s="416">
        <v>18.0</v>
      </c>
      <c r="S33" s="383">
        <v>-400.0</v>
      </c>
      <c r="T33" s="536">
        <f>IF(ISBLANK(R33),"-",IF(R33&gt;DAY(EOMONTH(DATE($B$2,$E$2,1),0)),EOMONTH(DATE($B$2,$E$2,1),0),DATE($B$2,$E$2,R33)))</f>
        <v>45856</v>
      </c>
      <c r="U33" s="64"/>
      <c r="V33" s="23"/>
      <c r="W33" s="64"/>
      <c r="X33" s="303"/>
      <c r="Y33" s="23"/>
      <c r="Z33" s="23"/>
    </row>
    <row r="34" ht="18.75" customHeight="1">
      <c r="A34" s="66" t="s">
        <v>22</v>
      </c>
      <c r="B34" s="67">
        <f>N28+SUM(B29:B33)</f>
        <v>1393.64</v>
      </c>
      <c r="C34" s="66"/>
      <c r="D34" s="67">
        <f>B34+SUM(D29:D33)</f>
        <v>1344.56</v>
      </c>
      <c r="E34" s="66"/>
      <c r="F34" s="355">
        <v>1320.0</v>
      </c>
      <c r="G34" s="66"/>
      <c r="H34" s="67">
        <f>F34+SUM(H29:H33)</f>
        <v>1320</v>
      </c>
      <c r="I34" s="66"/>
      <c r="J34" s="67">
        <f>H34+SUM(J29:J33)</f>
        <v>3598.51</v>
      </c>
      <c r="K34" s="66"/>
      <c r="L34" s="67">
        <f>J34+SUM(L29:L33)</f>
        <v>3558.28</v>
      </c>
      <c r="M34" s="66"/>
      <c r="N34" s="67">
        <f>L34+SUM(N29:N33)</f>
        <v>3558.28</v>
      </c>
      <c r="O34" s="68"/>
      <c r="P34" s="385" t="s">
        <v>26</v>
      </c>
      <c r="Q34" s="386"/>
      <c r="R34" s="387">
        <v>18.0</v>
      </c>
      <c r="S34" s="388"/>
      <c r="T34" s="384">
        <f t="shared" ref="T34:T48" si="2">IF(ISBLANK(R34),"-",IF(R34&gt;DAY(EOMONTH(DATE($B$2,$E$2,1),0)),EOMONTH(DATE($B$2,$E$2,1),0),DATE($B$2,$E$2,R34)))</f>
        <v>45856</v>
      </c>
      <c r="U34" s="71"/>
      <c r="V34" s="69"/>
      <c r="W34" s="71"/>
      <c r="X34" s="309"/>
      <c r="Y34" s="69"/>
      <c r="Z34" s="69"/>
    </row>
    <row r="35" ht="18.75" customHeight="1">
      <c r="A35" s="50">
        <f>IF(M29="","",IF(MONTH(M29+1)&lt;&gt;MONTH(M29),"",M29+1))</f>
        <v>45865</v>
      </c>
      <c r="B35" s="51">
        <f>SUMIF($T$11:$T$101,A35,$S$11:$S$62)</f>
        <v>0</v>
      </c>
      <c r="C35" s="50">
        <f>IF(A35="","",IF(MONTH(A35+1)&lt;&gt;MONTH(A35),"",A35+1))</f>
        <v>45866</v>
      </c>
      <c r="D35" s="51">
        <f>SUMIF($T$11:$T$101,C35,$S$11:$S$62)</f>
        <v>-29.58</v>
      </c>
      <c r="E35" s="50">
        <f>IF(C35="","",IF(MONTH(C35+1)&lt;&gt;MONTH(C35),"",C35+1))</f>
        <v>45867</v>
      </c>
      <c r="F35" s="51">
        <f>SUMIF($T$11:$T$101,E35,$S$11:$S$62)</f>
        <v>-11</v>
      </c>
      <c r="G35" s="50">
        <f>IF(E35="","",IF(MONTH(E35+1)&lt;&gt;MONTH(E35),"",E35+1))</f>
        <v>45868</v>
      </c>
      <c r="H35" s="51">
        <f>SUMIF($T$11:$T$101,G35,$S$11:$S$62)</f>
        <v>-421.42</v>
      </c>
      <c r="I35" s="50">
        <f>IF(G35="","",IF(MONTH(G35+1)&lt;&gt;MONTH(G35),"",G35+1))</f>
        <v>45869</v>
      </c>
      <c r="J35" s="51">
        <f>SUMIF($T$11:$T$101,I35,$S$11:$S$62)</f>
        <v>0</v>
      </c>
      <c r="K35" s="50" t="str">
        <f>IF(I35="","",IF(MONTH(I35+1)&lt;&gt;MONTH(I35),"",I35+1))</f>
        <v/>
      </c>
      <c r="L35" s="51">
        <f>SUMIF($T$11:$T$101,K35,$S$11:$S$62)</f>
        <v>0</v>
      </c>
      <c r="M35" s="50" t="str">
        <f>IF(K35="","",IF(MONTH(K35+1)&lt;&gt;MONTH(K35),"",K35+1))</f>
        <v/>
      </c>
      <c r="N35" s="51">
        <f>SUMIF($T$11:$T$101,M35,$S$11:$S$62)</f>
        <v>0</v>
      </c>
      <c r="O35" s="23"/>
      <c r="P35" s="385" t="s">
        <v>30</v>
      </c>
      <c r="Q35" s="386"/>
      <c r="R35" s="387">
        <v>19.0</v>
      </c>
      <c r="S35" s="388">
        <v>-296.86</v>
      </c>
      <c r="T35" s="384">
        <f t="shared" si="2"/>
        <v>45857</v>
      </c>
      <c r="U35" s="64"/>
      <c r="V35" s="23"/>
      <c r="W35" s="64"/>
      <c r="X35" s="303"/>
      <c r="Y35" s="23"/>
      <c r="Z35" s="23"/>
    </row>
    <row r="36" ht="18.75" customHeight="1">
      <c r="A36" s="58" t="s">
        <v>139</v>
      </c>
      <c r="B36" s="57">
        <v>-99.0</v>
      </c>
      <c r="C36" s="58" t="s">
        <v>163</v>
      </c>
      <c r="D36" s="57">
        <v>-39.0</v>
      </c>
      <c r="E36" s="58"/>
      <c r="F36" s="57"/>
      <c r="G36" s="58"/>
      <c r="H36" s="57"/>
      <c r="I36" s="410"/>
      <c r="J36" s="57"/>
      <c r="M36" s="55"/>
      <c r="N36" s="56"/>
      <c r="O36" s="23"/>
      <c r="P36" s="385" t="s">
        <v>46</v>
      </c>
      <c r="Q36" s="386"/>
      <c r="R36" s="387">
        <v>25.0</v>
      </c>
      <c r="S36" s="388">
        <v>-10.99</v>
      </c>
      <c r="T36" s="384">
        <f t="shared" si="2"/>
        <v>45863</v>
      </c>
      <c r="U36" s="64"/>
      <c r="V36" s="23"/>
      <c r="W36" s="64"/>
      <c r="X36" s="303"/>
      <c r="Y36" s="23"/>
      <c r="Z36" s="23"/>
    </row>
    <row r="37" ht="18.75" customHeight="1">
      <c r="A37" s="55"/>
      <c r="B37" s="57">
        <v>60.0</v>
      </c>
      <c r="C37" s="58"/>
      <c r="D37" s="57"/>
      <c r="E37" s="55"/>
      <c r="F37" s="57"/>
      <c r="G37" s="410"/>
      <c r="H37" s="57"/>
      <c r="I37" s="55"/>
      <c r="J37" s="56"/>
      <c r="M37" s="55"/>
      <c r="N37" s="56"/>
      <c r="O37" s="23"/>
      <c r="P37" s="385" t="s">
        <v>34</v>
      </c>
      <c r="Q37" s="386"/>
      <c r="R37" s="387">
        <v>24.0</v>
      </c>
      <c r="S37" s="388"/>
      <c r="T37" s="384">
        <f t="shared" si="2"/>
        <v>45862</v>
      </c>
      <c r="U37" s="64"/>
      <c r="V37" s="23"/>
      <c r="W37" s="64"/>
      <c r="X37" s="303"/>
      <c r="Y37" s="23"/>
      <c r="Z37" s="23"/>
    </row>
    <row r="38" ht="18.75" customHeight="1">
      <c r="A38" s="55"/>
      <c r="B38" s="56"/>
      <c r="E38" s="55"/>
      <c r="F38" s="56"/>
      <c r="G38" s="55"/>
      <c r="H38" s="56"/>
      <c r="I38" s="55"/>
      <c r="J38" s="56"/>
      <c r="K38" s="55"/>
      <c r="L38" s="56"/>
      <c r="M38" s="55"/>
      <c r="N38" s="56"/>
      <c r="O38" s="23"/>
      <c r="P38" s="385" t="s">
        <v>151</v>
      </c>
      <c r="Q38" s="386"/>
      <c r="R38" s="387">
        <v>24.0</v>
      </c>
      <c r="S38" s="388">
        <v>2301.12</v>
      </c>
      <c r="T38" s="384">
        <f t="shared" si="2"/>
        <v>45862</v>
      </c>
      <c r="U38" s="64"/>
      <c r="V38" s="23"/>
      <c r="W38" s="64"/>
      <c r="X38" s="303"/>
      <c r="Y38" s="23"/>
      <c r="Z38" s="23"/>
    </row>
    <row r="39" ht="18.75" customHeight="1">
      <c r="A39" s="55"/>
      <c r="B39" s="56"/>
      <c r="C39" s="55"/>
      <c r="D39" s="56"/>
      <c r="E39" s="55"/>
      <c r="F39" s="56"/>
      <c r="G39" s="55"/>
      <c r="H39" s="56"/>
      <c r="I39" s="55"/>
      <c r="J39" s="56"/>
      <c r="K39" s="55"/>
      <c r="L39" s="56"/>
      <c r="M39" s="55"/>
      <c r="N39" s="56"/>
      <c r="O39" s="23"/>
      <c r="P39" s="385" t="s">
        <v>26</v>
      </c>
      <c r="Q39" s="386"/>
      <c r="R39" s="387">
        <v>25.0</v>
      </c>
      <c r="S39" s="388"/>
      <c r="T39" s="384">
        <f t="shared" si="2"/>
        <v>45863</v>
      </c>
      <c r="U39" s="64"/>
      <c r="V39" s="23"/>
      <c r="W39" s="64"/>
      <c r="X39" s="303"/>
      <c r="Y39" s="23"/>
      <c r="Z39" s="23"/>
    </row>
    <row r="40" ht="18.75" customHeight="1">
      <c r="A40" s="66" t="s">
        <v>22</v>
      </c>
      <c r="B40" s="67">
        <f>N34+SUM(B35:B39)</f>
        <v>3519.28</v>
      </c>
      <c r="C40" s="66"/>
      <c r="D40" s="67">
        <f>B40+SUM(D35:D39)</f>
        <v>3450.7</v>
      </c>
      <c r="E40" s="66"/>
      <c r="F40" s="67">
        <f>D40+SUM(F35:F39)</f>
        <v>3439.7</v>
      </c>
      <c r="G40" s="66"/>
      <c r="H40" s="67">
        <f>F40+SUM(H35:H39)</f>
        <v>3018.28</v>
      </c>
      <c r="I40" s="66"/>
      <c r="J40" s="355">
        <v>2956.7</v>
      </c>
      <c r="K40" s="66"/>
      <c r="L40" s="67">
        <f>J40+SUM(L35:L39)</f>
        <v>2956.7</v>
      </c>
      <c r="M40" s="66"/>
      <c r="N40" s="67">
        <f>L40+SUM(N35:N39)</f>
        <v>2956.7</v>
      </c>
      <c r="O40" s="68"/>
      <c r="P40" s="380" t="s">
        <v>44</v>
      </c>
      <c r="Q40" s="381"/>
      <c r="R40" s="382">
        <v>25.0</v>
      </c>
      <c r="S40" s="397">
        <v>-18.35</v>
      </c>
      <c r="T40" s="384">
        <f t="shared" si="2"/>
        <v>45863</v>
      </c>
      <c r="U40" s="71"/>
      <c r="V40" s="69"/>
      <c r="W40" s="71"/>
      <c r="X40" s="309"/>
      <c r="Y40" s="69"/>
      <c r="Z40" s="69"/>
    </row>
    <row r="41" ht="18.75" customHeight="1">
      <c r="A41" s="50" t="str">
        <f>IF(M35="","",IF(MONTH(M35+1)&lt;&gt;MONTH(M35),"",M35+1))</f>
        <v/>
      </c>
      <c r="B41" s="51">
        <f>SUMIF($T$11:$T$101,A41,$S$11:$S$62)</f>
        <v>0</v>
      </c>
      <c r="C41" s="50" t="str">
        <f>IF(A41="","",IF(MONTH(A41+1)&lt;&gt;MONTH(A41),"",A41+1))</f>
        <v/>
      </c>
      <c r="D41" s="51">
        <f>SUMIF($T$11:$T$101,C41,$S$11:$S$62)</f>
        <v>0</v>
      </c>
      <c r="E41" s="77"/>
      <c r="F41" s="77" t="s">
        <v>50</v>
      </c>
      <c r="G41" s="77"/>
      <c r="H41" s="77"/>
      <c r="I41" s="77"/>
      <c r="J41" s="77"/>
      <c r="K41" s="77"/>
      <c r="L41" s="77"/>
      <c r="M41" s="77"/>
      <c r="N41" s="77"/>
      <c r="P41" s="385" t="s">
        <v>207</v>
      </c>
      <c r="Q41" s="386"/>
      <c r="R41" s="387">
        <v>28.0</v>
      </c>
      <c r="S41" s="388"/>
      <c r="T41" s="384">
        <f t="shared" si="2"/>
        <v>45866</v>
      </c>
      <c r="V41" s="313"/>
      <c r="X41" s="314"/>
    </row>
    <row r="42" ht="18.75" customHeight="1">
      <c r="A42" s="55"/>
      <c r="B42" s="56"/>
      <c r="C42" s="55"/>
      <c r="D42" s="56"/>
      <c r="E42" s="77"/>
      <c r="F42" s="77" t="s">
        <v>52</v>
      </c>
      <c r="G42" s="77"/>
      <c r="H42" s="77"/>
      <c r="I42" s="77"/>
      <c r="J42" s="77"/>
      <c r="K42" s="77"/>
      <c r="L42" s="77"/>
      <c r="M42" s="77"/>
      <c r="N42" s="77"/>
      <c r="P42" s="385" t="s">
        <v>57</v>
      </c>
      <c r="Q42" s="386"/>
      <c r="R42" s="387">
        <v>30.0</v>
      </c>
      <c r="S42" s="388">
        <v>-271.42</v>
      </c>
      <c r="T42" s="384">
        <f t="shared" si="2"/>
        <v>45868</v>
      </c>
      <c r="V42" s="313"/>
      <c r="X42" s="314"/>
    </row>
    <row r="43" ht="18.75" customHeight="1">
      <c r="A43" s="55"/>
      <c r="B43" s="56"/>
      <c r="C43" s="55"/>
      <c r="D43" s="56"/>
      <c r="E43" s="77"/>
      <c r="F43" s="77"/>
      <c r="G43" s="77"/>
      <c r="H43" s="77"/>
      <c r="I43" s="77"/>
      <c r="J43" s="77"/>
      <c r="K43" s="77"/>
      <c r="L43" s="77"/>
      <c r="M43" s="77"/>
      <c r="N43" s="77"/>
      <c r="P43" s="385" t="s">
        <v>53</v>
      </c>
      <c r="Q43" s="386"/>
      <c r="R43" s="387">
        <v>28.0</v>
      </c>
      <c r="S43" s="388">
        <v>-7.99</v>
      </c>
      <c r="T43" s="384">
        <f t="shared" si="2"/>
        <v>45866</v>
      </c>
      <c r="V43" s="313"/>
    </row>
    <row r="44" ht="18.75" customHeight="1">
      <c r="A44" s="55"/>
      <c r="B44" s="56"/>
      <c r="C44" s="55"/>
      <c r="D44" s="56"/>
      <c r="E44" s="77"/>
      <c r="F44" s="77"/>
      <c r="G44" s="77"/>
      <c r="H44" s="77"/>
      <c r="I44" s="77"/>
      <c r="J44" s="77"/>
      <c r="K44" s="77"/>
      <c r="L44" s="77"/>
      <c r="M44" s="77"/>
      <c r="N44" s="77"/>
      <c r="P44" s="385" t="s">
        <v>26</v>
      </c>
      <c r="Q44" s="386"/>
      <c r="R44" s="387">
        <v>30.0</v>
      </c>
      <c r="S44" s="388">
        <v>-150.0</v>
      </c>
      <c r="T44" s="384">
        <f t="shared" si="2"/>
        <v>45868</v>
      </c>
      <c r="V44" s="313"/>
      <c r="X44" s="314"/>
    </row>
    <row r="45" ht="18.75" customHeight="1">
      <c r="A45" s="55"/>
      <c r="B45" s="56"/>
      <c r="C45" s="55"/>
      <c r="D45" s="56"/>
      <c r="E45" s="77"/>
      <c r="F45" s="77"/>
      <c r="G45" s="77"/>
      <c r="H45" s="77"/>
      <c r="I45" s="326">
        <v>22.61</v>
      </c>
      <c r="J45" s="77"/>
      <c r="K45" s="77"/>
      <c r="L45" s="77"/>
      <c r="M45" s="77"/>
      <c r="N45" s="77"/>
      <c r="P45" s="538" t="s">
        <v>55</v>
      </c>
      <c r="Q45" s="539"/>
      <c r="R45" s="554"/>
      <c r="S45" s="365">
        <v>-18.35</v>
      </c>
      <c r="T45" s="323" t="str">
        <f t="shared" si="2"/>
        <v>-</v>
      </c>
    </row>
    <row r="46" ht="18.75" customHeight="1">
      <c r="A46" s="66" t="s">
        <v>22</v>
      </c>
      <c r="B46" s="67">
        <f>N40+SUM(B41:B45)</f>
        <v>2956.7</v>
      </c>
      <c r="C46" s="66"/>
      <c r="D46" s="67">
        <f>B46+SUM(D41:D45)</f>
        <v>2956.7</v>
      </c>
      <c r="E46" s="77"/>
      <c r="F46" s="77"/>
      <c r="G46" s="77"/>
      <c r="H46" s="77"/>
      <c r="I46" s="326">
        <v>16.2</v>
      </c>
      <c r="J46" s="77"/>
      <c r="K46" s="77"/>
      <c r="L46" s="77"/>
      <c r="M46" s="77"/>
      <c r="N46" s="77"/>
      <c r="P46" s="385" t="s">
        <v>54</v>
      </c>
      <c r="Q46" s="386"/>
      <c r="R46" s="387">
        <v>29.0</v>
      </c>
      <c r="S46" s="388">
        <v>-11.0</v>
      </c>
      <c r="T46" s="384">
        <f t="shared" si="2"/>
        <v>45867</v>
      </c>
    </row>
    <row r="47" ht="12.75" customHeight="1">
      <c r="I47" s="108">
        <v>20.9</v>
      </c>
      <c r="P47" s="406" t="s">
        <v>142</v>
      </c>
      <c r="Q47" s="407"/>
      <c r="R47" s="408"/>
      <c r="S47" s="409">
        <v>-100.0</v>
      </c>
      <c r="T47" s="323" t="str">
        <f t="shared" si="2"/>
        <v>-</v>
      </c>
    </row>
    <row r="48" ht="12.75" customHeight="1">
      <c r="I48" s="108">
        <v>60.0</v>
      </c>
      <c r="P48" s="319"/>
      <c r="Q48" s="320"/>
      <c r="R48" s="321"/>
      <c r="S48" s="322"/>
      <c r="T48" s="323" t="str">
        <f t="shared" si="2"/>
        <v>-</v>
      </c>
    </row>
    <row r="49" ht="12.75" customHeight="1">
      <c r="P49" s="406"/>
      <c r="Q49" s="407"/>
      <c r="R49" s="408"/>
      <c r="S49" s="541"/>
      <c r="T49" s="323"/>
    </row>
    <row r="50" ht="12.75" customHeight="1">
      <c r="P50" s="367"/>
      <c r="Q50" s="407"/>
      <c r="R50" s="405"/>
      <c r="S50" s="555"/>
      <c r="T50" s="323" t="str">
        <f t="shared" ref="T50:T56" si="3">IF(ISBLANK(R50),"-",IF(R50&gt;DAY(EOMONTH(DATE($B$2,$E$2,1),0)),EOMONTH(DATE($B$2,$E$2,1),0),DATE($B$2,$E$2,R50)))</f>
        <v>-</v>
      </c>
    </row>
    <row r="51" ht="12.75" customHeight="1">
      <c r="P51" s="542"/>
      <c r="Q51" s="407"/>
      <c r="R51" s="543"/>
      <c r="S51" s="544"/>
      <c r="T51" s="323" t="str">
        <f t="shared" si="3"/>
        <v>-</v>
      </c>
    </row>
    <row r="52" ht="12.75" customHeight="1">
      <c r="P52" s="542"/>
      <c r="Q52" s="407"/>
      <c r="R52" s="543"/>
      <c r="S52" s="544"/>
      <c r="T52" s="323" t="str">
        <f t="shared" si="3"/>
        <v>-</v>
      </c>
    </row>
    <row r="53" ht="12.75" customHeight="1">
      <c r="P53" s="542"/>
      <c r="Q53" s="407"/>
      <c r="R53" s="543"/>
      <c r="S53" s="544"/>
      <c r="T53" s="323" t="str">
        <f t="shared" si="3"/>
        <v>-</v>
      </c>
    </row>
    <row r="54" ht="12.75" customHeight="1">
      <c r="P54" s="542"/>
      <c r="Q54" s="407"/>
      <c r="R54" s="543"/>
      <c r="S54" s="544"/>
      <c r="T54" s="323" t="str">
        <f t="shared" si="3"/>
        <v>-</v>
      </c>
    </row>
    <row r="55" ht="12.75" customHeight="1">
      <c r="P55" s="542"/>
      <c r="Q55" s="407"/>
      <c r="R55" s="543"/>
      <c r="S55" s="544"/>
      <c r="T55" s="323" t="str">
        <f t="shared" si="3"/>
        <v>-</v>
      </c>
    </row>
    <row r="56" ht="12.75" customHeight="1">
      <c r="P56" s="542"/>
      <c r="Q56" s="407"/>
      <c r="R56" s="543"/>
      <c r="S56" s="544"/>
      <c r="T56" s="323" t="str">
        <f t="shared" si="3"/>
        <v>-</v>
      </c>
    </row>
    <row r="57" ht="12.75" customHeight="1">
      <c r="P57" s="542"/>
      <c r="Q57" s="407"/>
      <c r="R57" s="543"/>
      <c r="S57" s="544"/>
      <c r="T57" s="376" t="str">
        <f>IF(ISBLANK(R57),"-",IF(R57&gt;DAY(EOMONTH(DATE($B$2,$E$2,1),0)),EOMONTH(DATE($B$2,$E$2,1),0),DATE($B$2,$E$2,$R$47)))</f>
        <v>-</v>
      </c>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row>
    <row r="906" ht="12.75" customHeight="1">
      <c r="R906" s="336"/>
    </row>
    <row r="907" ht="12.75" customHeight="1">
      <c r="R907" s="336"/>
    </row>
    <row r="908" ht="12.75" customHeight="1">
      <c r="R908" s="336"/>
    </row>
  </sheetData>
  <mergeCells count="11">
    <mergeCell ref="G9:H9"/>
    <mergeCell ref="I9:J9"/>
    <mergeCell ref="K9:L9"/>
    <mergeCell ref="M9:N9"/>
    <mergeCell ref="M5:N5"/>
    <mergeCell ref="S5:T5"/>
    <mergeCell ref="M6:N6"/>
    <mergeCell ref="S6:T6"/>
    <mergeCell ref="A9:B9"/>
    <mergeCell ref="C9:D9"/>
    <mergeCell ref="E9:F9"/>
  </mergeCells>
  <conditionalFormatting sqref="S1:S908">
    <cfRule type="cellIs" dxfId="5" priority="1" operator="lessThan">
      <formula>0</formula>
    </cfRule>
  </conditionalFormatting>
  <dataValidations>
    <dataValidation type="list" allowBlank="1" showErrorMessage="1" sqref="Q12:Q57">
      <formula1>"✔"</formula1>
    </dataValidation>
    <dataValidation type="custom" allowBlank="1" showDropDown="1" sqref="T12:T57">
      <formula1>OR(NOT(ISERROR(DATEVALUE(T12))), AND(ISNUMBER(T12), LEFT(CELL("format", T12))="D"))</formula1>
    </dataValidation>
  </dataValidations>
  <hyperlinks>
    <hyperlink r:id="rId1" ref="T3"/>
  </hyperlinks>
  <drawing r:id="rId2"/>
  <tableParts count="1">
    <tablePart r:id="rId4"/>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9.0"/>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6.88"/>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2025.0</v>
      </c>
      <c r="C2" s="3"/>
      <c r="D2" s="9" t="s">
        <v>2</v>
      </c>
      <c r="E2" s="10">
        <v>8.0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AUGUST 2025</v>
      </c>
      <c r="B5" s="22"/>
      <c r="C5" s="22"/>
      <c r="D5" s="22"/>
      <c r="E5" s="22"/>
      <c r="F5" s="22"/>
      <c r="G5" s="22"/>
      <c r="H5" s="23"/>
      <c r="I5" s="23"/>
      <c r="J5" s="23"/>
      <c r="K5" s="22"/>
      <c r="L5" s="24" t="s">
        <v>7</v>
      </c>
      <c r="M5" s="25">
        <f>'July 2025'!D46</f>
        <v>2956.7</v>
      </c>
      <c r="N5" s="26"/>
      <c r="O5" s="23"/>
      <c r="P5" s="27"/>
      <c r="Q5" s="27"/>
      <c r="R5" s="287" t="s">
        <v>8</v>
      </c>
      <c r="S5" s="288">
        <f>SUMIF(A18:N21,"&gt;0")+SUMIF(A24:N27,"&gt;0")+SUMIF(A30:N33,"&gt;0")+SUMIF(A36:N39,"&gt;0")+SUMIF(A42:D45,"&gt;0")+SUMIF(S12:S46,"&gt;0")+SUMIF(A12:N15,"&gt;0")</f>
        <v>5460.84</v>
      </c>
      <c r="U5" s="23"/>
      <c r="V5" s="289">
        <f>sum(S5+S6)</f>
        <v>-154.22</v>
      </c>
      <c r="W5" s="23"/>
      <c r="X5" s="23"/>
      <c r="Y5" s="23"/>
      <c r="Z5" s="23"/>
    </row>
    <row r="6" ht="25.5" customHeight="1">
      <c r="A6" s="31"/>
      <c r="B6" s="31"/>
      <c r="C6" s="31"/>
      <c r="D6" s="31"/>
      <c r="E6" s="31"/>
      <c r="F6" s="32"/>
      <c r="G6" s="33"/>
      <c r="H6" s="34"/>
      <c r="I6" s="34"/>
      <c r="J6" s="34"/>
      <c r="K6" s="31"/>
      <c r="L6" s="24" t="s">
        <v>9</v>
      </c>
      <c r="M6" s="35">
        <f>D46</f>
        <v>2397.91</v>
      </c>
      <c r="O6" s="34"/>
      <c r="P6" s="36"/>
      <c r="Q6" s="36"/>
      <c r="R6" s="287" t="s">
        <v>10</v>
      </c>
      <c r="S6" s="288">
        <f>SUMIF(A18:N21,"&lt;0")+SUMIF(A24:N27,"&lt;0")+SUMIF(A30:N33,"&lt;0")+SUMIF(A36:N39,"&lt;0")+SUMIF(A42:D45,"&lt;0")+SUMIF(S12:S181,"&lt;0")+SUMIF(A12:N15,"&lt;0")</f>
        <v>-5615.06</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45870</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45872</v>
      </c>
      <c r="B9" s="40"/>
      <c r="C9" s="39">
        <f>C17</f>
        <v>45873</v>
      </c>
      <c r="D9" s="40"/>
      <c r="E9" s="39">
        <f>E17</f>
        <v>45874</v>
      </c>
      <c r="F9" s="40"/>
      <c r="G9" s="39">
        <f>G17</f>
        <v>45875</v>
      </c>
      <c r="H9" s="40"/>
      <c r="I9" s="39">
        <f>I17</f>
        <v>45876</v>
      </c>
      <c r="J9" s="40"/>
      <c r="K9" s="39">
        <f>K17</f>
        <v>45877</v>
      </c>
      <c r="L9" s="40"/>
      <c r="M9" s="39">
        <f>M17</f>
        <v>45878</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SUMIF($T$11:$T$108,A11,$S$11:$S$69)</f>
        <v>0</v>
      </c>
      <c r="C11" s="50" t="str">
        <f>IF(A11="",IF(WEEKDAY($B$8,1)=MOD($H$2,7)+1,$B$8,""),A11+1)</f>
        <v/>
      </c>
      <c r="D11" s="51">
        <f>SUMIF($T$11:$T$108,C11,$S$11:$S$69)</f>
        <v>0</v>
      </c>
      <c r="E11" s="50" t="str">
        <f>IF(C11="",IF(WEEKDAY($B$8,1)=MOD($H$2+1,7)+1,$B$8,""),C11+1)</f>
        <v/>
      </c>
      <c r="F11" s="51">
        <f>SUMIF($T$11:$T$108,E11,$S$11:$S$69)</f>
        <v>0</v>
      </c>
      <c r="G11" s="50" t="str">
        <f>IF(E11="",IF(WEEKDAY($B$8,1)=MOD($H$2+2,7)+1,$B$8,""),E11+1)</f>
        <v/>
      </c>
      <c r="H11" s="51">
        <f>SUMIF($T$11:$T$108,G11,$S$11:$S$69)</f>
        <v>0</v>
      </c>
      <c r="I11" s="50" t="str">
        <f>IF(G11="",IF(WEEKDAY($B$8,1)=MOD($H$2+3,7)+1,$B$8,""),G11+1)</f>
        <v/>
      </c>
      <c r="J11" s="51">
        <f>SUMIF($T$11:$T$108,I11,$S$11:$S$69)</f>
        <v>0</v>
      </c>
      <c r="K11" s="50">
        <f>IF(I11="",IF(WEEKDAY($B$8,1)=MOD($H$2+4,7)+1,$B$8,""),I11+1)</f>
        <v>45870</v>
      </c>
      <c r="L11" s="51">
        <f>SUMIF($T$11:$T$108,K11,$S$11:$S$69)</f>
        <v>793</v>
      </c>
      <c r="M11" s="50">
        <f>IF(K11="",IF(WEEKDAY($B$8,1)=MOD($H$2+5,7)+1,$B$8,""),K11+1)</f>
        <v>45871</v>
      </c>
      <c r="N11" s="51">
        <f>SUMIF($T$11:$T$108,M11,$S$11:$S$69)</f>
        <v>0</v>
      </c>
      <c r="O11" s="23"/>
      <c r="P11" s="52" t="s">
        <v>13</v>
      </c>
      <c r="Q11" s="53" t="s">
        <v>14</v>
      </c>
      <c r="R11" s="53" t="s">
        <v>15</v>
      </c>
      <c r="S11" s="96" t="s">
        <v>16</v>
      </c>
      <c r="T11" s="53" t="s">
        <v>17</v>
      </c>
      <c r="U11" s="23"/>
      <c r="V11" s="23"/>
      <c r="W11" s="23"/>
      <c r="X11" s="23"/>
      <c r="Y11" s="23"/>
      <c r="Z11" s="23"/>
    </row>
    <row r="12" ht="18.75" customHeight="1">
      <c r="A12" s="55"/>
      <c r="B12" s="56"/>
      <c r="C12" s="55"/>
      <c r="D12" s="56"/>
      <c r="E12" s="55"/>
      <c r="F12" s="56"/>
      <c r="G12" s="55"/>
      <c r="H12" s="56"/>
      <c r="I12" s="58"/>
      <c r="J12" s="57"/>
      <c r="K12" s="55"/>
      <c r="L12" s="57">
        <v>-9.0</v>
      </c>
      <c r="M12" s="55"/>
      <c r="N12" s="56"/>
      <c r="O12" s="23"/>
      <c r="P12" s="398" t="s">
        <v>20</v>
      </c>
      <c r="Q12" s="399"/>
      <c r="R12" s="400">
        <v>4.0</v>
      </c>
      <c r="S12" s="393">
        <f t="array" ref="S12">-INDEX(PaymentSchedule!$E$21:$AG915,MATCH(PaymentSchedule!$B$28,PaymentSchedule!$B$21:$B$100),MATCH($P12,PaymentSchedule!$E$19:$AG$19,0))</f>
        <v>-1487.37</v>
      </c>
      <c r="T12" s="394">
        <f t="shared" ref="T12:T30" si="1">IF(ISBLANK(R12),"-",IF(R12&gt;DAY(EOMONTH(DATE($B$2,$E$2,1),0)),EOMONTH(DATE($B$2,$E$2,1),0),DATE($B$2,$E$2,R12)))</f>
        <v>45873</v>
      </c>
      <c r="U12" s="64"/>
      <c r="V12" s="23"/>
      <c r="W12" s="64"/>
      <c r="X12" s="303"/>
      <c r="Y12" s="23"/>
      <c r="Z12" s="23"/>
    </row>
    <row r="13" ht="18.75" customHeight="1">
      <c r="A13" s="55"/>
      <c r="B13" s="56"/>
      <c r="C13" s="55"/>
      <c r="D13" s="56"/>
      <c r="E13" s="55"/>
      <c r="F13" s="56"/>
      <c r="G13" s="55"/>
      <c r="H13" s="56"/>
      <c r="I13" s="55"/>
      <c r="J13" s="57"/>
      <c r="K13" s="55"/>
      <c r="L13" s="56"/>
      <c r="M13" s="55"/>
      <c r="N13" s="56"/>
      <c r="O13" s="23"/>
      <c r="P13" s="398" t="s">
        <v>87</v>
      </c>
      <c r="Q13" s="399"/>
      <c r="R13" s="400">
        <v>4.0</v>
      </c>
      <c r="S13" s="393">
        <f t="array" ref="S13">-INDEX(PaymentSchedule!$E$21:$AG915,MATCH(PaymentSchedule!$B$28,PaymentSchedule!$B$21:$B$100),MATCH($P13,PaymentSchedule!$E$19:$AG$19,0))</f>
        <v>0</v>
      </c>
      <c r="T13" s="394">
        <f t="shared" si="1"/>
        <v>45873</v>
      </c>
      <c r="U13" s="64"/>
      <c r="V13" s="23"/>
      <c r="W13" s="64"/>
      <c r="X13" s="303"/>
      <c r="Y13" s="23"/>
      <c r="Z13" s="23"/>
    </row>
    <row r="14" ht="18.75" customHeight="1">
      <c r="A14" s="55"/>
      <c r="B14" s="56"/>
      <c r="C14" s="55"/>
      <c r="D14" s="56"/>
      <c r="E14" s="55"/>
      <c r="F14" s="56"/>
      <c r="G14" s="55"/>
      <c r="H14" s="56"/>
      <c r="I14" s="58"/>
      <c r="J14" s="57"/>
      <c r="K14" s="55"/>
      <c r="L14" s="56"/>
      <c r="M14" s="55"/>
      <c r="N14" s="56"/>
      <c r="O14" s="23"/>
      <c r="P14" s="398" t="s">
        <v>86</v>
      </c>
      <c r="Q14" s="399"/>
      <c r="R14" s="400">
        <v>5.0</v>
      </c>
      <c r="S14" s="393">
        <f t="array" ref="S14">-INDEX(PaymentSchedule!$E$21:$AG915,MATCH(PaymentSchedule!$B$28,PaymentSchedule!$B$21:$B$100),MATCH($P14,PaymentSchedule!$E$19:$AG$19,0))</f>
        <v>-791.16</v>
      </c>
      <c r="T14" s="394">
        <f t="shared" si="1"/>
        <v>45874</v>
      </c>
      <c r="U14" s="64"/>
      <c r="V14" s="23"/>
      <c r="W14" s="64"/>
      <c r="X14" s="303"/>
      <c r="Y14" s="23"/>
      <c r="Z14" s="23"/>
    </row>
    <row r="15" ht="18.75" customHeight="1">
      <c r="A15" s="55"/>
      <c r="B15" s="56"/>
      <c r="C15" s="55"/>
      <c r="D15" s="56"/>
      <c r="E15" s="55"/>
      <c r="F15" s="56"/>
      <c r="G15" s="55"/>
      <c r="H15" s="56"/>
      <c r="I15" s="55"/>
      <c r="J15" s="56"/>
      <c r="K15" s="55"/>
      <c r="L15" s="56"/>
      <c r="M15" s="55"/>
      <c r="N15" s="56"/>
      <c r="O15" s="23"/>
      <c r="P15" s="398" t="s">
        <v>25</v>
      </c>
      <c r="Q15" s="399"/>
      <c r="R15" s="400">
        <v>7.0</v>
      </c>
      <c r="S15" s="393">
        <f t="array" ref="S15">-INDEX(PaymentSchedule!$E$21:$AG915,MATCH(PaymentSchedule!$B$28,PaymentSchedule!$B$21:$B$100),MATCH($P15,PaymentSchedule!$E$19:$AG$19,0))</f>
        <v>-35</v>
      </c>
      <c r="T15" s="394">
        <f t="shared" si="1"/>
        <v>45876</v>
      </c>
      <c r="U15" s="64"/>
      <c r="V15" s="23"/>
      <c r="W15" s="64"/>
      <c r="X15" s="303"/>
      <c r="Y15" s="23"/>
      <c r="Z15" s="23"/>
    </row>
    <row r="16" ht="18.75" customHeight="1">
      <c r="A16" s="66" t="s">
        <v>22</v>
      </c>
      <c r="B16" s="67">
        <f>$M$5+SUM(B11:B15)</f>
        <v>2956.7</v>
      </c>
      <c r="C16" s="66"/>
      <c r="D16" s="67">
        <f>B16+SUM(D11:D15)</f>
        <v>2956.7</v>
      </c>
      <c r="E16" s="66"/>
      <c r="F16" s="67">
        <f>D16+SUM(F11:F15)</f>
        <v>2956.7</v>
      </c>
      <c r="G16" s="66"/>
      <c r="H16" s="67">
        <f>F16+SUM(H11:H15)</f>
        <v>2956.7</v>
      </c>
      <c r="I16" s="66"/>
      <c r="J16" s="67">
        <f>H16+SUM(J11:J15)</f>
        <v>2956.7</v>
      </c>
      <c r="K16" s="66"/>
      <c r="L16" s="67">
        <f>J16+SUM(L11:L15)</f>
        <v>3740.7</v>
      </c>
      <c r="M16" s="66"/>
      <c r="N16" s="67">
        <f>L16+SUM(N11:N15)</f>
        <v>3740.7</v>
      </c>
      <c r="O16" s="68"/>
      <c r="P16" s="398" t="s">
        <v>85</v>
      </c>
      <c r="Q16" s="399"/>
      <c r="R16" s="400">
        <v>7.0</v>
      </c>
      <c r="S16" s="393">
        <f t="array" ref="S16">-INDEX(PaymentSchedule!$E$21:$AG915,MATCH(PaymentSchedule!$B$28,PaymentSchedule!$B$21:$B$100),MATCH($P16,PaymentSchedule!$E$19:$AG$19,0))</f>
        <v>-131</v>
      </c>
      <c r="T16" s="394">
        <f t="shared" si="1"/>
        <v>45876</v>
      </c>
      <c r="U16" s="71"/>
      <c r="V16" s="69"/>
      <c r="W16" s="71"/>
      <c r="X16" s="309"/>
      <c r="Y16" s="69"/>
      <c r="Z16" s="69"/>
    </row>
    <row r="17" ht="18.75" customHeight="1">
      <c r="A17" s="50">
        <f>IF(M11="","",IF(MONTH(M11+1)&lt;&gt;MONTH(M11),"",M11+1))</f>
        <v>45872</v>
      </c>
      <c r="B17" s="51">
        <f>SUMIF($T$11:$T$108,A17,$S$11:$S$69)</f>
        <v>0</v>
      </c>
      <c r="C17" s="50">
        <f>IF(A17="","",IF(MONTH(A17+1)&lt;&gt;MONTH(A17),"",A17+1))</f>
        <v>45873</v>
      </c>
      <c r="D17" s="51">
        <f>SUMIF($T$11:$T$108,C17,$S$11:$S$69)</f>
        <v>-1487.37</v>
      </c>
      <c r="E17" s="50">
        <f>IF(C17="","",IF(MONTH(C17+1)&lt;&gt;MONTH(C17),"",C17+1))</f>
        <v>45874</v>
      </c>
      <c r="F17" s="51">
        <f>SUMIF($T$11:$T$108,E17,$S$11:$S$69)</f>
        <v>-874.16</v>
      </c>
      <c r="G17" s="50">
        <f>IF(E17="","",IF(MONTH(E17+1)&lt;&gt;MONTH(E17),"",E17+1))</f>
        <v>45875</v>
      </c>
      <c r="H17" s="51">
        <f>SUMIF($T$11:$T$108,G17,$S$11:$S$69)</f>
        <v>-150</v>
      </c>
      <c r="I17" s="50">
        <f>IF(G17="","",IF(MONTH(G17+1)&lt;&gt;MONTH(G17),"",G17+1))</f>
        <v>45876</v>
      </c>
      <c r="J17" s="51">
        <f>SUMIF($T$11:$T$108,I17,$S$11:$S$69)</f>
        <v>2143.72</v>
      </c>
      <c r="K17" s="50">
        <f>IF(I17="","",IF(MONTH(I17+1)&lt;&gt;MONTH(I17),"",I17+1))</f>
        <v>45877</v>
      </c>
      <c r="L17" s="51">
        <f>SUMIF($T$11:$T$108,K17,$S$11:$S$69)</f>
        <v>-477.07</v>
      </c>
      <c r="M17" s="50">
        <f>IF(K17="","",IF(MONTH(K17+1)&lt;&gt;MONTH(K17),"",K17+1))</f>
        <v>45878</v>
      </c>
      <c r="N17" s="51">
        <f>SUMIF($T$11:$T$108,M17,$S$11:$S$69)</f>
        <v>0</v>
      </c>
      <c r="O17" s="23"/>
      <c r="P17" s="398" t="s">
        <v>36</v>
      </c>
      <c r="Q17" s="399"/>
      <c r="R17" s="400">
        <v>8.0</v>
      </c>
      <c r="S17" s="393">
        <f t="array" ref="S17">-INDEX(PaymentSchedule!$E$21:$AG915,MATCH(PaymentSchedule!$B$28,PaymentSchedule!$B$21:$B$100),MATCH($P17,PaymentSchedule!$E$19:$AG$19,0))</f>
        <v>-450.08</v>
      </c>
      <c r="T17" s="394">
        <f t="shared" si="1"/>
        <v>45877</v>
      </c>
      <c r="U17" s="64"/>
      <c r="V17" s="23"/>
      <c r="W17" s="64"/>
      <c r="X17" s="303"/>
      <c r="Y17" s="23"/>
      <c r="Z17" s="23"/>
    </row>
    <row r="18" ht="18.75" customHeight="1">
      <c r="A18" s="55"/>
      <c r="B18" s="56"/>
      <c r="C18" s="55"/>
      <c r="D18" s="57"/>
      <c r="E18" s="55"/>
      <c r="F18" s="56"/>
      <c r="G18" s="58"/>
      <c r="H18" s="57">
        <v>-28.33</v>
      </c>
      <c r="I18" s="55"/>
      <c r="J18" s="57"/>
      <c r="K18" s="58"/>
      <c r="L18" s="57"/>
      <c r="M18" s="55"/>
      <c r="N18" s="56"/>
      <c r="O18" s="23"/>
      <c r="P18" s="398" t="s">
        <v>37</v>
      </c>
      <c r="Q18" s="399"/>
      <c r="R18" s="400">
        <v>11.0</v>
      </c>
      <c r="S18" s="393">
        <v>-78.0</v>
      </c>
      <c r="T18" s="394">
        <f t="shared" si="1"/>
        <v>45880</v>
      </c>
      <c r="U18" s="64"/>
      <c r="V18" s="23"/>
      <c r="Y18" s="23"/>
      <c r="Z18" s="23"/>
    </row>
    <row r="19" ht="18.75" customHeight="1">
      <c r="A19" s="55"/>
      <c r="B19" s="56"/>
      <c r="C19" s="55"/>
      <c r="D19" s="57"/>
      <c r="E19" s="55"/>
      <c r="F19" s="56"/>
      <c r="G19" s="55"/>
      <c r="H19" s="56"/>
      <c r="I19" s="55"/>
      <c r="J19" s="56"/>
      <c r="K19" s="58"/>
      <c r="L19" s="57"/>
      <c r="M19" s="55"/>
      <c r="N19" s="56"/>
      <c r="O19" s="23"/>
      <c r="P19" s="390" t="s">
        <v>89</v>
      </c>
      <c r="Q19" s="402"/>
      <c r="R19" s="392">
        <v>18.0</v>
      </c>
      <c r="S19" s="393"/>
      <c r="T19" s="394">
        <f t="shared" si="1"/>
        <v>45887</v>
      </c>
      <c r="U19" s="64"/>
      <c r="V19" s="23"/>
      <c r="W19" s="64"/>
      <c r="X19" s="303"/>
      <c r="Y19" s="23"/>
      <c r="Z19" s="23"/>
    </row>
    <row r="20" ht="18.75" customHeight="1">
      <c r="A20" s="55"/>
      <c r="B20" s="56"/>
      <c r="C20" s="55"/>
      <c r="D20" s="57"/>
      <c r="E20" s="55"/>
      <c r="F20" s="56"/>
      <c r="G20" s="55"/>
      <c r="H20" s="56"/>
      <c r="I20" s="55"/>
      <c r="J20" s="56"/>
      <c r="K20" s="58"/>
      <c r="L20" s="57"/>
      <c r="M20" s="55"/>
      <c r="N20" s="56"/>
      <c r="O20" s="23"/>
      <c r="P20" s="385" t="s">
        <v>47</v>
      </c>
      <c r="Q20" s="386"/>
      <c r="R20" s="387">
        <v>1.0</v>
      </c>
      <c r="S20" s="490">
        <v>850.0</v>
      </c>
      <c r="T20" s="384">
        <f t="shared" si="1"/>
        <v>45870</v>
      </c>
      <c r="U20" s="64"/>
      <c r="V20" s="23"/>
      <c r="W20" s="64"/>
      <c r="X20" s="303"/>
      <c r="Y20" s="23"/>
      <c r="Z20" s="23"/>
    </row>
    <row r="21" ht="18.75" customHeight="1">
      <c r="A21" s="55"/>
      <c r="B21" s="56"/>
      <c r="C21" s="55"/>
      <c r="D21" s="56"/>
      <c r="E21" s="55"/>
      <c r="F21" s="56"/>
      <c r="G21" s="55"/>
      <c r="H21" s="56"/>
      <c r="I21" s="55"/>
      <c r="J21" s="56"/>
      <c r="K21" s="55"/>
      <c r="L21" s="56"/>
      <c r="M21" s="55"/>
      <c r="N21" s="56"/>
      <c r="O21" s="23"/>
      <c r="P21" s="414" t="s">
        <v>142</v>
      </c>
      <c r="Q21" s="415"/>
      <c r="R21" s="416">
        <v>1.0</v>
      </c>
      <c r="S21" s="383"/>
      <c r="T21" s="384">
        <f t="shared" si="1"/>
        <v>45870</v>
      </c>
      <c r="U21" s="64"/>
      <c r="V21" s="303"/>
      <c r="W21" s="64"/>
      <c r="X21" s="303"/>
      <c r="Y21" s="23"/>
      <c r="Z21" s="23"/>
    </row>
    <row r="22" ht="18.75" customHeight="1">
      <c r="A22" s="66" t="s">
        <v>22</v>
      </c>
      <c r="B22" s="355">
        <v>3740.28</v>
      </c>
      <c r="C22" s="66"/>
      <c r="D22" s="67">
        <f>B22+SUM(D17:D21)</f>
        <v>2252.91</v>
      </c>
      <c r="E22" s="66"/>
      <c r="F22" s="67">
        <f>D22+SUM(F17:F21)</f>
        <v>1378.75</v>
      </c>
      <c r="G22" s="66"/>
      <c r="H22" s="67">
        <f>F22+SUM(H17:H21)</f>
        <v>1200.42</v>
      </c>
      <c r="I22" s="66"/>
      <c r="J22" s="67">
        <f>H22+SUM(J17:J21)</f>
        <v>3344.14</v>
      </c>
      <c r="K22" s="66"/>
      <c r="L22" s="67">
        <f>J22+SUM(L17:L21)</f>
        <v>2867.07</v>
      </c>
      <c r="M22" s="66"/>
      <c r="N22" s="67">
        <f>L22+SUM(N17:N21)</f>
        <v>2867.07</v>
      </c>
      <c r="O22" s="68"/>
      <c r="P22" s="385" t="s">
        <v>24</v>
      </c>
      <c r="Q22" s="386"/>
      <c r="R22" s="387">
        <v>1.0</v>
      </c>
      <c r="S22" s="388">
        <v>-57.0</v>
      </c>
      <c r="T22" s="384">
        <f t="shared" si="1"/>
        <v>45870</v>
      </c>
      <c r="W22" s="71"/>
      <c r="X22" s="309"/>
      <c r="Y22" s="69"/>
      <c r="Z22" s="69"/>
    </row>
    <row r="23" ht="18.75" customHeight="1">
      <c r="A23" s="50">
        <f>IF(M17="","",IF(MONTH(M17+1)&lt;&gt;MONTH(M17),"",M17+1))</f>
        <v>45879</v>
      </c>
      <c r="B23" s="51">
        <f>SUMIF($T$11:$T$108,A23,$S$11:$S$69)</f>
        <v>-100</v>
      </c>
      <c r="C23" s="50">
        <f>IF(A23="","",IF(MONTH(A23+1)&lt;&gt;MONTH(A23),"",A23+1))</f>
        <v>45880</v>
      </c>
      <c r="D23" s="51">
        <f>SUMIF($T$11:$T$108,C23,$S$11:$S$69)</f>
        <v>-78</v>
      </c>
      <c r="E23" s="50">
        <f>IF(C23="","",IF(MONTH(C23+1)&lt;&gt;MONTH(C23),"",C23+1))</f>
        <v>45881</v>
      </c>
      <c r="F23" s="51">
        <f>SUMIF($T$11:$T$108,E23,$S$11:$S$69)</f>
        <v>-1.99</v>
      </c>
      <c r="G23" s="50">
        <f>IF(E23="","",IF(MONTH(E23+1)&lt;&gt;MONTH(E23),"",E23+1))</f>
        <v>45882</v>
      </c>
      <c r="H23" s="51">
        <f>SUMIF($T$11:$T$108,G23,$S$11:$S$69)</f>
        <v>-252</v>
      </c>
      <c r="I23" s="50">
        <f>IF(G23="","",IF(MONTH(G23+1)&lt;&gt;MONTH(G23),"",G23+1))</f>
        <v>45883</v>
      </c>
      <c r="J23" s="51">
        <f>SUMIF($T$11:$T$108,I23,$S$11:$S$69)</f>
        <v>-26.23</v>
      </c>
      <c r="K23" s="50">
        <f>IF(I23="","",IF(MONTH(I23+1)&lt;&gt;MONTH(I23),"",I23+1))</f>
        <v>45884</v>
      </c>
      <c r="L23" s="51">
        <f>SUMIF($T$11:$T$108,K23,$S$11:$S$69)</f>
        <v>0</v>
      </c>
      <c r="M23" s="50">
        <f>IF(K23="","",IF(MONTH(K23+1)&lt;&gt;MONTH(K23),"",K23+1))</f>
        <v>45885</v>
      </c>
      <c r="N23" s="51">
        <f>SUMIF($T$11:$T$108,M23,$S$11:$S$69)</f>
        <v>0</v>
      </c>
      <c r="O23" s="23"/>
      <c r="P23" s="385" t="s">
        <v>27</v>
      </c>
      <c r="Q23" s="386"/>
      <c r="R23" s="387">
        <v>5.0</v>
      </c>
      <c r="S23" s="388">
        <v>-33.0</v>
      </c>
      <c r="T23" s="384">
        <f t="shared" si="1"/>
        <v>45874</v>
      </c>
      <c r="U23" s="64"/>
      <c r="V23" s="23"/>
      <c r="W23" s="64"/>
      <c r="X23" s="303"/>
      <c r="Y23" s="23"/>
      <c r="Z23" s="23"/>
    </row>
    <row r="24" ht="18.75" customHeight="1">
      <c r="A24" s="55"/>
      <c r="B24" s="56"/>
      <c r="C24" s="58"/>
      <c r="D24" s="57">
        <v>-1.99</v>
      </c>
      <c r="E24" s="55"/>
      <c r="F24" s="56"/>
      <c r="G24" s="58"/>
      <c r="H24" s="57"/>
      <c r="I24" s="58" t="s">
        <v>208</v>
      </c>
      <c r="J24" s="57"/>
      <c r="K24" s="58"/>
      <c r="L24" s="57">
        <v>-15.07</v>
      </c>
      <c r="M24" s="58"/>
      <c r="N24" s="57"/>
      <c r="O24" s="23"/>
      <c r="P24" s="414" t="s">
        <v>186</v>
      </c>
      <c r="Q24" s="415"/>
      <c r="R24" s="416">
        <v>5.0</v>
      </c>
      <c r="S24" s="383">
        <v>-50.0</v>
      </c>
      <c r="T24" s="384">
        <f t="shared" si="1"/>
        <v>45874</v>
      </c>
      <c r="U24" s="64"/>
      <c r="V24" s="23"/>
      <c r="W24" s="64"/>
      <c r="X24" s="303"/>
      <c r="Y24" s="23"/>
      <c r="Z24" s="23"/>
    </row>
    <row r="25" ht="18.75" customHeight="1">
      <c r="A25" s="55"/>
      <c r="B25" s="56"/>
      <c r="C25" s="55"/>
      <c r="D25" s="56"/>
      <c r="E25" s="55"/>
      <c r="F25" s="56"/>
      <c r="G25" s="55"/>
      <c r="H25" s="56"/>
      <c r="I25" s="55"/>
      <c r="J25" s="56"/>
      <c r="K25" s="55"/>
      <c r="L25" s="57">
        <v>-29.0</v>
      </c>
      <c r="M25" s="58"/>
      <c r="N25" s="57"/>
      <c r="O25" s="23"/>
      <c r="P25" s="385" t="s">
        <v>26</v>
      </c>
      <c r="Q25" s="386"/>
      <c r="R25" s="387">
        <v>6.0</v>
      </c>
      <c r="S25" s="388">
        <v>-150.0</v>
      </c>
      <c r="T25" s="384">
        <f t="shared" si="1"/>
        <v>45875</v>
      </c>
      <c r="U25" s="64"/>
      <c r="V25" s="23"/>
      <c r="W25" s="64"/>
      <c r="X25" s="303"/>
      <c r="Y25" s="23"/>
      <c r="Z25" s="23"/>
    </row>
    <row r="26" ht="18.75" customHeight="1">
      <c r="A26" s="55"/>
      <c r="B26" s="56"/>
      <c r="C26" s="55"/>
      <c r="D26" s="56"/>
      <c r="E26" s="55"/>
      <c r="F26" s="56"/>
      <c r="G26" s="55"/>
      <c r="H26" s="56"/>
      <c r="I26" s="55"/>
      <c r="J26" s="56"/>
      <c r="K26" s="55"/>
      <c r="L26" s="57"/>
      <c r="M26" s="55"/>
      <c r="N26" s="56"/>
      <c r="O26" s="23"/>
      <c r="P26" s="385" t="s">
        <v>19</v>
      </c>
      <c r="Q26" s="386"/>
      <c r="R26" s="387">
        <v>7.0</v>
      </c>
      <c r="S26" s="388">
        <v>2309.72</v>
      </c>
      <c r="T26" s="384">
        <f t="shared" si="1"/>
        <v>45876</v>
      </c>
      <c r="U26" s="64"/>
      <c r="V26" s="23"/>
      <c r="W26" s="64"/>
      <c r="X26" s="303"/>
      <c r="Y26" s="23"/>
      <c r="Z26" s="23"/>
    </row>
    <row r="27" ht="18.75" customHeight="1">
      <c r="A27" s="55"/>
      <c r="B27" s="56"/>
      <c r="C27" s="55"/>
      <c r="D27" s="56"/>
      <c r="E27" s="55"/>
      <c r="F27" s="56"/>
      <c r="G27" s="55"/>
      <c r="H27" s="56"/>
      <c r="I27" s="55"/>
      <c r="J27" s="56"/>
      <c r="K27" s="55"/>
      <c r="L27" s="56"/>
      <c r="M27" s="55"/>
      <c r="N27" s="56"/>
      <c r="O27" s="23"/>
      <c r="P27" s="385" t="s">
        <v>51</v>
      </c>
      <c r="Q27" s="386"/>
      <c r="R27" s="387">
        <v>8.0</v>
      </c>
      <c r="S27" s="388">
        <v>-26.99</v>
      </c>
      <c r="T27" s="384">
        <f t="shared" si="1"/>
        <v>45877</v>
      </c>
      <c r="U27" s="64"/>
      <c r="V27" s="23"/>
      <c r="W27" s="64"/>
      <c r="X27" s="303"/>
      <c r="Y27" s="23"/>
      <c r="Z27" s="23"/>
    </row>
    <row r="28" ht="18.75" customHeight="1">
      <c r="A28" s="66" t="s">
        <v>22</v>
      </c>
      <c r="B28" s="67">
        <f>N22+SUM(B23:B27)</f>
        <v>2767.07</v>
      </c>
      <c r="C28" s="66"/>
      <c r="D28" s="67">
        <f>B28+SUM(D23:D27)</f>
        <v>2687.08</v>
      </c>
      <c r="E28" s="66"/>
      <c r="F28" s="67">
        <f>D28+SUM(F23:F27)</f>
        <v>2685.09</v>
      </c>
      <c r="G28" s="66"/>
      <c r="H28" s="67">
        <f>F28+SUM(H23:H27)</f>
        <v>2433.09</v>
      </c>
      <c r="I28" s="66"/>
      <c r="J28" s="67">
        <f>H28+SUM(J23:J27)</f>
        <v>2406.86</v>
      </c>
      <c r="K28" s="66"/>
      <c r="L28" s="67">
        <f>J28+SUM(L23:L27)</f>
        <v>2362.79</v>
      </c>
      <c r="M28" s="66"/>
      <c r="N28" s="67">
        <f>L28+SUM(N23:N27)</f>
        <v>2362.79</v>
      </c>
      <c r="O28" s="68"/>
      <c r="P28" s="385" t="s">
        <v>38</v>
      </c>
      <c r="Q28" s="386"/>
      <c r="R28" s="387">
        <v>10.0</v>
      </c>
      <c r="S28" s="388">
        <v>-100.0</v>
      </c>
      <c r="T28" s="384">
        <f t="shared" si="1"/>
        <v>45879</v>
      </c>
      <c r="U28" s="71"/>
      <c r="V28" s="69"/>
      <c r="W28" s="71"/>
      <c r="X28" s="309"/>
      <c r="Y28" s="69"/>
      <c r="Z28" s="69"/>
    </row>
    <row r="29" ht="18.75" customHeight="1">
      <c r="A29" s="50">
        <f>IF(M23="","",IF(MONTH(M23+1)&lt;&gt;MONTH(M23),"",M23+1))</f>
        <v>45886</v>
      </c>
      <c r="B29" s="51">
        <f>SUMIF($T$11:$T$108,A29,$S$11:$S$69)</f>
        <v>-9.99</v>
      </c>
      <c r="C29" s="50">
        <f>IF(A29="","",IF(MONTH(A29+1)&lt;&gt;MONTH(A29),"",A29+1))</f>
        <v>45887</v>
      </c>
      <c r="D29" s="51">
        <f>SUMIF($T$11:$T$108,C29,$S$11:$S$69)</f>
        <v>0</v>
      </c>
      <c r="E29" s="50">
        <f>IF(C29="","",IF(MONTH(C29+1)&lt;&gt;MONTH(C29),"",C29+1))</f>
        <v>45888</v>
      </c>
      <c r="F29" s="51">
        <f>SUMIF($T$11:$T$108,E29,$S$11:$S$69)</f>
        <v>-796.84</v>
      </c>
      <c r="G29" s="50">
        <f>IF(E29="","",IF(MONTH(E29+1)&lt;&gt;MONTH(E29),"",E29+1))</f>
        <v>45889</v>
      </c>
      <c r="H29" s="51">
        <f>SUMIF($T$11:$T$108,G29,$S$11:$S$69)</f>
        <v>-150</v>
      </c>
      <c r="I29" s="50">
        <f>IF(G29="","",IF(MONTH(G29+1)&lt;&gt;MONTH(G29),"",G29+1))</f>
        <v>45890</v>
      </c>
      <c r="J29" s="51">
        <f>SUMIF($T$11:$T$108,I29,$S$11:$S$69)</f>
        <v>0</v>
      </c>
      <c r="K29" s="50">
        <f>IF(I29="","",IF(MONTH(I29+1)&lt;&gt;MONTH(I29),"",I29+1))</f>
        <v>45891</v>
      </c>
      <c r="L29" s="51">
        <f>SUMIF($T$11:$T$108,K29,$S$11:$S$69)</f>
        <v>2301.12</v>
      </c>
      <c r="M29" s="50">
        <f>IF(K29="","",IF(MONTH(K29+1)&lt;&gt;MONTH(K29),"",K29+1))</f>
        <v>45892</v>
      </c>
      <c r="N29" s="51">
        <f>SUMIF($T$11:$T$108,M29,$S$11:$S$69)</f>
        <v>0</v>
      </c>
      <c r="O29" s="23"/>
      <c r="P29" s="385" t="s">
        <v>34</v>
      </c>
      <c r="Q29" s="386"/>
      <c r="R29" s="387">
        <v>12.0</v>
      </c>
      <c r="S29" s="388">
        <v>-1.99</v>
      </c>
      <c r="T29" s="384">
        <f t="shared" si="1"/>
        <v>45881</v>
      </c>
      <c r="U29" s="64"/>
      <c r="V29" s="23"/>
      <c r="W29" s="64"/>
      <c r="X29" s="303"/>
      <c r="Y29" s="23"/>
      <c r="Z29" s="23"/>
    </row>
    <row r="30" ht="18.75" customHeight="1">
      <c r="A30" s="55"/>
      <c r="B30" s="56"/>
      <c r="C30" s="58"/>
      <c r="D30" s="57"/>
      <c r="E30" s="58" t="s">
        <v>209</v>
      </c>
      <c r="F30" s="57"/>
      <c r="G30" s="58"/>
      <c r="H30" s="57"/>
      <c r="I30" s="55"/>
      <c r="J30" s="57"/>
      <c r="K30" s="58"/>
      <c r="L30" s="57"/>
      <c r="M30" s="485"/>
      <c r="N30" s="486">
        <v>-22.61</v>
      </c>
      <c r="O30" s="23"/>
      <c r="P30" s="385" t="s">
        <v>26</v>
      </c>
      <c r="Q30" s="386"/>
      <c r="R30" s="387">
        <v>13.0</v>
      </c>
      <c r="S30" s="388">
        <v>-150.0</v>
      </c>
      <c r="T30" s="384">
        <f t="shared" si="1"/>
        <v>45882</v>
      </c>
      <c r="U30" s="64"/>
      <c r="V30" s="23"/>
      <c r="W30" s="64"/>
      <c r="X30" s="303"/>
      <c r="Y30" s="23"/>
      <c r="Z30" s="23"/>
    </row>
    <row r="31" ht="18.75" customHeight="1">
      <c r="A31" s="55"/>
      <c r="B31" s="56"/>
      <c r="C31" s="58"/>
      <c r="D31" s="57"/>
      <c r="E31" s="55"/>
      <c r="F31" s="56"/>
      <c r="G31" s="55"/>
      <c r="H31" s="56"/>
      <c r="I31" s="58"/>
      <c r="J31" s="57"/>
      <c r="K31" s="58"/>
      <c r="L31" s="57"/>
      <c r="M31" s="58"/>
      <c r="N31" s="57"/>
      <c r="O31" s="23"/>
      <c r="P31" s="519" t="s">
        <v>205</v>
      </c>
      <c r="Q31" s="511"/>
      <c r="R31" s="416">
        <v>14.0</v>
      </c>
      <c r="S31" s="383">
        <v>-26.23</v>
      </c>
      <c r="T31" s="536">
        <f>IF(ISBLANK(R31),"-",IF(R31&gt;DAY(EOMONTH(DATE($B$2,$E$2,1),0)),EOMONTH(DATE($B$2,$E$2,1),0),DATE($B$2,$E$2,R31)))</f>
        <v>45883</v>
      </c>
      <c r="U31" s="64"/>
      <c r="V31" s="23"/>
      <c r="W31" s="64"/>
      <c r="X31" s="303"/>
      <c r="Y31" s="64"/>
      <c r="Z31" s="23"/>
    </row>
    <row r="32" ht="18.75" customHeight="1">
      <c r="A32" s="55"/>
      <c r="B32" s="56"/>
      <c r="C32" s="55"/>
      <c r="D32" s="56"/>
      <c r="E32" s="55"/>
      <c r="F32" s="56"/>
      <c r="G32" s="55"/>
      <c r="H32" s="56"/>
      <c r="I32" s="55"/>
      <c r="J32" s="56"/>
      <c r="K32" s="55"/>
      <c r="L32" s="56"/>
      <c r="M32" s="55"/>
      <c r="N32" s="56"/>
      <c r="O32" s="23"/>
      <c r="P32" s="385" t="s">
        <v>40</v>
      </c>
      <c r="Q32" s="386"/>
      <c r="R32" s="387">
        <v>13.0</v>
      </c>
      <c r="S32" s="388">
        <v>-102.0</v>
      </c>
      <c r="T32" s="384">
        <f t="shared" ref="T32:T38" si="2">IF(ISBLANK(R32),"-",IF(R32&gt;DAY(EOMONTH(DATE($B$2,$E$2,1),0)),EOMONTH(DATE($B$2,$E$2,1),0),DATE($B$2,$E$2,R32)))</f>
        <v>45882</v>
      </c>
      <c r="U32" s="64"/>
      <c r="V32" s="23"/>
      <c r="W32" s="64"/>
      <c r="X32" s="303"/>
      <c r="Y32" s="64"/>
      <c r="Z32" s="23"/>
    </row>
    <row r="33" ht="18.75" customHeight="1">
      <c r="A33" s="55"/>
      <c r="B33" s="56"/>
      <c r="C33" s="55"/>
      <c r="D33" s="56"/>
      <c r="E33" s="55"/>
      <c r="F33" s="56"/>
      <c r="G33" s="55"/>
      <c r="H33" s="56"/>
      <c r="I33" s="55"/>
      <c r="J33" s="56"/>
      <c r="K33" s="55"/>
      <c r="L33" s="56"/>
      <c r="M33" s="55"/>
      <c r="N33" s="56"/>
      <c r="O33" s="23"/>
      <c r="P33" s="385" t="s">
        <v>43</v>
      </c>
      <c r="Q33" s="386"/>
      <c r="R33" s="387">
        <v>17.0</v>
      </c>
      <c r="S33" s="388">
        <v>-9.99</v>
      </c>
      <c r="T33" s="384">
        <f t="shared" si="2"/>
        <v>45886</v>
      </c>
      <c r="U33" s="64"/>
      <c r="V33" s="23"/>
      <c r="W33" s="64"/>
      <c r="X33" s="303"/>
      <c r="Y33" s="23"/>
      <c r="Z33" s="23"/>
    </row>
    <row r="34" ht="18.75" customHeight="1">
      <c r="A34" s="66" t="s">
        <v>22</v>
      </c>
      <c r="B34" s="67">
        <v>1665.09</v>
      </c>
      <c r="C34" s="66"/>
      <c r="D34" s="67">
        <f>B34+SUM(D29:D33)</f>
        <v>1665.09</v>
      </c>
      <c r="E34" s="66"/>
      <c r="F34" s="67">
        <f>D34+SUM(F29:F33)</f>
        <v>868.25</v>
      </c>
      <c r="G34" s="66"/>
      <c r="H34" s="67">
        <f>F34+SUM(H29:H33)</f>
        <v>718.25</v>
      </c>
      <c r="I34" s="66"/>
      <c r="J34" s="67">
        <f>H34+SUM(J29:J33)</f>
        <v>718.25</v>
      </c>
      <c r="K34" s="66"/>
      <c r="L34" s="355">
        <v>3152.93</v>
      </c>
      <c r="M34" s="66"/>
      <c r="N34" s="67">
        <f>L34+SUM(N29:N33)</f>
        <v>3130.32</v>
      </c>
      <c r="O34" s="68"/>
      <c r="P34" s="385" t="s">
        <v>34</v>
      </c>
      <c r="Q34" s="386"/>
      <c r="R34" s="387">
        <v>19.0</v>
      </c>
      <c r="S34" s="388"/>
      <c r="T34" s="384">
        <f t="shared" si="2"/>
        <v>45888</v>
      </c>
      <c r="U34" s="71"/>
      <c r="V34" s="69"/>
      <c r="W34" s="71"/>
      <c r="X34" s="309"/>
      <c r="Y34" s="69"/>
      <c r="Z34" s="69"/>
    </row>
    <row r="35" ht="18.75" customHeight="1">
      <c r="A35" s="50">
        <f>IF(M29="","",IF(MONTH(M29+1)&lt;&gt;MONTH(M29),"",M29+1))</f>
        <v>45893</v>
      </c>
      <c r="B35" s="51">
        <f>SUMIF($T$11:$T$108,A35,$S$11:$S$69)</f>
        <v>0</v>
      </c>
      <c r="C35" s="50">
        <f>IF(A35="","",IF(MONTH(A35+1)&lt;&gt;MONTH(A35),"",A35+1))</f>
        <v>45894</v>
      </c>
      <c r="D35" s="51">
        <f>SUMIF($T$11:$T$108,C35,$S$11:$S$69)</f>
        <v>-29.34</v>
      </c>
      <c r="E35" s="50">
        <f>IF(C35="","",IF(MONTH(C35+1)&lt;&gt;MONTH(C35),"",C35+1))</f>
        <v>45895</v>
      </c>
      <c r="F35" s="51">
        <f>SUMIF($T$11:$T$108,E35,$S$11:$S$69)</f>
        <v>0</v>
      </c>
      <c r="G35" s="50">
        <f>IF(E35="","",IF(MONTH(E35+1)&lt;&gt;MONTH(E35),"",E35+1))</f>
        <v>45896</v>
      </c>
      <c r="H35" s="51">
        <f>SUMIF($T$11:$T$108,G35,$S$11:$S$69)</f>
        <v>-150</v>
      </c>
      <c r="I35" s="50">
        <f>IF(G35="","",IF(MONTH(G35+1)&lt;&gt;MONTH(G35),"",G35+1))</f>
        <v>45897</v>
      </c>
      <c r="J35" s="51">
        <f>SUMIF($T$11:$T$108,I35,$S$11:$S$69)</f>
        <v>-350</v>
      </c>
      <c r="K35" s="50">
        <f>IF(I35="","",IF(MONTH(I35+1)&lt;&gt;MONTH(I35),"",I35+1))</f>
        <v>45898</v>
      </c>
      <c r="L35" s="51">
        <f>SUMIF($T$11:$T$108,K35,$S$11:$S$69)</f>
        <v>-10.99</v>
      </c>
      <c r="M35" s="50">
        <f>IF(K35="","",IF(MONTH(K35+1)&lt;&gt;MONTH(K35),"",K35+1))</f>
        <v>45899</v>
      </c>
      <c r="N35" s="51">
        <f>SUMIF($T$11:$T$108,M35,$S$11:$S$69)</f>
        <v>-29.35</v>
      </c>
      <c r="O35" s="23"/>
      <c r="P35" s="385" t="s">
        <v>30</v>
      </c>
      <c r="Q35" s="386"/>
      <c r="R35" s="416">
        <v>19.0</v>
      </c>
      <c r="S35" s="397">
        <v>-296.84</v>
      </c>
      <c r="T35" s="384">
        <f t="shared" si="2"/>
        <v>45888</v>
      </c>
      <c r="U35" s="64"/>
      <c r="V35" s="23"/>
      <c r="W35" s="64"/>
      <c r="X35" s="303"/>
      <c r="Y35" s="23"/>
      <c r="Z35" s="23"/>
    </row>
    <row r="36" ht="18.75" customHeight="1">
      <c r="A36" s="55"/>
      <c r="B36" s="56"/>
      <c r="C36" s="58" t="s">
        <v>210</v>
      </c>
      <c r="D36" s="57">
        <v>-44.66</v>
      </c>
      <c r="E36" s="58"/>
      <c r="F36" s="57">
        <v>-24.41</v>
      </c>
      <c r="G36" s="55"/>
      <c r="H36" s="57"/>
      <c r="I36" s="58" t="s">
        <v>163</v>
      </c>
      <c r="J36" s="57">
        <v>-20.9</v>
      </c>
      <c r="K36" s="58"/>
      <c r="L36" s="57">
        <v>-19.98</v>
      </c>
      <c r="M36" s="55"/>
      <c r="N36" s="56"/>
      <c r="O36" s="23"/>
      <c r="P36" s="385" t="s">
        <v>26</v>
      </c>
      <c r="Q36" s="386"/>
      <c r="R36" s="387">
        <v>20.0</v>
      </c>
      <c r="S36" s="388">
        <v>-150.0</v>
      </c>
      <c r="T36" s="384">
        <f t="shared" si="2"/>
        <v>45889</v>
      </c>
      <c r="U36" s="64"/>
      <c r="V36" s="23"/>
      <c r="W36" s="64"/>
      <c r="X36" s="303"/>
      <c r="Y36" s="23"/>
      <c r="Z36" s="23"/>
    </row>
    <row r="37" ht="18.75" customHeight="1">
      <c r="A37" s="55"/>
      <c r="B37" s="56"/>
      <c r="C37" s="55"/>
      <c r="D37" s="56"/>
      <c r="E37" s="58"/>
      <c r="F37" s="57"/>
      <c r="G37" s="55"/>
      <c r="H37" s="56"/>
      <c r="I37" s="55"/>
      <c r="J37" s="57">
        <v>-16.2</v>
      </c>
      <c r="K37" s="55"/>
      <c r="L37" s="57">
        <v>-36.58</v>
      </c>
      <c r="M37" s="55"/>
      <c r="N37" s="56"/>
      <c r="O37" s="23"/>
      <c r="P37" s="385" t="s">
        <v>151</v>
      </c>
      <c r="Q37" s="386"/>
      <c r="R37" s="387">
        <v>22.0</v>
      </c>
      <c r="S37" s="388">
        <v>2301.12</v>
      </c>
      <c r="T37" s="384">
        <f t="shared" si="2"/>
        <v>45891</v>
      </c>
      <c r="U37" s="64"/>
      <c r="V37" s="23"/>
      <c r="W37" s="64"/>
      <c r="X37" s="303"/>
      <c r="Y37" s="23"/>
      <c r="Z37" s="23"/>
    </row>
    <row r="38" ht="18.75" customHeight="1">
      <c r="A38" s="55"/>
      <c r="B38" s="56"/>
      <c r="C38" s="55"/>
      <c r="D38" s="56"/>
      <c r="E38" s="55"/>
      <c r="F38" s="56"/>
      <c r="G38" s="55"/>
      <c r="H38" s="56"/>
      <c r="I38" s="55"/>
      <c r="J38" s="56"/>
      <c r="K38" s="55"/>
      <c r="L38" s="56"/>
      <c r="M38" s="55"/>
      <c r="N38" s="56"/>
      <c r="O38" s="23"/>
      <c r="P38" s="385" t="s">
        <v>46</v>
      </c>
      <c r="Q38" s="386"/>
      <c r="R38" s="387">
        <v>25.0</v>
      </c>
      <c r="S38" s="388">
        <v>-10.99</v>
      </c>
      <c r="T38" s="384">
        <f t="shared" si="2"/>
        <v>45894</v>
      </c>
      <c r="U38" s="64"/>
      <c r="V38" s="23"/>
      <c r="W38" s="64"/>
      <c r="X38" s="303"/>
      <c r="Y38" s="23"/>
      <c r="Z38" s="23"/>
    </row>
    <row r="39" ht="18.75" customHeight="1">
      <c r="A39" s="55"/>
      <c r="B39" s="56"/>
      <c r="C39" s="55"/>
      <c r="D39" s="56"/>
      <c r="E39" s="55"/>
      <c r="F39" s="56"/>
      <c r="G39" s="55"/>
      <c r="H39" s="56"/>
      <c r="I39" s="55"/>
      <c r="J39" s="56"/>
      <c r="K39" s="55"/>
      <c r="L39" s="56"/>
      <c r="M39" s="55"/>
      <c r="N39" s="56"/>
      <c r="O39" s="23"/>
      <c r="P39" s="414" t="s">
        <v>211</v>
      </c>
      <c r="Q39" s="511"/>
      <c r="R39" s="416">
        <v>28.0</v>
      </c>
      <c r="S39" s="383">
        <v>-350.0</v>
      </c>
      <c r="T39" s="536">
        <f>IF(ISBLANK(R39),"-",IF(R39&gt;DAY(EOMONTH(DATE($B$2,$E$2,1),0)),EOMONTH(DATE($B$2,$E$2,1),0),DATE($B$2,$E$2,R39)))</f>
        <v>45897</v>
      </c>
      <c r="U39" s="64"/>
      <c r="V39" s="23"/>
      <c r="W39" s="64"/>
      <c r="X39" s="303"/>
      <c r="Y39" s="23"/>
      <c r="Z39" s="23"/>
    </row>
    <row r="40" ht="18.75" customHeight="1">
      <c r="A40" s="66" t="s">
        <v>22</v>
      </c>
      <c r="B40" s="67">
        <f>N34+SUM(B35:B39)</f>
        <v>3130.32</v>
      </c>
      <c r="C40" s="66"/>
      <c r="D40" s="67">
        <f>B40+SUM(D35:D39)</f>
        <v>3056.32</v>
      </c>
      <c r="E40" s="66"/>
      <c r="F40" s="67">
        <f>D40+SUM(F35:F39)</f>
        <v>3031.91</v>
      </c>
      <c r="G40" s="66"/>
      <c r="H40" s="67">
        <f>F40+SUM(H35:H39)</f>
        <v>2881.91</v>
      </c>
      <c r="I40" s="66"/>
      <c r="J40" s="67">
        <f>H40+SUM(J35:J39)</f>
        <v>2494.81</v>
      </c>
      <c r="K40" s="66"/>
      <c r="L40" s="67">
        <f>J40+SUM(L35:L39)</f>
        <v>2427.26</v>
      </c>
      <c r="M40" s="66"/>
      <c r="N40" s="67">
        <f>L40+SUM(N35:N39)</f>
        <v>2397.91</v>
      </c>
      <c r="O40" s="68"/>
      <c r="P40" s="380" t="s">
        <v>44</v>
      </c>
      <c r="Q40" s="381"/>
      <c r="R40" s="382">
        <v>25.0</v>
      </c>
      <c r="S40" s="397">
        <v>-18.35</v>
      </c>
      <c r="T40" s="384">
        <f t="shared" ref="T40:T41" si="3">IF(ISBLANK(R40),"-",IF(R40&gt;DAY(EOMONTH(DATE($B$2,$E$2,1),0)),EOMONTH(DATE($B$2,$E$2,1),0),DATE($B$2,$E$2,R40)))</f>
        <v>45894</v>
      </c>
      <c r="U40" s="71"/>
      <c r="V40" s="69"/>
      <c r="W40" s="71"/>
      <c r="X40" s="309"/>
      <c r="Y40" s="69"/>
      <c r="Z40" s="69"/>
    </row>
    <row r="41" ht="18.75" customHeight="1">
      <c r="A41" s="50">
        <f>IF(M35="","",IF(MONTH(M35+1)&lt;&gt;MONTH(M35),"",M35+1))</f>
        <v>45900</v>
      </c>
      <c r="B41" s="51">
        <f>SUMIF($T$11:$T$108,A41,$S$11:$S$69)</f>
        <v>0</v>
      </c>
      <c r="C41" s="50" t="str">
        <f>IF(A41="","",IF(MONTH(A41+1)&lt;&gt;MONTH(A41),"",A41+1))</f>
        <v/>
      </c>
      <c r="D41" s="51">
        <f>SUMIF($T$11:$T$108,C41,$S$11:$S$69)</f>
        <v>0</v>
      </c>
      <c r="E41" s="77"/>
      <c r="F41" s="77" t="s">
        <v>50</v>
      </c>
      <c r="G41" s="77"/>
      <c r="H41" s="77"/>
      <c r="I41" s="77"/>
      <c r="J41" s="77"/>
      <c r="K41" s="77"/>
      <c r="L41" s="77"/>
      <c r="M41" s="77"/>
      <c r="N41" s="77"/>
      <c r="P41" s="385" t="s">
        <v>26</v>
      </c>
      <c r="Q41" s="386"/>
      <c r="R41" s="387">
        <v>27.0</v>
      </c>
      <c r="S41" s="388">
        <v>-150.0</v>
      </c>
      <c r="T41" s="384">
        <f t="shared" si="3"/>
        <v>45896</v>
      </c>
      <c r="V41" s="313"/>
      <c r="X41" s="314"/>
    </row>
    <row r="42" ht="18.75" customHeight="1">
      <c r="A42" s="55"/>
      <c r="B42" s="56"/>
      <c r="C42" s="55"/>
      <c r="D42" s="56"/>
      <c r="E42" s="77"/>
      <c r="F42" s="77" t="s">
        <v>52</v>
      </c>
      <c r="G42" s="77"/>
      <c r="H42" s="77"/>
      <c r="I42" s="77"/>
      <c r="J42" s="77"/>
      <c r="K42" s="77"/>
      <c r="L42" s="77"/>
      <c r="M42" s="77"/>
      <c r="N42" s="77"/>
      <c r="P42" s="519" t="s">
        <v>142</v>
      </c>
      <c r="Q42" s="511"/>
      <c r="R42" s="556">
        <v>28.0</v>
      </c>
      <c r="S42" s="397"/>
      <c r="T42" s="536">
        <f>IF(ISBLANK(R42),"-",IF(R42&gt;DAY(EOMONTH(DATE($B$2,$E$2,1),0)),EOMONTH(DATE($B$2,$E$2,1),0),DATE($B$2,$E$2,R42)))</f>
        <v>45897</v>
      </c>
      <c r="V42" s="313"/>
      <c r="X42" s="314"/>
    </row>
    <row r="43" ht="18.75" customHeight="1">
      <c r="A43" s="55"/>
      <c r="B43" s="56"/>
      <c r="C43" s="55"/>
      <c r="D43" s="56"/>
      <c r="E43" s="77"/>
      <c r="F43" s="77"/>
      <c r="G43" s="77"/>
      <c r="H43" s="77"/>
      <c r="I43" s="77"/>
      <c r="J43" s="77"/>
      <c r="K43" s="77"/>
      <c r="L43" s="77"/>
      <c r="M43" s="77"/>
      <c r="N43" s="77"/>
      <c r="P43" s="319"/>
      <c r="Q43" s="320"/>
      <c r="R43" s="321"/>
      <c r="S43" s="322"/>
      <c r="T43" s="323"/>
      <c r="V43" s="313"/>
    </row>
    <row r="44" ht="18.75" customHeight="1">
      <c r="A44" s="55"/>
      <c r="B44" s="56"/>
      <c r="C44" s="55"/>
      <c r="D44" s="56"/>
      <c r="E44" s="77"/>
      <c r="F44" s="77"/>
      <c r="G44" s="77"/>
      <c r="H44" s="77"/>
      <c r="I44" s="77"/>
      <c r="J44" s="77"/>
      <c r="K44" s="77"/>
      <c r="L44" s="77"/>
      <c r="M44" s="77"/>
      <c r="N44" s="77"/>
      <c r="P44" s="385" t="s">
        <v>53</v>
      </c>
      <c r="Q44" s="386"/>
      <c r="R44" s="387">
        <v>29.0</v>
      </c>
      <c r="S44" s="388">
        <v>-10.99</v>
      </c>
      <c r="T44" s="384">
        <f t="shared" ref="T44:T49" si="4">IF(ISBLANK(R44),"-",IF(R44&gt;DAY(EOMONTH(DATE($B$2,$E$2,1),0)),EOMONTH(DATE($B$2,$E$2,1),0),DATE($B$2,$E$2,R44)))</f>
        <v>45898</v>
      </c>
      <c r="V44" s="313"/>
      <c r="X44" s="314"/>
    </row>
    <row r="45" ht="18.75" customHeight="1">
      <c r="A45" s="55"/>
      <c r="B45" s="56"/>
      <c r="C45" s="55"/>
      <c r="D45" s="56"/>
      <c r="E45" s="77"/>
      <c r="F45" s="77"/>
      <c r="G45" s="77"/>
      <c r="H45" s="326">
        <v>22.61</v>
      </c>
      <c r="I45" s="77"/>
      <c r="J45" s="77"/>
      <c r="K45" s="77"/>
      <c r="L45" s="77"/>
      <c r="M45" s="77"/>
      <c r="N45" s="77"/>
      <c r="P45" s="380" t="s">
        <v>55</v>
      </c>
      <c r="Q45" s="381"/>
      <c r="R45" s="557">
        <v>30.0</v>
      </c>
      <c r="S45" s="397">
        <v>-18.35</v>
      </c>
      <c r="T45" s="384">
        <f t="shared" si="4"/>
        <v>45899</v>
      </c>
    </row>
    <row r="46" ht="18.75" customHeight="1">
      <c r="A46" s="66" t="s">
        <v>22</v>
      </c>
      <c r="B46" s="67">
        <f>N40+SUM(B41:B45)</f>
        <v>2397.91</v>
      </c>
      <c r="C46" s="66"/>
      <c r="D46" s="67">
        <f>B46+SUM(D41:D45)</f>
        <v>2397.91</v>
      </c>
      <c r="E46" s="77"/>
      <c r="F46" s="77"/>
      <c r="G46" s="77"/>
      <c r="H46" s="326">
        <v>16.2</v>
      </c>
      <c r="I46" s="77"/>
      <c r="J46" s="77"/>
      <c r="K46" s="77"/>
      <c r="L46" s="77"/>
      <c r="M46" s="77"/>
      <c r="N46" s="77"/>
      <c r="P46" s="385" t="s">
        <v>54</v>
      </c>
      <c r="Q46" s="386"/>
      <c r="R46" s="387">
        <v>30.0</v>
      </c>
      <c r="S46" s="388">
        <v>-11.0</v>
      </c>
      <c r="T46" s="384">
        <f t="shared" si="4"/>
        <v>45899</v>
      </c>
    </row>
    <row r="47" ht="12.75" customHeight="1">
      <c r="H47" s="108">
        <v>20.9</v>
      </c>
      <c r="P47" s="319" t="s">
        <v>29</v>
      </c>
      <c r="Q47" s="320"/>
      <c r="R47" s="321"/>
      <c r="S47" s="322"/>
      <c r="T47" s="323" t="str">
        <f t="shared" si="4"/>
        <v>-</v>
      </c>
    </row>
    <row r="48" ht="12.75" customHeight="1">
      <c r="H48" s="108">
        <v>60.0</v>
      </c>
      <c r="P48" s="319" t="s">
        <v>26</v>
      </c>
      <c r="Q48" s="320"/>
      <c r="R48" s="321"/>
      <c r="S48" s="322">
        <v>-150.0</v>
      </c>
      <c r="T48" s="323" t="str">
        <f t="shared" si="4"/>
        <v>-</v>
      </c>
    </row>
    <row r="49" ht="12.75" customHeight="1">
      <c r="P49" s="414" t="s">
        <v>212</v>
      </c>
      <c r="Q49" s="415"/>
      <c r="R49" s="416">
        <v>19.0</v>
      </c>
      <c r="S49" s="383">
        <v>-500.0</v>
      </c>
      <c r="T49" s="384">
        <f t="shared" si="4"/>
        <v>45888</v>
      </c>
    </row>
    <row r="50" ht="12.75" customHeight="1">
      <c r="P50" s="367"/>
      <c r="Q50" s="407"/>
      <c r="R50" s="405"/>
      <c r="S50" s="370"/>
      <c r="T50" s="323" t="str">
        <f>IF(ISBLANK(R50),"-",IF(R50&gt;DAY(EOMONTH(DATE($B$2,3,1),0)),EOMONTH(DATE($B$2,3,1),0),DATE($B$2,3,R50)))</f>
        <v>-</v>
      </c>
    </row>
    <row r="51" ht="12.75" customHeight="1">
      <c r="P51" s="367"/>
      <c r="Q51" s="407"/>
      <c r="R51" s="405"/>
      <c r="S51" s="555"/>
      <c r="T51" s="376" t="str">
        <f t="shared" ref="T51:T58" si="5">IF(ISBLANK(R51),"-",IF(R51&gt;DAY(EOMONTH(DATE($B$2,$E$2,1),0)),EOMONTH(DATE($B$2,$E$2,1),0),DATE($B$2,$E$2,$R$47)))</f>
        <v>-</v>
      </c>
    </row>
    <row r="52" ht="12.75" customHeight="1">
      <c r="P52" s="542"/>
      <c r="Q52" s="407"/>
      <c r="R52" s="543"/>
      <c r="S52" s="544"/>
      <c r="T52" s="376" t="str">
        <f t="shared" si="5"/>
        <v>-</v>
      </c>
    </row>
    <row r="53" ht="12.75" customHeight="1">
      <c r="P53" s="542"/>
      <c r="Q53" s="407"/>
      <c r="R53" s="543"/>
      <c r="S53" s="544"/>
      <c r="T53" s="376" t="str">
        <f t="shared" si="5"/>
        <v>-</v>
      </c>
    </row>
    <row r="54" ht="12.75" customHeight="1">
      <c r="P54" s="542"/>
      <c r="Q54" s="407"/>
      <c r="R54" s="543"/>
      <c r="S54" s="544"/>
      <c r="T54" s="376" t="str">
        <f t="shared" si="5"/>
        <v>-</v>
      </c>
    </row>
    <row r="55" ht="12.75" customHeight="1">
      <c r="P55" s="542"/>
      <c r="Q55" s="407"/>
      <c r="R55" s="543"/>
      <c r="S55" s="544"/>
      <c r="T55" s="376" t="str">
        <f t="shared" si="5"/>
        <v>-</v>
      </c>
    </row>
    <row r="56" ht="12.75" customHeight="1">
      <c r="P56" s="542"/>
      <c r="Q56" s="407"/>
      <c r="R56" s="543"/>
      <c r="S56" s="544"/>
      <c r="T56" s="376" t="str">
        <f t="shared" si="5"/>
        <v>-</v>
      </c>
    </row>
    <row r="57" ht="12.75" customHeight="1">
      <c r="P57" s="542"/>
      <c r="Q57" s="407"/>
      <c r="R57" s="543"/>
      <c r="S57" s="544"/>
      <c r="T57" s="376" t="str">
        <f t="shared" si="5"/>
        <v>-</v>
      </c>
    </row>
    <row r="58" ht="12.75" customHeight="1">
      <c r="P58" s="542"/>
      <c r="Q58" s="407"/>
      <c r="R58" s="543"/>
      <c r="S58" s="544"/>
      <c r="T58" s="376" t="str">
        <f t="shared" si="5"/>
        <v>-</v>
      </c>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row>
    <row r="913" ht="12.75" customHeight="1">
      <c r="R913" s="336"/>
    </row>
    <row r="914" ht="12.75" customHeight="1">
      <c r="R914" s="336"/>
    </row>
    <row r="915" ht="12.75" customHeight="1">
      <c r="R915" s="336"/>
    </row>
  </sheetData>
  <mergeCells count="11">
    <mergeCell ref="G9:H9"/>
    <mergeCell ref="I9:J9"/>
    <mergeCell ref="K9:L9"/>
    <mergeCell ref="M9:N9"/>
    <mergeCell ref="M5:N5"/>
    <mergeCell ref="S5:T5"/>
    <mergeCell ref="M6:N6"/>
    <mergeCell ref="S6:T6"/>
    <mergeCell ref="A9:B9"/>
    <mergeCell ref="C9:D9"/>
    <mergeCell ref="E9:F9"/>
  </mergeCells>
  <conditionalFormatting sqref="S1:S915">
    <cfRule type="cellIs" dxfId="5" priority="1" operator="lessThan">
      <formula>0</formula>
    </cfRule>
  </conditionalFormatting>
  <dataValidations>
    <dataValidation type="list" allowBlank="1" showErrorMessage="1" sqref="Q12:Q58">
      <formula1>"✔"</formula1>
    </dataValidation>
    <dataValidation type="custom" allowBlank="1" showDropDown="1" sqref="T12:T58">
      <formula1>OR(NOT(ISERROR(DATEVALUE(T12))), AND(ISNUMBER(T12), LEFT(CELL("format", T12))="D"))</formula1>
    </dataValidation>
  </dataValidations>
  <hyperlinks>
    <hyperlink r:id="rId1" ref="T3"/>
  </hyperlinks>
  <drawing r:id="rId2"/>
  <tableParts count="1">
    <tablePart r:id="rId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5.75"/>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558" t="s">
        <v>1</v>
      </c>
      <c r="B2" s="559">
        <v>2025.0</v>
      </c>
      <c r="C2" s="3"/>
      <c r="D2" s="558" t="s">
        <v>2</v>
      </c>
      <c r="E2" s="559">
        <v>9.0</v>
      </c>
      <c r="F2" s="3"/>
      <c r="G2" s="558" t="s">
        <v>3</v>
      </c>
      <c r="H2" s="560">
        <v>1.0</v>
      </c>
      <c r="I2" s="561" t="s">
        <v>4</v>
      </c>
      <c r="J2" s="4"/>
      <c r="K2" s="5"/>
      <c r="L2" s="13"/>
      <c r="M2" s="13"/>
      <c r="N2" s="13"/>
      <c r="O2" s="13"/>
      <c r="P2" s="562"/>
      <c r="Q2" s="562"/>
      <c r="R2" s="563"/>
      <c r="S2" s="564"/>
      <c r="T2" s="565" t="s">
        <v>5</v>
      </c>
      <c r="U2" s="566"/>
      <c r="V2" s="566"/>
    </row>
    <row r="3" ht="12.75" customHeight="1">
      <c r="A3" s="3"/>
      <c r="B3" s="3"/>
      <c r="C3" s="3"/>
      <c r="D3" s="3"/>
      <c r="E3" s="3"/>
      <c r="F3" s="3"/>
      <c r="G3" s="3"/>
      <c r="H3" s="3"/>
      <c r="I3" s="4"/>
      <c r="J3" s="4"/>
      <c r="K3" s="4"/>
      <c r="L3" s="4"/>
      <c r="M3" s="4"/>
      <c r="N3" s="4"/>
      <c r="O3" s="4"/>
      <c r="P3" s="567"/>
      <c r="Q3" s="567"/>
      <c r="R3" s="568"/>
      <c r="S3" s="569"/>
      <c r="T3" s="570" t="s">
        <v>6</v>
      </c>
      <c r="U3" s="566"/>
      <c r="V3" s="566"/>
    </row>
    <row r="4" ht="12.75" customHeight="1">
      <c r="A4" s="566"/>
      <c r="B4" s="566"/>
      <c r="C4" s="566"/>
      <c r="D4" s="566"/>
      <c r="E4" s="566"/>
      <c r="F4" s="566"/>
      <c r="G4" s="566"/>
      <c r="H4" s="566"/>
      <c r="I4" s="566"/>
      <c r="J4" s="566"/>
      <c r="K4" s="566"/>
      <c r="L4" s="566"/>
      <c r="M4" s="566"/>
      <c r="N4" s="571"/>
      <c r="O4" s="566"/>
      <c r="P4" s="572"/>
      <c r="Q4" s="572"/>
      <c r="R4" s="573"/>
      <c r="S4" s="574"/>
      <c r="T4" s="572"/>
      <c r="U4" s="566"/>
      <c r="V4" s="566"/>
    </row>
    <row r="5" ht="25.5" customHeight="1">
      <c r="A5" s="575">
        <v>45901.0</v>
      </c>
      <c r="B5" s="576"/>
      <c r="C5" s="576"/>
      <c r="D5" s="576"/>
      <c r="E5" s="576"/>
      <c r="F5" s="576"/>
      <c r="G5" s="576"/>
      <c r="H5" s="577"/>
      <c r="I5" s="577"/>
      <c r="J5" s="577"/>
      <c r="K5" s="576"/>
      <c r="L5" s="578" t="s">
        <v>7</v>
      </c>
      <c r="M5" s="579">
        <v>2397.91</v>
      </c>
      <c r="N5" s="26"/>
      <c r="O5" s="577"/>
      <c r="P5" s="580"/>
      <c r="Q5" s="580"/>
      <c r="R5" s="581" t="s">
        <v>8</v>
      </c>
      <c r="S5" s="582">
        <v>5460.74</v>
      </c>
      <c r="U5" s="577"/>
      <c r="V5" s="583">
        <v>-23.529999999998836</v>
      </c>
      <c r="W5" s="23"/>
      <c r="X5" s="23"/>
      <c r="Y5" s="23"/>
      <c r="Z5" s="23"/>
    </row>
    <row r="6" ht="25.5" customHeight="1">
      <c r="A6" s="31"/>
      <c r="B6" s="31"/>
      <c r="C6" s="31"/>
      <c r="D6" s="31"/>
      <c r="E6" s="31"/>
      <c r="F6" s="32"/>
      <c r="G6" s="33"/>
      <c r="H6" s="34"/>
      <c r="I6" s="34"/>
      <c r="J6" s="34"/>
      <c r="K6" s="31"/>
      <c r="L6" s="24" t="s">
        <v>9</v>
      </c>
      <c r="M6" s="35">
        <f>D46</f>
        <v>2148.67</v>
      </c>
      <c r="O6" s="34"/>
      <c r="P6" s="36"/>
      <c r="Q6" s="36"/>
      <c r="R6" s="287" t="s">
        <v>10</v>
      </c>
      <c r="S6" s="288">
        <f>SUMIF(A18:N21,"&lt;0")+SUMIF(A24:N27,"&lt;0")+SUMIF(A30:N33,"&lt;0")+SUMIF(A36:N39,"&lt;0")+SUMIF(A42:D45,"&lt;0")+SUMIF(S12:S180,"&lt;0")+SUMIF(A12:N15,"&lt;0")</f>
        <v>-5728.38</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45901</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45907</v>
      </c>
      <c r="B9" s="40"/>
      <c r="C9" s="39">
        <f>C17</f>
        <v>45908</v>
      </c>
      <c r="D9" s="40"/>
      <c r="E9" s="39">
        <f>E17</f>
        <v>45909</v>
      </c>
      <c r="F9" s="40"/>
      <c r="G9" s="39">
        <f>G17</f>
        <v>45910</v>
      </c>
      <c r="H9" s="40"/>
      <c r="I9" s="39">
        <f>I17</f>
        <v>45911</v>
      </c>
      <c r="J9" s="40"/>
      <c r="K9" s="39">
        <f>K17</f>
        <v>45912</v>
      </c>
      <c r="L9" s="40"/>
      <c r="M9" s="39">
        <f>M17</f>
        <v>45913</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SUMIF($T$11:$T$107,A11,$S$11:$S$68)</f>
        <v>0</v>
      </c>
      <c r="C11" s="50">
        <f>IF(A11="",IF(WEEKDAY($B$8,1)=MOD($H$2,7)+1,$B$8,""),A11+1)</f>
        <v>45901</v>
      </c>
      <c r="D11" s="51">
        <f>SUMIF($T$11:$T$107,C11,$S$11:$S$68)</f>
        <v>-57</v>
      </c>
      <c r="E11" s="50">
        <f>IF(C11="",IF(WEEKDAY($B$8,1)=MOD($H$2+1,7)+1,$B$8,""),C11+1)</f>
        <v>45902</v>
      </c>
      <c r="F11" s="51">
        <f>SUMIF($T$11:$T$107,E11,$S$11:$S$68)</f>
        <v>-1476.99</v>
      </c>
      <c r="G11" s="50">
        <f>IF(E11="",IF(WEEKDAY($B$8,1)=MOD($H$2+2,7)+1,$B$8,""),E11+1)</f>
        <v>45903</v>
      </c>
      <c r="H11" s="51">
        <f>SUMIF($T$11:$T$107,G11,$S$11:$S$68)</f>
        <v>700</v>
      </c>
      <c r="I11" s="50">
        <f>IF(G11="",IF(WEEKDAY($B$8,1)=MOD($H$2+3,7)+1,$B$8,""),G11+1)</f>
        <v>45904</v>
      </c>
      <c r="J11" s="51">
        <f>SUMIF($T$11:$T$107,I11,$S$11:$S$68)</f>
        <v>1889.74</v>
      </c>
      <c r="K11" s="50">
        <f>IF(I11="",IF(WEEKDAY($B$8,1)=MOD($H$2+4,7)+1,$B$8,""),I11+1)</f>
        <v>45905</v>
      </c>
      <c r="L11" s="51">
        <f>SUMIF($T$11:$T$107,K11,$S$11:$S$68)</f>
        <v>-791.16</v>
      </c>
      <c r="M11" s="50">
        <f>IF(K11="",IF(WEEKDAY($B$8,1)=MOD($H$2+5,7)+1,$B$8,""),K11+1)</f>
        <v>45906</v>
      </c>
      <c r="N11" s="51">
        <f>SUMIF($T$11:$T$107,M11,$S$11:$S$68)</f>
        <v>0</v>
      </c>
      <c r="O11" s="23"/>
      <c r="P11" s="52" t="s">
        <v>13</v>
      </c>
      <c r="Q11" s="53" t="s">
        <v>14</v>
      </c>
      <c r="R11" s="53" t="s">
        <v>15</v>
      </c>
      <c r="S11" s="96" t="s">
        <v>16</v>
      </c>
      <c r="T11" s="53" t="s">
        <v>17</v>
      </c>
      <c r="U11" s="23"/>
      <c r="V11" s="23"/>
      <c r="W11" s="23"/>
      <c r="X11" s="23"/>
      <c r="Y11" s="23"/>
      <c r="Z11" s="23"/>
    </row>
    <row r="12" ht="18.75" customHeight="1">
      <c r="A12" s="55"/>
      <c r="B12" s="56"/>
      <c r="C12" s="55"/>
      <c r="D12" s="57"/>
      <c r="E12" s="55"/>
      <c r="F12" s="57"/>
      <c r="G12" s="55"/>
      <c r="H12" s="56"/>
      <c r="I12" s="58"/>
      <c r="J12" s="57"/>
      <c r="K12" s="58"/>
      <c r="L12" s="57"/>
      <c r="M12" s="55"/>
      <c r="N12" s="56"/>
      <c r="O12" s="23"/>
      <c r="P12" s="398" t="s">
        <v>20</v>
      </c>
      <c r="Q12" s="399"/>
      <c r="R12" s="400">
        <v>2.0</v>
      </c>
      <c r="S12" s="393">
        <f t="array" ref="S12">-INDEX(PaymentSchedule!$E$21:$AG914,MATCH(PaymentSchedule!$B$29,PaymentSchedule!$B$21:$B$100),MATCH($P12,PaymentSchedule!$E$19:$AG$19,0))</f>
        <v>-1461.99</v>
      </c>
      <c r="T12" s="394">
        <f t="shared" ref="T12:T33" si="1">IF(ISBLANK(R12),"-",IF(R12&gt;DAY(EOMONTH(DATE($B$2,$E$2,1),0)),EOMONTH(DATE($B$2,$E$2,1),0),DATE($B$2,$E$2,R12)))</f>
        <v>45902</v>
      </c>
      <c r="U12" s="64"/>
      <c r="V12" s="23"/>
      <c r="W12" s="64"/>
      <c r="X12" s="303"/>
      <c r="Y12" s="23"/>
      <c r="Z12" s="23"/>
    </row>
    <row r="13" ht="18.75" customHeight="1">
      <c r="A13" s="55"/>
      <c r="B13" s="56"/>
      <c r="C13" s="55"/>
      <c r="D13" s="56"/>
      <c r="E13" s="55"/>
      <c r="F13" s="56"/>
      <c r="G13" s="55"/>
      <c r="H13" s="56"/>
      <c r="I13" s="55"/>
      <c r="J13" s="57"/>
      <c r="K13" s="58"/>
      <c r="L13" s="57"/>
      <c r="M13" s="55"/>
      <c r="N13" s="56"/>
      <c r="O13" s="23"/>
      <c r="P13" s="398" t="s">
        <v>86</v>
      </c>
      <c r="Q13" s="399"/>
      <c r="R13" s="400">
        <v>5.0</v>
      </c>
      <c r="S13" s="393">
        <f t="array" ref="S13">-INDEX(PaymentSchedule!$E$21:$AG914,MATCH(PaymentSchedule!$B$29,PaymentSchedule!$B$21:$B$100),MATCH($P13,PaymentSchedule!$E$19:$AG$19,0))</f>
        <v>-791.16</v>
      </c>
      <c r="T13" s="394">
        <f t="shared" si="1"/>
        <v>45905</v>
      </c>
      <c r="U13" s="64"/>
      <c r="V13" s="23"/>
      <c r="W13" s="64"/>
      <c r="X13" s="303"/>
      <c r="Y13" s="23"/>
      <c r="Z13" s="23"/>
    </row>
    <row r="14" ht="18.75" customHeight="1">
      <c r="A14" s="55"/>
      <c r="B14" s="56"/>
      <c r="C14" s="55"/>
      <c r="D14" s="56"/>
      <c r="E14" s="55"/>
      <c r="F14" s="56"/>
      <c r="G14" s="55"/>
      <c r="H14" s="56"/>
      <c r="I14" s="58"/>
      <c r="J14" s="57"/>
      <c r="K14" s="58"/>
      <c r="L14" s="57"/>
      <c r="M14" s="55"/>
      <c r="N14" s="56"/>
      <c r="O14" s="23"/>
      <c r="P14" s="398" t="s">
        <v>36</v>
      </c>
      <c r="Q14" s="399"/>
      <c r="R14" s="400">
        <v>8.0</v>
      </c>
      <c r="S14" s="393">
        <f t="array" ref="S14">-INDEX(PaymentSchedule!$E$21:$AG914,MATCH(PaymentSchedule!$B$29,PaymentSchedule!$B$21:$B$100),MATCH($P14,PaymentSchedule!$E$19:$AG$19,0))</f>
        <v>-450.08</v>
      </c>
      <c r="T14" s="394">
        <f t="shared" si="1"/>
        <v>45908</v>
      </c>
      <c r="U14" s="64"/>
      <c r="V14" s="23"/>
      <c r="W14" s="64"/>
      <c r="X14" s="303"/>
      <c r="Y14" s="23"/>
      <c r="Z14" s="23"/>
    </row>
    <row r="15" ht="18.75" customHeight="1">
      <c r="A15" s="55"/>
      <c r="B15" s="56"/>
      <c r="C15" s="55"/>
      <c r="D15" s="56"/>
      <c r="E15" s="55"/>
      <c r="F15" s="56"/>
      <c r="G15" s="55"/>
      <c r="H15" s="56"/>
      <c r="I15" s="55"/>
      <c r="J15" s="56"/>
      <c r="K15" s="55"/>
      <c r="L15" s="56"/>
      <c r="M15" s="55"/>
      <c r="N15" s="56"/>
      <c r="O15" s="23"/>
      <c r="P15" s="398" t="s">
        <v>25</v>
      </c>
      <c r="Q15" s="399"/>
      <c r="R15" s="400">
        <v>8.0</v>
      </c>
      <c r="S15" s="393">
        <v>-35.0</v>
      </c>
      <c r="T15" s="394">
        <f t="shared" si="1"/>
        <v>45908</v>
      </c>
      <c r="U15" s="64"/>
      <c r="V15" s="23"/>
      <c r="W15" s="64"/>
      <c r="X15" s="303"/>
      <c r="Y15" s="23"/>
      <c r="Z15" s="23"/>
    </row>
    <row r="16" ht="18.75" customHeight="1">
      <c r="A16" s="66" t="s">
        <v>22</v>
      </c>
      <c r="B16" s="67">
        <f>$M$5+SUM(B11:B15)</f>
        <v>2397.91</v>
      </c>
      <c r="C16" s="66"/>
      <c r="D16" s="355">
        <v>2337.68</v>
      </c>
      <c r="E16" s="66"/>
      <c r="F16" s="67">
        <f>D16+SUM(F11:F15)</f>
        <v>860.69</v>
      </c>
      <c r="G16" s="66"/>
      <c r="H16" s="67">
        <f>F16+SUM(H11:H15)</f>
        <v>1560.69</v>
      </c>
      <c r="I16" s="66"/>
      <c r="J16" s="67">
        <f>H16+SUM(J11:J15)</f>
        <v>3450.43</v>
      </c>
      <c r="K16" s="66"/>
      <c r="L16" s="67">
        <f>J16+SUM(L11:L15)</f>
        <v>2659.27</v>
      </c>
      <c r="M16" s="66"/>
      <c r="N16" s="67">
        <f>L16+SUM(N11:N15)</f>
        <v>2659.27</v>
      </c>
      <c r="O16" s="68"/>
      <c r="P16" s="398" t="s">
        <v>85</v>
      </c>
      <c r="Q16" s="399"/>
      <c r="R16" s="400">
        <v>9.0</v>
      </c>
      <c r="S16" s="393">
        <v>-131.0</v>
      </c>
      <c r="T16" s="394">
        <f t="shared" si="1"/>
        <v>45909</v>
      </c>
      <c r="U16" s="71"/>
      <c r="V16" s="69"/>
      <c r="W16" s="71"/>
      <c r="X16" s="309"/>
      <c r="Y16" s="69"/>
      <c r="Z16" s="69"/>
    </row>
    <row r="17" ht="18.75" customHeight="1">
      <c r="A17" s="50">
        <f>IF(M11="","",IF(MONTH(M11+1)&lt;&gt;MONTH(M11),"",M11+1))</f>
        <v>45907</v>
      </c>
      <c r="B17" s="51">
        <f>SUMIF($T$11:$T$107,A17,$S$11:$S$68)</f>
        <v>-50</v>
      </c>
      <c r="C17" s="50">
        <f>IF(A17="","",IF(MONTH(A17+1)&lt;&gt;MONTH(A17),"",A17+1))</f>
        <v>45908</v>
      </c>
      <c r="D17" s="51">
        <f>SUMIF($T$11:$T$107,C17,$S$11:$S$68)</f>
        <v>-533.87</v>
      </c>
      <c r="E17" s="50">
        <f>IF(C17="","",IF(MONTH(C17+1)&lt;&gt;MONTH(C17),"",C17+1))</f>
        <v>45909</v>
      </c>
      <c r="F17" s="51">
        <f>SUMIF($T$11:$T$107,E17,$S$11:$S$68)</f>
        <v>-211</v>
      </c>
      <c r="G17" s="50">
        <f>IF(E17="","",IF(MONTH(E17+1)&lt;&gt;MONTH(E17),"",E17+1))</f>
        <v>45910</v>
      </c>
      <c r="H17" s="51">
        <f>SUMIF($T$11:$T$107,G17,$S$11:$S$68)</f>
        <v>-155.99</v>
      </c>
      <c r="I17" s="50">
        <f>IF(G17="","",IF(MONTH(G17+1)&lt;&gt;MONTH(G17),"",G17+1))</f>
        <v>45911</v>
      </c>
      <c r="J17" s="51">
        <f>SUMIF($T$11:$T$107,I17,$S$11:$S$68)</f>
        <v>-94.94</v>
      </c>
      <c r="K17" s="50">
        <f>IF(I17="","",IF(MONTH(I17+1)&lt;&gt;MONTH(I17),"",I17+1))</f>
        <v>45912</v>
      </c>
      <c r="L17" s="51">
        <f>SUMIF($T$11:$T$107,K17,$S$11:$S$68)</f>
        <v>0</v>
      </c>
      <c r="M17" s="50">
        <f>IF(K17="","",IF(MONTH(K17+1)&lt;&gt;MONTH(K17),"",K17+1))</f>
        <v>45913</v>
      </c>
      <c r="N17" s="51">
        <f>SUMIF($T$11:$T$107,M17,$S$11:$S$68)</f>
        <v>0</v>
      </c>
      <c r="O17" s="23"/>
      <c r="P17" s="398" t="s">
        <v>37</v>
      </c>
      <c r="Q17" s="399"/>
      <c r="R17" s="400">
        <v>9.0</v>
      </c>
      <c r="S17" s="393">
        <v>-80.0</v>
      </c>
      <c r="T17" s="394">
        <f t="shared" si="1"/>
        <v>45909</v>
      </c>
      <c r="U17" s="64"/>
      <c r="V17" s="23"/>
      <c r="W17" s="64"/>
      <c r="X17" s="303"/>
      <c r="Y17" s="23"/>
      <c r="Z17" s="23"/>
    </row>
    <row r="18" ht="18.75" customHeight="1">
      <c r="A18" s="55"/>
      <c r="B18" s="57"/>
      <c r="C18" s="58"/>
      <c r="D18" s="57">
        <v>-105.21</v>
      </c>
      <c r="E18" s="55"/>
      <c r="F18" s="57"/>
      <c r="G18" s="55"/>
      <c r="H18" s="57">
        <v>-55.55</v>
      </c>
      <c r="I18" s="55"/>
      <c r="J18" s="56"/>
      <c r="K18" s="58" t="s">
        <v>139</v>
      </c>
      <c r="L18" s="57">
        <v>-51.95</v>
      </c>
      <c r="M18" s="55"/>
      <c r="N18" s="56"/>
      <c r="O18" s="23"/>
      <c r="P18" s="390" t="s">
        <v>89</v>
      </c>
      <c r="Q18" s="402"/>
      <c r="R18" s="392">
        <v>19.0</v>
      </c>
      <c r="S18" s="393">
        <v>-250.0</v>
      </c>
      <c r="T18" s="394">
        <f t="shared" si="1"/>
        <v>45919</v>
      </c>
      <c r="U18" s="64"/>
      <c r="V18" s="23"/>
      <c r="Y18" s="23"/>
      <c r="Z18" s="23"/>
    </row>
    <row r="19" ht="18.75" customHeight="1">
      <c r="A19" s="55"/>
      <c r="B19" s="56"/>
      <c r="C19" s="55"/>
      <c r="D19" s="57">
        <v>-28.33</v>
      </c>
      <c r="E19" s="58"/>
      <c r="F19" s="57"/>
      <c r="G19" s="55"/>
      <c r="H19" s="56"/>
      <c r="I19" s="55"/>
      <c r="J19" s="56"/>
      <c r="K19" s="58"/>
      <c r="L19" s="57"/>
      <c r="M19" s="55"/>
      <c r="N19" s="56"/>
      <c r="O19" s="23"/>
      <c r="P19" s="551" t="s">
        <v>87</v>
      </c>
      <c r="Q19" s="552"/>
      <c r="R19" s="553"/>
      <c r="S19" s="549">
        <f t="array" ref="S19">-INDEX(PaymentSchedule!$E$21:$AG914,MATCH(PaymentSchedule!$B$29,PaymentSchedule!$B$21:$B$100),MATCH($P19,PaymentSchedule!$E$19:$AG$19,0))</f>
        <v>0</v>
      </c>
      <c r="T19" s="550" t="str">
        <f t="shared" si="1"/>
        <v>-</v>
      </c>
      <c r="U19" s="64"/>
      <c r="V19" s="23"/>
      <c r="W19" s="64"/>
      <c r="X19" s="303"/>
      <c r="Y19" s="23"/>
      <c r="Z19" s="23"/>
    </row>
    <row r="20" ht="18.75" customHeight="1">
      <c r="A20" s="55"/>
      <c r="B20" s="56"/>
      <c r="C20" s="55"/>
      <c r="D20" s="56"/>
      <c r="E20" s="55"/>
      <c r="F20" s="56"/>
      <c r="G20" s="55"/>
      <c r="H20" s="56"/>
      <c r="I20" s="55"/>
      <c r="J20" s="56"/>
      <c r="K20" s="55"/>
      <c r="L20" s="56"/>
      <c r="M20" s="55"/>
      <c r="N20" s="56"/>
      <c r="O20" s="23"/>
      <c r="P20" s="385" t="s">
        <v>24</v>
      </c>
      <c r="Q20" s="386"/>
      <c r="R20" s="387">
        <v>1.0</v>
      </c>
      <c r="S20" s="388">
        <v>-57.0</v>
      </c>
      <c r="T20" s="384">
        <f t="shared" si="1"/>
        <v>45901</v>
      </c>
      <c r="U20" s="64"/>
      <c r="V20" s="23"/>
      <c r="W20" s="64"/>
      <c r="X20" s="303"/>
      <c r="Y20" s="23"/>
      <c r="Z20" s="23"/>
    </row>
    <row r="21" ht="18.75" customHeight="1">
      <c r="A21" s="55"/>
      <c r="B21" s="56"/>
      <c r="C21" s="55"/>
      <c r="D21" s="56"/>
      <c r="E21" s="55"/>
      <c r="F21" s="56"/>
      <c r="G21" s="55"/>
      <c r="H21" s="56"/>
      <c r="I21" s="55"/>
      <c r="J21" s="56"/>
      <c r="K21" s="55"/>
      <c r="L21" s="56"/>
      <c r="M21" s="55"/>
      <c r="N21" s="56"/>
      <c r="O21" s="23"/>
      <c r="P21" s="414" t="s">
        <v>142</v>
      </c>
      <c r="Q21" s="415"/>
      <c r="R21" s="416">
        <v>1.0</v>
      </c>
      <c r="S21" s="383"/>
      <c r="T21" s="384">
        <f t="shared" si="1"/>
        <v>45901</v>
      </c>
      <c r="U21" s="64"/>
      <c r="V21" s="303"/>
      <c r="W21" s="64"/>
      <c r="X21" s="303"/>
      <c r="Y21" s="23"/>
      <c r="Z21" s="23"/>
    </row>
    <row r="22" ht="18.75" customHeight="1">
      <c r="A22" s="66" t="s">
        <v>22</v>
      </c>
      <c r="B22" s="67">
        <f>N16+SUM(B17:B21)</f>
        <v>2609.27</v>
      </c>
      <c r="C22" s="66"/>
      <c r="D22" s="67">
        <f>B22+SUM(D17:D21)</f>
        <v>1941.86</v>
      </c>
      <c r="E22" s="66"/>
      <c r="F22" s="67">
        <f>D22+SUM(F17:F21)</f>
        <v>1730.86</v>
      </c>
      <c r="G22" s="66"/>
      <c r="H22" s="67">
        <f>F22+SUM(H17:H21)</f>
        <v>1519.32</v>
      </c>
      <c r="I22" s="66"/>
      <c r="J22" s="67">
        <f>H22+SUM(J17:J21)</f>
        <v>1424.38</v>
      </c>
      <c r="K22" s="66"/>
      <c r="L22" s="67">
        <f>J22+SUM(L17:L21)</f>
        <v>1372.43</v>
      </c>
      <c r="M22" s="66"/>
      <c r="N22" s="67">
        <f>L22+SUM(N17:N21)</f>
        <v>1372.43</v>
      </c>
      <c r="O22" s="68"/>
      <c r="P22" s="385" t="s">
        <v>34</v>
      </c>
      <c r="Q22" s="386"/>
      <c r="R22" s="387">
        <v>2.0</v>
      </c>
      <c r="S22" s="388">
        <v>-15.0</v>
      </c>
      <c r="T22" s="384">
        <f t="shared" si="1"/>
        <v>45902</v>
      </c>
      <c r="W22" s="71"/>
      <c r="X22" s="309"/>
      <c r="Y22" s="69"/>
      <c r="Z22" s="69"/>
    </row>
    <row r="23" ht="18.75" customHeight="1">
      <c r="A23" s="50">
        <f>IF(M17="","",IF(MONTH(M17+1)&lt;&gt;MONTH(M17),"",M17+1))</f>
        <v>45914</v>
      </c>
      <c r="B23" s="51">
        <f>SUMIF($T$11:$T$107,A23,$S$11:$S$68)</f>
        <v>0</v>
      </c>
      <c r="C23" s="50">
        <f>IF(A23="","",IF(MONTH(A23+1)&lt;&gt;MONTH(A23),"",A23+1))</f>
        <v>45915</v>
      </c>
      <c r="D23" s="51">
        <f>SUMIF($T$11:$T$107,C23,$S$11:$S$68)</f>
        <v>-128.23</v>
      </c>
      <c r="E23" s="50">
        <f>IF(C23="","",IF(MONTH(C23+1)&lt;&gt;MONTH(C23),"",C23+1))</f>
        <v>45916</v>
      </c>
      <c r="F23" s="51">
        <f>SUMIF($T$11:$T$107,E23,$S$11:$S$68)</f>
        <v>0</v>
      </c>
      <c r="G23" s="50">
        <f>IF(E23="","",IF(MONTH(E23+1)&lt;&gt;MONTH(E23),"",E23+1))</f>
        <v>45917</v>
      </c>
      <c r="H23" s="51">
        <f>SUMIF($T$11:$T$107,G23,$S$11:$S$68)</f>
        <v>2141.01</v>
      </c>
      <c r="I23" s="50">
        <f>IF(G23="","",IF(MONTH(G23+1)&lt;&gt;MONTH(G23),"",G23+1))</f>
        <v>45918</v>
      </c>
      <c r="J23" s="51">
        <f>SUMIF($T$11:$T$107,I23,$S$11:$S$68)</f>
        <v>0</v>
      </c>
      <c r="K23" s="50">
        <f>IF(I23="","",IF(MONTH(I23+1)&lt;&gt;MONTH(I23),"",I23+1))</f>
        <v>45919</v>
      </c>
      <c r="L23" s="51">
        <f>SUMIF($T$11:$T$107,K23,$S$11:$S$68)</f>
        <v>-313.77</v>
      </c>
      <c r="M23" s="50">
        <f>IF(K23="","",IF(MONTH(K23+1)&lt;&gt;MONTH(K23),"",K23+1))</f>
        <v>45920</v>
      </c>
      <c r="N23" s="51">
        <f>SUMIF($T$11:$T$107,M23,$S$11:$S$68)</f>
        <v>-100</v>
      </c>
      <c r="O23" s="23"/>
      <c r="P23" s="385" t="s">
        <v>26</v>
      </c>
      <c r="Q23" s="386"/>
      <c r="R23" s="387">
        <v>3.0</v>
      </c>
      <c r="S23" s="388">
        <v>-150.0</v>
      </c>
      <c r="T23" s="384">
        <f t="shared" si="1"/>
        <v>45903</v>
      </c>
      <c r="U23" s="64"/>
      <c r="V23" s="23"/>
      <c r="W23" s="64"/>
      <c r="X23" s="303"/>
      <c r="Y23" s="23"/>
      <c r="Z23" s="23"/>
    </row>
    <row r="24" ht="18.75" customHeight="1">
      <c r="A24" s="58" t="s">
        <v>43</v>
      </c>
      <c r="B24" s="57">
        <v>-21.77</v>
      </c>
      <c r="C24" s="58"/>
      <c r="D24" s="57">
        <v>-15.07</v>
      </c>
      <c r="E24" s="58"/>
      <c r="F24" s="57">
        <v>-29.0</v>
      </c>
      <c r="G24" s="413"/>
      <c r="H24" s="535"/>
      <c r="I24" s="55"/>
      <c r="J24" s="57">
        <v>5.44</v>
      </c>
      <c r="K24" s="58" t="s">
        <v>213</v>
      </c>
      <c r="L24" s="57">
        <v>-57.23</v>
      </c>
      <c r="M24" s="55"/>
      <c r="N24" s="56"/>
      <c r="O24" s="23"/>
      <c r="P24" s="385" t="s">
        <v>47</v>
      </c>
      <c r="Q24" s="386"/>
      <c r="R24" s="387">
        <v>3.0</v>
      </c>
      <c r="S24" s="490">
        <v>850.0</v>
      </c>
      <c r="T24" s="384">
        <f t="shared" si="1"/>
        <v>45903</v>
      </c>
      <c r="U24" s="64"/>
      <c r="V24" s="23"/>
      <c r="W24" s="64"/>
      <c r="X24" s="303"/>
      <c r="Y24" s="23"/>
      <c r="Z24" s="23"/>
    </row>
    <row r="25" ht="18.75" customHeight="1">
      <c r="A25" s="55"/>
      <c r="B25" s="56"/>
      <c r="C25" s="55"/>
      <c r="D25" s="56"/>
      <c r="E25" s="55"/>
      <c r="F25" s="56"/>
      <c r="G25" s="55"/>
      <c r="H25" s="56"/>
      <c r="I25" s="55"/>
      <c r="J25" s="56"/>
      <c r="K25" s="55"/>
      <c r="L25" s="56"/>
      <c r="M25" s="55"/>
      <c r="N25" s="56"/>
      <c r="O25" s="23"/>
      <c r="P25" s="385" t="s">
        <v>27</v>
      </c>
      <c r="Q25" s="386"/>
      <c r="R25" s="387">
        <v>4.0</v>
      </c>
      <c r="S25" s="388">
        <v>-33.0</v>
      </c>
      <c r="T25" s="384">
        <f t="shared" si="1"/>
        <v>45904</v>
      </c>
      <c r="U25" s="64"/>
      <c r="V25" s="23"/>
      <c r="W25" s="64"/>
      <c r="X25" s="303"/>
      <c r="Y25" s="23"/>
      <c r="Z25" s="23"/>
    </row>
    <row r="26" ht="18.75" customHeight="1">
      <c r="A26" s="55"/>
      <c r="B26" s="56"/>
      <c r="C26" s="55"/>
      <c r="D26" s="56"/>
      <c r="E26" s="55"/>
      <c r="F26" s="56"/>
      <c r="G26" s="55"/>
      <c r="H26" s="56"/>
      <c r="I26" s="55"/>
      <c r="J26" s="56"/>
      <c r="K26" s="55"/>
      <c r="L26" s="56"/>
      <c r="M26" s="55"/>
      <c r="N26" s="56"/>
      <c r="O26" s="23"/>
      <c r="P26" s="385" t="s">
        <v>57</v>
      </c>
      <c r="Q26" s="386"/>
      <c r="R26" s="387">
        <v>4.0</v>
      </c>
      <c r="S26" s="388">
        <v>-387.0</v>
      </c>
      <c r="T26" s="384">
        <f t="shared" si="1"/>
        <v>45904</v>
      </c>
      <c r="U26" s="64"/>
      <c r="V26" s="23"/>
      <c r="W26" s="64"/>
      <c r="X26" s="303"/>
      <c r="Y26" s="23"/>
      <c r="Z26" s="23"/>
    </row>
    <row r="27" ht="18.75" customHeight="1">
      <c r="A27" s="55"/>
      <c r="B27" s="56"/>
      <c r="C27" s="55"/>
      <c r="D27" s="56"/>
      <c r="E27" s="55"/>
      <c r="F27" s="56"/>
      <c r="G27" s="55"/>
      <c r="H27" s="56"/>
      <c r="I27" s="55"/>
      <c r="J27" s="56"/>
      <c r="K27" s="55"/>
      <c r="L27" s="56"/>
      <c r="M27" s="55"/>
      <c r="N27" s="56"/>
      <c r="O27" s="23"/>
      <c r="P27" s="385" t="s">
        <v>19</v>
      </c>
      <c r="Q27" s="386"/>
      <c r="R27" s="387">
        <v>4.0</v>
      </c>
      <c r="S27" s="388">
        <v>2309.74</v>
      </c>
      <c r="T27" s="384">
        <f t="shared" si="1"/>
        <v>45904</v>
      </c>
      <c r="U27" s="64"/>
      <c r="V27" s="23"/>
      <c r="W27" s="64"/>
      <c r="X27" s="303"/>
      <c r="Y27" s="23"/>
      <c r="Z27" s="23"/>
    </row>
    <row r="28" ht="18.75" customHeight="1">
      <c r="A28" s="66" t="s">
        <v>22</v>
      </c>
      <c r="B28" s="67">
        <f>N22+SUM(B23:B27)</f>
        <v>1350.66</v>
      </c>
      <c r="C28" s="66"/>
      <c r="D28" s="67">
        <f>B28+SUM(D23:D27)</f>
        <v>1207.36</v>
      </c>
      <c r="E28" s="66"/>
      <c r="F28" s="67">
        <f>D28+SUM(F23:F27)</f>
        <v>1178.36</v>
      </c>
      <c r="G28" s="66"/>
      <c r="H28" s="67">
        <f>F28+SUM(H23:H27)</f>
        <v>3319.37</v>
      </c>
      <c r="I28" s="66"/>
      <c r="J28" s="67">
        <f>H28+SUM(J23:J27)</f>
        <v>3324.81</v>
      </c>
      <c r="K28" s="66"/>
      <c r="L28" s="67">
        <f>J28+SUM(L23:L27)</f>
        <v>2953.81</v>
      </c>
      <c r="M28" s="66"/>
      <c r="N28" s="67">
        <f>L28+SUM(N23:N27)</f>
        <v>2853.81</v>
      </c>
      <c r="O28" s="68"/>
      <c r="P28" s="414" t="s">
        <v>186</v>
      </c>
      <c r="Q28" s="415"/>
      <c r="R28" s="416">
        <v>7.0</v>
      </c>
      <c r="S28" s="383">
        <v>-50.0</v>
      </c>
      <c r="T28" s="384">
        <f t="shared" si="1"/>
        <v>45907</v>
      </c>
      <c r="U28" s="71"/>
      <c r="V28" s="69"/>
      <c r="W28" s="71"/>
      <c r="X28" s="309"/>
      <c r="Y28" s="69"/>
      <c r="Z28" s="69"/>
    </row>
    <row r="29" ht="18.75" customHeight="1">
      <c r="A29" s="50">
        <f>IF(M23="","",IF(MONTH(M23+1)&lt;&gt;MONTH(M23),"",M23+1))</f>
        <v>45921</v>
      </c>
      <c r="B29" s="51">
        <f>SUMIF($T$11:$T$107,A29,$S$11:$S$68)</f>
        <v>0</v>
      </c>
      <c r="C29" s="50">
        <f>IF(A29="","",IF(MONTH(A29+1)&lt;&gt;MONTH(A29),"",A29+1))</f>
        <v>45922</v>
      </c>
      <c r="D29" s="51">
        <f>SUMIF($T$11:$T$107,C29,$S$11:$S$68)</f>
        <v>0</v>
      </c>
      <c r="E29" s="50">
        <f>IF(C29="","",IF(MONTH(C29+1)&lt;&gt;MONTH(C29),"",C29+1))</f>
        <v>45923</v>
      </c>
      <c r="F29" s="51">
        <f>SUMIF($T$11:$T$107,E29,$S$11:$S$68)</f>
        <v>-10.99</v>
      </c>
      <c r="G29" s="50">
        <f>IF(E29="","",IF(MONTH(E29+1)&lt;&gt;MONTH(E29),"",E29+1))</f>
        <v>45924</v>
      </c>
      <c r="H29" s="51">
        <f>SUMIF($T$11:$T$107,G29,$S$11:$S$68)</f>
        <v>-150</v>
      </c>
      <c r="I29" s="50">
        <f>IF(G29="","",IF(MONTH(G29+1)&lt;&gt;MONTH(G29),"",G29+1))</f>
        <v>45925</v>
      </c>
      <c r="J29" s="51">
        <f>SUMIF($T$11:$T$107,I29,$S$11:$S$68)</f>
        <v>0</v>
      </c>
      <c r="K29" s="50">
        <f>IF(I29="","",IF(MONTH(I29+1)&lt;&gt;MONTH(I29),"",I29+1))</f>
        <v>45926</v>
      </c>
      <c r="L29" s="51">
        <f>SUMIF($T$11:$T$107,K29,$S$11:$S$68)</f>
        <v>-18.35</v>
      </c>
      <c r="M29" s="50">
        <f>IF(K29="","",IF(MONTH(K29+1)&lt;&gt;MONTH(K29),"",K29+1))</f>
        <v>45927</v>
      </c>
      <c r="N29" s="51">
        <f>SUMIF($T$11:$T$107,M29,$S$11:$S$68)</f>
        <v>0</v>
      </c>
      <c r="O29" s="23"/>
      <c r="P29" s="414" t="s">
        <v>214</v>
      </c>
      <c r="Q29" s="415"/>
      <c r="R29" s="416">
        <v>8.0</v>
      </c>
      <c r="S29" s="383">
        <v>-21.8</v>
      </c>
      <c r="T29" s="384">
        <f t="shared" si="1"/>
        <v>45908</v>
      </c>
      <c r="U29" s="64"/>
      <c r="V29" s="23"/>
      <c r="W29" s="64"/>
      <c r="X29" s="303"/>
      <c r="Y29" s="23"/>
      <c r="Z29" s="23"/>
    </row>
    <row r="30" ht="18.75" customHeight="1">
      <c r="A30" s="55"/>
      <c r="B30" s="57">
        <v>-5.44</v>
      </c>
      <c r="C30" s="58" t="s">
        <v>165</v>
      </c>
      <c r="D30" s="57">
        <v>-38.74</v>
      </c>
      <c r="E30" s="485"/>
      <c r="F30" s="486">
        <v>-25.01</v>
      </c>
      <c r="G30" s="58"/>
      <c r="H30" s="57">
        <v>-22.61</v>
      </c>
      <c r="I30" s="55"/>
      <c r="J30" s="56"/>
      <c r="K30" s="58"/>
      <c r="L30" s="57"/>
      <c r="M30" s="55"/>
      <c r="N30" s="56"/>
      <c r="O30" s="23"/>
      <c r="P30" s="385" t="s">
        <v>51</v>
      </c>
      <c r="Q30" s="386"/>
      <c r="R30" s="387">
        <v>8.0</v>
      </c>
      <c r="S30" s="388">
        <v>-26.99</v>
      </c>
      <c r="T30" s="384">
        <f t="shared" si="1"/>
        <v>45908</v>
      </c>
      <c r="U30" s="64"/>
      <c r="V30" s="23"/>
      <c r="W30" s="64"/>
      <c r="X30" s="303"/>
      <c r="Y30" s="23"/>
      <c r="Z30" s="23"/>
    </row>
    <row r="31" ht="18.75" customHeight="1">
      <c r="A31" s="55"/>
      <c r="B31" s="56"/>
      <c r="C31" s="58"/>
      <c r="D31" s="57"/>
      <c r="E31" s="58" t="s">
        <v>215</v>
      </c>
      <c r="F31" s="57">
        <v>-50.0</v>
      </c>
      <c r="G31" s="58" t="s">
        <v>216</v>
      </c>
      <c r="H31" s="57">
        <v>-250.0</v>
      </c>
      <c r="I31" s="55"/>
      <c r="J31" s="56"/>
      <c r="K31" s="58"/>
      <c r="L31" s="57"/>
      <c r="M31" s="55"/>
      <c r="N31" s="56"/>
      <c r="O31" s="23"/>
      <c r="P31" s="385" t="s">
        <v>26</v>
      </c>
      <c r="Q31" s="386"/>
      <c r="R31" s="387">
        <v>10.0</v>
      </c>
      <c r="S31" s="388">
        <v>-150.0</v>
      </c>
      <c r="T31" s="384">
        <f t="shared" si="1"/>
        <v>45910</v>
      </c>
      <c r="U31" s="64"/>
      <c r="V31" s="64"/>
      <c r="W31" s="64"/>
      <c r="X31" s="303"/>
      <c r="Y31" s="23"/>
      <c r="Z31" s="23"/>
    </row>
    <row r="32" ht="18.75" customHeight="1">
      <c r="A32" s="55"/>
      <c r="B32" s="56"/>
      <c r="C32" s="55"/>
      <c r="D32" s="56"/>
      <c r="E32" s="55"/>
      <c r="F32" s="56"/>
      <c r="G32" s="55"/>
      <c r="H32" s="56"/>
      <c r="I32" s="55"/>
      <c r="J32" s="56"/>
      <c r="K32" s="58"/>
      <c r="L32" s="57"/>
      <c r="M32" s="55"/>
      <c r="N32" s="56"/>
      <c r="O32" s="23"/>
      <c r="P32" s="385" t="s">
        <v>34</v>
      </c>
      <c r="Q32" s="386"/>
      <c r="R32" s="387">
        <v>10.0</v>
      </c>
      <c r="S32" s="388">
        <v>-5.99</v>
      </c>
      <c r="T32" s="384">
        <f t="shared" si="1"/>
        <v>45910</v>
      </c>
      <c r="U32" s="64"/>
      <c r="V32" s="64"/>
      <c r="W32" s="64"/>
      <c r="X32" s="303"/>
      <c r="Y32" s="23"/>
      <c r="Z32" s="23"/>
    </row>
    <row r="33" ht="18.75" customHeight="1">
      <c r="A33" s="55"/>
      <c r="B33" s="56"/>
      <c r="C33" s="55"/>
      <c r="D33" s="56"/>
      <c r="E33" s="55"/>
      <c r="F33" s="56"/>
      <c r="G33" s="55"/>
      <c r="H33" s="56"/>
      <c r="I33" s="55"/>
      <c r="J33" s="56"/>
      <c r="K33" s="55"/>
      <c r="L33" s="56"/>
      <c r="M33" s="55"/>
      <c r="N33" s="56"/>
      <c r="O33" s="23"/>
      <c r="P33" s="385" t="s">
        <v>38</v>
      </c>
      <c r="Q33" s="386"/>
      <c r="R33" s="387">
        <v>11.0</v>
      </c>
      <c r="S33" s="388">
        <v>-94.94</v>
      </c>
      <c r="T33" s="384">
        <f t="shared" si="1"/>
        <v>45911</v>
      </c>
      <c r="U33" s="64"/>
      <c r="V33" s="23"/>
      <c r="W33" s="64"/>
      <c r="X33" s="303"/>
      <c r="Y33" s="23"/>
      <c r="Z33" s="23"/>
    </row>
    <row r="34" ht="18.75" customHeight="1">
      <c r="A34" s="66" t="s">
        <v>22</v>
      </c>
      <c r="B34" s="67">
        <f>N28+SUM(B29:B33)</f>
        <v>2848.37</v>
      </c>
      <c r="C34" s="66"/>
      <c r="D34" s="67">
        <f>B34+SUM(D29:D33)</f>
        <v>2809.63</v>
      </c>
      <c r="E34" s="66"/>
      <c r="F34" s="67">
        <f>D34+SUM(F29:F33)</f>
        <v>2723.63</v>
      </c>
      <c r="G34" s="66"/>
      <c r="H34" s="67">
        <f>F34+SUM(H29:H33)</f>
        <v>2301.02</v>
      </c>
      <c r="I34" s="66"/>
      <c r="J34" s="67">
        <f>H34+SUM(J29:J33)</f>
        <v>2301.02</v>
      </c>
      <c r="K34" s="66"/>
      <c r="L34" s="67">
        <f>J34+SUM(L29:L33)</f>
        <v>2282.67</v>
      </c>
      <c r="M34" s="66"/>
      <c r="N34" s="67">
        <f>L34+SUM(N29:N33)</f>
        <v>2282.67</v>
      </c>
      <c r="O34" s="68"/>
      <c r="P34" s="519" t="s">
        <v>205</v>
      </c>
      <c r="Q34" s="511"/>
      <c r="R34" s="416">
        <v>15.0</v>
      </c>
      <c r="S34" s="383">
        <v>-26.23</v>
      </c>
      <c r="T34" s="536">
        <f>IF(ISBLANK(R34),"-",IF(R34&gt;DAY(EOMONTH(DATE($B$2,$E$2,1),0)),EOMONTH(DATE($B$2,$E$2,1),0),DATE($B$2,$E$2,R34)))</f>
        <v>45915</v>
      </c>
      <c r="U34" s="71"/>
      <c r="V34" s="69"/>
      <c r="W34" s="71"/>
      <c r="X34" s="309"/>
      <c r="Y34" s="69"/>
      <c r="Z34" s="69"/>
    </row>
    <row r="35" ht="18.75" customHeight="1">
      <c r="A35" s="50">
        <f>IF(M29="","",IF(MONTH(M29+1)&lt;&gt;MONTH(M29),"",M29+1))</f>
        <v>45928</v>
      </c>
      <c r="B35" s="51">
        <f>SUMIF($T$11:$T$107,A35,$S$11:$S$68)</f>
        <v>0</v>
      </c>
      <c r="C35" s="50">
        <f>IF(A35="","",IF(MONTH(A35+1)&lt;&gt;MONTH(A35),"",A35+1))</f>
        <v>45929</v>
      </c>
      <c r="D35" s="51">
        <f>SUMIF($T$11:$T$107,C35,$S$11:$S$68)</f>
        <v>-10.99</v>
      </c>
      <c r="E35" s="50">
        <f>IF(C35="","",IF(MONTH(C35+1)&lt;&gt;MONTH(C35),"",C35+1))</f>
        <v>45930</v>
      </c>
      <c r="F35" s="51">
        <f>SUMIF($T$11:$T$107,E35,$S$11:$S$68)</f>
        <v>-29.35</v>
      </c>
      <c r="G35" s="50" t="str">
        <f>IF(E35="","",IF(MONTH(E35+1)&lt;&gt;MONTH(E35),"",E35+1))</f>
        <v/>
      </c>
      <c r="H35" s="51">
        <f>SUMIF($T$11:$T$107,G35,$S$11:$S$68)</f>
        <v>0</v>
      </c>
      <c r="I35" s="50" t="str">
        <f>IF(G35="","",IF(MONTH(G35+1)&lt;&gt;MONTH(G35),"",G35+1))</f>
        <v/>
      </c>
      <c r="J35" s="51">
        <f>SUMIF($T$11:$T$107,I35,$S$11:$S$68)</f>
        <v>0</v>
      </c>
      <c r="K35" s="50" t="str">
        <f>IF(I35="","",IF(MONTH(I35+1)&lt;&gt;MONTH(I35),"",I35+1))</f>
        <v/>
      </c>
      <c r="L35" s="51">
        <f>SUMIF($T$11:$T$107,K35,$S$11:$S$68)</f>
        <v>0</v>
      </c>
      <c r="M35" s="50" t="str">
        <f>IF(K35="","",IF(MONTH(K35+1)&lt;&gt;MONTH(K35),"",K35+1))</f>
        <v/>
      </c>
      <c r="N35" s="51">
        <f>SUMIF($T$11:$T$107,M35,$S$11:$S$68)</f>
        <v>0</v>
      </c>
      <c r="O35" s="23"/>
      <c r="P35" s="385" t="s">
        <v>40</v>
      </c>
      <c r="Q35" s="386"/>
      <c r="R35" s="387">
        <v>15.0</v>
      </c>
      <c r="S35" s="388">
        <v>-102.0</v>
      </c>
      <c r="T35" s="384">
        <f t="shared" ref="T35:T37" si="2">IF(ISBLANK(R35),"-",IF(R35&gt;DAY(EOMONTH(DATE($B$2,$E$2,1),0)),EOMONTH(DATE($B$2,$E$2,1),0),DATE($B$2,$E$2,R35)))</f>
        <v>45915</v>
      </c>
      <c r="U35" s="64"/>
      <c r="V35" s="23"/>
      <c r="W35" s="64"/>
      <c r="X35" s="303"/>
      <c r="Y35" s="23"/>
      <c r="Z35" s="23"/>
    </row>
    <row r="36" ht="18.75" customHeight="1">
      <c r="A36" s="58" t="s">
        <v>163</v>
      </c>
      <c r="B36" s="57"/>
      <c r="C36" s="55"/>
      <c r="D36" s="56"/>
      <c r="E36" s="55"/>
      <c r="F36" s="57">
        <v>-93.66</v>
      </c>
      <c r="G36" s="55"/>
      <c r="H36" s="56"/>
      <c r="I36" s="55"/>
      <c r="J36" s="56"/>
      <c r="K36" s="55"/>
      <c r="L36" s="56"/>
      <c r="M36" s="55"/>
      <c r="N36" s="56"/>
      <c r="O36" s="23"/>
      <c r="P36" s="385" t="s">
        <v>26</v>
      </c>
      <c r="Q36" s="386"/>
      <c r="R36" s="387">
        <v>17.0</v>
      </c>
      <c r="S36" s="388">
        <v>-150.0</v>
      </c>
      <c r="T36" s="384">
        <f t="shared" si="2"/>
        <v>45917</v>
      </c>
      <c r="U36" s="64"/>
      <c r="V36" s="23"/>
      <c r="W36" s="64"/>
      <c r="X36" s="303"/>
      <c r="Y36" s="23"/>
      <c r="Z36" s="23"/>
    </row>
    <row r="37" ht="18.75" customHeight="1">
      <c r="A37" s="55"/>
      <c r="B37" s="56"/>
      <c r="C37" s="55"/>
      <c r="D37" s="56"/>
      <c r="E37" s="55"/>
      <c r="F37" s="57"/>
      <c r="G37" s="55"/>
      <c r="H37" s="56"/>
      <c r="I37" s="55"/>
      <c r="J37" s="56"/>
      <c r="K37" s="55"/>
      <c r="L37" s="56"/>
      <c r="M37" s="55"/>
      <c r="N37" s="56"/>
      <c r="O37" s="23"/>
      <c r="P37" s="385" t="s">
        <v>43</v>
      </c>
      <c r="Q37" s="386"/>
      <c r="R37" s="387">
        <v>17.0</v>
      </c>
      <c r="S37" s="388">
        <v>-9.99</v>
      </c>
      <c r="T37" s="384">
        <f t="shared" si="2"/>
        <v>45917</v>
      </c>
      <c r="U37" s="64"/>
      <c r="V37" s="23"/>
      <c r="W37" s="64"/>
      <c r="X37" s="303"/>
      <c r="Y37" s="23"/>
      <c r="Z37" s="23"/>
    </row>
    <row r="38" ht="18.75" customHeight="1">
      <c r="A38" s="55"/>
      <c r="B38" s="56"/>
      <c r="C38" s="55"/>
      <c r="D38" s="56"/>
      <c r="E38" s="55"/>
      <c r="F38" s="56"/>
      <c r="G38" s="55"/>
      <c r="H38" s="56"/>
      <c r="I38" s="55"/>
      <c r="J38" s="56"/>
      <c r="K38" s="55"/>
      <c r="L38" s="56"/>
      <c r="M38" s="55"/>
      <c r="N38" s="56"/>
      <c r="O38" s="23"/>
      <c r="P38" s="319" t="s">
        <v>188</v>
      </c>
      <c r="Q38" s="320"/>
      <c r="R38" s="321"/>
      <c r="S38" s="322"/>
      <c r="T38" s="323" t="str">
        <f>IF(ISBLANK(R38),"-",IF(R38&gt;DAY(EOMONTH(DATE($B$2,$E$2,1),0)),EOMONTH(DATE($B$2,$E$2,1),0),DATE($B$2,$E$2,R38)))</f>
        <v>-</v>
      </c>
      <c r="U38" s="64"/>
      <c r="V38" s="23"/>
      <c r="W38" s="64"/>
      <c r="X38" s="303"/>
      <c r="Y38" s="23"/>
      <c r="Z38" s="23"/>
    </row>
    <row r="39" ht="18.75" customHeight="1">
      <c r="A39" s="55"/>
      <c r="B39" s="56"/>
      <c r="C39" s="55"/>
      <c r="D39" s="56"/>
      <c r="E39" s="55"/>
      <c r="F39" s="56"/>
      <c r="G39" s="55"/>
      <c r="H39" s="56"/>
      <c r="I39" s="55"/>
      <c r="J39" s="56"/>
      <c r="K39" s="55"/>
      <c r="L39" s="56"/>
      <c r="M39" s="55"/>
      <c r="N39" s="56"/>
      <c r="O39" s="23"/>
      <c r="P39" s="385" t="s">
        <v>30</v>
      </c>
      <c r="Q39" s="386"/>
      <c r="R39" s="416">
        <v>19.0</v>
      </c>
      <c r="S39" s="383">
        <v>-63.77</v>
      </c>
      <c r="T39" s="384">
        <f t="shared" ref="T39:T48" si="3">IF(ISBLANK(R39),"-",IF(R39&gt;DAY(EOMONTH(DATE($B$2,$E$2,1),0)),EOMONTH(DATE($B$2,$E$2,1),0),DATE($B$2,$E$2,R39)))</f>
        <v>45919</v>
      </c>
      <c r="U39" s="64"/>
      <c r="V39" s="23"/>
      <c r="W39" s="64"/>
      <c r="X39" s="303"/>
      <c r="Y39" s="23"/>
      <c r="Z39" s="23"/>
    </row>
    <row r="40" ht="18.75" customHeight="1">
      <c r="A40" s="66" t="s">
        <v>22</v>
      </c>
      <c r="B40" s="67">
        <f>N34+SUM(B35:B39)</f>
        <v>2282.67</v>
      </c>
      <c r="C40" s="66"/>
      <c r="D40" s="67">
        <f>B40+SUM(D35:D39)</f>
        <v>2271.68</v>
      </c>
      <c r="E40" s="66"/>
      <c r="F40" s="67">
        <f>D40+SUM(F35:F39)</f>
        <v>2148.67</v>
      </c>
      <c r="G40" s="66"/>
      <c r="H40" s="67">
        <f>F40+SUM(H35:H39)</f>
        <v>2148.67</v>
      </c>
      <c r="I40" s="66"/>
      <c r="J40" s="67">
        <f>H40+SUM(J35:J39)</f>
        <v>2148.67</v>
      </c>
      <c r="K40" s="66"/>
      <c r="L40" s="67">
        <f>J40+SUM(L35:L39)</f>
        <v>2148.67</v>
      </c>
      <c r="M40" s="66"/>
      <c r="N40" s="67">
        <f>L40+SUM(N35:N39)</f>
        <v>2148.67</v>
      </c>
      <c r="O40" s="68"/>
      <c r="P40" s="385" t="s">
        <v>151</v>
      </c>
      <c r="Q40" s="386"/>
      <c r="R40" s="387">
        <v>17.0</v>
      </c>
      <c r="S40" s="388">
        <v>2301.0</v>
      </c>
      <c r="T40" s="384">
        <f t="shared" si="3"/>
        <v>45917</v>
      </c>
      <c r="U40" s="71"/>
      <c r="V40" s="69"/>
      <c r="W40" s="71"/>
      <c r="X40" s="309"/>
      <c r="Y40" s="69"/>
      <c r="Z40" s="69"/>
    </row>
    <row r="41" ht="18.75" customHeight="1">
      <c r="A41" s="50" t="str">
        <f>IF(M35="","",IF(MONTH(M35+1)&lt;&gt;MONTH(M35),"",M35+1))</f>
        <v/>
      </c>
      <c r="B41" s="51">
        <f>SUMIF($T$11:$T$107,A41,$S$11:$S$68)</f>
        <v>0</v>
      </c>
      <c r="C41" s="50" t="str">
        <f>IF(A41="","",IF(MONTH(A41+1)&lt;&gt;MONTH(A41),"",A41+1))</f>
        <v/>
      </c>
      <c r="D41" s="51">
        <f>SUMIF($T$11:$T$107,C41,$S$11:$S$68)</f>
        <v>0</v>
      </c>
      <c r="E41" s="77"/>
      <c r="F41" s="77" t="s">
        <v>50</v>
      </c>
      <c r="G41" s="77"/>
      <c r="H41" s="77"/>
      <c r="I41" s="77"/>
      <c r="J41" s="77"/>
      <c r="K41" s="77"/>
      <c r="L41" s="77"/>
      <c r="M41" s="77"/>
      <c r="N41" s="77"/>
      <c r="P41" s="414" t="s">
        <v>217</v>
      </c>
      <c r="Q41" s="415"/>
      <c r="R41" s="416">
        <v>20.0</v>
      </c>
      <c r="S41" s="383">
        <v>-100.0</v>
      </c>
      <c r="T41" s="384">
        <f t="shared" si="3"/>
        <v>45920</v>
      </c>
      <c r="V41" s="313"/>
      <c r="X41" s="314"/>
    </row>
    <row r="42" ht="18.75" customHeight="1">
      <c r="A42" s="55"/>
      <c r="B42" s="56"/>
      <c r="C42" s="55"/>
      <c r="D42" s="56"/>
      <c r="E42" s="77"/>
      <c r="F42" s="77" t="s">
        <v>52</v>
      </c>
      <c r="G42" s="77"/>
      <c r="H42" s="77"/>
      <c r="I42" s="77"/>
      <c r="J42" s="77"/>
      <c r="K42" s="77"/>
      <c r="L42" s="77"/>
      <c r="M42" s="77"/>
      <c r="N42" s="77"/>
      <c r="P42" s="385" t="s">
        <v>46</v>
      </c>
      <c r="Q42" s="386"/>
      <c r="R42" s="387">
        <v>23.0</v>
      </c>
      <c r="S42" s="388">
        <v>-10.99</v>
      </c>
      <c r="T42" s="384">
        <f t="shared" si="3"/>
        <v>45923</v>
      </c>
      <c r="V42" s="313"/>
      <c r="X42" s="314"/>
    </row>
    <row r="43" ht="18.75" customHeight="1">
      <c r="A43" s="55"/>
      <c r="B43" s="56"/>
      <c r="C43" s="55"/>
      <c r="D43" s="56"/>
      <c r="E43" s="77"/>
      <c r="F43" s="77"/>
      <c r="G43" s="77"/>
      <c r="H43" s="77"/>
      <c r="I43" s="77"/>
      <c r="J43" s="77"/>
      <c r="K43" s="77"/>
      <c r="L43" s="77"/>
      <c r="M43" s="77"/>
      <c r="N43" s="77"/>
      <c r="P43" s="385" t="s">
        <v>26</v>
      </c>
      <c r="Q43" s="386"/>
      <c r="R43" s="387">
        <v>24.0</v>
      </c>
      <c r="S43" s="388">
        <v>-150.0</v>
      </c>
      <c r="T43" s="384">
        <f t="shared" si="3"/>
        <v>45924</v>
      </c>
      <c r="V43" s="313"/>
    </row>
    <row r="44" ht="18.75" customHeight="1">
      <c r="A44" s="55"/>
      <c r="B44" s="56"/>
      <c r="C44" s="55"/>
      <c r="D44" s="56"/>
      <c r="E44" s="77"/>
      <c r="F44" s="77"/>
      <c r="G44" s="77"/>
      <c r="H44" s="326">
        <v>22.61</v>
      </c>
      <c r="I44" s="77"/>
      <c r="J44" s="77"/>
      <c r="K44" s="77"/>
      <c r="L44" s="77"/>
      <c r="M44" s="77"/>
      <c r="N44" s="77"/>
      <c r="P44" s="380" t="s">
        <v>44</v>
      </c>
      <c r="Q44" s="381"/>
      <c r="R44" s="557">
        <v>26.0</v>
      </c>
      <c r="S44" s="397">
        <v>-18.35</v>
      </c>
      <c r="T44" s="384">
        <f t="shared" si="3"/>
        <v>45926</v>
      </c>
      <c r="V44" s="313"/>
      <c r="X44" s="314"/>
    </row>
    <row r="45" ht="18.75" customHeight="1">
      <c r="A45" s="55"/>
      <c r="B45" s="56"/>
      <c r="C45" s="55"/>
      <c r="D45" s="56"/>
      <c r="E45" s="77"/>
      <c r="F45" s="77"/>
      <c r="G45" s="77"/>
      <c r="H45" s="326">
        <v>16.2</v>
      </c>
      <c r="I45" s="77"/>
      <c r="J45" s="77"/>
      <c r="K45" s="77"/>
      <c r="L45" s="77"/>
      <c r="M45" s="77"/>
      <c r="N45" s="77"/>
      <c r="P45" s="385" t="s">
        <v>53</v>
      </c>
      <c r="Q45" s="386"/>
      <c r="R45" s="387">
        <v>29.0</v>
      </c>
      <c r="S45" s="388">
        <v>-10.99</v>
      </c>
      <c r="T45" s="384">
        <f t="shared" si="3"/>
        <v>45929</v>
      </c>
    </row>
    <row r="46" ht="18.75" customHeight="1">
      <c r="A46" s="66" t="s">
        <v>22</v>
      </c>
      <c r="B46" s="67">
        <f>N40+SUM(B41:B45)</f>
        <v>2148.67</v>
      </c>
      <c r="C46" s="66"/>
      <c r="D46" s="67">
        <f>B46+SUM(D41:D45)</f>
        <v>2148.67</v>
      </c>
      <c r="E46" s="77"/>
      <c r="F46" s="77"/>
      <c r="G46" s="77"/>
      <c r="H46" s="326">
        <v>20.9</v>
      </c>
      <c r="I46" s="77"/>
      <c r="J46" s="77"/>
      <c r="K46" s="77"/>
      <c r="L46" s="326"/>
      <c r="M46" s="77"/>
      <c r="N46" s="77"/>
      <c r="P46" s="380" t="s">
        <v>55</v>
      </c>
      <c r="Q46" s="381"/>
      <c r="R46" s="557">
        <v>30.0</v>
      </c>
      <c r="S46" s="397">
        <v>-18.35</v>
      </c>
      <c r="T46" s="384">
        <f t="shared" si="3"/>
        <v>45930</v>
      </c>
    </row>
    <row r="47" ht="12.75" customHeight="1">
      <c r="H47" s="108">
        <v>60.0</v>
      </c>
      <c r="P47" s="385" t="s">
        <v>54</v>
      </c>
      <c r="Q47" s="386"/>
      <c r="R47" s="387">
        <v>30.0</v>
      </c>
      <c r="S47" s="388">
        <v>-11.0</v>
      </c>
      <c r="T47" s="384">
        <f t="shared" si="3"/>
        <v>45930</v>
      </c>
    </row>
    <row r="48" ht="12.75" customHeight="1">
      <c r="P48" s="319" t="s">
        <v>29</v>
      </c>
      <c r="Q48" s="320"/>
      <c r="R48" s="321"/>
      <c r="S48" s="322">
        <v>-16.19</v>
      </c>
      <c r="T48" s="323" t="str">
        <f t="shared" si="3"/>
        <v>-</v>
      </c>
    </row>
    <row r="49" ht="12.75" customHeight="1">
      <c r="I49" s="108" t="s">
        <v>218</v>
      </c>
      <c r="P49" s="406"/>
      <c r="Q49" s="407"/>
      <c r="R49" s="405"/>
      <c r="S49" s="555"/>
      <c r="T49" s="376" t="str">
        <f t="shared" ref="T49:T56" si="4">IF(ISBLANK(R49),"-",IF(R49&gt;DAY(EOMONTH(DATE($B$2,$E$2,1),0)),EOMONTH(DATE($B$2,$E$2,1),0),DATE($B$2,$E$2,$R$47)))</f>
        <v>-</v>
      </c>
    </row>
    <row r="50" ht="12.75" customHeight="1">
      <c r="P50" s="542"/>
      <c r="Q50" s="407"/>
      <c r="R50" s="543"/>
      <c r="S50" s="544"/>
      <c r="T50" s="376" t="str">
        <f t="shared" si="4"/>
        <v>-</v>
      </c>
    </row>
    <row r="51" ht="12.75" customHeight="1">
      <c r="P51" s="542"/>
      <c r="Q51" s="407"/>
      <c r="R51" s="543"/>
      <c r="S51" s="544"/>
      <c r="T51" s="376" t="str">
        <f t="shared" si="4"/>
        <v>-</v>
      </c>
    </row>
    <row r="52" ht="12.75" customHeight="1">
      <c r="P52" s="542"/>
      <c r="Q52" s="407"/>
      <c r="R52" s="543"/>
      <c r="S52" s="544"/>
      <c r="T52" s="376" t="str">
        <f t="shared" si="4"/>
        <v>-</v>
      </c>
    </row>
    <row r="53" ht="12.75" customHeight="1">
      <c r="P53" s="542"/>
      <c r="Q53" s="407"/>
      <c r="R53" s="543"/>
      <c r="S53" s="544"/>
      <c r="T53" s="376" t="str">
        <f t="shared" si="4"/>
        <v>-</v>
      </c>
    </row>
    <row r="54" ht="12.75" customHeight="1">
      <c r="P54" s="542"/>
      <c r="Q54" s="407"/>
      <c r="R54" s="543"/>
      <c r="S54" s="544"/>
      <c r="T54" s="376" t="str">
        <f t="shared" si="4"/>
        <v>-</v>
      </c>
    </row>
    <row r="55" ht="12.75" customHeight="1">
      <c r="P55" s="542"/>
      <c r="Q55" s="407"/>
      <c r="R55" s="543"/>
      <c r="S55" s="544"/>
      <c r="T55" s="376" t="str">
        <f t="shared" si="4"/>
        <v>-</v>
      </c>
    </row>
    <row r="56" ht="12.75" customHeight="1">
      <c r="P56" s="542"/>
      <c r="Q56" s="407"/>
      <c r="R56" s="543"/>
      <c r="S56" s="544"/>
      <c r="T56" s="376" t="str">
        <f t="shared" si="4"/>
        <v>-</v>
      </c>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row>
    <row r="912" ht="12.75" customHeight="1">
      <c r="R912" s="336"/>
    </row>
    <row r="913" ht="12.75" customHeight="1">
      <c r="R913" s="336"/>
    </row>
    <row r="914" ht="12.75" customHeight="1">
      <c r="R914" s="336"/>
    </row>
  </sheetData>
  <mergeCells count="11">
    <mergeCell ref="G9:H9"/>
    <mergeCell ref="I9:J9"/>
    <mergeCell ref="K9:L9"/>
    <mergeCell ref="M9:N9"/>
    <mergeCell ref="M5:N5"/>
    <mergeCell ref="S5:T5"/>
    <mergeCell ref="M6:N6"/>
    <mergeCell ref="S6:T6"/>
    <mergeCell ref="A9:B9"/>
    <mergeCell ref="C9:D9"/>
    <mergeCell ref="E9:F9"/>
  </mergeCells>
  <conditionalFormatting sqref="S48">
    <cfRule type="cellIs" dxfId="5" priority="1" operator="lessThan">
      <formula>0</formula>
    </cfRule>
  </conditionalFormatting>
  <conditionalFormatting sqref="S1:S47 S49:S914">
    <cfRule type="cellIs" dxfId="5" priority="2" operator="lessThan">
      <formula>0</formula>
    </cfRule>
  </conditionalFormatting>
  <dataValidations>
    <dataValidation type="list" allowBlank="1" showErrorMessage="1" sqref="Q12:Q56">
      <formula1>"✔"</formula1>
    </dataValidation>
    <dataValidation type="custom" allowBlank="1" showDropDown="1" sqref="T12:T56">
      <formula1>OR(NOT(ISERROR(DATEVALUE(T12))), AND(ISNUMBER(T12), LEFT(CELL("format", T12))="D"))</formula1>
    </dataValidation>
  </dataValidations>
  <hyperlinks>
    <hyperlink r:id="rId1" ref="T3"/>
  </hyperlinks>
  <drawing r:id="rId2"/>
  <tableParts count="1">
    <tablePart r:id="rId4"/>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10.38"/>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6.25"/>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2025.0</v>
      </c>
      <c r="C2" s="3"/>
      <c r="D2" s="9" t="s">
        <v>2</v>
      </c>
      <c r="E2" s="10">
        <v>10.0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OCTOBER 2025</v>
      </c>
      <c r="B5" s="22"/>
      <c r="C5" s="22"/>
      <c r="D5" s="22"/>
      <c r="E5" s="22"/>
      <c r="F5" s="22"/>
      <c r="G5" s="22"/>
      <c r="H5" s="23"/>
      <c r="I5" s="23"/>
      <c r="J5" s="23"/>
      <c r="K5" s="22"/>
      <c r="L5" s="24" t="s">
        <v>7</v>
      </c>
      <c r="M5" s="25">
        <f>'September 2025'!D46</f>
        <v>2148.67</v>
      </c>
      <c r="N5" s="26"/>
      <c r="O5" s="23"/>
      <c r="P5" s="27"/>
      <c r="Q5" s="27"/>
      <c r="R5" s="287" t="s">
        <v>8</v>
      </c>
      <c r="S5" s="584">
        <v>8403.0</v>
      </c>
      <c r="U5" s="23"/>
      <c r="V5" s="289">
        <f>sum(S5+S6)</f>
        <v>440.61</v>
      </c>
      <c r="W5" s="23"/>
      <c r="X5" s="23"/>
      <c r="Y5" s="23"/>
      <c r="Z5" s="23"/>
    </row>
    <row r="6" ht="25.5" customHeight="1">
      <c r="A6" s="31"/>
      <c r="B6" s="31"/>
      <c r="C6" s="31"/>
      <c r="D6" s="31"/>
      <c r="E6" s="31"/>
      <c r="F6" s="32"/>
      <c r="G6" s="33"/>
      <c r="H6" s="34"/>
      <c r="I6" s="34"/>
      <c r="J6" s="34"/>
      <c r="K6" s="31"/>
      <c r="L6" s="24" t="s">
        <v>9</v>
      </c>
      <c r="M6" s="35">
        <f>D46</f>
        <v>2806.42</v>
      </c>
      <c r="O6" s="34"/>
      <c r="P6" s="36"/>
      <c r="Q6" s="36"/>
      <c r="R6" s="287" t="s">
        <v>10</v>
      </c>
      <c r="S6" s="288">
        <f>SUMIF(A18:N21,"&lt;0")+SUMIF(A24:N27,"&lt;0")+SUMIF(A30:N33,"&lt;0")+SUMIF(A36:N39,"&lt;0")+SUMIF(A42:D45,"&lt;0")+SUMIF(S12:S203,"&lt;0")+SUMIF(A12:N15,"&lt;0")</f>
        <v>-7962.39</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45931</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45935</v>
      </c>
      <c r="B9" s="40"/>
      <c r="C9" s="39">
        <f>C17</f>
        <v>45936</v>
      </c>
      <c r="D9" s="40"/>
      <c r="E9" s="39">
        <f>E17</f>
        <v>45937</v>
      </c>
      <c r="F9" s="40"/>
      <c r="G9" s="39">
        <f>G17</f>
        <v>45938</v>
      </c>
      <c r="H9" s="40"/>
      <c r="I9" s="39">
        <f>I17</f>
        <v>45939</v>
      </c>
      <c r="J9" s="40"/>
      <c r="K9" s="39">
        <f>K17</f>
        <v>45940</v>
      </c>
      <c r="L9" s="40"/>
      <c r="M9" s="39">
        <f>M17</f>
        <v>45941</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SUMIF($T$11:$T$130,A11,$S$11:$S$91)</f>
        <v>0</v>
      </c>
      <c r="C11" s="50" t="str">
        <f>IF(A11="",IF(WEEKDAY($B$8,1)=MOD($H$2,7)+1,$B$8,""),A11+1)</f>
        <v/>
      </c>
      <c r="D11" s="51">
        <f>SUMIF($T$11:$T$130,C11,$S$11:$S$91)</f>
        <v>0</v>
      </c>
      <c r="E11" s="50" t="str">
        <f>IF(C11="",IF(WEEKDAY($B$8,1)=MOD($H$2+1,7)+1,$B$8,""),C11+1)</f>
        <v/>
      </c>
      <c r="F11" s="51">
        <f>SUMIF($T$11:$T$130,E11,$S$11:$S$91)</f>
        <v>0</v>
      </c>
      <c r="G11" s="50">
        <f>IF(E11="",IF(WEEKDAY($B$8,1)=MOD($H$2+2,7)+1,$B$8,""),E11+1)</f>
        <v>45931</v>
      </c>
      <c r="H11" s="51">
        <f>SUMIF($T$11:$T$130,G11,$S$11:$S$91)</f>
        <v>1443</v>
      </c>
      <c r="I11" s="50">
        <f>IF(G11="",IF(WEEKDAY($B$8,1)=MOD($H$2+3,7)+1,$B$8,""),G11+1)</f>
        <v>45932</v>
      </c>
      <c r="J11" s="51">
        <f>SUMIF($T$11:$T$130,I11,$S$11:$S$91)</f>
        <v>2259.71</v>
      </c>
      <c r="K11" s="50">
        <f>IF(I11="",IF(WEEKDAY($B$8,1)=MOD($H$2+4,7)+1,$B$8,""),I11+1)</f>
        <v>45933</v>
      </c>
      <c r="L11" s="51">
        <f>SUMIF($T$11:$T$130,K11,$S$11:$S$91)</f>
        <v>-1790.99</v>
      </c>
      <c r="M11" s="50">
        <f>IF(K11="",IF(WEEKDAY($B$8,1)=MOD($H$2+5,7)+1,$B$8,""),K11+1)</f>
        <v>45934</v>
      </c>
      <c r="N11" s="51">
        <f>SUMIF($T$11:$T$130,M11,$S$11:$S$91)</f>
        <v>0</v>
      </c>
      <c r="O11" s="23"/>
      <c r="P11" s="52" t="s">
        <v>13</v>
      </c>
      <c r="Q11" s="53" t="s">
        <v>14</v>
      </c>
      <c r="R11" s="53" t="s">
        <v>15</v>
      </c>
      <c r="S11" s="96" t="s">
        <v>16</v>
      </c>
      <c r="T11" s="53" t="s">
        <v>17</v>
      </c>
      <c r="U11" s="23"/>
      <c r="V11" s="23"/>
      <c r="W11" s="23"/>
      <c r="X11" s="23"/>
      <c r="Y11" s="23"/>
      <c r="Z11" s="23"/>
    </row>
    <row r="12" ht="18.75" customHeight="1">
      <c r="A12" s="55"/>
      <c r="B12" s="56"/>
      <c r="C12" s="55"/>
      <c r="D12" s="56"/>
      <c r="E12" s="55"/>
      <c r="F12" s="56"/>
      <c r="G12" s="55"/>
      <c r="H12" s="57"/>
      <c r="I12" s="58"/>
      <c r="J12" s="57"/>
      <c r="K12" s="58"/>
      <c r="L12" s="57">
        <v>-58.85</v>
      </c>
      <c r="M12" s="55"/>
      <c r="N12" s="56"/>
      <c r="O12" s="23"/>
      <c r="P12" s="398" t="s">
        <v>25</v>
      </c>
      <c r="Q12" s="399"/>
      <c r="R12" s="400">
        <v>7.0</v>
      </c>
      <c r="S12" s="393">
        <f t="array" ref="S12">-INDEX(PaymentSchedule!$E$21:$AG937,MATCH(PaymentSchedule!$B$30,PaymentSchedule!$B$21:$B$100),MATCH($P12,PaymentSchedule!$E$19:$AG$19,0))</f>
        <v>-78.03</v>
      </c>
      <c r="T12" s="394">
        <f t="shared" ref="T12:T24" si="1">IF(ISBLANK(R12),"-",IF(R12&gt;DAY(EOMONTH(DATE($B$2,$E$2,1),0)),EOMONTH(DATE($B$2,$E$2,1),0),DATE($B$2,$E$2,R12)))</f>
        <v>45937</v>
      </c>
      <c r="U12" s="64"/>
      <c r="V12" s="23"/>
      <c r="W12" s="64"/>
      <c r="X12" s="303"/>
      <c r="Y12" s="23"/>
      <c r="Z12" s="23"/>
    </row>
    <row r="13" ht="18.75" customHeight="1">
      <c r="A13" s="55"/>
      <c r="B13" s="56"/>
      <c r="C13" s="55"/>
      <c r="D13" s="56"/>
      <c r="E13" s="55"/>
      <c r="F13" s="56"/>
      <c r="G13" s="55"/>
      <c r="H13" s="56"/>
      <c r="I13" s="55"/>
      <c r="J13" s="57"/>
      <c r="K13" s="58"/>
      <c r="L13" s="57"/>
      <c r="M13" s="55"/>
      <c r="N13" s="56"/>
      <c r="O13" s="23"/>
      <c r="P13" s="398" t="s">
        <v>89</v>
      </c>
      <c r="Q13" s="399"/>
      <c r="R13" s="400">
        <v>8.0</v>
      </c>
      <c r="S13" s="393">
        <f t="array" ref="S13">-INDEX(PaymentSchedule!$E$21:$AG937,MATCH(PaymentSchedule!$B$30,PaymentSchedule!$B$21:$B$100),MATCH($P13,PaymentSchedule!$E$19:$AG$19,0))</f>
        <v>-126</v>
      </c>
      <c r="T13" s="394">
        <f t="shared" si="1"/>
        <v>45938</v>
      </c>
      <c r="U13" s="64"/>
      <c r="V13" s="23"/>
      <c r="W13" s="64"/>
      <c r="X13" s="303"/>
      <c r="Y13" s="23"/>
      <c r="Z13" s="23"/>
    </row>
    <row r="14" ht="18.75" customHeight="1">
      <c r="A14" s="55"/>
      <c r="B14" s="56"/>
      <c r="C14" s="55"/>
      <c r="D14" s="56"/>
      <c r="E14" s="55"/>
      <c r="F14" s="56"/>
      <c r="G14" s="55"/>
      <c r="H14" s="56"/>
      <c r="I14" s="58"/>
      <c r="J14" s="57"/>
      <c r="K14" s="58"/>
      <c r="L14" s="57"/>
      <c r="M14" s="55"/>
      <c r="N14" s="56"/>
      <c r="O14" s="23"/>
      <c r="P14" s="398" t="s">
        <v>85</v>
      </c>
      <c r="Q14" s="399"/>
      <c r="R14" s="400">
        <v>20.0</v>
      </c>
      <c r="S14" s="393">
        <f t="array" ref="S14">-INDEX(PaymentSchedule!$E$21:$AG937,MATCH(PaymentSchedule!$B$30,PaymentSchedule!$B$21:$B$100),MATCH($P14,PaymentSchedule!$E$19:$AG$19,0))</f>
        <v>-137</v>
      </c>
      <c r="T14" s="394">
        <f t="shared" si="1"/>
        <v>45950</v>
      </c>
      <c r="U14" s="64"/>
      <c r="V14" s="23"/>
      <c r="W14" s="64"/>
      <c r="X14" s="303"/>
      <c r="Y14" s="23"/>
      <c r="Z14" s="23"/>
    </row>
    <row r="15" ht="18.75" customHeight="1">
      <c r="A15" s="55"/>
      <c r="B15" s="56"/>
      <c r="C15" s="55"/>
      <c r="D15" s="56"/>
      <c r="E15" s="55"/>
      <c r="F15" s="56"/>
      <c r="G15" s="55"/>
      <c r="H15" s="56"/>
      <c r="I15" s="55"/>
      <c r="J15" s="56"/>
      <c r="K15" s="55"/>
      <c r="L15" s="56"/>
      <c r="M15" s="55"/>
      <c r="N15" s="56"/>
      <c r="O15" s="23"/>
      <c r="P15" s="398" t="s">
        <v>86</v>
      </c>
      <c r="Q15" s="399"/>
      <c r="R15" s="400">
        <v>6.0</v>
      </c>
      <c r="S15" s="393">
        <f t="array" ref="S15">-INDEX(PaymentSchedule!$E$21:$AG937,MATCH(PaymentSchedule!$B$30,PaymentSchedule!$B$21:$B$100),MATCH($P15,PaymentSchedule!$E$19:$AG$19,0))</f>
        <v>-791.16</v>
      </c>
      <c r="T15" s="394">
        <f t="shared" si="1"/>
        <v>45936</v>
      </c>
      <c r="U15" s="64"/>
      <c r="V15" s="23"/>
      <c r="W15" s="64"/>
      <c r="X15" s="303"/>
      <c r="Y15" s="23"/>
      <c r="Z15" s="23"/>
    </row>
    <row r="16" ht="18.75" customHeight="1">
      <c r="A16" s="66" t="s">
        <v>22</v>
      </c>
      <c r="B16" s="67">
        <f>$M$5+SUM(B11:B15)</f>
        <v>2148.67</v>
      </c>
      <c r="C16" s="66"/>
      <c r="D16" s="67">
        <f>B16+SUM(D11:D15)</f>
        <v>2148.67</v>
      </c>
      <c r="E16" s="66"/>
      <c r="F16" s="67">
        <f>D16+SUM(F11:F15)</f>
        <v>2148.67</v>
      </c>
      <c r="G16" s="66"/>
      <c r="H16" s="67">
        <f>F16+SUM(H11:H15)</f>
        <v>3591.67</v>
      </c>
      <c r="I16" s="66"/>
      <c r="J16" s="67">
        <f>H16+SUM(J11:J15)</f>
        <v>5851.38</v>
      </c>
      <c r="K16" s="66"/>
      <c r="L16" s="67">
        <f>J16+SUM(L11:L15)</f>
        <v>4001.54</v>
      </c>
      <c r="M16" s="66"/>
      <c r="N16" s="67">
        <f>L16+SUM(N11:N15)</f>
        <v>4001.54</v>
      </c>
      <c r="O16" s="68"/>
      <c r="P16" s="398" t="s">
        <v>20</v>
      </c>
      <c r="Q16" s="399"/>
      <c r="R16" s="400">
        <v>3.0</v>
      </c>
      <c r="S16" s="393">
        <f t="array" ref="S16">-INDEX(PaymentSchedule!$E$21:$AG937,MATCH(PaymentSchedule!$B$30,PaymentSchedule!$B$21:$B$100),MATCH($P16,PaymentSchedule!$E$19:$AG$19,0))</f>
        <v>-1461.99</v>
      </c>
      <c r="T16" s="394">
        <f t="shared" si="1"/>
        <v>45933</v>
      </c>
      <c r="U16" s="71"/>
      <c r="V16" s="69"/>
      <c r="W16" s="71"/>
      <c r="X16" s="309"/>
      <c r="Y16" s="69"/>
      <c r="Z16" s="69"/>
    </row>
    <row r="17" ht="18.75" customHeight="1">
      <c r="A17" s="50">
        <f>IF(M11="","",IF(MONTH(M11+1)&lt;&gt;MONTH(M11),"",M11+1))</f>
        <v>45935</v>
      </c>
      <c r="B17" s="51">
        <f>SUMIF($T$11:$T$130,A17,$S$11:$S$91)</f>
        <v>0</v>
      </c>
      <c r="C17" s="50">
        <f>IF(A17="","",IF(MONTH(A17+1)&lt;&gt;MONTH(A17),"",A17+1))</f>
        <v>45936</v>
      </c>
      <c r="D17" s="51">
        <f>SUMIF($T$11:$T$130,C17,$S$11:$S$91)</f>
        <v>-791.16</v>
      </c>
      <c r="E17" s="50">
        <f>IF(C17="","",IF(MONTH(C17+1)&lt;&gt;MONTH(C17),"",C17+1))</f>
        <v>45937</v>
      </c>
      <c r="F17" s="51">
        <f>SUMIF($T$11:$T$130,E17,$S$11:$S$91)</f>
        <v>-78.03</v>
      </c>
      <c r="G17" s="50">
        <f>IF(E17="","",IF(MONTH(E17+1)&lt;&gt;MONTH(E17),"",E17+1))</f>
        <v>45938</v>
      </c>
      <c r="H17" s="51">
        <f>SUMIF($T$11:$T$130,G17,$S$11:$S$91)</f>
        <v>-1261.65</v>
      </c>
      <c r="I17" s="50">
        <f>IF(G17="","",IF(MONTH(G17+1)&lt;&gt;MONTH(G17),"",G17+1))</f>
        <v>45939</v>
      </c>
      <c r="J17" s="51">
        <f>SUMIF($T$11:$T$130,I17,$S$11:$S$91)</f>
        <v>0</v>
      </c>
      <c r="K17" s="50">
        <f>IF(I17="","",IF(MONTH(I17+1)&lt;&gt;MONTH(I17),"",I17+1))</f>
        <v>45940</v>
      </c>
      <c r="L17" s="51">
        <f>SUMIF($T$11:$T$130,K17,$S$11:$S$91)</f>
        <v>-100.93</v>
      </c>
      <c r="M17" s="50">
        <f>IF(K17="","",IF(MONTH(K17+1)&lt;&gt;MONTH(K17),"",K17+1))</f>
        <v>45941</v>
      </c>
      <c r="N17" s="51">
        <f>SUMIF($T$11:$T$130,M17,$S$11:$S$91)</f>
        <v>0</v>
      </c>
      <c r="O17" s="23"/>
      <c r="P17" s="398" t="s">
        <v>87</v>
      </c>
      <c r="Q17" s="399"/>
      <c r="R17" s="400">
        <v>30.0</v>
      </c>
      <c r="S17" s="393">
        <f t="array" ref="S17">-INDEX(PaymentSchedule!$E$21:$AG937,MATCH(PaymentSchedule!$B$30,PaymentSchedule!$B$21:$B$100),MATCH($P17,PaymentSchedule!$E$19:$AG$19,0))</f>
        <v>-695.6</v>
      </c>
      <c r="T17" s="394">
        <f t="shared" si="1"/>
        <v>45960</v>
      </c>
      <c r="U17" s="64"/>
      <c r="V17" s="23"/>
      <c r="W17" s="64"/>
      <c r="X17" s="303"/>
      <c r="Y17" s="23"/>
      <c r="Z17" s="23"/>
    </row>
    <row r="18" ht="18.75" customHeight="1">
      <c r="A18" s="55"/>
      <c r="B18" s="56"/>
      <c r="C18" s="58"/>
      <c r="D18" s="57"/>
      <c r="E18" s="55"/>
      <c r="F18" s="57">
        <v>-28.33</v>
      </c>
      <c r="I18" s="58" t="s">
        <v>219</v>
      </c>
      <c r="J18" s="57">
        <v>-44.08</v>
      </c>
      <c r="K18" s="58"/>
      <c r="L18" s="57">
        <v>44.97</v>
      </c>
      <c r="M18" s="55"/>
      <c r="N18" s="56"/>
      <c r="O18" s="23"/>
      <c r="P18" s="398" t="s">
        <v>37</v>
      </c>
      <c r="Q18" s="399"/>
      <c r="R18" s="400">
        <v>8.0</v>
      </c>
      <c r="S18" s="393">
        <f t="array" ref="S18">-INDEX(PaymentSchedule!$E$21:$AG937,MATCH(PaymentSchedule!$B$30,PaymentSchedule!$B$21:$B$100),MATCH($P18,PaymentSchedule!$E$19:$AG$19,0))</f>
        <v>-80</v>
      </c>
      <c r="T18" s="394">
        <f t="shared" si="1"/>
        <v>45938</v>
      </c>
      <c r="U18" s="64"/>
      <c r="V18" s="23"/>
      <c r="Y18" s="23"/>
      <c r="Z18" s="23"/>
    </row>
    <row r="19" ht="18.75" customHeight="1">
      <c r="A19" s="55"/>
      <c r="B19" s="56"/>
      <c r="C19" s="55"/>
      <c r="D19" s="56"/>
      <c r="E19" s="55"/>
      <c r="F19" s="56"/>
      <c r="G19" s="55"/>
      <c r="H19" s="56"/>
      <c r="I19" s="55"/>
      <c r="J19" s="56"/>
      <c r="K19" s="55"/>
      <c r="L19" s="56"/>
      <c r="M19" s="55"/>
      <c r="N19" s="56"/>
      <c r="O19" s="23"/>
      <c r="P19" s="398" t="s">
        <v>36</v>
      </c>
      <c r="Q19" s="399"/>
      <c r="R19" s="400">
        <v>8.0</v>
      </c>
      <c r="S19" s="393">
        <f t="array" ref="S19">-INDEX(PaymentSchedule!$E$21:$AG937,MATCH(PaymentSchedule!$B$30,PaymentSchedule!$B$21:$B$100),MATCH($P19,PaymentSchedule!$E$19:$AG$19,0))</f>
        <v>-450.08</v>
      </c>
      <c r="T19" s="394">
        <f t="shared" si="1"/>
        <v>45938</v>
      </c>
      <c r="U19" s="64"/>
      <c r="V19" s="23"/>
      <c r="W19" s="64"/>
      <c r="X19" s="303"/>
      <c r="Y19" s="23"/>
      <c r="Z19" s="23"/>
    </row>
    <row r="20" ht="18.75" customHeight="1">
      <c r="A20" s="55"/>
      <c r="B20" s="56"/>
      <c r="C20" s="55"/>
      <c r="D20" s="56"/>
      <c r="E20" s="55"/>
      <c r="F20" s="56"/>
      <c r="G20" s="55"/>
      <c r="H20" s="56"/>
      <c r="I20" s="55"/>
      <c r="J20" s="56"/>
      <c r="K20" s="55"/>
      <c r="L20" s="56"/>
      <c r="M20" s="55"/>
      <c r="N20" s="56"/>
      <c r="O20" s="23"/>
      <c r="P20" s="380" t="s">
        <v>55</v>
      </c>
      <c r="Q20" s="381"/>
      <c r="R20" s="557">
        <v>30.0</v>
      </c>
      <c r="S20" s="397">
        <v>-18.35</v>
      </c>
      <c r="T20" s="384">
        <f t="shared" si="1"/>
        <v>45960</v>
      </c>
      <c r="U20" s="64"/>
      <c r="V20" s="23"/>
      <c r="W20" s="64"/>
      <c r="X20" s="303"/>
      <c r="Y20" s="23"/>
      <c r="Z20" s="23"/>
    </row>
    <row r="21" ht="18.75" customHeight="1">
      <c r="A21" s="55"/>
      <c r="B21" s="56"/>
      <c r="C21" s="55"/>
      <c r="D21" s="56"/>
      <c r="E21" s="55"/>
      <c r="F21" s="56"/>
      <c r="G21" s="55"/>
      <c r="H21" s="56"/>
      <c r="I21" s="55"/>
      <c r="J21" s="56"/>
      <c r="K21" s="55"/>
      <c r="L21" s="56"/>
      <c r="M21" s="55"/>
      <c r="N21" s="56"/>
      <c r="O21" s="23"/>
      <c r="P21" s="385" t="s">
        <v>29</v>
      </c>
      <c r="Q21" s="386"/>
      <c r="R21" s="387">
        <v>28.0</v>
      </c>
      <c r="S21" s="388">
        <v>-21.59</v>
      </c>
      <c r="T21" s="384">
        <f t="shared" si="1"/>
        <v>45958</v>
      </c>
      <c r="U21" s="64"/>
      <c r="V21" s="303"/>
      <c r="W21" s="64"/>
      <c r="X21" s="303"/>
      <c r="Y21" s="23"/>
      <c r="Z21" s="23"/>
    </row>
    <row r="22" ht="18.75" customHeight="1">
      <c r="A22" s="66" t="s">
        <v>22</v>
      </c>
      <c r="B22" s="67">
        <f>N16+SUM(B17:B21)</f>
        <v>4001.54</v>
      </c>
      <c r="C22" s="66"/>
      <c r="D22" s="67">
        <f>B22+SUM(D17:D21)</f>
        <v>3210.38</v>
      </c>
      <c r="E22" s="66"/>
      <c r="F22" s="67">
        <f>D22+SUM(F17:F21)</f>
        <v>3104.02</v>
      </c>
      <c r="G22" s="66"/>
      <c r="H22" s="67">
        <f>F22+SUM(H17:H21)</f>
        <v>1842.37</v>
      </c>
      <c r="I22" s="66"/>
      <c r="J22" s="67">
        <f>H22+SUM(J17:J21)</f>
        <v>1798.29</v>
      </c>
      <c r="K22" s="66"/>
      <c r="L22" s="67">
        <f>J22+SUM(L17:L21)</f>
        <v>1742.33</v>
      </c>
      <c r="M22" s="66"/>
      <c r="N22" s="67">
        <f>L22+SUM(N17:N21)</f>
        <v>1742.33</v>
      </c>
      <c r="O22" s="68"/>
      <c r="P22" s="385" t="s">
        <v>43</v>
      </c>
      <c r="Q22" s="386"/>
      <c r="R22" s="387">
        <v>17.0</v>
      </c>
      <c r="S22" s="388">
        <v>-9.99</v>
      </c>
      <c r="T22" s="384">
        <f t="shared" si="1"/>
        <v>45947</v>
      </c>
      <c r="W22" s="71"/>
      <c r="X22" s="309"/>
      <c r="Y22" s="69"/>
      <c r="Z22" s="69"/>
    </row>
    <row r="23" ht="18.75" customHeight="1">
      <c r="A23" s="50">
        <f>IF(M17="","",IF(MONTH(M17+1)&lt;&gt;MONTH(M17),"",M17+1))</f>
        <v>45942</v>
      </c>
      <c r="B23" s="51">
        <f>SUMIF($T$11:$T$130,A23,$S$11:$S$91)</f>
        <v>0</v>
      </c>
      <c r="C23" s="50">
        <f>IF(A23="","",IF(MONTH(A23+1)&lt;&gt;MONTH(A23),"",A23+1))</f>
        <v>45943</v>
      </c>
      <c r="D23" s="51">
        <f>SUMIF($T$11:$T$130,C23,$S$11:$S$91)</f>
        <v>0</v>
      </c>
      <c r="E23" s="50">
        <f>IF(C23="","",IF(MONTH(C23+1)&lt;&gt;MONTH(C23),"",C23+1))</f>
        <v>45944</v>
      </c>
      <c r="F23" s="51">
        <f>SUMIF($T$11:$T$130,E23,$S$11:$S$91)</f>
        <v>-119.42</v>
      </c>
      <c r="G23" s="50">
        <f>IF(E23="","",IF(MONTH(E23+1)&lt;&gt;MONTH(E23),"",E23+1))</f>
        <v>45945</v>
      </c>
      <c r="H23" s="51">
        <f>SUMIF($T$11:$T$130,G23,$S$11:$S$91)</f>
        <v>-150</v>
      </c>
      <c r="I23" s="50">
        <f>IF(G23="","",IF(MONTH(G23+1)&lt;&gt;MONTH(G23),"",G23+1))</f>
        <v>45946</v>
      </c>
      <c r="J23" s="51">
        <f>SUMIF($T$11:$T$130,I23,$S$11:$S$91)</f>
        <v>2309.71</v>
      </c>
      <c r="K23" s="50">
        <f>IF(I23="","",IF(MONTH(I23+1)&lt;&gt;MONTH(I23),"",I23+1))</f>
        <v>45947</v>
      </c>
      <c r="L23" s="51">
        <f>SUMIF($T$11:$T$130,K23,$S$11:$S$91)</f>
        <v>-9.99</v>
      </c>
      <c r="M23" s="50">
        <f>IF(K23="","",IF(MONTH(K23+1)&lt;&gt;MONTH(K23),"",K23+1))</f>
        <v>45948</v>
      </c>
      <c r="N23" s="51">
        <f>SUMIF($T$11:$T$130,M23,$S$11:$S$91)</f>
        <v>0</v>
      </c>
      <c r="O23" s="23"/>
      <c r="P23" s="385" t="s">
        <v>54</v>
      </c>
      <c r="Q23" s="386"/>
      <c r="R23" s="387">
        <v>28.0</v>
      </c>
      <c r="S23" s="388">
        <v>-11.0</v>
      </c>
      <c r="T23" s="384">
        <f t="shared" si="1"/>
        <v>45958</v>
      </c>
      <c r="U23" s="64"/>
      <c r="V23" s="23"/>
      <c r="W23" s="64"/>
      <c r="X23" s="303"/>
      <c r="Y23" s="23"/>
      <c r="Z23" s="23"/>
    </row>
    <row r="24" ht="18.75" customHeight="1">
      <c r="A24" s="55"/>
      <c r="B24" s="57"/>
      <c r="C24" s="58" t="s">
        <v>139</v>
      </c>
      <c r="D24" s="57">
        <v>-99.0</v>
      </c>
      <c r="E24" s="55"/>
      <c r="F24" s="57"/>
      <c r="G24" s="413"/>
      <c r="I24" s="58"/>
      <c r="K24" s="58" t="s">
        <v>163</v>
      </c>
      <c r="L24" s="57">
        <v>-188.73</v>
      </c>
      <c r="M24" s="55"/>
      <c r="N24" s="56"/>
      <c r="O24" s="23"/>
      <c r="P24" s="385" t="s">
        <v>30</v>
      </c>
      <c r="Q24" s="386"/>
      <c r="R24" s="416">
        <v>20.0</v>
      </c>
      <c r="S24" s="383">
        <v>-484.14</v>
      </c>
      <c r="T24" s="384">
        <f t="shared" si="1"/>
        <v>45950</v>
      </c>
      <c r="U24" s="64"/>
      <c r="V24" s="23"/>
      <c r="W24" s="64"/>
      <c r="X24" s="303"/>
      <c r="Y24" s="23"/>
      <c r="Z24" s="23"/>
    </row>
    <row r="25" ht="18.75" customHeight="1">
      <c r="A25" s="55"/>
      <c r="B25" s="56"/>
      <c r="C25" s="58" t="s">
        <v>87</v>
      </c>
      <c r="D25" s="57">
        <v>-10.89</v>
      </c>
      <c r="E25" s="55"/>
      <c r="F25" s="56"/>
      <c r="G25" s="55"/>
      <c r="I25" s="55"/>
      <c r="J25" s="411">
        <v>-15.07</v>
      </c>
      <c r="K25" s="55"/>
      <c r="L25" s="57">
        <v>-27.63</v>
      </c>
      <c r="M25" s="55"/>
      <c r="N25" s="56"/>
      <c r="O25" s="23"/>
      <c r="P25" s="519" t="s">
        <v>205</v>
      </c>
      <c r="Q25" s="511"/>
      <c r="R25" s="416">
        <v>14.0</v>
      </c>
      <c r="S25" s="383">
        <v>-17.42</v>
      </c>
      <c r="T25" s="536">
        <f>IF(ISBLANK(R25),"-",IF(R25&gt;DAY(EOMONTH(DATE($B$2,$E$2,1),0)),EOMONTH(DATE($B$2,$E$2,1),0),DATE($B$2,$E$2,R25)))</f>
        <v>45944</v>
      </c>
      <c r="U25" s="64"/>
      <c r="V25" s="23"/>
      <c r="W25" s="64"/>
      <c r="X25" s="303"/>
      <c r="Y25" s="23"/>
      <c r="Z25" s="23"/>
    </row>
    <row r="26" ht="18.75" customHeight="1">
      <c r="A26" s="55"/>
      <c r="B26" s="56"/>
      <c r="C26" s="55"/>
      <c r="D26" s="56"/>
      <c r="E26" s="55"/>
      <c r="F26" s="56"/>
      <c r="G26" s="55"/>
      <c r="H26" s="56"/>
      <c r="I26" s="55"/>
      <c r="J26" s="57">
        <v>-29.0</v>
      </c>
      <c r="K26" s="55"/>
      <c r="L26" s="56"/>
      <c r="M26" s="55"/>
      <c r="N26" s="56"/>
      <c r="O26" s="23"/>
      <c r="P26" s="385" t="s">
        <v>47</v>
      </c>
      <c r="Q26" s="386"/>
      <c r="R26" s="387">
        <v>1.0</v>
      </c>
      <c r="S26" s="490">
        <v>1500.0</v>
      </c>
      <c r="T26" s="384">
        <f t="shared" ref="T26:T40" si="2">IF(ISBLANK(R26),"-",IF(R26&gt;DAY(EOMONTH(DATE($B$2,$E$2,1),0)),EOMONTH(DATE($B$2,$E$2,1),0),DATE($B$2,$E$2,R26)))</f>
        <v>45931</v>
      </c>
      <c r="U26" s="64"/>
      <c r="V26" s="23"/>
      <c r="W26" s="64"/>
      <c r="X26" s="303"/>
      <c r="Y26" s="23"/>
      <c r="Z26" s="23"/>
    </row>
    <row r="27" ht="18.75" customHeight="1">
      <c r="A27" s="55"/>
      <c r="B27" s="56"/>
      <c r="C27" s="55"/>
      <c r="D27" s="56"/>
      <c r="E27" s="55"/>
      <c r="F27" s="56"/>
      <c r="G27" s="55"/>
      <c r="H27" s="56"/>
      <c r="I27" s="55"/>
      <c r="J27" s="56"/>
      <c r="K27" s="55"/>
      <c r="L27" s="56"/>
      <c r="M27" s="55"/>
      <c r="N27" s="56"/>
      <c r="O27" s="23"/>
      <c r="P27" s="385" t="s">
        <v>19</v>
      </c>
      <c r="Q27" s="386"/>
      <c r="R27" s="387">
        <v>2.0</v>
      </c>
      <c r="S27" s="388">
        <v>2309.71</v>
      </c>
      <c r="T27" s="384">
        <f t="shared" si="2"/>
        <v>45932</v>
      </c>
      <c r="U27" s="64"/>
      <c r="V27" s="23"/>
      <c r="W27" s="64"/>
      <c r="X27" s="303"/>
      <c r="Y27" s="23"/>
      <c r="Z27" s="23"/>
    </row>
    <row r="28" ht="18.75" customHeight="1">
      <c r="A28" s="66" t="s">
        <v>22</v>
      </c>
      <c r="B28" s="67">
        <f>N22+SUM(B23:B27)</f>
        <v>1742.33</v>
      </c>
      <c r="C28" s="66"/>
      <c r="D28" s="67">
        <f>B28+SUM(D23:D27)</f>
        <v>1632.44</v>
      </c>
      <c r="E28" s="66"/>
      <c r="F28" s="67">
        <f>D28+SUM(F23:F27)</f>
        <v>1513.02</v>
      </c>
      <c r="G28" s="66"/>
      <c r="H28" s="67">
        <f>F28+SUM(H23:H27)</f>
        <v>1363.02</v>
      </c>
      <c r="I28" s="66"/>
      <c r="J28" s="67">
        <f>H28+SUM(J23:J27)</f>
        <v>3628.66</v>
      </c>
      <c r="K28" s="66"/>
      <c r="L28" s="67">
        <f>J28+SUM(L23:L27)</f>
        <v>3402.31</v>
      </c>
      <c r="M28" s="66"/>
      <c r="N28" s="67">
        <f>L28+SUM(N23:N27)</f>
        <v>3402.31</v>
      </c>
      <c r="O28" s="68"/>
      <c r="P28" s="385" t="s">
        <v>151</v>
      </c>
      <c r="Q28" s="386"/>
      <c r="R28" s="387">
        <v>16.0</v>
      </c>
      <c r="S28" s="388">
        <v>2309.71</v>
      </c>
      <c r="T28" s="384">
        <f t="shared" si="2"/>
        <v>45946</v>
      </c>
      <c r="U28" s="71"/>
      <c r="V28" s="69"/>
      <c r="W28" s="71"/>
      <c r="X28" s="309"/>
      <c r="Y28" s="69"/>
      <c r="Z28" s="69"/>
    </row>
    <row r="29" ht="18.75" customHeight="1">
      <c r="A29" s="50">
        <f>IF(M23="","",IF(MONTH(M23+1)&lt;&gt;MONTH(M23),"",M23+1))</f>
        <v>45949</v>
      </c>
      <c r="B29" s="51">
        <f>SUMIF($T$11:$T$130,A29,$S$11:$S$91)</f>
        <v>0</v>
      </c>
      <c r="C29" s="50">
        <f>IF(A29="","",IF(MONTH(A29+1)&lt;&gt;MONTH(A29),"",A29+1))</f>
        <v>45950</v>
      </c>
      <c r="D29" s="51">
        <f>SUMIF($T$11:$T$130,C29,$S$11:$S$91)</f>
        <v>-621.14</v>
      </c>
      <c r="E29" s="50">
        <f>IF(C29="","",IF(MONTH(C29+1)&lt;&gt;MONTH(C29),"",C29+1))</f>
        <v>45951</v>
      </c>
      <c r="F29" s="51">
        <f>SUMIF($T$11:$T$130,E29,$S$11:$S$91)</f>
        <v>0</v>
      </c>
      <c r="G29" s="50">
        <f>IF(E29="","",IF(MONTH(E29+1)&lt;&gt;MONTH(E29),"",E29+1))</f>
        <v>45952</v>
      </c>
      <c r="H29" s="51">
        <f>SUMIF($T$11:$T$130,G29,$S$11:$S$91)</f>
        <v>-150</v>
      </c>
      <c r="I29" s="50">
        <f>IF(G29="","",IF(MONTH(G29+1)&lt;&gt;MONTH(G29),"",G29+1))</f>
        <v>45953</v>
      </c>
      <c r="J29" s="51">
        <f>SUMIF($T$11:$T$130,I29,$S$11:$S$91)</f>
        <v>-600</v>
      </c>
      <c r="K29" s="50">
        <f>IF(I29="","",IF(MONTH(I29+1)&lt;&gt;MONTH(I29),"",I29+1))</f>
        <v>45954</v>
      </c>
      <c r="L29" s="51">
        <f>SUMIF($T$11:$T$130,K29,$S$11:$S$91)</f>
        <v>0</v>
      </c>
      <c r="M29" s="50">
        <f>IF(K29="","",IF(MONTH(K29+1)&lt;&gt;MONTH(K29),"",K29+1))</f>
        <v>45955</v>
      </c>
      <c r="N29" s="51">
        <f>SUMIF($T$11:$T$130,M29,$S$11:$S$91)</f>
        <v>-31.34</v>
      </c>
      <c r="O29" s="23"/>
      <c r="P29" s="385" t="s">
        <v>48</v>
      </c>
      <c r="Q29" s="386"/>
      <c r="R29" s="387">
        <v>31.0</v>
      </c>
      <c r="S29" s="388">
        <v>2309.71</v>
      </c>
      <c r="T29" s="384">
        <f t="shared" si="2"/>
        <v>45961</v>
      </c>
      <c r="U29" s="64"/>
      <c r="V29" s="23"/>
      <c r="W29" s="64"/>
      <c r="X29" s="303"/>
      <c r="Y29" s="23"/>
      <c r="Z29" s="23"/>
    </row>
    <row r="30" ht="18.75" customHeight="1">
      <c r="A30" s="55"/>
      <c r="B30" s="56"/>
      <c r="C30" s="58" t="s">
        <v>163</v>
      </c>
      <c r="D30" s="57">
        <v>-25.01</v>
      </c>
      <c r="E30" s="58" t="s">
        <v>220</v>
      </c>
      <c r="F30" s="57">
        <v>-20.0</v>
      </c>
      <c r="G30" s="55"/>
      <c r="H30" s="57"/>
      <c r="I30" s="485" t="s">
        <v>165</v>
      </c>
      <c r="J30" s="486">
        <v>-57.82</v>
      </c>
      <c r="K30" s="58"/>
      <c r="L30" s="57"/>
      <c r="M30" s="55"/>
      <c r="N30" s="56"/>
      <c r="O30" s="23"/>
      <c r="P30" s="414" t="s">
        <v>142</v>
      </c>
      <c r="Q30" s="415"/>
      <c r="R30" s="416">
        <v>1.0</v>
      </c>
      <c r="S30" s="383"/>
      <c r="T30" s="384">
        <f t="shared" si="2"/>
        <v>45931</v>
      </c>
      <c r="U30" s="64"/>
      <c r="V30" s="23"/>
      <c r="W30" s="64"/>
      <c r="X30" s="303"/>
      <c r="Y30" s="23"/>
      <c r="Z30" s="23"/>
    </row>
    <row r="31" ht="18.75" customHeight="1">
      <c r="A31" s="55"/>
      <c r="B31" s="56"/>
      <c r="C31" s="58"/>
      <c r="D31" s="57"/>
      <c r="E31" s="55"/>
      <c r="F31" s="56"/>
      <c r="G31" s="55"/>
      <c r="H31" s="56"/>
      <c r="I31" s="58" t="s">
        <v>163</v>
      </c>
      <c r="J31" s="57">
        <v>-22.61</v>
      </c>
      <c r="K31" s="55"/>
      <c r="L31" s="57">
        <v>-18.44</v>
      </c>
      <c r="M31" s="55"/>
      <c r="N31" s="56"/>
      <c r="O31" s="23"/>
      <c r="P31" s="414" t="s">
        <v>217</v>
      </c>
      <c r="Q31" s="415"/>
      <c r="R31" s="416">
        <v>23.0</v>
      </c>
      <c r="S31" s="383">
        <v>-600.0</v>
      </c>
      <c r="T31" s="384">
        <f t="shared" si="2"/>
        <v>45953</v>
      </c>
      <c r="U31" s="64"/>
      <c r="V31" s="23"/>
      <c r="W31" s="64"/>
      <c r="X31" s="303"/>
      <c r="Y31" s="23"/>
      <c r="Z31" s="23"/>
    </row>
    <row r="32" ht="18.75" customHeight="1">
      <c r="A32" s="55"/>
      <c r="B32" s="56"/>
      <c r="C32" s="55"/>
      <c r="D32" s="56"/>
      <c r="E32" s="55"/>
      <c r="F32" s="56"/>
      <c r="G32" s="55"/>
      <c r="H32" s="56"/>
      <c r="I32" s="55"/>
      <c r="J32" s="56"/>
      <c r="K32" s="55"/>
      <c r="L32" s="57">
        <v>-5.1</v>
      </c>
      <c r="M32" s="55"/>
      <c r="N32" s="56"/>
      <c r="O32" s="23"/>
      <c r="P32" s="385" t="s">
        <v>46</v>
      </c>
      <c r="Q32" s="386"/>
      <c r="R32" s="387">
        <v>25.0</v>
      </c>
      <c r="S32" s="388">
        <v>-12.99</v>
      </c>
      <c r="T32" s="384">
        <f t="shared" si="2"/>
        <v>45955</v>
      </c>
      <c r="U32" s="64"/>
      <c r="V32" s="23"/>
      <c r="W32" s="64"/>
      <c r="X32" s="303"/>
      <c r="Y32" s="23"/>
      <c r="Z32" s="23"/>
    </row>
    <row r="33" ht="18.75" customHeight="1">
      <c r="A33" s="55"/>
      <c r="B33" s="56"/>
      <c r="C33" s="55"/>
      <c r="D33" s="56"/>
      <c r="E33" s="55"/>
      <c r="F33" s="56"/>
      <c r="G33" s="55"/>
      <c r="H33" s="56"/>
      <c r="I33" s="55"/>
      <c r="J33" s="56"/>
      <c r="K33" s="55"/>
      <c r="L33" s="56"/>
      <c r="M33" s="55"/>
      <c r="N33" s="56"/>
      <c r="O33" s="23"/>
      <c r="P33" s="380" t="s">
        <v>44</v>
      </c>
      <c r="Q33" s="381"/>
      <c r="R33" s="382">
        <v>25.0</v>
      </c>
      <c r="S33" s="397">
        <v>-18.35</v>
      </c>
      <c r="T33" s="384">
        <f t="shared" si="2"/>
        <v>45955</v>
      </c>
      <c r="U33" s="64"/>
      <c r="V33" s="23"/>
      <c r="W33" s="64"/>
      <c r="X33" s="303"/>
      <c r="Y33" s="23"/>
      <c r="Z33" s="23"/>
    </row>
    <row r="34" ht="18.75" customHeight="1">
      <c r="A34" s="66" t="s">
        <v>22</v>
      </c>
      <c r="B34" s="67">
        <f>N28+SUM(B29:B33)</f>
        <v>3402.31</v>
      </c>
      <c r="C34" s="66"/>
      <c r="D34" s="67">
        <f>B34+SUM(D29:D33)</f>
        <v>2756.16</v>
      </c>
      <c r="E34" s="66"/>
      <c r="F34" s="355">
        <v>2732.2</v>
      </c>
      <c r="G34" s="66"/>
      <c r="H34" s="67">
        <f>F34+SUM(H29:H33)</f>
        <v>2582.2</v>
      </c>
      <c r="I34" s="66"/>
      <c r="J34" s="67">
        <f>H34+SUM(J29:J33)</f>
        <v>1901.77</v>
      </c>
      <c r="K34" s="66"/>
      <c r="L34" s="67">
        <f>J34+SUM(L29:L33)</f>
        <v>1878.23</v>
      </c>
      <c r="M34" s="66"/>
      <c r="N34" s="67">
        <f>L34+SUM(N29:N33)</f>
        <v>1846.89</v>
      </c>
      <c r="O34" s="68"/>
      <c r="P34" s="385" t="s">
        <v>40</v>
      </c>
      <c r="Q34" s="386"/>
      <c r="R34" s="387">
        <v>14.0</v>
      </c>
      <c r="S34" s="388">
        <v>-102.0</v>
      </c>
      <c r="T34" s="384">
        <f t="shared" si="2"/>
        <v>45944</v>
      </c>
      <c r="U34" s="71"/>
      <c r="V34" s="69"/>
      <c r="W34" s="71"/>
      <c r="X34" s="309"/>
      <c r="Y34" s="69"/>
      <c r="Z34" s="69"/>
    </row>
    <row r="35" ht="18.75" customHeight="1">
      <c r="A35" s="50">
        <f>IF(M29="","",IF(MONTH(M29+1)&lt;&gt;MONTH(M29),"",M29+1))</f>
        <v>45956</v>
      </c>
      <c r="B35" s="51">
        <f>SUMIF($T$11:$T$130,A35,$S$11:$S$91)</f>
        <v>0</v>
      </c>
      <c r="C35" s="50">
        <f>IF(A35="","",IF(MONTH(A35+1)&lt;&gt;MONTH(A35),"",A35+1))</f>
        <v>45957</v>
      </c>
      <c r="D35" s="51">
        <f>SUMIF($T$11:$T$130,C35,$S$11:$S$91)</f>
        <v>0</v>
      </c>
      <c r="E35" s="50">
        <f>IF(C35="","",IF(MONTH(C35+1)&lt;&gt;MONTH(C35),"",C35+1))</f>
        <v>45958</v>
      </c>
      <c r="F35" s="51">
        <f>SUMIF($T$11:$T$130,E35,$S$11:$S$91)</f>
        <v>-43.58</v>
      </c>
      <c r="G35" s="50">
        <f>IF(E35="","",IF(MONTH(E35+1)&lt;&gt;MONTH(E35),"",E35+1))</f>
        <v>45959</v>
      </c>
      <c r="H35" s="51">
        <f>SUMIF($T$11:$T$130,G35,$S$11:$S$91)</f>
        <v>-150</v>
      </c>
      <c r="I35" s="50">
        <f>IF(G35="","",IF(MONTH(G35+1)&lt;&gt;MONTH(G35),"",G35+1))</f>
        <v>45960</v>
      </c>
      <c r="J35" s="51">
        <f>SUMIF($T$11:$T$130,I35,$S$11:$S$91)</f>
        <v>-713.95</v>
      </c>
      <c r="K35" s="50">
        <f>IF(I35="","",IF(MONTH(I35+1)&lt;&gt;MONTH(I35),"",I35+1))</f>
        <v>45961</v>
      </c>
      <c r="L35" s="51">
        <f>SUMIF($T$11:$T$130,K35,$S$11:$S$91)</f>
        <v>2309.71</v>
      </c>
      <c r="M35" s="50" t="str">
        <f>IF(K35="","",IF(MONTH(K35+1)&lt;&gt;MONTH(K35),"",K35+1))</f>
        <v/>
      </c>
      <c r="N35" s="51">
        <f>SUMIF($T$11:$T$130,M35,$S$11:$S$91)</f>
        <v>0</v>
      </c>
      <c r="O35" s="23"/>
      <c r="P35" s="385" t="s">
        <v>34</v>
      </c>
      <c r="Q35" s="386"/>
      <c r="R35" s="387">
        <v>10.0</v>
      </c>
      <c r="S35" s="388">
        <v>-5.99</v>
      </c>
      <c r="T35" s="384">
        <f t="shared" si="2"/>
        <v>45940</v>
      </c>
      <c r="U35" s="64"/>
      <c r="V35" s="23"/>
      <c r="W35" s="64"/>
      <c r="X35" s="303"/>
      <c r="Y35" s="23"/>
      <c r="Z35" s="23"/>
    </row>
    <row r="36" ht="18.75" customHeight="1">
      <c r="A36" s="58"/>
      <c r="B36" s="57"/>
      <c r="C36" s="413" t="s">
        <v>139</v>
      </c>
      <c r="D36" s="57">
        <v>-98.72</v>
      </c>
      <c r="E36" s="55"/>
      <c r="F36" s="57">
        <v>-56.56</v>
      </c>
      <c r="G36" s="55"/>
      <c r="H36" s="56"/>
      <c r="I36" s="55"/>
      <c r="J36" s="57"/>
      <c r="K36" s="55"/>
      <c r="L36" s="57">
        <v>-38.82</v>
      </c>
      <c r="M36" s="55"/>
      <c r="N36" s="56"/>
      <c r="O36" s="23"/>
      <c r="P36" s="385" t="s">
        <v>34</v>
      </c>
      <c r="Q36" s="386"/>
      <c r="R36" s="387">
        <v>24.0</v>
      </c>
      <c r="S36" s="388"/>
      <c r="T36" s="384">
        <f t="shared" si="2"/>
        <v>45954</v>
      </c>
      <c r="U36" s="64"/>
      <c r="V36" s="23"/>
      <c r="W36" s="64"/>
      <c r="X36" s="303"/>
      <c r="Y36" s="23"/>
      <c r="Z36" s="23"/>
    </row>
    <row r="37" ht="18.75" customHeight="1">
      <c r="A37" s="58"/>
      <c r="B37" s="57"/>
      <c r="C37" s="58"/>
      <c r="D37" s="57">
        <v>-23.55</v>
      </c>
      <c r="E37" s="55"/>
      <c r="F37" s="56"/>
      <c r="G37" s="55"/>
      <c r="H37" s="56"/>
      <c r="I37" s="55"/>
      <c r="J37" s="56"/>
      <c r="K37" s="55"/>
      <c r="L37" s="57">
        <v>-91.0</v>
      </c>
      <c r="M37" s="55"/>
      <c r="N37" s="56"/>
      <c r="O37" s="23"/>
      <c r="P37" s="385" t="s">
        <v>51</v>
      </c>
      <c r="Q37" s="386"/>
      <c r="R37" s="387">
        <v>8.0</v>
      </c>
      <c r="S37" s="388">
        <v>-26.99</v>
      </c>
      <c r="T37" s="384">
        <f t="shared" si="2"/>
        <v>45938</v>
      </c>
      <c r="U37" s="64"/>
      <c r="V37" s="23"/>
      <c r="W37" s="64"/>
      <c r="X37" s="303"/>
      <c r="Y37" s="23"/>
      <c r="Z37" s="23"/>
    </row>
    <row r="38" ht="18.75" customHeight="1">
      <c r="A38" s="55"/>
      <c r="B38" s="56"/>
      <c r="C38" s="55"/>
      <c r="D38" s="57">
        <v>-134.0</v>
      </c>
      <c r="E38" s="55"/>
      <c r="F38" s="56"/>
      <c r="G38" s="55"/>
      <c r="H38" s="56"/>
      <c r="I38" s="55"/>
      <c r="J38" s="56"/>
      <c r="K38" s="55"/>
      <c r="L38" s="56"/>
      <c r="M38" s="55"/>
      <c r="N38" s="56"/>
      <c r="O38" s="23"/>
      <c r="P38" s="385" t="s">
        <v>53</v>
      </c>
      <c r="Q38" s="386"/>
      <c r="R38" s="387">
        <v>28.0</v>
      </c>
      <c r="S38" s="388">
        <v>-10.99</v>
      </c>
      <c r="T38" s="384">
        <f t="shared" si="2"/>
        <v>45958</v>
      </c>
      <c r="U38" s="64"/>
      <c r="V38" s="23"/>
      <c r="W38" s="64"/>
      <c r="X38" s="303"/>
      <c r="Y38" s="23"/>
      <c r="Z38" s="23"/>
    </row>
    <row r="39" ht="18.75" customHeight="1">
      <c r="A39" s="55"/>
      <c r="B39" s="56"/>
      <c r="C39" s="55"/>
      <c r="D39" s="57"/>
      <c r="E39" s="55"/>
      <c r="F39" s="56"/>
      <c r="G39" s="55"/>
      <c r="H39" s="56"/>
      <c r="I39" s="55"/>
      <c r="J39" s="56"/>
      <c r="K39" s="55"/>
      <c r="L39" s="56"/>
      <c r="M39" s="55"/>
      <c r="N39" s="56"/>
      <c r="O39" s="23"/>
      <c r="P39" s="385" t="s">
        <v>27</v>
      </c>
      <c r="Q39" s="386"/>
      <c r="R39" s="387">
        <v>3.0</v>
      </c>
      <c r="S39" s="388">
        <v>-33.0</v>
      </c>
      <c r="T39" s="384">
        <f t="shared" si="2"/>
        <v>45933</v>
      </c>
      <c r="U39" s="64"/>
      <c r="V39" s="23"/>
      <c r="W39" s="64"/>
      <c r="X39" s="303"/>
      <c r="Y39" s="23"/>
      <c r="Z39" s="23"/>
    </row>
    <row r="40" ht="18.75" customHeight="1">
      <c r="A40" s="66" t="s">
        <v>22</v>
      </c>
      <c r="B40" s="67">
        <f>N34+SUM(B35:B39)</f>
        <v>1846.89</v>
      </c>
      <c r="C40" s="66"/>
      <c r="D40" s="67">
        <f>B40+SUM(D35:D39)</f>
        <v>1590.62</v>
      </c>
      <c r="E40" s="66"/>
      <c r="F40" s="67">
        <f>D40+SUM(F35:F39)</f>
        <v>1490.48</v>
      </c>
      <c r="G40" s="66"/>
      <c r="H40" s="67">
        <f>F40+SUM(H35:H39)</f>
        <v>1340.48</v>
      </c>
      <c r="I40" s="66"/>
      <c r="J40" s="67">
        <f>H40+SUM(J35:J39)</f>
        <v>626.53</v>
      </c>
      <c r="K40" s="66"/>
      <c r="L40" s="67">
        <f>J40+SUM(L35:L39)</f>
        <v>2806.42</v>
      </c>
      <c r="M40" s="66"/>
      <c r="N40" s="67">
        <f>L40+SUM(N35:N39)</f>
        <v>2806.42</v>
      </c>
      <c r="O40" s="68"/>
      <c r="P40" s="414" t="s">
        <v>186</v>
      </c>
      <c r="Q40" s="415"/>
      <c r="R40" s="416">
        <v>2.0</v>
      </c>
      <c r="S40" s="383">
        <v>-50.0</v>
      </c>
      <c r="T40" s="384">
        <f t="shared" si="2"/>
        <v>45932</v>
      </c>
      <c r="U40" s="71"/>
      <c r="V40" s="69"/>
      <c r="W40" s="71"/>
      <c r="X40" s="309"/>
      <c r="Y40" s="69"/>
      <c r="Z40" s="69"/>
    </row>
    <row r="41" ht="18.75" customHeight="1">
      <c r="A41" s="50" t="str">
        <f>IF(M35="","",IF(MONTH(M35+1)&lt;&gt;MONTH(M35),"",M35+1))</f>
        <v/>
      </c>
      <c r="B41" s="51">
        <f>SUMIF($T$11:$T$130,A41,$S$11:$S$91)</f>
        <v>0</v>
      </c>
      <c r="C41" s="50" t="str">
        <f>IF(A41="","",IF(MONTH(A41+1)&lt;&gt;MONTH(A41),"",A41+1))</f>
        <v/>
      </c>
      <c r="D41" s="51">
        <f>SUMIF($T$11:$T$130,C41,$S$11:$S$91)</f>
        <v>0</v>
      </c>
      <c r="E41" s="77"/>
      <c r="F41" s="77" t="s">
        <v>50</v>
      </c>
      <c r="G41" s="77"/>
      <c r="H41" s="77"/>
      <c r="I41" s="77"/>
      <c r="J41" s="77"/>
      <c r="K41" s="77"/>
      <c r="L41" s="77"/>
      <c r="M41" s="77"/>
      <c r="N41" s="77"/>
      <c r="P41" s="385" t="s">
        <v>188</v>
      </c>
      <c r="Q41" s="386"/>
      <c r="R41" s="387">
        <v>8.0</v>
      </c>
      <c r="S41" s="388">
        <v>-406.78</v>
      </c>
      <c r="T41" s="384">
        <f>IF(ISBLANK(R41),"-",IF(R41&gt;DAY(EOMONTH(DATE($B$2,$E$2,1),0)),EOMONTH(DATE($B$2,$E$2,1),0),DATE($B$2,$E$2,R41)))</f>
        <v>45938</v>
      </c>
      <c r="V41" s="313"/>
      <c r="X41" s="314"/>
    </row>
    <row r="42" ht="18.75" customHeight="1">
      <c r="A42" s="55"/>
      <c r="B42" s="56"/>
      <c r="C42" s="55"/>
      <c r="D42" s="56"/>
      <c r="E42" s="77"/>
      <c r="F42" s="77" t="s">
        <v>52</v>
      </c>
      <c r="G42" s="77"/>
      <c r="H42" s="77"/>
      <c r="I42" s="77"/>
      <c r="J42" s="77"/>
      <c r="K42" s="77"/>
      <c r="L42" s="77"/>
      <c r="M42" s="77"/>
      <c r="N42" s="77"/>
      <c r="P42" s="414" t="s">
        <v>214</v>
      </c>
      <c r="Q42" s="415"/>
      <c r="R42" s="416">
        <v>8.0</v>
      </c>
      <c r="S42" s="383">
        <v>-21.8</v>
      </c>
      <c r="T42" s="384">
        <f t="shared" ref="T42:T48" si="3">IF(ISBLANK(R42),"-",IF(R42&gt;DAY(EOMONTH(DATE($B$2,$E$2,1),0)),EOMONTH(DATE($B$2,$E$2,1),0),DATE($B$2,$E$2,R42)))</f>
        <v>45938</v>
      </c>
      <c r="V42" s="313"/>
      <c r="X42" s="314"/>
    </row>
    <row r="43" ht="18.75" customHeight="1">
      <c r="A43" s="55"/>
      <c r="B43" s="56"/>
      <c r="C43" s="55"/>
      <c r="D43" s="56"/>
      <c r="E43" s="77"/>
      <c r="F43" s="77"/>
      <c r="G43" s="77"/>
      <c r="H43" s="77"/>
      <c r="I43" s="77"/>
      <c r="J43" s="77"/>
      <c r="K43" s="77"/>
      <c r="L43" s="77"/>
      <c r="M43" s="77"/>
      <c r="N43" s="77"/>
      <c r="P43" s="385" t="s">
        <v>38</v>
      </c>
      <c r="Q43" s="386"/>
      <c r="R43" s="387">
        <v>10.0</v>
      </c>
      <c r="S43" s="388">
        <v>-94.94</v>
      </c>
      <c r="T43" s="384">
        <f t="shared" si="3"/>
        <v>45940</v>
      </c>
      <c r="V43" s="313"/>
    </row>
    <row r="44" ht="18.75" customHeight="1">
      <c r="A44" s="55"/>
      <c r="B44" s="56"/>
      <c r="C44" s="55"/>
      <c r="D44" s="56"/>
      <c r="E44" s="77"/>
      <c r="F44" s="77"/>
      <c r="G44" s="77"/>
      <c r="H44" s="77"/>
      <c r="I44" s="77"/>
      <c r="J44" s="77"/>
      <c r="K44" s="77"/>
      <c r="L44" s="77"/>
      <c r="M44" s="77"/>
      <c r="N44" s="77"/>
      <c r="P44" s="385" t="s">
        <v>57</v>
      </c>
      <c r="Q44" s="386"/>
      <c r="R44" s="387">
        <v>3.0</v>
      </c>
      <c r="S44" s="388">
        <v>-296.0</v>
      </c>
      <c r="T44" s="384">
        <f t="shared" si="3"/>
        <v>45933</v>
      </c>
      <c r="V44" s="313"/>
      <c r="X44" s="314"/>
    </row>
    <row r="45" ht="18.75" customHeight="1">
      <c r="A45" s="55"/>
      <c r="B45" s="56"/>
      <c r="C45" s="55"/>
      <c r="D45" s="56"/>
      <c r="E45" s="77"/>
      <c r="F45" s="77"/>
      <c r="G45" s="77"/>
      <c r="H45" s="77"/>
      <c r="I45" s="77"/>
      <c r="J45" s="77"/>
      <c r="K45" s="77"/>
      <c r="L45" s="77"/>
      <c r="M45" s="77"/>
      <c r="N45" s="77"/>
      <c r="P45" s="385" t="s">
        <v>24</v>
      </c>
      <c r="Q45" s="386"/>
      <c r="R45" s="387">
        <v>1.0</v>
      </c>
      <c r="S45" s="388">
        <v>-57.0</v>
      </c>
      <c r="T45" s="384">
        <f t="shared" si="3"/>
        <v>45931</v>
      </c>
    </row>
    <row r="46" ht="18.75" customHeight="1">
      <c r="A46" s="66" t="s">
        <v>22</v>
      </c>
      <c r="B46" s="67">
        <f>N40+SUM(B41:B45)</f>
        <v>2806.42</v>
      </c>
      <c r="C46" s="66"/>
      <c r="D46" s="67">
        <f>B46+SUM(D41:D45)</f>
        <v>2806.42</v>
      </c>
      <c r="E46" s="77"/>
      <c r="F46" s="77"/>
      <c r="G46" s="77"/>
      <c r="H46" s="77"/>
      <c r="I46" s="326">
        <v>22.61</v>
      </c>
      <c r="J46" s="77"/>
      <c r="K46" s="77"/>
      <c r="L46" s="77"/>
      <c r="M46" s="77"/>
      <c r="N46" s="77"/>
      <c r="P46" s="385" t="s">
        <v>26</v>
      </c>
      <c r="Q46" s="386"/>
      <c r="R46" s="387">
        <v>8.0</v>
      </c>
      <c r="S46" s="388">
        <v>-150.0</v>
      </c>
      <c r="T46" s="384">
        <f t="shared" si="3"/>
        <v>45938</v>
      </c>
    </row>
    <row r="47" ht="12.75" customHeight="1">
      <c r="I47" s="108">
        <v>16.2</v>
      </c>
      <c r="P47" s="385" t="s">
        <v>26</v>
      </c>
      <c r="Q47" s="386"/>
      <c r="R47" s="387">
        <v>15.0</v>
      </c>
      <c r="S47" s="388">
        <v>-150.0</v>
      </c>
      <c r="T47" s="384">
        <f t="shared" si="3"/>
        <v>45945</v>
      </c>
    </row>
    <row r="48" ht="12.75" customHeight="1">
      <c r="I48" s="108">
        <v>20.9</v>
      </c>
      <c r="P48" s="385" t="s">
        <v>26</v>
      </c>
      <c r="Q48" s="386"/>
      <c r="R48" s="387">
        <v>22.0</v>
      </c>
      <c r="S48" s="388">
        <v>-150.0</v>
      </c>
      <c r="T48" s="384">
        <f t="shared" si="3"/>
        <v>45952</v>
      </c>
    </row>
    <row r="49" ht="12.75" customHeight="1">
      <c r="P49" s="519" t="s">
        <v>26</v>
      </c>
      <c r="Q49" s="511"/>
      <c r="R49" s="416">
        <v>29.0</v>
      </c>
      <c r="S49" s="397">
        <v>-150.0</v>
      </c>
      <c r="T49" s="536">
        <f>IF(ISBLANK(R49),"-",IF(R49&gt;DAY(EOMONTH(DATE($B$2,$E$2,1),0)),EOMONTH(DATE($B$2,$E$2,1),0),DATE($B$2,$E$2,R49)))</f>
        <v>45959</v>
      </c>
    </row>
    <row r="50" ht="12.75" customHeight="1">
      <c r="P50" s="319" t="s">
        <v>26</v>
      </c>
      <c r="Q50" s="320"/>
      <c r="R50" s="321"/>
      <c r="S50" s="322">
        <v>-150.0</v>
      </c>
      <c r="T50" s="323" t="str">
        <f t="shared" ref="T50:T51" si="4">IF(ISBLANK(R50),"-",IF(R50&gt;DAY(EOMONTH(DATE($B$2,$E$2,1),0)),EOMONTH(DATE($B$2,$E$2,1),0),DATE($B$2,$E$2,R50)))</f>
        <v>-</v>
      </c>
    </row>
    <row r="51" ht="12.75" customHeight="1">
      <c r="P51" s="319" t="s">
        <v>26</v>
      </c>
      <c r="Q51" s="320"/>
      <c r="R51" s="321"/>
      <c r="S51" s="322"/>
      <c r="T51" s="323" t="str">
        <f t="shared" si="4"/>
        <v>-</v>
      </c>
    </row>
    <row r="52" ht="12.75" customHeight="1">
      <c r="P52" s="406"/>
      <c r="Q52" s="407"/>
      <c r="R52" s="408"/>
      <c r="S52" s="409"/>
      <c r="T52" s="376"/>
    </row>
    <row r="53" ht="12.75" customHeight="1">
      <c r="P53" s="542"/>
      <c r="Q53" s="407"/>
      <c r="R53" s="543"/>
      <c r="S53" s="544"/>
      <c r="T53" s="376" t="str">
        <f t="shared" ref="T53:T58" si="5">IF(ISBLANK(R53),"-",IF(R53&gt;DAY(EOMONTH(DATE($B$2,$E$2,1),0)),EOMONTH(DATE($B$2,$E$2,1),0),DATE($B$2,$E$2,$R$47)))</f>
        <v>-</v>
      </c>
    </row>
    <row r="54" ht="12.75" customHeight="1">
      <c r="P54" s="542"/>
      <c r="Q54" s="407"/>
      <c r="R54" s="543"/>
      <c r="S54" s="544"/>
      <c r="T54" s="376" t="str">
        <f t="shared" si="5"/>
        <v>-</v>
      </c>
    </row>
    <row r="55" ht="12.75" customHeight="1">
      <c r="P55" s="542"/>
      <c r="Q55" s="407"/>
      <c r="R55" s="543"/>
      <c r="S55" s="544"/>
      <c r="T55" s="376" t="str">
        <f t="shared" si="5"/>
        <v>-</v>
      </c>
    </row>
    <row r="56" ht="12.75" customHeight="1">
      <c r="P56" s="542"/>
      <c r="Q56" s="407"/>
      <c r="R56" s="543"/>
      <c r="S56" s="544"/>
      <c r="T56" s="376" t="str">
        <f t="shared" si="5"/>
        <v>-</v>
      </c>
    </row>
    <row r="57" ht="12.75" customHeight="1">
      <c r="P57" s="542"/>
      <c r="Q57" s="407"/>
      <c r="R57" s="543"/>
      <c r="S57" s="544"/>
      <c r="T57" s="376" t="str">
        <f t="shared" si="5"/>
        <v>-</v>
      </c>
    </row>
    <row r="58" ht="12.75" customHeight="1">
      <c r="P58" s="542"/>
      <c r="Q58" s="407"/>
      <c r="R58" s="543"/>
      <c r="S58" s="544"/>
      <c r="T58" s="376" t="str">
        <f t="shared" si="5"/>
        <v>-</v>
      </c>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c r="S927" s="337"/>
    </row>
    <row r="928" ht="12.75" customHeight="1">
      <c r="R928" s="336"/>
      <c r="S928" s="337"/>
    </row>
    <row r="929" ht="12.75" customHeight="1">
      <c r="R929" s="336"/>
      <c r="S929" s="337"/>
    </row>
    <row r="930" ht="12.75" customHeight="1">
      <c r="R930" s="336"/>
      <c r="S930" s="337"/>
    </row>
    <row r="931" ht="12.75" customHeight="1">
      <c r="R931" s="336"/>
      <c r="S931" s="337"/>
    </row>
    <row r="932" ht="12.75" customHeight="1">
      <c r="R932" s="336"/>
      <c r="S932" s="337"/>
    </row>
    <row r="933" ht="12.75" customHeight="1">
      <c r="R933" s="336"/>
      <c r="S933" s="337"/>
    </row>
    <row r="934" ht="12.75" customHeight="1">
      <c r="R934" s="336"/>
    </row>
    <row r="935" ht="12.75" customHeight="1">
      <c r="R935" s="336"/>
    </row>
    <row r="936" ht="12.75" customHeight="1">
      <c r="R936" s="336"/>
    </row>
    <row r="937" ht="12.75" customHeight="1">
      <c r="R937"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7">
    <cfRule type="cellIs" dxfId="5" priority="1" operator="lessThan">
      <formula>0</formula>
    </cfRule>
  </conditionalFormatting>
  <dataValidations>
    <dataValidation type="list" allowBlank="1" showErrorMessage="1" sqref="Q12:Q58">
      <formula1>"✔"</formula1>
    </dataValidation>
    <dataValidation type="custom" allowBlank="1" showDropDown="1" sqref="T12:T58">
      <formula1>OR(NOT(ISERROR(DATEVALUE(T12))), AND(ISNUMBER(T12), LEFT(CELL("format", T12))="D"))</formula1>
    </dataValidation>
  </dataValidations>
  <hyperlinks>
    <hyperlink r:id="rId1" ref="T3"/>
  </hyperlinks>
  <drawing r:id="rId2"/>
  <tableParts count="1">
    <tablePart r:id="rId4"/>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9.13"/>
    <col customWidth="1" min="12" max="12" width="8.63"/>
    <col customWidth="1" min="13" max="13" width="6.13"/>
    <col customWidth="1" min="14" max="14" width="8.63"/>
    <col customWidth="1" min="15" max="15" width="2.13"/>
    <col customWidth="1" min="16" max="16" width="20.13"/>
    <col customWidth="1" min="17" max="20" width="16.75"/>
    <col customWidth="1" min="21" max="26" width="8.63"/>
  </cols>
  <sheetData>
    <row r="1" ht="24.75" customHeight="1">
      <c r="A1" s="585" t="s">
        <v>221</v>
      </c>
      <c r="B1" s="2"/>
      <c r="C1" s="2"/>
      <c r="D1" s="3"/>
      <c r="E1" s="3"/>
      <c r="F1" s="2"/>
      <c r="G1" s="2"/>
      <c r="H1" s="2"/>
      <c r="I1" s="2"/>
      <c r="J1" s="4"/>
      <c r="K1" s="5"/>
      <c r="L1" s="4"/>
      <c r="M1" s="4"/>
      <c r="N1" s="4"/>
      <c r="O1" s="4"/>
      <c r="P1" s="6"/>
      <c r="Q1" s="6"/>
      <c r="R1" s="280"/>
      <c r="S1" s="281"/>
      <c r="T1" s="8"/>
    </row>
    <row r="2" ht="12.75" customHeight="1">
      <c r="A2" s="9" t="s">
        <v>1</v>
      </c>
      <c r="B2" s="10">
        <v>2025.0</v>
      </c>
      <c r="C2" s="3"/>
      <c r="D2" s="9" t="s">
        <v>2</v>
      </c>
      <c r="E2" s="10">
        <v>11.0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NOVEMBER 2025</v>
      </c>
      <c r="B5" s="22"/>
      <c r="C5" s="22"/>
      <c r="D5" s="22"/>
      <c r="E5" s="22"/>
      <c r="F5" s="22"/>
      <c r="G5" s="22"/>
      <c r="H5" s="23"/>
      <c r="I5" s="23"/>
      <c r="J5" s="23"/>
      <c r="K5" s="22"/>
      <c r="L5" s="24" t="s">
        <v>7</v>
      </c>
      <c r="M5" s="25">
        <f>'October 2025'!D46</f>
        <v>2806.42</v>
      </c>
      <c r="N5" s="26"/>
      <c r="O5" s="23"/>
      <c r="P5" s="27"/>
      <c r="Q5" s="27"/>
      <c r="R5" s="287" t="s">
        <v>8</v>
      </c>
      <c r="S5" s="288">
        <f>SUMIF(A18:N21,"&gt;0")+SUMIF(A24:N27,"&gt;0")+SUMIF(A30:N33,"&gt;0")+SUMIF(A36:N39,"&gt;0")+SUMIF(A42:D45,"&gt;0")+SUMIF(S12:S46,"&gt;0")+SUMIF(A12:N15,"&gt;0")</f>
        <v>8248.7</v>
      </c>
      <c r="U5" s="23"/>
      <c r="V5" s="289">
        <f>sum(S5+S6)</f>
        <v>1949.95</v>
      </c>
      <c r="W5" s="23"/>
      <c r="X5" s="23"/>
      <c r="Y5" s="23"/>
      <c r="Z5" s="23"/>
    </row>
    <row r="6" ht="25.5" customHeight="1">
      <c r="A6" s="31"/>
      <c r="B6" s="31"/>
      <c r="C6" s="31"/>
      <c r="D6" s="31"/>
      <c r="E6" s="31"/>
      <c r="F6" s="32"/>
      <c r="G6" s="33"/>
      <c r="H6" s="34"/>
      <c r="I6" s="34"/>
      <c r="J6" s="34"/>
      <c r="K6" s="31"/>
      <c r="L6" s="24" t="s">
        <v>9</v>
      </c>
      <c r="M6" s="35">
        <f>D46</f>
        <v>5468.16</v>
      </c>
      <c r="O6" s="34"/>
      <c r="P6" s="36"/>
      <c r="Q6" s="36"/>
      <c r="R6" s="287" t="s">
        <v>10</v>
      </c>
      <c r="S6" s="288">
        <f>SUMIF(A18:N21,"&lt;0")+SUMIF(A24:N27,"&lt;0")+SUMIF(A30:N33,"&lt;0")+SUMIF(A36:N39,"&lt;0")+SUMIF(A42:D45,"&lt;0")+SUMIF(S12:S196,"&lt;0")+SUMIF(A12:N15,"&lt;0")</f>
        <v>-6298.75</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45962</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45963</v>
      </c>
      <c r="B9" s="40"/>
      <c r="C9" s="39">
        <f>C17</f>
        <v>45964</v>
      </c>
      <c r="D9" s="40"/>
      <c r="E9" s="39">
        <f>E17</f>
        <v>45965</v>
      </c>
      <c r="F9" s="40"/>
      <c r="G9" s="39">
        <f>G17</f>
        <v>45966</v>
      </c>
      <c r="H9" s="40"/>
      <c r="I9" s="39">
        <f>I17</f>
        <v>45967</v>
      </c>
      <c r="J9" s="40"/>
      <c r="K9" s="39">
        <f>K17</f>
        <v>45968</v>
      </c>
      <c r="L9" s="40"/>
      <c r="M9" s="39">
        <f>M17</f>
        <v>45969</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SUMIF($T$11:$T$123,A11,$S$11:$S$84)</f>
        <v>0</v>
      </c>
      <c r="C11" s="50" t="str">
        <f>IF(A11="",IF(WEEKDAY($B$8,1)=MOD($H$2,7)+1,$B$8,""),A11+1)</f>
        <v/>
      </c>
      <c r="D11" s="51">
        <f>SUMIF($T$11:$T$123,C11,$S$11:$S$84)</f>
        <v>0</v>
      </c>
      <c r="E11" s="50" t="str">
        <f>IF(C11="",IF(WEEKDAY($B$8,1)=MOD($H$2+1,7)+1,$B$8,""),C11+1)</f>
        <v/>
      </c>
      <c r="F11" s="51">
        <f>SUMIF($T$11:$T$123,E11,$S$11:$S$84)</f>
        <v>0</v>
      </c>
      <c r="G11" s="50" t="str">
        <f>IF(E11="",IF(WEEKDAY($B$8,1)=MOD($H$2+2,7)+1,$B$8,""),E11+1)</f>
        <v/>
      </c>
      <c r="H11" s="51">
        <f>SUMIF($T$11:$T$123,G11,$S$11:$S$84)</f>
        <v>0</v>
      </c>
      <c r="I11" s="50" t="str">
        <f>IF(G11="",IF(WEEKDAY($B$8,1)=MOD($H$2+3,7)+1,$B$8,""),G11+1)</f>
        <v/>
      </c>
      <c r="J11" s="51">
        <f>SUMIF($T$11:$T$123,I11,$S$11:$S$84)</f>
        <v>0</v>
      </c>
      <c r="K11" s="50" t="str">
        <f>IF(I11="",IF(WEEKDAY($B$8,1)=MOD($H$2+4,7)+1,$B$8,""),I11+1)</f>
        <v/>
      </c>
      <c r="L11" s="51">
        <f>SUMIF($T$11:$T$123,K11,$S$11:$S$84)</f>
        <v>0</v>
      </c>
      <c r="M11" s="50">
        <f>IF(K11="",IF(WEEKDAY($B$8,1)=MOD($H$2+5,7)+1,$B$8,""),K11+1)</f>
        <v>45962</v>
      </c>
      <c r="N11" s="51">
        <f>SUMIF($T$11:$T$123,M11,$S$11:$S$84)</f>
        <v>-57</v>
      </c>
      <c r="O11" s="23"/>
      <c r="P11" s="52" t="s">
        <v>13</v>
      </c>
      <c r="Q11" s="53" t="s">
        <v>14</v>
      </c>
      <c r="R11" s="53" t="s">
        <v>15</v>
      </c>
      <c r="S11" s="96" t="s">
        <v>16</v>
      </c>
      <c r="T11" s="53" t="s">
        <v>17</v>
      </c>
      <c r="U11" s="23"/>
      <c r="V11" s="23"/>
      <c r="W11" s="23"/>
      <c r="X11" s="23"/>
      <c r="Y11" s="23"/>
    </row>
    <row r="12" ht="18.75" customHeight="1">
      <c r="A12" s="55"/>
      <c r="B12" s="56"/>
      <c r="C12" s="55"/>
      <c r="D12" s="56"/>
      <c r="E12" s="55"/>
      <c r="F12" s="56"/>
      <c r="G12" s="55"/>
      <c r="H12" s="56"/>
      <c r="I12" s="58"/>
      <c r="J12" s="57"/>
      <c r="K12" s="55"/>
      <c r="L12" s="56"/>
      <c r="M12" s="55"/>
      <c r="N12" s="56"/>
      <c r="O12" s="23"/>
      <c r="P12" s="385" t="s">
        <v>24</v>
      </c>
      <c r="Q12" s="386"/>
      <c r="R12" s="387">
        <v>1.0</v>
      </c>
      <c r="S12" s="388">
        <v>-57.0</v>
      </c>
      <c r="T12" s="384">
        <f t="shared" ref="T12:T45" si="1">IF(ISBLANK(R12),"-",IF(R12&gt;DAY(EOMONTH(DATE($B$2,$E$2,1),0)),EOMONTH(DATE($B$2,$E$2,1),0),DATE($B$2,$E$2,R12)))</f>
        <v>45962</v>
      </c>
      <c r="U12" s="23"/>
      <c r="V12" s="64"/>
      <c r="W12" s="303"/>
      <c r="X12" s="23"/>
      <c r="Y12" s="23"/>
    </row>
    <row r="13" ht="18.75" customHeight="1">
      <c r="A13" s="55"/>
      <c r="B13" s="56"/>
      <c r="C13" s="55"/>
      <c r="D13" s="56"/>
      <c r="E13" s="55"/>
      <c r="F13" s="56"/>
      <c r="G13" s="55"/>
      <c r="H13" s="56"/>
      <c r="I13" s="55"/>
      <c r="J13" s="57"/>
      <c r="K13" s="55"/>
      <c r="L13" s="56"/>
      <c r="M13" s="55"/>
      <c r="N13" s="56"/>
      <c r="O13" s="23"/>
      <c r="P13" s="398" t="s">
        <v>20</v>
      </c>
      <c r="Q13" s="399"/>
      <c r="R13" s="400">
        <v>3.0</v>
      </c>
      <c r="S13" s="393">
        <f t="array" ref="S13">-INDEX(PaymentSchedule!$E$21:$AG930,MATCH(PaymentSchedule!$B$31,PaymentSchedule!$B$21:$B$100),MATCH($P13,PaymentSchedule!$E$19:$AG$19,0))</f>
        <v>-1461.99</v>
      </c>
      <c r="T13" s="394">
        <f t="shared" si="1"/>
        <v>45964</v>
      </c>
      <c r="U13" s="23"/>
      <c r="V13" s="64"/>
      <c r="W13" s="303"/>
      <c r="X13" s="23"/>
      <c r="Y13" s="23"/>
    </row>
    <row r="14" ht="18.75" customHeight="1">
      <c r="A14" s="55"/>
      <c r="B14" s="56"/>
      <c r="C14" s="55"/>
      <c r="D14" s="56"/>
      <c r="E14" s="55"/>
      <c r="F14" s="56"/>
      <c r="G14" s="55"/>
      <c r="H14" s="56"/>
      <c r="I14" s="58"/>
      <c r="J14" s="57"/>
      <c r="K14" s="55"/>
      <c r="L14" s="56"/>
      <c r="M14" s="55"/>
      <c r="N14" s="56"/>
      <c r="O14" s="23"/>
      <c r="P14" s="385" t="s">
        <v>47</v>
      </c>
      <c r="Q14" s="386"/>
      <c r="R14" s="387">
        <v>4.0</v>
      </c>
      <c r="S14" s="490">
        <v>1700.0</v>
      </c>
      <c r="T14" s="384">
        <f t="shared" si="1"/>
        <v>45965</v>
      </c>
      <c r="U14" s="23"/>
      <c r="V14" s="64"/>
      <c r="W14" s="303"/>
      <c r="X14" s="23"/>
      <c r="Y14" s="23"/>
    </row>
    <row r="15" ht="18.75" customHeight="1">
      <c r="A15" s="55"/>
      <c r="B15" s="56"/>
      <c r="C15" s="55"/>
      <c r="D15" s="56"/>
      <c r="E15" s="55"/>
      <c r="F15" s="56"/>
      <c r="G15" s="55"/>
      <c r="H15" s="56"/>
      <c r="I15" s="55"/>
      <c r="J15" s="56"/>
      <c r="K15" s="55"/>
      <c r="L15" s="56"/>
      <c r="M15" s="55"/>
      <c r="N15" s="56"/>
      <c r="O15" s="23"/>
      <c r="P15" s="414" t="s">
        <v>217</v>
      </c>
      <c r="Q15" s="415"/>
      <c r="R15" s="416">
        <v>4.0</v>
      </c>
      <c r="S15" s="383">
        <v>-100.0</v>
      </c>
      <c r="T15" s="384">
        <f t="shared" si="1"/>
        <v>45965</v>
      </c>
      <c r="U15" s="23"/>
      <c r="V15" s="64"/>
      <c r="W15" s="303"/>
      <c r="X15" s="23"/>
      <c r="Y15" s="23"/>
    </row>
    <row r="16" ht="18.75" customHeight="1">
      <c r="A16" s="66" t="s">
        <v>22</v>
      </c>
      <c r="B16" s="67">
        <f>$M$5+SUM(B11:B15)</f>
        <v>2806.42</v>
      </c>
      <c r="C16" s="66"/>
      <c r="D16" s="67">
        <f>B16+SUM(D11:D15)</f>
        <v>2806.42</v>
      </c>
      <c r="E16" s="66"/>
      <c r="F16" s="67">
        <f>D16+SUM(F11:F15)</f>
        <v>2806.42</v>
      </c>
      <c r="G16" s="66"/>
      <c r="H16" s="67">
        <f>F16+SUM(H11:H15)</f>
        <v>2806.42</v>
      </c>
      <c r="I16" s="66"/>
      <c r="J16" s="67">
        <f>H16+SUM(J11:J15)</f>
        <v>2806.42</v>
      </c>
      <c r="K16" s="66"/>
      <c r="L16" s="67">
        <f>J16+SUM(L11:L15)</f>
        <v>2806.42</v>
      </c>
      <c r="M16" s="66"/>
      <c r="N16" s="67">
        <f>L16+SUM(N11:N15)</f>
        <v>2749.42</v>
      </c>
      <c r="O16" s="68"/>
      <c r="P16" s="414" t="s">
        <v>186</v>
      </c>
      <c r="Q16" s="415"/>
      <c r="R16" s="416">
        <v>4.0</v>
      </c>
      <c r="S16" s="383">
        <v>-50.0</v>
      </c>
      <c r="T16" s="384">
        <f t="shared" si="1"/>
        <v>45965</v>
      </c>
      <c r="U16" s="69"/>
      <c r="V16" s="71"/>
      <c r="W16" s="309"/>
      <c r="X16" s="69"/>
      <c r="Y16" s="69"/>
    </row>
    <row r="17" ht="18.75" customHeight="1">
      <c r="A17" s="50">
        <f>IF(M11="","",IF(MONTH(M11+1)&lt;&gt;MONTH(M11),"",M11+1))</f>
        <v>45963</v>
      </c>
      <c r="B17" s="51">
        <f>SUMIF($T$11:$T$123,A17,$S$11:$S$84)</f>
        <v>0</v>
      </c>
      <c r="C17" s="50">
        <f>IF(A17="","",IF(MONTH(A17+1)&lt;&gt;MONTH(A17),"",A17+1))</f>
        <v>45964</v>
      </c>
      <c r="D17" s="51">
        <f>SUMIF($T$11:$T$123,C17,$S$11:$S$84)</f>
        <v>-1461.99</v>
      </c>
      <c r="E17" s="50">
        <f>IF(C17="","",IF(MONTH(C17+1)&lt;&gt;MONTH(C17),"",C17+1))</f>
        <v>45965</v>
      </c>
      <c r="F17" s="51">
        <f>SUMIF($T$11:$T$123,E17,$S$11:$S$84)</f>
        <v>1262</v>
      </c>
      <c r="G17" s="50">
        <f>IF(E17="","",IF(MONTH(E17+1)&lt;&gt;MONTH(E17),"",E17+1))</f>
        <v>45966</v>
      </c>
      <c r="H17" s="51">
        <f>SUMIF($T$11:$T$123,G17,$S$11:$S$84)</f>
        <v>-974.16</v>
      </c>
      <c r="I17" s="50">
        <f>IF(G17="","",IF(MONTH(G17+1)&lt;&gt;MONTH(G17),"",G17+1))</f>
        <v>45967</v>
      </c>
      <c r="J17" s="51">
        <f>SUMIF($T$11:$T$123,I17,$S$11:$S$84)</f>
        <v>0</v>
      </c>
      <c r="K17" s="50">
        <f>IF(I17="","",IF(MONTH(I17+1)&lt;&gt;MONTH(I17),"",I17+1))</f>
        <v>45968</v>
      </c>
      <c r="L17" s="51">
        <f>SUMIF($T$11:$T$123,K17,$S$11:$S$84)</f>
        <v>-205.03</v>
      </c>
      <c r="M17" s="50">
        <f>IF(K17="","",IF(MONTH(K17+1)&lt;&gt;MONTH(K17),"",K17+1))</f>
        <v>45969</v>
      </c>
      <c r="N17" s="51">
        <f>SUMIF($T$11:$T$123,M17,$S$11:$S$84)</f>
        <v>-48.79</v>
      </c>
      <c r="O17" s="23"/>
      <c r="P17" s="385" t="s">
        <v>57</v>
      </c>
      <c r="Q17" s="386"/>
      <c r="R17" s="387">
        <v>4.0</v>
      </c>
      <c r="S17" s="388">
        <v>-288.0</v>
      </c>
      <c r="T17" s="384">
        <f t="shared" si="1"/>
        <v>45965</v>
      </c>
      <c r="U17" s="23"/>
      <c r="V17" s="64"/>
      <c r="W17" s="303"/>
      <c r="X17" s="23"/>
      <c r="Y17" s="23"/>
    </row>
    <row r="18" ht="18.75" customHeight="1">
      <c r="A18" s="55"/>
      <c r="B18" s="56"/>
      <c r="C18" s="55"/>
      <c r="D18" s="57"/>
      <c r="E18" s="55"/>
      <c r="F18" s="56"/>
      <c r="G18" s="58"/>
      <c r="H18" s="57"/>
      <c r="I18" s="58" t="s">
        <v>222</v>
      </c>
      <c r="J18" s="57">
        <v>-261.79</v>
      </c>
      <c r="K18" s="58"/>
      <c r="L18" s="57"/>
      <c r="M18" s="58" t="s">
        <v>223</v>
      </c>
      <c r="N18" s="57">
        <v>-40.0</v>
      </c>
      <c r="O18" s="23"/>
      <c r="P18" s="398" t="s">
        <v>86</v>
      </c>
      <c r="Q18" s="399"/>
      <c r="R18" s="400">
        <v>5.0</v>
      </c>
      <c r="S18" s="393">
        <f t="array" ref="S18">-INDEX(PaymentSchedule!$E$21:$AG930,MATCH(PaymentSchedule!$B$31,PaymentSchedule!$B$21:$B$100),MATCH($P18,PaymentSchedule!$E$19:$AG$19,0))</f>
        <v>-791.16</v>
      </c>
      <c r="T18" s="394">
        <f t="shared" si="1"/>
        <v>45966</v>
      </c>
      <c r="U18" s="23"/>
      <c r="X18" s="23"/>
      <c r="Y18" s="23"/>
    </row>
    <row r="19" ht="18.75" customHeight="1">
      <c r="A19" s="55"/>
      <c r="B19" s="56"/>
      <c r="C19" s="55"/>
      <c r="D19" s="56"/>
      <c r="E19" s="55"/>
      <c r="F19" s="56"/>
      <c r="G19" s="58"/>
      <c r="H19" s="57"/>
      <c r="I19" s="55"/>
      <c r="J19" s="57">
        <v>-28.33</v>
      </c>
      <c r="K19" s="55"/>
      <c r="L19" s="56"/>
      <c r="M19" s="55"/>
      <c r="N19" s="56"/>
      <c r="O19" s="23"/>
      <c r="P19" s="385" t="s">
        <v>27</v>
      </c>
      <c r="Q19" s="386"/>
      <c r="R19" s="387">
        <v>5.0</v>
      </c>
      <c r="S19" s="388">
        <v>-33.0</v>
      </c>
      <c r="T19" s="384">
        <f t="shared" si="1"/>
        <v>45966</v>
      </c>
      <c r="U19" s="23"/>
      <c r="V19" s="64"/>
      <c r="W19" s="303"/>
      <c r="X19" s="23"/>
      <c r="Y19" s="23"/>
    </row>
    <row r="20" ht="18.75" customHeight="1">
      <c r="A20" s="55"/>
      <c r="B20" s="56"/>
      <c r="C20" s="55"/>
      <c r="D20" s="56"/>
      <c r="E20" s="55"/>
      <c r="F20" s="56"/>
      <c r="G20" s="55"/>
      <c r="H20" s="57"/>
      <c r="I20" s="58" t="s">
        <v>224</v>
      </c>
      <c r="J20" s="57">
        <v>240.0</v>
      </c>
      <c r="K20" s="55"/>
      <c r="L20" s="56"/>
      <c r="M20" s="55"/>
      <c r="N20" s="56"/>
      <c r="O20" s="23"/>
      <c r="P20" s="385" t="s">
        <v>26</v>
      </c>
      <c r="Q20" s="386"/>
      <c r="R20" s="387">
        <v>5.0</v>
      </c>
      <c r="S20" s="388">
        <v>-150.0</v>
      </c>
      <c r="T20" s="384">
        <f t="shared" si="1"/>
        <v>45966</v>
      </c>
      <c r="U20" s="23"/>
      <c r="V20" s="64"/>
      <c r="W20" s="303"/>
      <c r="X20" s="23"/>
      <c r="Y20" s="23"/>
    </row>
    <row r="21" ht="18.75" customHeight="1">
      <c r="A21" s="55"/>
      <c r="B21" s="56"/>
      <c r="C21" s="55"/>
      <c r="D21" s="56"/>
      <c r="E21" s="55"/>
      <c r="F21" s="56"/>
      <c r="G21" s="55"/>
      <c r="H21" s="56"/>
      <c r="I21" s="55"/>
      <c r="J21" s="57">
        <v>-130.79</v>
      </c>
      <c r="K21" s="55"/>
      <c r="L21" s="56"/>
      <c r="M21" s="55"/>
      <c r="N21" s="56"/>
      <c r="O21" s="23"/>
      <c r="P21" s="398" t="s">
        <v>25</v>
      </c>
      <c r="Q21" s="399"/>
      <c r="R21" s="400">
        <v>7.0</v>
      </c>
      <c r="S21" s="393">
        <f t="array" ref="S21">-INDEX(PaymentSchedule!$E$21:$AG930,MATCH(PaymentSchedule!$B$31,PaymentSchedule!$B$21:$B$100),MATCH($P21,PaymentSchedule!$E$19:$AG$19,0))</f>
        <v>-78.03</v>
      </c>
      <c r="T21" s="394">
        <f t="shared" si="1"/>
        <v>45968</v>
      </c>
      <c r="U21" s="303"/>
      <c r="V21" s="64"/>
      <c r="W21" s="303"/>
      <c r="X21" s="23"/>
      <c r="Y21" s="23"/>
    </row>
    <row r="22" ht="18.75" customHeight="1">
      <c r="A22" s="66" t="s">
        <v>22</v>
      </c>
      <c r="B22" s="67">
        <f>N16+SUM(B17:B21)</f>
        <v>2749.42</v>
      </c>
      <c r="C22" s="66"/>
      <c r="D22" s="67">
        <f>B22+SUM(D17:D21)</f>
        <v>1287.43</v>
      </c>
      <c r="E22" s="66"/>
      <c r="F22" s="67">
        <f>D22+SUM(F17:F21)</f>
        <v>2549.43</v>
      </c>
      <c r="G22" s="66"/>
      <c r="H22" s="67">
        <f>F22+SUM(H17:H21)</f>
        <v>1575.27</v>
      </c>
      <c r="I22" s="66"/>
      <c r="J22" s="67">
        <f>H22+SUM(J17:J21)</f>
        <v>1394.36</v>
      </c>
      <c r="K22" s="66"/>
      <c r="L22" s="67">
        <f>J22+SUM(L17:L21)</f>
        <v>1189.33</v>
      </c>
      <c r="M22" s="66"/>
      <c r="N22" s="67">
        <f>L22+SUM(N17:N21)</f>
        <v>1100.54</v>
      </c>
      <c r="O22" s="68"/>
      <c r="P22" s="398" t="s">
        <v>89</v>
      </c>
      <c r="Q22" s="399"/>
      <c r="R22" s="400">
        <v>7.0</v>
      </c>
      <c r="S22" s="393">
        <f t="array" ref="S22">-INDEX(PaymentSchedule!$E$21:$AG930,MATCH(PaymentSchedule!$B$31,PaymentSchedule!$B$21:$B$100),MATCH($P22,PaymentSchedule!$E$19:$AG$19,0))</f>
        <v>-127</v>
      </c>
      <c r="T22" s="394">
        <f t="shared" si="1"/>
        <v>45968</v>
      </c>
      <c r="V22" s="71"/>
      <c r="W22" s="309"/>
      <c r="X22" s="69"/>
      <c r="Y22" s="69"/>
    </row>
    <row r="23" ht="18.75" customHeight="1">
      <c r="A23" s="50">
        <f>IF(M17="","",IF(MONTH(M17+1)&lt;&gt;MONTH(M17),"",M17+1))</f>
        <v>45970</v>
      </c>
      <c r="B23" s="51">
        <f>SUMIF($T$11:$T$123,A23,$S$11:$S$84)</f>
        <v>0</v>
      </c>
      <c r="C23" s="50">
        <f>IF(A23="","",IF(MONTH(A23+1)&lt;&gt;MONTH(A23),"",A23+1))</f>
        <v>45971</v>
      </c>
      <c r="D23" s="51">
        <f>SUMIF($T$11:$T$123,C23,$S$11:$S$84)</f>
        <v>-5.99</v>
      </c>
      <c r="E23" s="50">
        <f>IF(C23="","",IF(MONTH(C23+1)&lt;&gt;MONTH(C23),"",C23+1))</f>
        <v>45972</v>
      </c>
      <c r="F23" s="51">
        <f>SUMIF($T$11:$T$123,E23,$S$11:$S$84)</f>
        <v>-583.08</v>
      </c>
      <c r="G23" s="50">
        <f>IF(E23="","",IF(MONTH(E23+1)&lt;&gt;MONTH(E23),"",E23+1))</f>
        <v>45973</v>
      </c>
      <c r="H23" s="51">
        <f>SUMIF($T$11:$T$123,G23,$S$11:$S$84)</f>
        <v>-150</v>
      </c>
      <c r="I23" s="50">
        <f>IF(G23="","",IF(MONTH(G23+1)&lt;&gt;MONTH(G23),"",G23+1))</f>
        <v>45974</v>
      </c>
      <c r="J23" s="51">
        <f>SUMIF($T$11:$T$123,I23,$S$11:$S$84)</f>
        <v>-102</v>
      </c>
      <c r="K23" s="50">
        <f>IF(I23="","",IF(MONTH(I23+1)&lt;&gt;MONTH(I23),"",I23+1))</f>
        <v>45975</v>
      </c>
      <c r="L23" s="51">
        <f>SUMIF($T$11:$T$123,K23,$S$11:$S$84)</f>
        <v>2308.79</v>
      </c>
      <c r="M23" s="50">
        <f>IF(K23="","",IF(MONTH(K23+1)&lt;&gt;MONTH(K23),"",K23+1))</f>
        <v>45976</v>
      </c>
      <c r="N23" s="51">
        <f>SUMIF($T$11:$T$123,M23,$S$11:$S$84)</f>
        <v>0</v>
      </c>
      <c r="O23" s="23"/>
      <c r="P23" s="385" t="s">
        <v>51</v>
      </c>
      <c r="Q23" s="386"/>
      <c r="R23" s="387">
        <v>8.0</v>
      </c>
      <c r="S23" s="388">
        <v>-26.99</v>
      </c>
      <c r="T23" s="384">
        <f t="shared" si="1"/>
        <v>45969</v>
      </c>
      <c r="U23" s="23"/>
      <c r="V23" s="64"/>
      <c r="W23" s="303"/>
      <c r="X23" s="23"/>
      <c r="Y23" s="23"/>
    </row>
    <row r="24" ht="18.75" customHeight="1">
      <c r="A24" s="55"/>
      <c r="B24" s="57">
        <v>130.79</v>
      </c>
      <c r="C24" s="58"/>
      <c r="D24" s="57"/>
      <c r="E24" s="58" t="s">
        <v>225</v>
      </c>
      <c r="F24" s="586">
        <v>-27.15</v>
      </c>
      <c r="G24" s="413"/>
      <c r="H24" s="587">
        <v>60.33</v>
      </c>
      <c r="I24" s="58" t="s">
        <v>87</v>
      </c>
      <c r="J24" s="57">
        <v>-10.89</v>
      </c>
      <c r="K24" s="58"/>
      <c r="L24" s="57"/>
      <c r="M24" s="55"/>
      <c r="N24" s="56"/>
      <c r="O24" s="23"/>
      <c r="P24" s="414" t="s">
        <v>214</v>
      </c>
      <c r="Q24" s="415"/>
      <c r="R24" s="416">
        <v>8.0</v>
      </c>
      <c r="S24" s="383">
        <v>-21.8</v>
      </c>
      <c r="T24" s="384">
        <f t="shared" si="1"/>
        <v>45969</v>
      </c>
      <c r="U24" s="23"/>
      <c r="V24" s="64"/>
      <c r="W24" s="303"/>
      <c r="X24" s="23"/>
      <c r="Y24" s="23"/>
    </row>
    <row r="25" ht="18.75" customHeight="1">
      <c r="A25" s="55"/>
      <c r="B25" s="57">
        <v>-8.37</v>
      </c>
      <c r="C25" s="55"/>
      <c r="D25" s="56"/>
      <c r="E25" s="55"/>
      <c r="F25" s="56"/>
      <c r="G25" s="55"/>
      <c r="H25" s="56"/>
      <c r="I25" s="55"/>
      <c r="J25" s="56"/>
      <c r="K25" s="58"/>
      <c r="L25" s="57"/>
      <c r="M25" s="55"/>
      <c r="N25" s="56"/>
      <c r="O25" s="23"/>
      <c r="P25" s="385" t="s">
        <v>34</v>
      </c>
      <c r="Q25" s="386"/>
      <c r="R25" s="387">
        <v>10.0</v>
      </c>
      <c r="S25" s="388">
        <v>-5.99</v>
      </c>
      <c r="T25" s="384">
        <f t="shared" si="1"/>
        <v>45971</v>
      </c>
      <c r="U25" s="23"/>
      <c r="V25" s="64"/>
      <c r="W25" s="303"/>
      <c r="X25" s="23"/>
      <c r="Y25" s="23"/>
    </row>
    <row r="26" ht="18.75" customHeight="1">
      <c r="A26" s="55"/>
      <c r="B26" s="57">
        <v>-61.33</v>
      </c>
      <c r="C26" s="55"/>
      <c r="D26" s="56"/>
      <c r="E26" s="55"/>
      <c r="F26" s="56"/>
      <c r="G26" s="55"/>
      <c r="H26" s="56"/>
      <c r="I26" s="55"/>
      <c r="J26" s="56"/>
      <c r="K26" s="58"/>
      <c r="L26" s="57"/>
      <c r="M26" s="55"/>
      <c r="N26" s="56"/>
      <c r="O26" s="23"/>
      <c r="P26" s="398" t="s">
        <v>37</v>
      </c>
      <c r="Q26" s="399"/>
      <c r="R26" s="400">
        <v>11.0</v>
      </c>
      <c r="S26" s="393">
        <f t="array" ref="S26">-INDEX(PaymentSchedule!$E$21:$AG930,MATCH(PaymentSchedule!$B$31,PaymentSchedule!$B$21:$B$100),MATCH($P26,PaymentSchedule!$E$19:$AG$19,0))</f>
        <v>-83</v>
      </c>
      <c r="T26" s="394">
        <f t="shared" si="1"/>
        <v>45972</v>
      </c>
      <c r="U26" s="23"/>
      <c r="V26" s="64"/>
      <c r="W26" s="303"/>
      <c r="X26" s="23"/>
      <c r="Y26" s="23"/>
    </row>
    <row r="27" ht="18.75" customHeight="1">
      <c r="A27" s="55"/>
      <c r="B27" s="56"/>
      <c r="C27" s="55"/>
      <c r="D27" s="56"/>
      <c r="E27" s="55"/>
      <c r="F27" s="56"/>
      <c r="G27" s="55"/>
      <c r="H27" s="56"/>
      <c r="I27" s="55"/>
      <c r="J27" s="56"/>
      <c r="K27" s="55"/>
      <c r="L27" s="56"/>
      <c r="M27" s="55"/>
      <c r="N27" s="56"/>
      <c r="O27" s="23"/>
      <c r="P27" s="398" t="s">
        <v>36</v>
      </c>
      <c r="Q27" s="399"/>
      <c r="R27" s="400">
        <v>11.0</v>
      </c>
      <c r="S27" s="393">
        <f t="array" ref="S27">-INDEX(PaymentSchedule!$E$21:$AG930,MATCH(PaymentSchedule!$B$31,PaymentSchedule!$B$21:$B$100),MATCH($P27,PaymentSchedule!$E$19:$AG$19,0))</f>
        <v>-450.08</v>
      </c>
      <c r="T27" s="394">
        <f t="shared" si="1"/>
        <v>45972</v>
      </c>
      <c r="U27" s="23"/>
      <c r="V27" s="64"/>
      <c r="W27" s="303"/>
      <c r="X27" s="23"/>
      <c r="Y27" s="23"/>
    </row>
    <row r="28" ht="18.75" customHeight="1">
      <c r="A28" s="66" t="s">
        <v>22</v>
      </c>
      <c r="B28" s="588">
        <f>N22+SUM(B23:B27)</f>
        <v>1161.63</v>
      </c>
      <c r="C28" s="589"/>
      <c r="D28" s="588">
        <f>B28+SUM(D23:D27)</f>
        <v>1155.64</v>
      </c>
      <c r="E28" s="66"/>
      <c r="F28" s="67">
        <f>D28+SUM(F23:F27)</f>
        <v>545.41</v>
      </c>
      <c r="G28" s="66"/>
      <c r="H28" s="67">
        <f>F28+SUM(H23:H27)</f>
        <v>455.74</v>
      </c>
      <c r="I28" s="66"/>
      <c r="J28" s="67">
        <f>H28+SUM(J23:J27)</f>
        <v>342.85</v>
      </c>
      <c r="K28" s="66"/>
      <c r="L28" s="67">
        <f>J28+SUM(L23:L27)</f>
        <v>2651.64</v>
      </c>
      <c r="M28" s="66"/>
      <c r="N28" s="67">
        <f>L28+SUM(N23:N27)</f>
        <v>2651.64</v>
      </c>
      <c r="O28" s="68"/>
      <c r="P28" s="385" t="s">
        <v>38</v>
      </c>
      <c r="Q28" s="386"/>
      <c r="R28" s="387">
        <v>11.0</v>
      </c>
      <c r="S28" s="388">
        <v>-50.0</v>
      </c>
      <c r="T28" s="384">
        <f t="shared" si="1"/>
        <v>45972</v>
      </c>
      <c r="U28" s="69"/>
      <c r="V28" s="71"/>
      <c r="W28" s="309"/>
      <c r="X28" s="69"/>
      <c r="Y28" s="69"/>
    </row>
    <row r="29" ht="18.75" customHeight="1">
      <c r="A29" s="50">
        <f>IF(M23="","",IF(MONTH(M23+1)&lt;&gt;MONTH(M23),"",M23+1))</f>
        <v>45977</v>
      </c>
      <c r="B29" s="51">
        <f>SUMIF($T$11:$T$123,A29,$S$11:$S$84)</f>
        <v>0</v>
      </c>
      <c r="C29" s="50">
        <f>IF(A29="","",IF(MONTH(A29+1)&lt;&gt;MONTH(A29),"",A29+1))</f>
        <v>45978</v>
      </c>
      <c r="D29" s="51">
        <f>SUMIF($T$11:$T$123,C29,$S$11:$S$84)</f>
        <v>-9.99</v>
      </c>
      <c r="E29" s="50">
        <f>IF(C29="","",IF(MONTH(C29+1)&lt;&gt;MONTH(C29),"",C29+1))</f>
        <v>45979</v>
      </c>
      <c r="F29" s="51">
        <f>SUMIF($T$11:$T$123,E29,$S$11:$S$84)</f>
        <v>-147</v>
      </c>
      <c r="G29" s="50">
        <f>IF(E29="","",IF(MONTH(E29+1)&lt;&gt;MONTH(E29),"",E29+1))</f>
        <v>45980</v>
      </c>
      <c r="H29" s="51">
        <f>SUMIF($T$11:$T$123,G29,$S$11:$S$84)</f>
        <v>-423.95</v>
      </c>
      <c r="I29" s="50">
        <f>IF(G29="","",IF(MONTH(G29+1)&lt;&gt;MONTH(G29),"",G29+1))</f>
        <v>45981</v>
      </c>
      <c r="J29" s="51">
        <f>SUMIF($T$11:$T$123,I29,$S$11:$S$84)</f>
        <v>0</v>
      </c>
      <c r="K29" s="50">
        <f>IF(I29="","",IF(MONTH(I29+1)&lt;&gt;MONTH(I29),"",I29+1))</f>
        <v>45982</v>
      </c>
      <c r="L29" s="51">
        <f>SUMIF($T$11:$T$123,K29,$S$11:$S$84)</f>
        <v>0</v>
      </c>
      <c r="M29" s="50">
        <f>IF(K29="","",IF(MONTH(K29+1)&lt;&gt;MONTH(K29),"",K29+1))</f>
        <v>45983</v>
      </c>
      <c r="N29" s="51">
        <f>SUMIF($T$11:$T$123,M29,$S$11:$S$84)</f>
        <v>0</v>
      </c>
      <c r="O29" s="23"/>
      <c r="P29" s="385" t="s">
        <v>26</v>
      </c>
      <c r="Q29" s="386"/>
      <c r="R29" s="387">
        <v>12.0</v>
      </c>
      <c r="S29" s="388">
        <v>-150.0</v>
      </c>
      <c r="T29" s="384">
        <f t="shared" si="1"/>
        <v>45973</v>
      </c>
      <c r="U29" s="23"/>
      <c r="V29" s="64"/>
      <c r="W29" s="303"/>
      <c r="X29" s="23"/>
      <c r="Y29" s="23"/>
    </row>
    <row r="30" ht="18.75" customHeight="1">
      <c r="A30" s="58" t="s">
        <v>160</v>
      </c>
      <c r="B30" s="57"/>
      <c r="C30" s="55"/>
      <c r="D30" s="57">
        <v>-15.07</v>
      </c>
      <c r="E30" s="55"/>
      <c r="F30" s="57"/>
      <c r="G30" s="55"/>
      <c r="H30" s="57"/>
      <c r="I30" s="55"/>
      <c r="J30" s="57">
        <v>-14.06</v>
      </c>
      <c r="K30" s="55"/>
      <c r="L30" s="56"/>
      <c r="M30" s="55"/>
      <c r="N30" s="56"/>
      <c r="O30" s="23"/>
      <c r="P30" s="385" t="s">
        <v>40</v>
      </c>
      <c r="Q30" s="386"/>
      <c r="R30" s="387">
        <v>13.0</v>
      </c>
      <c r="S30" s="388">
        <v>-102.0</v>
      </c>
      <c r="T30" s="384">
        <f t="shared" si="1"/>
        <v>45974</v>
      </c>
      <c r="U30" s="23"/>
      <c r="V30" s="64"/>
      <c r="W30" s="303"/>
      <c r="X30" s="23"/>
      <c r="Y30" s="23"/>
    </row>
    <row r="31" ht="18.75" customHeight="1">
      <c r="A31" s="58" t="s">
        <v>161</v>
      </c>
      <c r="B31" s="57"/>
      <c r="C31" s="55"/>
      <c r="D31" s="56"/>
      <c r="E31" s="55"/>
      <c r="F31" s="56"/>
      <c r="G31" s="55"/>
      <c r="H31" s="56"/>
      <c r="I31" s="55"/>
      <c r="J31" s="57">
        <v>-10.95</v>
      </c>
      <c r="K31" s="55"/>
      <c r="L31" s="56"/>
      <c r="M31" s="55"/>
      <c r="N31" s="56"/>
      <c r="O31" s="23"/>
      <c r="P31" s="385" t="s">
        <v>19</v>
      </c>
      <c r="Q31" s="386"/>
      <c r="R31" s="387">
        <v>14.0</v>
      </c>
      <c r="S31" s="388">
        <v>2308.79</v>
      </c>
      <c r="T31" s="384">
        <f t="shared" si="1"/>
        <v>45975</v>
      </c>
      <c r="U31" s="23"/>
      <c r="V31" s="64"/>
      <c r="W31" s="303"/>
      <c r="X31" s="23"/>
      <c r="Y31" s="23"/>
    </row>
    <row r="32" ht="18.75" customHeight="1">
      <c r="A32" s="55"/>
      <c r="B32" s="56"/>
      <c r="C32" s="55"/>
      <c r="D32" s="56"/>
      <c r="E32" s="55"/>
      <c r="F32" s="56"/>
      <c r="G32" s="55"/>
      <c r="H32" s="56"/>
      <c r="I32" s="55"/>
      <c r="J32" s="56"/>
      <c r="K32" s="55"/>
      <c r="L32" s="56"/>
      <c r="M32" s="55"/>
      <c r="N32" s="56"/>
      <c r="O32" s="23"/>
      <c r="P32" s="385" t="s">
        <v>43</v>
      </c>
      <c r="Q32" s="386"/>
      <c r="R32" s="387">
        <v>17.0</v>
      </c>
      <c r="S32" s="388">
        <v>-9.99</v>
      </c>
      <c r="T32" s="384">
        <f t="shared" si="1"/>
        <v>45978</v>
      </c>
      <c r="U32" s="23"/>
      <c r="V32" s="64"/>
      <c r="W32" s="303"/>
      <c r="X32" s="23"/>
      <c r="Y32" s="23"/>
    </row>
    <row r="33" ht="18.75" customHeight="1">
      <c r="A33" s="55"/>
      <c r="B33" s="56"/>
      <c r="C33" s="55"/>
      <c r="D33" s="56"/>
      <c r="E33" s="55"/>
      <c r="F33" s="56"/>
      <c r="G33" s="55"/>
      <c r="H33" s="56"/>
      <c r="I33" s="55"/>
      <c r="J33" s="56"/>
      <c r="K33" s="55"/>
      <c r="L33" s="56"/>
      <c r="M33" s="55"/>
      <c r="N33" s="56"/>
      <c r="O33" s="23"/>
      <c r="P33" s="398" t="s">
        <v>85</v>
      </c>
      <c r="Q33" s="399"/>
      <c r="R33" s="400">
        <v>18.0</v>
      </c>
      <c r="S33" s="393">
        <f t="array" ref="S33">-INDEX(PaymentSchedule!$E$21:$AG930,MATCH(PaymentSchedule!$B$31,PaymentSchedule!$B$21:$B$100),MATCH($P33,PaymentSchedule!$E$19:$AG$19,0))</f>
        <v>-147</v>
      </c>
      <c r="T33" s="394">
        <f t="shared" si="1"/>
        <v>45979</v>
      </c>
      <c r="U33" s="23"/>
      <c r="V33" s="64"/>
      <c r="W33" s="303"/>
      <c r="X33" s="23"/>
      <c r="Y33" s="23"/>
    </row>
    <row r="34" ht="18.75" customHeight="1">
      <c r="A34" s="66" t="s">
        <v>22</v>
      </c>
      <c r="B34" s="67">
        <f>N28+SUM(B29:B33)</f>
        <v>2651.64</v>
      </c>
      <c r="C34" s="66"/>
      <c r="D34" s="67">
        <f>B34+SUM(D29:D33)</f>
        <v>2626.58</v>
      </c>
      <c r="E34" s="66"/>
      <c r="F34" s="67">
        <f>D34+SUM(F29:F33)</f>
        <v>2479.58</v>
      </c>
      <c r="G34" s="66"/>
      <c r="H34" s="67">
        <f>F34+SUM(H29:H33)</f>
        <v>2055.63</v>
      </c>
      <c r="I34" s="66"/>
      <c r="J34" s="67">
        <f>H34+SUM(J29:J33)</f>
        <v>2030.62</v>
      </c>
      <c r="K34" s="66"/>
      <c r="L34" s="67">
        <f>J34+SUM(L29:L33)</f>
        <v>2030.62</v>
      </c>
      <c r="M34" s="66"/>
      <c r="N34" s="67">
        <f>L34+SUM(N29:N33)</f>
        <v>2030.62</v>
      </c>
      <c r="O34" s="68"/>
      <c r="P34" s="385" t="s">
        <v>30</v>
      </c>
      <c r="Q34" s="386"/>
      <c r="R34" s="416">
        <v>19.0</v>
      </c>
      <c r="S34" s="383">
        <v>-273.95</v>
      </c>
      <c r="T34" s="384">
        <f t="shared" si="1"/>
        <v>45980</v>
      </c>
      <c r="U34" s="69"/>
      <c r="V34" s="71"/>
      <c r="W34" s="309"/>
      <c r="X34" s="69"/>
      <c r="Y34" s="69"/>
    </row>
    <row r="35" ht="18.75" customHeight="1">
      <c r="A35" s="50">
        <f>IF(M29="","",IF(MONTH(M29+1)&lt;&gt;MONTH(M29),"",M29+1))</f>
        <v>45984</v>
      </c>
      <c r="B35" s="51">
        <f>SUMIF($T$11:$T$123,A35,$S$11:$S$84)</f>
        <v>0</v>
      </c>
      <c r="C35" s="50">
        <f>IF(A35="","",IF(MONTH(A35+1)&lt;&gt;MONTH(A35),"",A35+1))</f>
        <v>45985</v>
      </c>
      <c r="D35" s="51">
        <f>SUMIF($T$11:$T$123,C35,$S$11:$S$84)</f>
        <v>0</v>
      </c>
      <c r="E35" s="50">
        <f>IF(C35="","",IF(MONTH(C35+1)&lt;&gt;MONTH(C35),"",C35+1))</f>
        <v>45986</v>
      </c>
      <c r="F35" s="51">
        <f>SUMIF($T$11:$T$123,E35,$S$11:$S$84)</f>
        <v>2279.45</v>
      </c>
      <c r="G35" s="50">
        <f>IF(E35="","",IF(MONTH(E35+1)&lt;&gt;MONTH(E35),"",E35+1))</f>
        <v>45987</v>
      </c>
      <c r="H35" s="51">
        <f>SUMIF($T$11:$T$123,G35,$S$11:$S$84)</f>
        <v>1350</v>
      </c>
      <c r="I35" s="50">
        <f>IF(G35="","",IF(MONTH(G35+1)&lt;&gt;MONTH(G35),"",G35+1))</f>
        <v>45988</v>
      </c>
      <c r="J35" s="51">
        <f>SUMIF($T$11:$T$123,I35,$S$11:$S$84)</f>
        <v>0</v>
      </c>
      <c r="K35" s="50">
        <f>IF(I35="","",IF(MONTH(I35+1)&lt;&gt;MONTH(I35),"",I35+1))</f>
        <v>45989</v>
      </c>
      <c r="L35" s="51">
        <f>SUMIF($T$11:$T$123,K35,$S$11:$S$84)</f>
        <v>-10.99</v>
      </c>
      <c r="M35" s="50">
        <f>IF(K35="","",IF(MONTH(K35+1)&lt;&gt;MONTH(K35),"",K35+1))</f>
        <v>45990</v>
      </c>
      <c r="N35" s="51">
        <f>SUMIF($T$11:$T$123,M35,$S$11:$S$84)</f>
        <v>-32.59</v>
      </c>
      <c r="O35" s="23"/>
      <c r="P35" s="385" t="s">
        <v>26</v>
      </c>
      <c r="Q35" s="386"/>
      <c r="R35" s="387">
        <v>19.0</v>
      </c>
      <c r="S35" s="388">
        <v>-150.0</v>
      </c>
      <c r="T35" s="384">
        <f t="shared" si="1"/>
        <v>45980</v>
      </c>
      <c r="U35" s="23"/>
      <c r="V35" s="64"/>
      <c r="W35" s="303"/>
      <c r="X35" s="23"/>
      <c r="Y35" s="23"/>
    </row>
    <row r="36" ht="18.75" customHeight="1">
      <c r="A36" s="485" t="s">
        <v>202</v>
      </c>
      <c r="B36" s="486">
        <v>-22.61</v>
      </c>
      <c r="C36" s="55"/>
      <c r="D36" s="57">
        <v>-2.17</v>
      </c>
      <c r="E36" s="58"/>
      <c r="F36" s="57">
        <v>-23.55</v>
      </c>
      <c r="G36" s="55"/>
      <c r="H36" s="57"/>
      <c r="I36" s="55"/>
      <c r="J36" s="57"/>
      <c r="K36" s="55"/>
      <c r="L36" s="57"/>
      <c r="M36" s="55"/>
      <c r="N36" s="57"/>
      <c r="O36" s="23"/>
      <c r="P36" s="385" t="s">
        <v>34</v>
      </c>
      <c r="Q36" s="386"/>
      <c r="R36" s="387">
        <v>24.0</v>
      </c>
      <c r="S36" s="388"/>
      <c r="T36" s="384">
        <f t="shared" si="1"/>
        <v>45985</v>
      </c>
      <c r="U36" s="23"/>
      <c r="V36" s="64"/>
      <c r="W36" s="303"/>
      <c r="X36" s="23"/>
      <c r="Y36" s="23"/>
    </row>
    <row r="37" ht="18.75" customHeight="1">
      <c r="A37" s="55"/>
      <c r="B37" s="56"/>
      <c r="C37" s="55"/>
      <c r="D37" s="56"/>
      <c r="E37" s="55"/>
      <c r="F37" s="56"/>
      <c r="G37" s="58" t="s">
        <v>226</v>
      </c>
      <c r="H37" s="57">
        <v>-100.0</v>
      </c>
      <c r="I37" s="55"/>
      <c r="J37" s="56"/>
      <c r="K37" s="55"/>
      <c r="L37" s="56"/>
      <c r="M37" s="55"/>
      <c r="N37" s="56"/>
      <c r="O37" s="23"/>
      <c r="P37" s="385" t="s">
        <v>151</v>
      </c>
      <c r="Q37" s="386"/>
      <c r="R37" s="387">
        <v>25.0</v>
      </c>
      <c r="S37" s="388">
        <v>2308.79</v>
      </c>
      <c r="T37" s="384">
        <f t="shared" si="1"/>
        <v>45986</v>
      </c>
      <c r="U37" s="23"/>
      <c r="V37" s="64"/>
      <c r="W37" s="303"/>
      <c r="X37" s="23"/>
      <c r="Y37" s="23"/>
    </row>
    <row r="38" ht="18.75" customHeight="1">
      <c r="A38" s="55"/>
      <c r="B38" s="56"/>
      <c r="C38" s="55"/>
      <c r="D38" s="56"/>
      <c r="E38" s="55"/>
      <c r="F38" s="56"/>
      <c r="G38" s="55"/>
      <c r="H38" s="56"/>
      <c r="I38" s="55"/>
      <c r="J38" s="56"/>
      <c r="K38" s="55"/>
      <c r="L38" s="56"/>
      <c r="M38" s="55"/>
      <c r="N38" s="56"/>
      <c r="O38" s="23"/>
      <c r="P38" s="385" t="s">
        <v>46</v>
      </c>
      <c r="Q38" s="386"/>
      <c r="R38" s="387">
        <v>25.0</v>
      </c>
      <c r="S38" s="388">
        <v>-10.99</v>
      </c>
      <c r="T38" s="384">
        <f t="shared" si="1"/>
        <v>45986</v>
      </c>
      <c r="U38" s="23"/>
      <c r="V38" s="64"/>
      <c r="W38" s="303"/>
      <c r="X38" s="23"/>
      <c r="Y38" s="23"/>
    </row>
    <row r="39" ht="18.75" customHeight="1">
      <c r="A39" s="55"/>
      <c r="B39" s="56"/>
      <c r="C39" s="55"/>
      <c r="D39" s="56"/>
      <c r="E39" s="55"/>
      <c r="F39" s="56"/>
      <c r="G39" s="55"/>
      <c r="H39" s="56"/>
      <c r="I39" s="55"/>
      <c r="J39" s="56"/>
      <c r="K39" s="55"/>
      <c r="L39" s="56"/>
      <c r="M39" s="55"/>
      <c r="N39" s="56"/>
      <c r="O39" s="23"/>
      <c r="P39" s="380" t="s">
        <v>44</v>
      </c>
      <c r="Q39" s="381"/>
      <c r="R39" s="382">
        <v>25.0</v>
      </c>
      <c r="S39" s="397">
        <v>-18.35</v>
      </c>
      <c r="T39" s="384">
        <f t="shared" si="1"/>
        <v>45986</v>
      </c>
      <c r="U39" s="23"/>
      <c r="V39" s="64"/>
      <c r="W39" s="303"/>
      <c r="X39" s="23"/>
      <c r="Y39" s="23"/>
    </row>
    <row r="40" ht="18.75" customHeight="1">
      <c r="A40" s="66" t="s">
        <v>22</v>
      </c>
      <c r="B40" s="67">
        <f>N34+SUM(B35:B39)</f>
        <v>2008.01</v>
      </c>
      <c r="C40" s="66"/>
      <c r="D40" s="67">
        <f>B40+SUM(D35:D39)</f>
        <v>2005.84</v>
      </c>
      <c r="E40" s="66"/>
      <c r="F40" s="67">
        <f>D40+SUM(F35:F39)</f>
        <v>4261.74</v>
      </c>
      <c r="G40" s="66"/>
      <c r="H40" s="67">
        <f>F40+SUM(H35:H39)</f>
        <v>5511.74</v>
      </c>
      <c r="I40" s="66"/>
      <c r="J40" s="67">
        <f>H40+SUM(J35:J39)</f>
        <v>5511.74</v>
      </c>
      <c r="K40" s="66"/>
      <c r="L40" s="67">
        <f>J40+SUM(L35:L39)</f>
        <v>5500.75</v>
      </c>
      <c r="M40" s="66"/>
      <c r="N40" s="67">
        <f>L40+SUM(N35:N39)</f>
        <v>5468.16</v>
      </c>
      <c r="O40" s="68"/>
      <c r="P40" s="385" t="s">
        <v>151</v>
      </c>
      <c r="Q40" s="386"/>
      <c r="R40" s="387">
        <v>26.0</v>
      </c>
      <c r="S40" s="388">
        <v>1500.0</v>
      </c>
      <c r="T40" s="384">
        <f t="shared" si="1"/>
        <v>45987</v>
      </c>
      <c r="U40" s="69"/>
      <c r="V40" s="71"/>
      <c r="W40" s="309"/>
      <c r="X40" s="69"/>
      <c r="Y40" s="69"/>
    </row>
    <row r="41" ht="18.75" customHeight="1">
      <c r="A41" s="50">
        <f>IF(M35="","",IF(MONTH(M35+1)&lt;&gt;MONTH(M35),"",M35+1))</f>
        <v>45991</v>
      </c>
      <c r="B41" s="51">
        <f>SUMIF($T$11:$T$123,A41,$S$11:$S$84)</f>
        <v>0</v>
      </c>
      <c r="C41" s="50" t="str">
        <f>IF(A41="","",IF(MONTH(A41+1)&lt;&gt;MONTH(A41),"",A41+1))</f>
        <v/>
      </c>
      <c r="D41" s="51">
        <f>SUMIF($T$11:$T$123,C41,$S$11:$S$84)</f>
        <v>0</v>
      </c>
      <c r="E41" s="77"/>
      <c r="F41" s="77" t="s">
        <v>50</v>
      </c>
      <c r="G41" s="77"/>
      <c r="H41" s="77"/>
      <c r="I41" s="77"/>
      <c r="J41" s="77"/>
      <c r="K41" s="77"/>
      <c r="L41" s="77"/>
      <c r="M41" s="77"/>
      <c r="N41" s="77"/>
      <c r="P41" s="385" t="s">
        <v>26</v>
      </c>
      <c r="Q41" s="386"/>
      <c r="R41" s="387">
        <v>26.0</v>
      </c>
      <c r="S41" s="388">
        <v>-150.0</v>
      </c>
      <c r="T41" s="384">
        <f t="shared" si="1"/>
        <v>45987</v>
      </c>
      <c r="U41" s="313"/>
      <c r="W41" s="314"/>
    </row>
    <row r="42" ht="18.75" customHeight="1">
      <c r="A42" s="55"/>
      <c r="B42" s="56"/>
      <c r="C42" s="55"/>
      <c r="D42" s="56"/>
      <c r="E42" s="77"/>
      <c r="F42" s="77" t="s">
        <v>52</v>
      </c>
      <c r="G42" s="77"/>
      <c r="H42" s="77"/>
      <c r="I42" s="77"/>
      <c r="J42" s="77"/>
      <c r="K42" s="77"/>
      <c r="L42" s="77"/>
      <c r="M42" s="77"/>
      <c r="N42" s="77"/>
      <c r="P42" s="414" t="s">
        <v>227</v>
      </c>
      <c r="Q42" s="415"/>
      <c r="R42" s="416">
        <v>27.0</v>
      </c>
      <c r="S42" s="383"/>
      <c r="T42" s="384">
        <f t="shared" si="1"/>
        <v>45988</v>
      </c>
      <c r="U42" s="313"/>
      <c r="W42" s="314"/>
    </row>
    <row r="43" ht="18.75" customHeight="1">
      <c r="A43" s="55"/>
      <c r="B43" s="56"/>
      <c r="C43" s="55"/>
      <c r="D43" s="56"/>
      <c r="E43" s="77"/>
      <c r="F43" s="77"/>
      <c r="G43" s="77"/>
      <c r="H43" s="77"/>
      <c r="I43" s="77"/>
      <c r="J43" s="77"/>
      <c r="K43" s="77"/>
      <c r="L43" s="77"/>
      <c r="M43" s="77"/>
      <c r="N43" s="77"/>
      <c r="P43" s="385" t="s">
        <v>53</v>
      </c>
      <c r="Q43" s="386"/>
      <c r="R43" s="387">
        <v>28.0</v>
      </c>
      <c r="S43" s="388">
        <v>-10.99</v>
      </c>
      <c r="T43" s="384">
        <f t="shared" si="1"/>
        <v>45989</v>
      </c>
      <c r="U43" s="313"/>
    </row>
    <row r="44" ht="18.75" customHeight="1">
      <c r="A44" s="55"/>
      <c r="B44" s="56"/>
      <c r="C44" s="55"/>
      <c r="D44" s="56"/>
      <c r="E44" s="77"/>
      <c r="F44" s="77"/>
      <c r="G44" s="77"/>
      <c r="H44" s="77"/>
      <c r="I44" s="77"/>
      <c r="J44" s="77"/>
      <c r="K44" s="77"/>
      <c r="L44" s="77"/>
      <c r="M44" s="77"/>
      <c r="N44" s="77"/>
      <c r="P44" s="380" t="s">
        <v>55</v>
      </c>
      <c r="Q44" s="381"/>
      <c r="R44" s="382">
        <v>29.0</v>
      </c>
      <c r="S44" s="383">
        <v>-21.59</v>
      </c>
      <c r="T44" s="384">
        <f t="shared" si="1"/>
        <v>45990</v>
      </c>
      <c r="U44" s="313"/>
      <c r="W44" s="314"/>
    </row>
    <row r="45" ht="18.75" customHeight="1">
      <c r="A45" s="55"/>
      <c r="B45" s="56"/>
      <c r="C45" s="55"/>
      <c r="D45" s="56"/>
      <c r="E45" s="77"/>
      <c r="F45" s="77"/>
      <c r="G45" s="77"/>
      <c r="H45" s="326">
        <v>16.2</v>
      </c>
      <c r="I45" s="77"/>
      <c r="J45" s="77"/>
      <c r="K45" s="77"/>
      <c r="L45" s="77"/>
      <c r="M45" s="77"/>
      <c r="N45" s="77"/>
      <c r="P45" s="385" t="s">
        <v>54</v>
      </c>
      <c r="Q45" s="386"/>
      <c r="R45" s="387">
        <v>29.0</v>
      </c>
      <c r="S45" s="388">
        <v>-11.0</v>
      </c>
      <c r="T45" s="384">
        <f t="shared" si="1"/>
        <v>45990</v>
      </c>
    </row>
    <row r="46" ht="18.75" customHeight="1">
      <c r="A46" s="66" t="s">
        <v>22</v>
      </c>
      <c r="B46" s="67">
        <f>N40+SUM(B41:B45)</f>
        <v>5468.16</v>
      </c>
      <c r="C46" s="66"/>
      <c r="D46" s="67">
        <f>B46+SUM(D41:D45)</f>
        <v>5468.16</v>
      </c>
      <c r="E46" s="77"/>
      <c r="F46" s="77"/>
      <c r="G46" s="77"/>
      <c r="H46" s="326">
        <v>20.9</v>
      </c>
      <c r="I46" s="77"/>
      <c r="J46" s="77"/>
      <c r="K46" s="77"/>
      <c r="L46" s="77"/>
      <c r="M46" s="77"/>
      <c r="N46" s="77"/>
      <c r="P46" s="519" t="s">
        <v>173</v>
      </c>
      <c r="Q46" s="511"/>
      <c r="R46" s="416">
        <v>29.0</v>
      </c>
      <c r="S46" s="383"/>
      <c r="T46" s="536">
        <f>IF(ISBLANK(R46),"-",IF(R46&gt;DAY(EOMONTH(DATE($B$2,$E$2,1),0)),EOMONTH(DATE($B$2,$E$2,1),0),DATE($B$2,$E$2,R46)))</f>
        <v>45990</v>
      </c>
    </row>
    <row r="47" ht="12.75" customHeight="1">
      <c r="H47" s="108">
        <v>22.61</v>
      </c>
      <c r="P47" s="551" t="s">
        <v>87</v>
      </c>
      <c r="Q47" s="552"/>
      <c r="R47" s="553"/>
      <c r="S47" s="549">
        <f t="array" ref="S47">-INDEX(PaymentSchedule!$E$21:$AG930,MATCH(PaymentSchedule!$B$31,PaymentSchedule!$B$21:$B$100),MATCH($P47,PaymentSchedule!$E$19:$AG$19,0))</f>
        <v>-695.6</v>
      </c>
      <c r="T47" s="550" t="str">
        <f t="shared" ref="T47:T48" si="2">IF(ISBLANK(R47),"-",IF(R47&gt;DAY(EOMONTH(DATE($B$2,$E$2,1),0)),EOMONTH(DATE($B$2,$E$2,1),0),DATE($B$2,$E$2,R47)))</f>
        <v>-</v>
      </c>
    </row>
    <row r="48" ht="12.75" customHeight="1">
      <c r="P48" s="319" t="s">
        <v>29</v>
      </c>
      <c r="Q48" s="320"/>
      <c r="R48" s="554"/>
      <c r="S48" s="322">
        <v>-16.19</v>
      </c>
      <c r="T48" s="323" t="str">
        <f t="shared" si="2"/>
        <v>-</v>
      </c>
    </row>
    <row r="49" ht="12.75" customHeight="1">
      <c r="P49" s="367"/>
      <c r="Q49" s="368"/>
      <c r="R49" s="405"/>
      <c r="S49" s="409"/>
      <c r="T49" s="376"/>
    </row>
    <row r="50" ht="12.75" customHeight="1">
      <c r="P50" s="367"/>
      <c r="Q50" s="407"/>
      <c r="R50" s="405"/>
      <c r="S50" s="555"/>
      <c r="T50" s="376" t="str">
        <f t="shared" ref="T50:T56" si="3">IF(ISBLANK(R50),"-",IF(R50&gt;DAY(EOMONTH(DATE($B$2,$E$2,1),0)),EOMONTH(DATE($B$2,$E$2,1),0),DATE($B$2,$E$2,$R$47)))</f>
        <v>-</v>
      </c>
    </row>
    <row r="51" ht="12.75" customHeight="1">
      <c r="P51" s="542"/>
      <c r="Q51" s="407"/>
      <c r="R51" s="543"/>
      <c r="S51" s="544"/>
      <c r="T51" s="376" t="str">
        <f t="shared" si="3"/>
        <v>-</v>
      </c>
    </row>
    <row r="52" ht="12.75" customHeight="1">
      <c r="P52" s="542"/>
      <c r="Q52" s="407"/>
      <c r="R52" s="543"/>
      <c r="S52" s="544"/>
      <c r="T52" s="376" t="str">
        <f t="shared" si="3"/>
        <v>-</v>
      </c>
    </row>
    <row r="53" ht="12.75" customHeight="1">
      <c r="F53" s="108" t="s">
        <v>228</v>
      </c>
      <c r="G53" s="590">
        <v>47.5</v>
      </c>
      <c r="P53" s="542"/>
      <c r="Q53" s="407"/>
      <c r="R53" s="543"/>
      <c r="S53" s="544"/>
      <c r="T53" s="376" t="str">
        <f t="shared" si="3"/>
        <v>-</v>
      </c>
    </row>
    <row r="54" ht="12.75" customHeight="1">
      <c r="P54" s="542"/>
      <c r="Q54" s="407"/>
      <c r="R54" s="543"/>
      <c r="S54" s="544"/>
      <c r="T54" s="376" t="str">
        <f t="shared" si="3"/>
        <v>-</v>
      </c>
    </row>
    <row r="55" ht="12.75" customHeight="1">
      <c r="P55" s="542"/>
      <c r="Q55" s="407"/>
      <c r="R55" s="543"/>
      <c r="S55" s="544"/>
      <c r="T55" s="376" t="str">
        <f t="shared" si="3"/>
        <v>-</v>
      </c>
    </row>
    <row r="56" ht="12.75" customHeight="1">
      <c r="P56" s="542"/>
      <c r="Q56" s="407"/>
      <c r="R56" s="543"/>
      <c r="S56" s="544"/>
      <c r="T56" s="376" t="str">
        <f t="shared" si="3"/>
        <v>-</v>
      </c>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row>
    <row r="928" ht="12.75" customHeight="1">
      <c r="R928" s="336"/>
    </row>
    <row r="929" ht="12.75" customHeight="1">
      <c r="R929" s="336"/>
    </row>
    <row r="930" ht="12.75" customHeight="1">
      <c r="R930"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0">
    <cfRule type="cellIs" dxfId="5" priority="1" operator="lessThan">
      <formula>0</formula>
    </cfRule>
  </conditionalFormatting>
  <dataValidations>
    <dataValidation type="list" allowBlank="1" showErrorMessage="1" sqref="Q12:Q56">
      <formula1>"✔"</formula1>
    </dataValidation>
    <dataValidation type="custom" allowBlank="1" showDropDown="1" sqref="T12:T56">
      <formula1>OR(NOT(ISERROR(DATEVALUE(T12))), AND(ISNUMBER(T12), LEFT(CELL("format", T12))="D"))</formula1>
    </dataValidation>
  </dataValidations>
  <hyperlinks>
    <hyperlink r:id="rId1" ref="T3"/>
  </hyperlinks>
  <drawing r:id="rId2"/>
  <tableParts count="1">
    <tablePart r:id="rId4"/>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6.63"/>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2025.0</v>
      </c>
      <c r="C2" s="3"/>
      <c r="D2" s="9" t="s">
        <v>2</v>
      </c>
      <c r="E2" s="10">
        <v>12.0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DECEMBER 2025</v>
      </c>
      <c r="B5" s="22"/>
      <c r="C5" s="22"/>
      <c r="D5" s="22"/>
      <c r="E5" s="22"/>
      <c r="F5" s="22"/>
      <c r="G5" s="22"/>
      <c r="H5" s="23"/>
      <c r="I5" s="23"/>
      <c r="J5" s="23"/>
      <c r="K5" s="22"/>
      <c r="L5" s="24" t="s">
        <v>7</v>
      </c>
      <c r="M5" s="25">
        <f>'November 2025'!D46</f>
        <v>5468.16</v>
      </c>
      <c r="N5" s="26"/>
      <c r="O5" s="23"/>
      <c r="P5" s="27"/>
      <c r="Q5" s="27"/>
      <c r="R5" s="287" t="s">
        <v>8</v>
      </c>
      <c r="S5" s="288">
        <f>SUMIF(A18:N21,"&gt;0")+SUMIF(A24:N27,"&gt;0")+SUMIF(A30:N33,"&gt;0")+SUMIF(A36:N39,"&gt;0")+SUMIF(A42:D45,"&gt;0")+SUMIF(S12:S46,"&gt;0")+SUMIF(A12:N15,"&gt;0")</f>
        <v>6141.76</v>
      </c>
      <c r="U5" s="23"/>
      <c r="V5" s="289">
        <f>sum(S5+S6)</f>
        <v>-1894.25</v>
      </c>
      <c r="W5" s="23"/>
      <c r="X5" s="23"/>
      <c r="Y5" s="23"/>
      <c r="Z5" s="23"/>
    </row>
    <row r="6" ht="25.5" customHeight="1">
      <c r="A6" s="31"/>
      <c r="B6" s="31"/>
      <c r="C6" s="31"/>
      <c r="D6" s="31"/>
      <c r="E6" s="31"/>
      <c r="F6" s="32"/>
      <c r="G6" s="33"/>
      <c r="H6" s="34"/>
      <c r="I6" s="34"/>
      <c r="J6" s="34"/>
      <c r="K6" s="31"/>
      <c r="L6" s="24" t="s">
        <v>9</v>
      </c>
      <c r="M6" s="35">
        <f>D46</f>
        <v>3608.45</v>
      </c>
      <c r="O6" s="34"/>
      <c r="P6" s="36"/>
      <c r="Q6" s="36"/>
      <c r="R6" s="287" t="s">
        <v>10</v>
      </c>
      <c r="S6" s="288">
        <f>SUMIF(A18:N21,"&lt;0")+SUMIF(A24:N27,"&lt;0")+SUMIF(A30:N33,"&lt;0")+SUMIF(A36:N39,"&lt;0")+SUMIF(A42:D45,"&lt;0")+SUMIF(S12:S203,"&lt;0")+SUMIF(A12:N15,"&lt;0")</f>
        <v>-8036.01</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45992</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45998</v>
      </c>
      <c r="B9" s="40"/>
      <c r="C9" s="39">
        <f>C17</f>
        <v>45999</v>
      </c>
      <c r="D9" s="40"/>
      <c r="E9" s="39">
        <f>E17</f>
        <v>46000</v>
      </c>
      <c r="F9" s="40"/>
      <c r="G9" s="39">
        <f>G17</f>
        <v>46001</v>
      </c>
      <c r="H9" s="40"/>
      <c r="I9" s="39">
        <f>I17</f>
        <v>46002</v>
      </c>
      <c r="J9" s="40"/>
      <c r="K9" s="39">
        <f>K17</f>
        <v>46003</v>
      </c>
      <c r="L9" s="40"/>
      <c r="M9" s="39">
        <f>M17</f>
        <v>46004</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SUMIF($T$11:$T$130,A11,$S$11:$S$91)</f>
        <v>0</v>
      </c>
      <c r="C11" s="50">
        <f>IF(A11="",IF(WEEKDAY($B$8,1)=MOD($H$2,7)+1,$B$8,""),A11+1)</f>
        <v>45992</v>
      </c>
      <c r="D11" s="51">
        <f>SUMIF($T$11:$T$130,C11,$S$11:$S$91)</f>
        <v>-57</v>
      </c>
      <c r="E11" s="50">
        <f>IF(C11="",IF(WEEKDAY($B$8,1)=MOD($H$2+1,7)+1,$B$8,""),C11+1)</f>
        <v>45993</v>
      </c>
      <c r="F11" s="51">
        <f>SUMIF($T$11:$T$130,E11,$S$11:$S$91)</f>
        <v>-695.6</v>
      </c>
      <c r="G11" s="50">
        <f>IF(E11="",IF(WEEKDAY($B$8,1)=MOD($H$2+2,7)+1,$B$8,""),E11+1)</f>
        <v>45994</v>
      </c>
      <c r="H11" s="51">
        <f>SUMIF($T$11:$T$130,G11,$S$11:$S$91)</f>
        <v>-1644.99</v>
      </c>
      <c r="I11" s="50">
        <f>IF(G11="",IF(WEEKDAY($B$8,1)=MOD($H$2+3,7)+1,$B$8,""),G11+1)</f>
        <v>45995</v>
      </c>
      <c r="J11" s="51">
        <f>SUMIF($T$11:$T$130,I11,$S$11:$S$91)</f>
        <v>-399</v>
      </c>
      <c r="K11" s="50">
        <f>IF(I11="",IF(WEEKDAY($B$8,1)=MOD($H$2+4,7)+1,$B$8,""),I11+1)</f>
        <v>45996</v>
      </c>
      <c r="L11" s="51">
        <f>SUMIF($T$11:$T$130,K11,$S$11:$S$91)</f>
        <v>-791.16</v>
      </c>
      <c r="M11" s="50">
        <f>IF(K11="",IF(WEEKDAY($B$8,1)=MOD($H$2+5,7)+1,$B$8,""),K11+1)</f>
        <v>45997</v>
      </c>
      <c r="N11" s="51">
        <f>SUMIF($T$11:$T$130,M11,$S$11:$S$91)</f>
        <v>0</v>
      </c>
      <c r="O11" s="23"/>
      <c r="P11" s="52" t="s">
        <v>13</v>
      </c>
      <c r="Q11" s="53" t="s">
        <v>14</v>
      </c>
      <c r="R11" s="53" t="s">
        <v>15</v>
      </c>
      <c r="S11" s="96" t="s">
        <v>16</v>
      </c>
      <c r="T11" s="53" t="s">
        <v>17</v>
      </c>
      <c r="U11" s="23"/>
      <c r="V11" s="23"/>
      <c r="W11" s="23"/>
      <c r="X11" s="23"/>
      <c r="Y11" s="23"/>
      <c r="Z11" s="23"/>
    </row>
    <row r="12" ht="18.75" customHeight="1">
      <c r="A12" s="55"/>
      <c r="B12" s="56"/>
      <c r="C12" s="55"/>
      <c r="D12" s="57">
        <v>-19.98</v>
      </c>
      <c r="E12" s="55"/>
      <c r="F12" s="57"/>
      <c r="G12" s="58"/>
      <c r="H12" s="57">
        <v>-47.5</v>
      </c>
      <c r="I12" s="58"/>
      <c r="J12" s="57"/>
      <c r="K12" s="55"/>
      <c r="L12" s="57"/>
      <c r="M12" s="55"/>
      <c r="N12" s="56"/>
      <c r="O12" s="23"/>
      <c r="P12" s="398" t="s">
        <v>25</v>
      </c>
      <c r="Q12" s="399"/>
      <c r="R12" s="400">
        <v>8.0</v>
      </c>
      <c r="S12" s="393">
        <f t="array" ref="S12">-INDEX(PaymentSchedule!$E$21:$AG937,MATCH(PaymentSchedule!$B$33,PaymentSchedule!$B$21:$B$100),MATCH($P12,PaymentSchedule!$E$19:$AG$19,0))</f>
        <v>-83</v>
      </c>
      <c r="T12" s="394">
        <f t="shared" ref="T12:T24" si="1">IF(ISBLANK(R12),"-",IF(R12&gt;DAY(EOMONTH(DATE($B$2,$E$2,1),0)),EOMONTH(DATE($B$2,$E$2,1),0),DATE($B$2,$E$2,R12)))</f>
        <v>45999</v>
      </c>
      <c r="U12" s="64"/>
      <c r="V12" s="23"/>
      <c r="W12" s="64"/>
      <c r="X12" s="303"/>
      <c r="Y12" s="23"/>
      <c r="Z12" s="23"/>
    </row>
    <row r="13" ht="18.75" customHeight="1">
      <c r="A13" s="55"/>
      <c r="B13" s="56"/>
      <c r="C13" s="55"/>
      <c r="D13" s="57">
        <v>-36.58</v>
      </c>
      <c r="E13" s="55"/>
      <c r="F13" s="56"/>
      <c r="G13" s="55"/>
      <c r="H13" s="56"/>
      <c r="I13" s="55"/>
      <c r="J13" s="57"/>
      <c r="K13" s="55"/>
      <c r="L13" s="56"/>
      <c r="M13" s="55"/>
      <c r="N13" s="56"/>
      <c r="O13" s="23"/>
      <c r="P13" s="398" t="s">
        <v>89</v>
      </c>
      <c r="Q13" s="399"/>
      <c r="R13" s="400">
        <v>9.0</v>
      </c>
      <c r="S13" s="393">
        <f t="array" ref="S13">-INDEX(PaymentSchedule!$E$21:$AG937,MATCH(PaymentSchedule!$B$32,PaymentSchedule!$B$21:$B$100),MATCH($P13,PaymentSchedule!$E$19:$AG$19,0))</f>
        <v>-122</v>
      </c>
      <c r="T13" s="394">
        <f t="shared" si="1"/>
        <v>46000</v>
      </c>
      <c r="U13" s="64"/>
      <c r="V13" s="23"/>
      <c r="W13" s="64"/>
      <c r="X13" s="303"/>
      <c r="Y13" s="23"/>
      <c r="Z13" s="23"/>
    </row>
    <row r="14" ht="18.75" customHeight="1">
      <c r="A14" s="55"/>
      <c r="B14" s="56"/>
      <c r="C14" s="55"/>
      <c r="D14" s="310">
        <v>-2.0</v>
      </c>
      <c r="E14" s="55"/>
      <c r="F14" s="56"/>
      <c r="G14" s="55"/>
      <c r="H14" s="56"/>
      <c r="I14" s="58"/>
      <c r="J14" s="57"/>
      <c r="K14" s="55"/>
      <c r="L14" s="56"/>
      <c r="M14" s="55"/>
      <c r="N14" s="56"/>
      <c r="O14" s="23"/>
      <c r="P14" s="398" t="s">
        <v>85</v>
      </c>
      <c r="Q14" s="399"/>
      <c r="R14" s="400">
        <v>19.0</v>
      </c>
      <c r="S14" s="393">
        <f t="array" ref="S14">-INDEX(PaymentSchedule!$E$21:$AG937,MATCH(PaymentSchedule!$B$32,PaymentSchedule!$B$21:$B$100),MATCH($P14,PaymentSchedule!$E$19:$AG$19,0))</f>
        <v>-150</v>
      </c>
      <c r="T14" s="394">
        <f t="shared" si="1"/>
        <v>46010</v>
      </c>
      <c r="U14" s="64"/>
      <c r="V14" s="23"/>
      <c r="W14" s="64"/>
      <c r="X14" s="303"/>
      <c r="Y14" s="23"/>
      <c r="Z14" s="23"/>
    </row>
    <row r="15" ht="18.75" customHeight="1">
      <c r="A15" s="55"/>
      <c r="B15" s="56"/>
      <c r="C15" s="55"/>
      <c r="D15" s="56"/>
      <c r="E15" s="55"/>
      <c r="F15" s="56"/>
      <c r="G15" s="55"/>
      <c r="H15" s="56"/>
      <c r="I15" s="55"/>
      <c r="J15" s="56"/>
      <c r="K15" s="55"/>
      <c r="L15" s="56"/>
      <c r="M15" s="55"/>
      <c r="N15" s="56"/>
      <c r="O15" s="23"/>
      <c r="P15" s="398" t="s">
        <v>86</v>
      </c>
      <c r="Q15" s="399"/>
      <c r="R15" s="400">
        <v>5.0</v>
      </c>
      <c r="S15" s="393">
        <f t="array" ref="S15">-INDEX(PaymentSchedule!$E$21:$AG937,MATCH(PaymentSchedule!$B$32,PaymentSchedule!$B$21:$B$100),MATCH($P15,PaymentSchedule!$E$19:$AG$19,0))</f>
        <v>-791.16</v>
      </c>
      <c r="T15" s="394">
        <f t="shared" si="1"/>
        <v>45996</v>
      </c>
      <c r="U15" s="64"/>
      <c r="V15" s="23"/>
      <c r="W15" s="64"/>
      <c r="X15" s="303"/>
      <c r="Y15" s="23"/>
      <c r="Z15" s="23"/>
    </row>
    <row r="16" ht="18.75" customHeight="1">
      <c r="A16" s="66" t="s">
        <v>22</v>
      </c>
      <c r="B16" s="67">
        <f>$M$5+SUM(B11:B15)</f>
        <v>5468.16</v>
      </c>
      <c r="C16" s="66"/>
      <c r="D16" s="67">
        <f>B16+SUM(D11:D15)</f>
        <v>5352.6</v>
      </c>
      <c r="E16" s="66"/>
      <c r="F16" s="67">
        <f>D16+SUM(F11:F15)</f>
        <v>4657</v>
      </c>
      <c r="G16" s="66"/>
      <c r="H16" s="67">
        <f>F16+SUM(H11:H15)</f>
        <v>2964.51</v>
      </c>
      <c r="I16" s="66"/>
      <c r="J16" s="67">
        <f>H16+SUM(J11:J15)</f>
        <v>2565.51</v>
      </c>
      <c r="K16" s="66"/>
      <c r="L16" s="67">
        <f>J16+SUM(L11:L15)</f>
        <v>1774.35</v>
      </c>
      <c r="M16" s="66"/>
      <c r="N16" s="67">
        <f>L16+SUM(N11:N15)</f>
        <v>1774.35</v>
      </c>
      <c r="O16" s="68"/>
      <c r="P16" s="398" t="s">
        <v>20</v>
      </c>
      <c r="Q16" s="399"/>
      <c r="R16" s="400">
        <v>3.0</v>
      </c>
      <c r="S16" s="393">
        <f t="array" ref="S16">-INDEX(PaymentSchedule!$E$21:$AG937,MATCH(PaymentSchedule!$B$32,PaymentSchedule!$B$21:$B$100),MATCH($P16,PaymentSchedule!$E$19:$AG$19,0))</f>
        <v>-1461.99</v>
      </c>
      <c r="T16" s="394">
        <f t="shared" si="1"/>
        <v>45994</v>
      </c>
      <c r="U16" s="71"/>
      <c r="V16" s="69"/>
      <c r="W16" s="71"/>
      <c r="X16" s="309"/>
      <c r="Y16" s="69"/>
      <c r="Z16" s="69"/>
    </row>
    <row r="17" ht="18.75" customHeight="1">
      <c r="A17" s="50">
        <f>IF(M11="","",IF(MONTH(M11+1)&lt;&gt;MONTH(M11),"",M11+1))</f>
        <v>45998</v>
      </c>
      <c r="B17" s="51">
        <f>SUMIF($T$11:$T$130,A17,$S$11:$S$91)</f>
        <v>-21.8</v>
      </c>
      <c r="C17" s="50">
        <f>IF(A17="","",IF(MONTH(A17+1)&lt;&gt;MONTH(A17),"",A17+1))</f>
        <v>45999</v>
      </c>
      <c r="D17" s="51">
        <f>SUMIF($T$11:$T$130,C17,$S$11:$S$91)</f>
        <v>-637.08</v>
      </c>
      <c r="E17" s="50">
        <f>IF(C17="","",IF(MONTH(C17+1)&lt;&gt;MONTH(C17),"",C17+1))</f>
        <v>46000</v>
      </c>
      <c r="F17" s="51">
        <f>SUMIF($T$11:$T$130,E17,$S$11:$S$91)</f>
        <v>-122</v>
      </c>
      <c r="G17" s="50">
        <f>IF(E17="","",IF(MONTH(E17+1)&lt;&gt;MONTH(E17),"",E17+1))</f>
        <v>46001</v>
      </c>
      <c r="H17" s="51">
        <f>SUMIF($T$11:$T$130,G17,$S$11:$S$91)</f>
        <v>-205.99</v>
      </c>
      <c r="I17" s="50">
        <f>IF(G17="","",IF(MONTH(G17+1)&lt;&gt;MONTH(G17),"",G17+1))</f>
        <v>46002</v>
      </c>
      <c r="J17" s="51">
        <f>SUMIF($T$11:$T$130,I17,$S$11:$S$91)</f>
        <v>2308.8</v>
      </c>
      <c r="K17" s="50">
        <f>IF(I17="","",IF(MONTH(I17+1)&lt;&gt;MONTH(I17),"",I17+1))</f>
        <v>46003</v>
      </c>
      <c r="L17" s="51">
        <f>SUMIF($T$11:$T$130,K17,$S$11:$S$91)</f>
        <v>-102</v>
      </c>
      <c r="M17" s="50">
        <f>IF(K17="","",IF(MONTH(K17+1)&lt;&gt;MONTH(K17),"",K17+1))</f>
        <v>46004</v>
      </c>
      <c r="N17" s="51">
        <f>SUMIF($T$11:$T$130,M17,$S$11:$S$91)</f>
        <v>0</v>
      </c>
      <c r="O17" s="23"/>
      <c r="P17" s="398" t="s">
        <v>87</v>
      </c>
      <c r="Q17" s="399"/>
      <c r="R17" s="400">
        <v>28.0</v>
      </c>
      <c r="S17" s="393">
        <f t="array" ref="S17">-INDEX(PaymentSchedule!$E$21:$AG937,MATCH(PaymentSchedule!$B$31,PaymentSchedule!$B$21:$B$100),MATCH($P17,PaymentSchedule!$E$19:$AG$19,0))</f>
        <v>-695.6</v>
      </c>
      <c r="T17" s="394">
        <f t="shared" si="1"/>
        <v>46019</v>
      </c>
      <c r="U17" s="64"/>
      <c r="V17" s="23"/>
      <c r="W17" s="64"/>
      <c r="X17" s="303"/>
      <c r="Y17" s="23"/>
      <c r="Z17" s="23"/>
    </row>
    <row r="18" ht="18.75" customHeight="1">
      <c r="A18" s="55"/>
      <c r="B18" s="56"/>
      <c r="C18" s="58" t="s">
        <v>229</v>
      </c>
      <c r="D18" s="57">
        <v>-45.67</v>
      </c>
      <c r="E18" s="58"/>
      <c r="F18" s="57"/>
      <c r="G18" s="55"/>
      <c r="H18" s="57"/>
      <c r="I18" s="58"/>
      <c r="J18" s="57">
        <v>-2.0</v>
      </c>
      <c r="K18" s="58"/>
      <c r="L18" s="57"/>
      <c r="M18" s="58" t="s">
        <v>87</v>
      </c>
      <c r="N18" s="57">
        <v>-10.89</v>
      </c>
      <c r="O18" s="23"/>
      <c r="P18" s="398" t="s">
        <v>37</v>
      </c>
      <c r="Q18" s="399"/>
      <c r="R18" s="400">
        <v>8.0</v>
      </c>
      <c r="S18" s="393">
        <f t="array" ref="S18">-INDEX(PaymentSchedule!$E$21:$AG937,MATCH(PaymentSchedule!$B$32,PaymentSchedule!$B$21:$B$100),MATCH($P18,PaymentSchedule!$E$19:$AG$19,0))</f>
        <v>-80</v>
      </c>
      <c r="T18" s="394">
        <f t="shared" si="1"/>
        <v>45999</v>
      </c>
      <c r="U18" s="64"/>
      <c r="V18" s="23"/>
      <c r="Y18" s="23"/>
      <c r="Z18" s="23"/>
    </row>
    <row r="19" ht="18.75" customHeight="1">
      <c r="A19" s="55"/>
      <c r="B19" s="56"/>
      <c r="C19" s="55"/>
      <c r="D19" s="57">
        <v>-28.33</v>
      </c>
      <c r="E19" s="55"/>
      <c r="F19" s="56"/>
      <c r="G19" s="55"/>
      <c r="H19" s="56"/>
      <c r="I19" s="55"/>
      <c r="J19" s="56"/>
      <c r="K19" s="58"/>
      <c r="L19" s="57"/>
      <c r="M19" s="55"/>
      <c r="N19" s="56"/>
      <c r="O19" s="23"/>
      <c r="P19" s="398" t="s">
        <v>36</v>
      </c>
      <c r="Q19" s="399"/>
      <c r="R19" s="400">
        <v>8.0</v>
      </c>
      <c r="S19" s="393">
        <f t="array" ref="S19">-INDEX(PaymentSchedule!$E$21:$AG937,MATCH(PaymentSchedule!$B$32,PaymentSchedule!$B$21:$B$100),MATCH($P19,PaymentSchedule!$E$19:$AG$19,0))</f>
        <v>-450.08</v>
      </c>
      <c r="T19" s="394">
        <f t="shared" si="1"/>
        <v>45999</v>
      </c>
      <c r="U19" s="64"/>
      <c r="V19" s="23"/>
      <c r="W19" s="64"/>
      <c r="X19" s="303"/>
      <c r="Y19" s="23"/>
      <c r="Z19" s="23"/>
    </row>
    <row r="20" ht="18.75" customHeight="1">
      <c r="A20" s="55"/>
      <c r="B20" s="56"/>
      <c r="C20" s="55"/>
      <c r="D20" s="56"/>
      <c r="E20" s="55"/>
      <c r="F20" s="56"/>
      <c r="G20" s="55"/>
      <c r="H20" s="56"/>
      <c r="I20" s="55"/>
      <c r="J20" s="56"/>
      <c r="K20" s="58"/>
      <c r="L20" s="57"/>
      <c r="M20" s="55"/>
      <c r="N20" s="56"/>
      <c r="O20" s="23"/>
      <c r="P20" s="538" t="s">
        <v>55</v>
      </c>
      <c r="Q20" s="539"/>
      <c r="R20" s="540"/>
      <c r="S20" s="365">
        <v>-18.35</v>
      </c>
      <c r="T20" s="323" t="str">
        <f t="shared" si="1"/>
        <v>-</v>
      </c>
      <c r="U20" s="64"/>
      <c r="V20" s="23"/>
      <c r="W20" s="64"/>
      <c r="X20" s="303"/>
      <c r="Y20" s="23"/>
      <c r="Z20" s="23"/>
    </row>
    <row r="21" ht="18.75" customHeight="1">
      <c r="A21" s="55"/>
      <c r="B21" s="56"/>
      <c r="C21" s="55"/>
      <c r="D21" s="56"/>
      <c r="E21" s="55"/>
      <c r="F21" s="56"/>
      <c r="G21" s="55"/>
      <c r="H21" s="56"/>
      <c r="I21" s="55"/>
      <c r="J21" s="56"/>
      <c r="K21" s="58"/>
      <c r="L21" s="57"/>
      <c r="M21" s="55"/>
      <c r="N21" s="56"/>
      <c r="O21" s="23"/>
      <c r="P21" s="319" t="s">
        <v>29</v>
      </c>
      <c r="Q21" s="320"/>
      <c r="R21" s="321"/>
      <c r="S21" s="322">
        <v>-16.19</v>
      </c>
      <c r="T21" s="323" t="str">
        <f t="shared" si="1"/>
        <v>-</v>
      </c>
      <c r="U21" s="64"/>
      <c r="V21" s="303"/>
      <c r="W21" s="64"/>
      <c r="X21" s="303"/>
      <c r="Y21" s="23"/>
      <c r="Z21" s="23"/>
    </row>
    <row r="22" ht="18.75" customHeight="1">
      <c r="A22" s="66" t="s">
        <v>22</v>
      </c>
      <c r="B22" s="67">
        <f>N16+SUM(B17:B21)</f>
        <v>1752.55</v>
      </c>
      <c r="C22" s="66"/>
      <c r="D22" s="67">
        <f>B22+SUM(D17:D21)</f>
        <v>1041.47</v>
      </c>
      <c r="E22" s="66"/>
      <c r="F22" s="67">
        <f>D22+SUM(F17:F21)</f>
        <v>919.47</v>
      </c>
      <c r="G22" s="66"/>
      <c r="H22" s="67">
        <f>F22+SUM(H17:H21)</f>
        <v>713.48</v>
      </c>
      <c r="I22" s="66"/>
      <c r="J22" s="67">
        <f>H22+SUM(J17:J21)</f>
        <v>3020.28</v>
      </c>
      <c r="K22" s="66"/>
      <c r="L22" s="67">
        <f>J22+SUM(L17:L21)</f>
        <v>2918.28</v>
      </c>
      <c r="M22" s="66"/>
      <c r="N22" s="67">
        <f>L22+SUM(N17:N21)</f>
        <v>2907.39</v>
      </c>
      <c r="O22" s="68"/>
      <c r="P22" s="385" t="s">
        <v>43</v>
      </c>
      <c r="Q22" s="386"/>
      <c r="R22" s="387">
        <v>17.0</v>
      </c>
      <c r="S22" s="388">
        <v>-9.99</v>
      </c>
      <c r="T22" s="384">
        <f t="shared" si="1"/>
        <v>46008</v>
      </c>
      <c r="W22" s="71"/>
      <c r="X22" s="309"/>
      <c r="Y22" s="69"/>
      <c r="Z22" s="69"/>
    </row>
    <row r="23" ht="18.75" customHeight="1">
      <c r="A23" s="50">
        <f>IF(M17="","",IF(MONTH(M17+1)&lt;&gt;MONTH(M17),"",M17+1))</f>
        <v>46005</v>
      </c>
      <c r="B23" s="51">
        <f>SUMIF($T$11:$T$130,A23,$S$11:$S$91)</f>
        <v>0</v>
      </c>
      <c r="C23" s="50">
        <f>IF(A23="","",IF(MONTH(A23+1)&lt;&gt;MONTH(A23),"",A23+1))</f>
        <v>46006</v>
      </c>
      <c r="D23" s="51">
        <f>SUMIF($T$11:$T$130,C23,$S$11:$S$91)</f>
        <v>0</v>
      </c>
      <c r="E23" s="50">
        <f>IF(C23="","",IF(MONTH(C23+1)&lt;&gt;MONTH(C23),"",C23+1))</f>
        <v>46007</v>
      </c>
      <c r="F23" s="51">
        <f>SUMIF($T$11:$T$130,E23,$S$11:$S$91)</f>
        <v>0</v>
      </c>
      <c r="G23" s="50">
        <f>IF(E23="","",IF(MONTH(E23+1)&lt;&gt;MONTH(E23),"",E23+1))</f>
        <v>46008</v>
      </c>
      <c r="H23" s="51">
        <f>SUMIF($T$11:$T$130,G23,$S$11:$S$91)</f>
        <v>-9.99</v>
      </c>
      <c r="I23" s="50">
        <f>IF(G23="","",IF(MONTH(G23+1)&lt;&gt;MONTH(G23),"",G23+1))</f>
        <v>46009</v>
      </c>
      <c r="J23" s="51">
        <f>SUMIF($T$11:$T$130,I23,$S$11:$S$91)</f>
        <v>0</v>
      </c>
      <c r="K23" s="50">
        <f>IF(I23="","",IF(MONTH(I23+1)&lt;&gt;MONTH(I23),"",I23+1))</f>
        <v>46010</v>
      </c>
      <c r="L23" s="51">
        <f>SUMIF($T$11:$T$130,K23,$S$11:$S$91)</f>
        <v>-446.88</v>
      </c>
      <c r="M23" s="50">
        <f>IF(K23="","",IF(MONTH(K23+1)&lt;&gt;MONTH(K23),"",K23+1))</f>
        <v>46011</v>
      </c>
      <c r="N23" s="51">
        <f>SUMIF($T$11:$T$130,M23,$S$11:$S$91)</f>
        <v>-100</v>
      </c>
      <c r="O23" s="23"/>
      <c r="P23" s="385" t="s">
        <v>54</v>
      </c>
      <c r="Q23" s="386"/>
      <c r="R23" s="387">
        <v>30.0</v>
      </c>
      <c r="S23" s="388">
        <v>-11.0</v>
      </c>
      <c r="T23" s="384">
        <f t="shared" si="1"/>
        <v>46021</v>
      </c>
      <c r="U23" s="64"/>
      <c r="V23" s="23"/>
      <c r="W23" s="64"/>
      <c r="X23" s="303"/>
      <c r="Y23" s="23"/>
      <c r="Z23" s="23"/>
    </row>
    <row r="24" ht="18.75" customHeight="1">
      <c r="A24" s="55"/>
      <c r="B24" s="56"/>
      <c r="C24" s="58" t="s">
        <v>230</v>
      </c>
      <c r="D24" s="57">
        <v>-38.0</v>
      </c>
      <c r="E24" s="58"/>
      <c r="F24" s="57"/>
      <c r="G24" s="413"/>
      <c r="H24" s="411">
        <v>2.56</v>
      </c>
      <c r="I24" s="58" t="s">
        <v>231</v>
      </c>
      <c r="J24" s="57">
        <v>-100.0</v>
      </c>
      <c r="K24" s="58"/>
      <c r="L24" s="57"/>
      <c r="M24" s="55"/>
      <c r="N24" s="56"/>
      <c r="O24" s="23"/>
      <c r="P24" s="385" t="s">
        <v>30</v>
      </c>
      <c r="Q24" s="386"/>
      <c r="R24" s="416">
        <v>19.0</v>
      </c>
      <c r="S24" s="383">
        <v>-296.88</v>
      </c>
      <c r="T24" s="384">
        <f t="shared" si="1"/>
        <v>46010</v>
      </c>
      <c r="U24" s="64"/>
      <c r="V24" s="23"/>
      <c r="W24" s="64"/>
      <c r="X24" s="303"/>
      <c r="Y24" s="23"/>
      <c r="Z24" s="23"/>
    </row>
    <row r="25" ht="18.75" customHeight="1">
      <c r="A25" s="55"/>
      <c r="B25" s="57"/>
      <c r="C25" s="55"/>
      <c r="D25" s="57">
        <v>-247.32</v>
      </c>
      <c r="E25" s="55"/>
      <c r="F25" s="56"/>
      <c r="G25" s="55"/>
      <c r="H25" s="56"/>
      <c r="I25" s="55"/>
      <c r="J25" s="57">
        <v>-74.0</v>
      </c>
      <c r="K25" s="55"/>
      <c r="L25" s="56"/>
      <c r="M25" s="55"/>
      <c r="N25" s="56"/>
      <c r="O25" s="23"/>
      <c r="P25" s="406" t="s">
        <v>173</v>
      </c>
      <c r="Q25" s="368"/>
      <c r="R25" s="405"/>
      <c r="S25" s="409"/>
      <c r="T25" s="376"/>
      <c r="U25" s="64"/>
      <c r="V25" s="23"/>
      <c r="W25" s="64"/>
      <c r="X25" s="303"/>
      <c r="Y25" s="23"/>
      <c r="Z25" s="23"/>
    </row>
    <row r="26" ht="18.75" customHeight="1">
      <c r="A26" s="55"/>
      <c r="B26" s="56"/>
      <c r="C26" s="55"/>
      <c r="D26" s="57">
        <v>-36.0</v>
      </c>
      <c r="E26" s="55"/>
      <c r="F26" s="56"/>
      <c r="G26" s="55"/>
      <c r="H26" s="56"/>
      <c r="I26" s="55"/>
      <c r="J26" s="56"/>
      <c r="K26" s="55"/>
      <c r="L26" s="56"/>
      <c r="M26" s="55"/>
      <c r="N26" s="56"/>
      <c r="O26" s="23"/>
      <c r="P26" s="385" t="s">
        <v>232</v>
      </c>
      <c r="Q26" s="386"/>
      <c r="R26" s="387">
        <v>11.0</v>
      </c>
      <c r="S26" s="388">
        <v>2308.8</v>
      </c>
      <c r="T26" s="384">
        <f t="shared" ref="T26:T30" si="2">IF(ISBLANK(R26),"-",IF(R26&gt;DAY(EOMONTH(DATE($B$2,$E$2,1),0)),EOMONTH(DATE($B$2,$E$2,1),0),DATE($B$2,$E$2,R26)))</f>
        <v>46002</v>
      </c>
      <c r="U26" s="64"/>
      <c r="V26" s="23"/>
      <c r="W26" s="64"/>
      <c r="X26" s="303"/>
      <c r="Y26" s="23"/>
      <c r="Z26" s="23"/>
    </row>
    <row r="27" ht="18.75" customHeight="1">
      <c r="A27" s="55"/>
      <c r="B27" s="56"/>
      <c r="C27" s="55"/>
      <c r="D27" s="57">
        <v>-98.1</v>
      </c>
      <c r="E27" s="55"/>
      <c r="F27" s="56"/>
      <c r="G27" s="55"/>
      <c r="H27" s="56"/>
      <c r="I27" s="55"/>
      <c r="J27" s="56"/>
      <c r="K27" s="55"/>
      <c r="L27" s="56"/>
      <c r="M27" s="55"/>
      <c r="N27" s="56"/>
      <c r="O27" s="23"/>
      <c r="P27" s="385" t="s">
        <v>41</v>
      </c>
      <c r="Q27" s="386"/>
      <c r="R27" s="387">
        <v>23.0</v>
      </c>
      <c r="S27" s="388">
        <v>2308.8</v>
      </c>
      <c r="T27" s="384">
        <f t="shared" si="2"/>
        <v>46014</v>
      </c>
      <c r="U27" s="64"/>
      <c r="V27" s="23"/>
      <c r="W27" s="64"/>
      <c r="X27" s="303"/>
      <c r="Y27" s="23"/>
      <c r="Z27" s="23"/>
    </row>
    <row r="28" ht="18.75" customHeight="1">
      <c r="A28" s="66" t="s">
        <v>22</v>
      </c>
      <c r="B28" s="67">
        <f>N22+SUM(B23:B27)</f>
        <v>2907.39</v>
      </c>
      <c r="C28" s="66"/>
      <c r="D28" s="67">
        <f>B28+SUM(D23:D27)</f>
        <v>2487.97</v>
      </c>
      <c r="E28" s="66"/>
      <c r="F28" s="67">
        <f>D28+SUM(F23:F27)</f>
        <v>2487.97</v>
      </c>
      <c r="G28" s="66"/>
      <c r="H28" s="67">
        <f>F28+SUM(H23:H27)</f>
        <v>2480.54</v>
      </c>
      <c r="I28" s="66"/>
      <c r="J28" s="67">
        <f>H28+SUM(J23:J27)</f>
        <v>2306.54</v>
      </c>
      <c r="K28" s="66"/>
      <c r="L28" s="67">
        <f>J28+SUM(L23:L27)</f>
        <v>1859.66</v>
      </c>
      <c r="M28" s="66"/>
      <c r="N28" s="67">
        <f>L28+SUM(N23:N27)</f>
        <v>1759.66</v>
      </c>
      <c r="O28" s="68"/>
      <c r="P28" s="385" t="s">
        <v>47</v>
      </c>
      <c r="Q28" s="386"/>
      <c r="R28" s="387">
        <v>4.0</v>
      </c>
      <c r="S28" s="490"/>
      <c r="T28" s="384">
        <f t="shared" si="2"/>
        <v>45995</v>
      </c>
      <c r="U28" s="71"/>
      <c r="V28" s="69"/>
      <c r="W28" s="71"/>
      <c r="X28" s="309"/>
      <c r="Y28" s="69"/>
      <c r="Z28" s="69"/>
    </row>
    <row r="29" ht="18.75" customHeight="1">
      <c r="A29" s="50">
        <f>IF(M23="","",IF(MONTH(M23+1)&lt;&gt;MONTH(M23),"",M23+1))</f>
        <v>46012</v>
      </c>
      <c r="B29" s="51">
        <f>SUMIF($T$11:$T$130,A29,$S$11:$S$91)</f>
        <v>0</v>
      </c>
      <c r="C29" s="50">
        <f>IF(A29="","",IF(MONTH(A29+1)&lt;&gt;MONTH(A29),"",A29+1))</f>
        <v>46013</v>
      </c>
      <c r="D29" s="51">
        <f>SUMIF($T$11:$T$130,C29,$S$11:$S$91)</f>
        <v>0</v>
      </c>
      <c r="E29" s="50">
        <f>IF(C29="","",IF(MONTH(C29+1)&lt;&gt;MONTH(C29),"",C29+1))</f>
        <v>46014</v>
      </c>
      <c r="F29" s="51">
        <f>SUMIF($T$11:$T$130,E29,$S$11:$S$91)</f>
        <v>2308.8</v>
      </c>
      <c r="G29" s="50">
        <f>IF(E29="","",IF(MONTH(E29+1)&lt;&gt;MONTH(E29),"",E29+1))</f>
        <v>46015</v>
      </c>
      <c r="H29" s="51">
        <f>SUMIF($T$11:$T$130,G29,$S$11:$S$91)</f>
        <v>0</v>
      </c>
      <c r="I29" s="50">
        <f>IF(G29="","",IF(MONTH(G29+1)&lt;&gt;MONTH(G29),"",G29+1))</f>
        <v>46016</v>
      </c>
      <c r="J29" s="51">
        <f>SUMIF($T$11:$T$130,I29,$S$11:$S$91)</f>
        <v>0</v>
      </c>
      <c r="K29" s="50">
        <f>IF(I29="","",IF(MONTH(I29+1)&lt;&gt;MONTH(I29),"",I29+1))</f>
        <v>46017</v>
      </c>
      <c r="L29" s="51">
        <f>SUMIF($T$11:$T$130,K29,$S$11:$S$91)</f>
        <v>-18.35</v>
      </c>
      <c r="M29" s="50">
        <f>IF(K29="","",IF(MONTH(K29+1)&lt;&gt;MONTH(K29),"",K29+1))</f>
        <v>46018</v>
      </c>
      <c r="N29" s="51">
        <f>SUMIF($T$11:$T$130,M29,$S$11:$S$91)</f>
        <v>0</v>
      </c>
      <c r="O29" s="23"/>
      <c r="P29" s="414" t="s">
        <v>173</v>
      </c>
      <c r="Q29" s="415"/>
      <c r="R29" s="416">
        <v>25.0</v>
      </c>
      <c r="S29" s="383"/>
      <c r="T29" s="384">
        <f t="shared" si="2"/>
        <v>46016</v>
      </c>
      <c r="U29" s="64"/>
      <c r="V29" s="23"/>
      <c r="W29" s="64"/>
      <c r="X29" s="303"/>
      <c r="Y29" s="23"/>
      <c r="Z29" s="23"/>
    </row>
    <row r="30" ht="18.75" customHeight="1">
      <c r="A30" s="55"/>
      <c r="B30" s="56"/>
      <c r="C30" s="55"/>
      <c r="D30" s="57">
        <v>1500.0</v>
      </c>
      <c r="E30" s="485" t="s">
        <v>202</v>
      </c>
      <c r="F30" s="486">
        <v>-2.17</v>
      </c>
      <c r="G30" s="58"/>
      <c r="H30" s="57">
        <v>-633.0</v>
      </c>
      <c r="I30" s="55"/>
      <c r="J30" s="57"/>
      <c r="K30" s="55"/>
      <c r="L30" s="57"/>
      <c r="M30" s="55"/>
      <c r="N30" s="56"/>
      <c r="O30" s="23"/>
      <c r="P30" s="319" t="s">
        <v>142</v>
      </c>
      <c r="Q30" s="320"/>
      <c r="R30" s="321"/>
      <c r="S30" s="322"/>
      <c r="T30" s="323" t="str">
        <f t="shared" si="2"/>
        <v>-</v>
      </c>
      <c r="U30" s="64"/>
      <c r="V30" s="23"/>
      <c r="W30" s="64"/>
      <c r="X30" s="303"/>
      <c r="Y30" s="23"/>
      <c r="Z30" s="23"/>
    </row>
    <row r="31" ht="18.75" customHeight="1">
      <c r="A31" s="55"/>
      <c r="B31" s="56"/>
      <c r="C31" s="55"/>
      <c r="D31" s="57">
        <v>21.6</v>
      </c>
      <c r="E31" s="55"/>
      <c r="F31" s="57">
        <v>-22.61</v>
      </c>
      <c r="G31" s="55"/>
      <c r="H31" s="57">
        <v>-47.49</v>
      </c>
      <c r="I31" s="55"/>
      <c r="J31" s="56"/>
      <c r="K31" s="58" t="s">
        <v>160</v>
      </c>
      <c r="L31" s="57"/>
      <c r="M31" s="55"/>
      <c r="N31" s="56"/>
      <c r="O31" s="23"/>
      <c r="P31" s="519" t="s">
        <v>217</v>
      </c>
      <c r="Q31" s="511"/>
      <c r="R31" s="556">
        <v>20.0</v>
      </c>
      <c r="S31" s="397">
        <v>-100.0</v>
      </c>
      <c r="T31" s="536">
        <f>IF(ISBLANK(R31),"-",IF(R31&gt;DAY(EOMONTH(DATE($B$2,$E$2,1),0)),EOMONTH(DATE($B$2,$E$2,1),0),DATE($B$2,$E$2,R31)))</f>
        <v>46011</v>
      </c>
      <c r="U31" s="64"/>
      <c r="V31" s="23"/>
      <c r="W31" s="64"/>
      <c r="X31" s="303"/>
      <c r="Y31" s="23"/>
      <c r="Z31" s="23"/>
    </row>
    <row r="32" ht="18.75" customHeight="1">
      <c r="A32" s="55"/>
      <c r="B32" s="56"/>
      <c r="C32" s="55"/>
      <c r="D32" s="57">
        <v>-41.62</v>
      </c>
      <c r="E32" s="55"/>
      <c r="F32" s="57">
        <v>-43.0</v>
      </c>
      <c r="G32" s="55"/>
      <c r="H32" s="57">
        <v>-132.0</v>
      </c>
      <c r="I32" s="55"/>
      <c r="J32" s="56"/>
      <c r="K32" s="58" t="s">
        <v>161</v>
      </c>
      <c r="L32" s="57"/>
      <c r="M32" s="55"/>
      <c r="N32" s="56"/>
      <c r="O32" s="23"/>
      <c r="P32" s="385" t="s">
        <v>46</v>
      </c>
      <c r="Q32" s="386"/>
      <c r="R32" s="387">
        <v>28.0</v>
      </c>
      <c r="S32" s="388">
        <v>-10.99</v>
      </c>
      <c r="T32" s="384">
        <f t="shared" ref="T32:T47" si="3">IF(ISBLANK(R32),"-",IF(R32&gt;DAY(EOMONTH(DATE($B$2,$E$2,1),0)),EOMONTH(DATE($B$2,$E$2,1),0),DATE($B$2,$E$2,R32)))</f>
        <v>46019</v>
      </c>
      <c r="U32" s="64"/>
      <c r="V32" s="23"/>
      <c r="W32" s="64"/>
      <c r="X32" s="303"/>
      <c r="Y32" s="23"/>
      <c r="Z32" s="23"/>
    </row>
    <row r="33" ht="18.75" customHeight="1">
      <c r="A33" s="55"/>
      <c r="B33" s="56"/>
      <c r="C33" s="55"/>
      <c r="D33" s="57"/>
      <c r="E33" s="55"/>
      <c r="F33" s="57">
        <v>-40.45</v>
      </c>
      <c r="G33" s="55"/>
      <c r="I33" s="55"/>
      <c r="J33" s="56"/>
      <c r="K33" s="55"/>
      <c r="L33" s="56"/>
      <c r="M33" s="55"/>
      <c r="N33" s="56"/>
      <c r="O33" s="23"/>
      <c r="P33" s="380" t="s">
        <v>44</v>
      </c>
      <c r="Q33" s="381"/>
      <c r="R33" s="557">
        <v>26.0</v>
      </c>
      <c r="S33" s="397">
        <v>-18.35</v>
      </c>
      <c r="T33" s="384">
        <f t="shared" si="3"/>
        <v>46017</v>
      </c>
      <c r="U33" s="64"/>
      <c r="V33" s="23"/>
      <c r="W33" s="64"/>
      <c r="X33" s="303"/>
      <c r="Y33" s="23"/>
      <c r="Z33" s="23"/>
    </row>
    <row r="34" ht="18.75" customHeight="1">
      <c r="A34" s="66" t="s">
        <v>22</v>
      </c>
      <c r="B34" s="67">
        <f>N28+SUM(B29:B33)</f>
        <v>1759.66</v>
      </c>
      <c r="C34" s="66"/>
      <c r="D34" s="67">
        <f>B34+SUM(D29:D33)</f>
        <v>3239.64</v>
      </c>
      <c r="E34" s="66"/>
      <c r="F34" s="67">
        <f>D34+SUM(F29:F33)</f>
        <v>5440.21</v>
      </c>
      <c r="G34" s="66"/>
      <c r="H34" s="67">
        <f>F34+SUM(H29:H33)</f>
        <v>4627.72</v>
      </c>
      <c r="I34" s="66"/>
      <c r="J34" s="67">
        <f>H34+SUM(J29:J33)</f>
        <v>4627.72</v>
      </c>
      <c r="K34" s="66"/>
      <c r="L34" s="67">
        <f>J34+SUM(L29:L33)</f>
        <v>4609.37</v>
      </c>
      <c r="M34" s="66"/>
      <c r="N34" s="67">
        <f>L34+SUM(N29:N33)</f>
        <v>4609.37</v>
      </c>
      <c r="O34" s="68"/>
      <c r="P34" s="385" t="s">
        <v>40</v>
      </c>
      <c r="Q34" s="386"/>
      <c r="R34" s="387">
        <v>12.0</v>
      </c>
      <c r="S34" s="388">
        <v>-102.0</v>
      </c>
      <c r="T34" s="384">
        <f t="shared" si="3"/>
        <v>46003</v>
      </c>
      <c r="U34" s="71"/>
      <c r="V34" s="69"/>
      <c r="W34" s="71"/>
      <c r="X34" s="309"/>
      <c r="Y34" s="69"/>
      <c r="Z34" s="69"/>
    </row>
    <row r="35" ht="18.75" customHeight="1">
      <c r="A35" s="50">
        <f>IF(M29="","",IF(MONTH(M29+1)&lt;&gt;MONTH(M29),"",M29+1))</f>
        <v>46019</v>
      </c>
      <c r="B35" s="51">
        <f>SUMIF($T$11:$T$130,A35,$S$11:$S$91)</f>
        <v>-706.59</v>
      </c>
      <c r="C35" s="50">
        <f>IF(A35="","",IF(MONTH(A35+1)&lt;&gt;MONTH(A35),"",A35+1))</f>
        <v>46020</v>
      </c>
      <c r="D35" s="51">
        <f>SUMIF($T$11:$T$130,C35,$S$11:$S$91)</f>
        <v>-10.99</v>
      </c>
      <c r="E35" s="50">
        <f>IF(C35="","",IF(MONTH(C35+1)&lt;&gt;MONTH(C35),"",C35+1))</f>
        <v>46021</v>
      </c>
      <c r="F35" s="51">
        <f>SUMIF($T$11:$T$130,E35,$S$11:$S$91)</f>
        <v>-11</v>
      </c>
      <c r="G35" s="50">
        <f>IF(E35="","",IF(MONTH(E35+1)&lt;&gt;MONTH(E35),"",E35+1))</f>
        <v>46022</v>
      </c>
      <c r="H35" s="51">
        <f>SUMIF($T$11:$T$130,G35,$S$11:$S$91)</f>
        <v>-150</v>
      </c>
      <c r="I35" s="50" t="str">
        <f>IF(G35="","",IF(MONTH(G35+1)&lt;&gt;MONTH(G35),"",G35+1))</f>
        <v/>
      </c>
      <c r="J35" s="51">
        <f>SUMIF($T$11:$T$130,I35,$S$11:$S$91)</f>
        <v>0</v>
      </c>
      <c r="K35" s="50" t="str">
        <f>IF(I35="","",IF(MONTH(I35+1)&lt;&gt;MONTH(I35),"",I35+1))</f>
        <v/>
      </c>
      <c r="L35" s="51">
        <f>SUMIF($T$11:$T$130,K35,$S$11:$S$91)</f>
        <v>0</v>
      </c>
      <c r="M35" s="50" t="str">
        <f>IF(K35="","",IF(MONTH(K35+1)&lt;&gt;MONTH(K35),"",K35+1))</f>
        <v/>
      </c>
      <c r="N35" s="51">
        <f>SUMIF($T$11:$T$130,M35,$S$11:$S$91)</f>
        <v>0</v>
      </c>
      <c r="O35" s="23"/>
      <c r="P35" s="385" t="s">
        <v>34</v>
      </c>
      <c r="Q35" s="386"/>
      <c r="R35" s="387">
        <v>10.0</v>
      </c>
      <c r="S35" s="388">
        <v>-5.99</v>
      </c>
      <c r="T35" s="384">
        <f t="shared" si="3"/>
        <v>46001</v>
      </c>
      <c r="U35" s="64"/>
      <c r="V35" s="23"/>
      <c r="W35" s="64"/>
      <c r="X35" s="303"/>
      <c r="Y35" s="23"/>
      <c r="Z35" s="23"/>
    </row>
    <row r="36" ht="18.75" customHeight="1">
      <c r="A36" s="55"/>
      <c r="B36" s="56"/>
      <c r="C36" s="55"/>
      <c r="D36" s="57">
        <v>-118.0</v>
      </c>
      <c r="E36" s="55"/>
      <c r="F36" s="57">
        <v>-4.34</v>
      </c>
      <c r="G36" s="55"/>
      <c r="H36" s="57"/>
      <c r="I36" s="55"/>
      <c r="J36" s="56"/>
      <c r="K36" s="55"/>
      <c r="L36" s="56"/>
      <c r="M36" s="55"/>
      <c r="N36" s="56"/>
      <c r="O36" s="23"/>
      <c r="P36" s="385" t="s">
        <v>34</v>
      </c>
      <c r="Q36" s="386"/>
      <c r="R36" s="387">
        <v>24.0</v>
      </c>
      <c r="S36" s="388"/>
      <c r="T36" s="384">
        <f t="shared" si="3"/>
        <v>46015</v>
      </c>
      <c r="U36" s="64"/>
      <c r="V36" s="23"/>
      <c r="W36" s="64"/>
      <c r="X36" s="303"/>
      <c r="Y36" s="23"/>
      <c r="Z36" s="23"/>
    </row>
    <row r="37" ht="18.75" customHeight="1">
      <c r="A37" s="55"/>
      <c r="B37" s="56"/>
      <c r="C37" s="55"/>
      <c r="D37" s="56"/>
      <c r="E37" s="55"/>
      <c r="F37" s="56"/>
      <c r="G37" s="55"/>
      <c r="H37" s="56"/>
      <c r="I37" s="55"/>
      <c r="J37" s="56"/>
      <c r="K37" s="55"/>
      <c r="L37" s="56"/>
      <c r="M37" s="55"/>
      <c r="N37" s="56"/>
      <c r="O37" s="23"/>
      <c r="P37" s="385" t="s">
        <v>51</v>
      </c>
      <c r="Q37" s="386"/>
      <c r="R37" s="387">
        <v>8.0</v>
      </c>
      <c r="S37" s="388">
        <v>-24.0</v>
      </c>
      <c r="T37" s="384">
        <f t="shared" si="3"/>
        <v>45999</v>
      </c>
      <c r="U37" s="64"/>
      <c r="V37" s="23"/>
      <c r="W37" s="64"/>
      <c r="X37" s="303"/>
      <c r="Y37" s="23"/>
      <c r="Z37" s="23"/>
    </row>
    <row r="38" ht="18.75" customHeight="1">
      <c r="A38" s="55"/>
      <c r="B38" s="56"/>
      <c r="C38" s="55"/>
      <c r="D38" s="56"/>
      <c r="E38" s="55"/>
      <c r="F38" s="56"/>
      <c r="G38" s="55"/>
      <c r="H38" s="56"/>
      <c r="I38" s="55"/>
      <c r="J38" s="56"/>
      <c r="K38" s="55"/>
      <c r="L38" s="56"/>
      <c r="M38" s="55"/>
      <c r="N38" s="56"/>
      <c r="O38" s="23"/>
      <c r="P38" s="519" t="s">
        <v>53</v>
      </c>
      <c r="Q38" s="511"/>
      <c r="R38" s="556">
        <v>29.0</v>
      </c>
      <c r="S38" s="397">
        <v>-10.99</v>
      </c>
      <c r="T38" s="384">
        <f t="shared" si="3"/>
        <v>46020</v>
      </c>
      <c r="U38" s="64"/>
      <c r="V38" s="23"/>
      <c r="W38" s="64"/>
      <c r="X38" s="303"/>
      <c r="Y38" s="23"/>
      <c r="Z38" s="23"/>
    </row>
    <row r="39" ht="18.75" customHeight="1">
      <c r="A39" s="55"/>
      <c r="B39" s="56"/>
      <c r="C39" s="55"/>
      <c r="D39" s="56"/>
      <c r="E39" s="55"/>
      <c r="F39" s="56"/>
      <c r="G39" s="55"/>
      <c r="H39" s="56"/>
      <c r="I39" s="55"/>
      <c r="J39" s="56"/>
      <c r="K39" s="55"/>
      <c r="L39" s="56"/>
      <c r="M39" s="55"/>
      <c r="N39" s="56"/>
      <c r="O39" s="23"/>
      <c r="P39" s="385" t="s">
        <v>27</v>
      </c>
      <c r="Q39" s="386"/>
      <c r="R39" s="387">
        <v>3.0</v>
      </c>
      <c r="S39" s="388">
        <v>-33.0</v>
      </c>
      <c r="T39" s="384">
        <f t="shared" si="3"/>
        <v>45994</v>
      </c>
      <c r="U39" s="64"/>
      <c r="V39" s="23"/>
      <c r="W39" s="64"/>
      <c r="X39" s="303"/>
      <c r="Y39" s="23"/>
      <c r="Z39" s="23"/>
    </row>
    <row r="40" ht="18.75" customHeight="1">
      <c r="A40" s="66" t="s">
        <v>22</v>
      </c>
      <c r="B40" s="67">
        <f>N34+SUM(B35:B39)</f>
        <v>3902.78</v>
      </c>
      <c r="C40" s="66"/>
      <c r="D40" s="67">
        <f>B40+SUM(D35:D39)</f>
        <v>3773.79</v>
      </c>
      <c r="E40" s="66"/>
      <c r="F40" s="67">
        <f>D40+SUM(F35:F39)</f>
        <v>3758.45</v>
      </c>
      <c r="G40" s="66"/>
      <c r="H40" s="67">
        <f>F40+SUM(H35:H39)</f>
        <v>3608.45</v>
      </c>
      <c r="I40" s="66"/>
      <c r="J40" s="67">
        <f>H40+SUM(J35:J39)</f>
        <v>3608.45</v>
      </c>
      <c r="K40" s="66"/>
      <c r="L40" s="67">
        <f>J40+SUM(L35:L39)</f>
        <v>3608.45</v>
      </c>
      <c r="M40" s="66"/>
      <c r="N40" s="67">
        <f>L40+SUM(N35:N39)</f>
        <v>3608.45</v>
      </c>
      <c r="O40" s="68"/>
      <c r="P40" s="414" t="s">
        <v>186</v>
      </c>
      <c r="Q40" s="415"/>
      <c r="R40" s="416">
        <v>4.0</v>
      </c>
      <c r="S40" s="383">
        <v>-50.0</v>
      </c>
      <c r="T40" s="384">
        <f t="shared" si="3"/>
        <v>45995</v>
      </c>
      <c r="U40" s="71"/>
      <c r="V40" s="69"/>
      <c r="W40" s="71"/>
      <c r="X40" s="309"/>
      <c r="Y40" s="69"/>
      <c r="Z40" s="69"/>
    </row>
    <row r="41" ht="18.75" customHeight="1">
      <c r="A41" s="50" t="str">
        <f>IF(M35="","",IF(MONTH(M35+1)&lt;&gt;MONTH(M35),"",M35+1))</f>
        <v/>
      </c>
      <c r="B41" s="51">
        <f>SUMIF($T$11:$T$130,A41,$S$11:$S$91)</f>
        <v>0</v>
      </c>
      <c r="C41" s="50" t="str">
        <f>IF(A41="","",IF(MONTH(A41+1)&lt;&gt;MONTH(A41),"",A41+1))</f>
        <v/>
      </c>
      <c r="D41" s="51">
        <f>SUMIF($T$11:$T$130,C41,$S$11:$S$91)</f>
        <v>0</v>
      </c>
      <c r="E41" s="77"/>
      <c r="F41" s="77" t="s">
        <v>50</v>
      </c>
      <c r="G41" s="77"/>
      <c r="H41" s="77"/>
      <c r="I41" s="77"/>
      <c r="J41" s="77"/>
      <c r="K41" s="77"/>
      <c r="L41" s="77"/>
      <c r="M41" s="77"/>
      <c r="N41" s="77"/>
      <c r="P41" s="414" t="s">
        <v>214</v>
      </c>
      <c r="Q41" s="415"/>
      <c r="R41" s="416">
        <v>7.0</v>
      </c>
      <c r="S41" s="383">
        <v>-21.8</v>
      </c>
      <c r="T41" s="384">
        <f t="shared" si="3"/>
        <v>45998</v>
      </c>
      <c r="V41" s="313"/>
      <c r="X41" s="314"/>
    </row>
    <row r="42" ht="18.75" customHeight="1">
      <c r="A42" s="55"/>
      <c r="B42" s="56"/>
      <c r="C42" s="55"/>
      <c r="D42" s="56"/>
      <c r="E42" s="77"/>
      <c r="F42" s="77" t="s">
        <v>52</v>
      </c>
      <c r="G42" s="77"/>
      <c r="H42" s="77"/>
      <c r="I42" s="77"/>
      <c r="J42" s="77"/>
      <c r="K42" s="77"/>
      <c r="L42" s="77"/>
      <c r="M42" s="77"/>
      <c r="N42" s="77"/>
      <c r="P42" s="385" t="s">
        <v>38</v>
      </c>
      <c r="Q42" s="386"/>
      <c r="R42" s="387">
        <v>10.0</v>
      </c>
      <c r="S42" s="388">
        <v>-50.0</v>
      </c>
      <c r="T42" s="384">
        <f t="shared" si="3"/>
        <v>46001</v>
      </c>
      <c r="V42" s="313"/>
      <c r="X42" s="314"/>
    </row>
    <row r="43" ht="18.75" customHeight="1">
      <c r="A43" s="55"/>
      <c r="B43" s="56"/>
      <c r="C43" s="55"/>
      <c r="D43" s="56"/>
      <c r="E43" s="77"/>
      <c r="F43" s="77"/>
      <c r="G43" s="77"/>
      <c r="H43" s="77"/>
      <c r="I43" s="77"/>
      <c r="J43" s="77"/>
      <c r="K43" s="77"/>
      <c r="L43" s="77"/>
      <c r="M43" s="77"/>
      <c r="N43" s="77"/>
      <c r="P43" s="385" t="s">
        <v>57</v>
      </c>
      <c r="Q43" s="386"/>
      <c r="R43" s="387">
        <v>4.0</v>
      </c>
      <c r="S43" s="388">
        <v>-349.0</v>
      </c>
      <c r="T43" s="384">
        <f t="shared" si="3"/>
        <v>45995</v>
      </c>
      <c r="V43" s="313"/>
    </row>
    <row r="44" ht="18.75" customHeight="1">
      <c r="A44" s="55"/>
      <c r="B44" s="56"/>
      <c r="C44" s="55"/>
      <c r="D44" s="56"/>
      <c r="E44" s="77"/>
      <c r="F44" s="77"/>
      <c r="G44" s="77"/>
      <c r="H44" s="108">
        <v>22.61</v>
      </c>
      <c r="I44" s="77"/>
      <c r="J44" s="77"/>
      <c r="K44" s="77"/>
      <c r="L44" s="77"/>
      <c r="M44" s="77"/>
      <c r="N44" s="77"/>
      <c r="P44" s="385" t="s">
        <v>24</v>
      </c>
      <c r="Q44" s="386"/>
      <c r="R44" s="387">
        <v>1.0</v>
      </c>
      <c r="S44" s="388">
        <v>-57.0</v>
      </c>
      <c r="T44" s="384">
        <f t="shared" si="3"/>
        <v>45992</v>
      </c>
      <c r="V44" s="313"/>
      <c r="X44" s="314"/>
    </row>
    <row r="45" ht="18.75" customHeight="1">
      <c r="A45" s="55"/>
      <c r="B45" s="56"/>
      <c r="C45" s="55"/>
      <c r="D45" s="56"/>
      <c r="E45" s="77"/>
      <c r="F45" s="77"/>
      <c r="G45" s="77"/>
      <c r="H45" s="326">
        <v>16.2</v>
      </c>
      <c r="I45" s="77"/>
      <c r="J45" s="77"/>
      <c r="K45" s="77"/>
      <c r="L45" s="77"/>
      <c r="M45" s="77"/>
      <c r="N45" s="77"/>
      <c r="P45" s="385" t="s">
        <v>26</v>
      </c>
      <c r="Q45" s="386"/>
      <c r="R45" s="387">
        <v>3.0</v>
      </c>
      <c r="S45" s="388">
        <v>-150.0</v>
      </c>
      <c r="T45" s="384">
        <f t="shared" si="3"/>
        <v>45994</v>
      </c>
    </row>
    <row r="46" ht="18.75" customHeight="1">
      <c r="A46" s="66" t="s">
        <v>22</v>
      </c>
      <c r="B46" s="67">
        <f>N40+SUM(B41:B45)</f>
        <v>3608.45</v>
      </c>
      <c r="C46" s="66"/>
      <c r="D46" s="67">
        <f>B46+SUM(D41:D45)</f>
        <v>3608.45</v>
      </c>
      <c r="E46" s="77"/>
      <c r="F46" s="77"/>
      <c r="G46" s="77"/>
      <c r="H46" s="326">
        <v>20.9</v>
      </c>
      <c r="I46" s="77"/>
      <c r="J46" s="77"/>
      <c r="K46" s="77"/>
      <c r="L46" s="77"/>
      <c r="M46" s="77"/>
      <c r="N46" s="77"/>
      <c r="P46" s="385" t="s">
        <v>26</v>
      </c>
      <c r="Q46" s="386"/>
      <c r="R46" s="387">
        <v>10.0</v>
      </c>
      <c r="S46" s="388">
        <v>-150.0</v>
      </c>
      <c r="T46" s="384">
        <f t="shared" si="3"/>
        <v>46001</v>
      </c>
    </row>
    <row r="47" ht="12.75" customHeight="1">
      <c r="P47" s="385" t="s">
        <v>26</v>
      </c>
      <c r="Q47" s="386"/>
      <c r="R47" s="387">
        <v>31.0</v>
      </c>
      <c r="S47" s="388">
        <v>-150.0</v>
      </c>
      <c r="T47" s="384">
        <f t="shared" si="3"/>
        <v>46022</v>
      </c>
    </row>
    <row r="48" ht="12.75" customHeight="1">
      <c r="P48" s="390" t="s">
        <v>87</v>
      </c>
      <c r="Q48" s="402"/>
      <c r="R48" s="591">
        <v>2.0</v>
      </c>
      <c r="S48" s="592">
        <f t="array" ref="S48">-INDEX(PaymentSchedule!$E$21:$AG937,MATCH(PaymentSchedule!$B$31,PaymentSchedule!$B$21:$B$100),MATCH($P48,PaymentSchedule!$E$19:$AG$19,0))</f>
        <v>-695.6</v>
      </c>
      <c r="T48" s="499">
        <f>IF(ISBLANK(R48),"-",IF(R48&gt;DAY(EOMONTH(DATE($B$2,$E$2,1),0)),EOMONTH(DATE($B$2,$E$2,1),0),DATE($B$2,$E$2,R48)))</f>
        <v>45993</v>
      </c>
    </row>
    <row r="49" ht="12.75" customHeight="1">
      <c r="P49" s="367"/>
      <c r="Q49" s="407"/>
      <c r="R49" s="405"/>
      <c r="S49" s="370"/>
      <c r="T49" s="323" t="str">
        <f>IF(ISBLANK(R49),"-",IF(R49&gt;DAY(EOMONTH(DATE($B$2,$E$2,1),0)),EOMONTH(DATE($B$2,$E$2,1),0),DATE($B$2,$E$2,R49)))</f>
        <v>-</v>
      </c>
    </row>
    <row r="50" ht="12.75" customHeight="1">
      <c r="P50" s="542"/>
      <c r="Q50" s="407"/>
      <c r="R50" s="543"/>
      <c r="S50" s="544"/>
      <c r="T50" s="376" t="str">
        <f t="shared" ref="T50:T56" si="4">IF(ISBLANK(R50),"-",IF(R50&gt;DAY(EOMONTH(DATE($B$2,$E$2,1),0)),EOMONTH(DATE($B$2,$E$2,1),0),DATE($B$2,$E$2,$R$47)))</f>
        <v>-</v>
      </c>
    </row>
    <row r="51" ht="12.75" customHeight="1">
      <c r="P51" s="542"/>
      <c r="Q51" s="407"/>
      <c r="R51" s="543"/>
      <c r="S51" s="544"/>
      <c r="T51" s="376" t="str">
        <f t="shared" si="4"/>
        <v>-</v>
      </c>
    </row>
    <row r="52" ht="12.75" customHeight="1">
      <c r="P52" s="542"/>
      <c r="Q52" s="407"/>
      <c r="R52" s="543"/>
      <c r="S52" s="544"/>
      <c r="T52" s="376" t="str">
        <f t="shared" si="4"/>
        <v>-</v>
      </c>
    </row>
    <row r="53" ht="12.75" customHeight="1">
      <c r="P53" s="542"/>
      <c r="Q53" s="407"/>
      <c r="R53" s="543"/>
      <c r="S53" s="544"/>
      <c r="T53" s="376" t="str">
        <f t="shared" si="4"/>
        <v>-</v>
      </c>
    </row>
    <row r="54" ht="12.75" customHeight="1">
      <c r="P54" s="542"/>
      <c r="Q54" s="407"/>
      <c r="R54" s="543"/>
      <c r="S54" s="544"/>
      <c r="T54" s="376" t="str">
        <f t="shared" si="4"/>
        <v>-</v>
      </c>
    </row>
    <row r="55" ht="12.75" customHeight="1">
      <c r="P55" s="542"/>
      <c r="Q55" s="407"/>
      <c r="R55" s="543"/>
      <c r="S55" s="544"/>
      <c r="T55" s="376" t="str">
        <f t="shared" si="4"/>
        <v>-</v>
      </c>
    </row>
    <row r="56" ht="12.75" customHeight="1">
      <c r="P56" s="542"/>
      <c r="Q56" s="407"/>
      <c r="R56" s="543"/>
      <c r="S56" s="544"/>
      <c r="T56" s="376" t="str">
        <f t="shared" si="4"/>
        <v>-</v>
      </c>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c r="S927" s="337"/>
    </row>
    <row r="928" ht="12.75" customHeight="1">
      <c r="R928" s="336"/>
      <c r="S928" s="337"/>
    </row>
    <row r="929" ht="12.75" customHeight="1">
      <c r="R929" s="336"/>
      <c r="S929" s="337"/>
    </row>
    <row r="930" ht="12.75" customHeight="1">
      <c r="R930" s="336"/>
      <c r="S930" s="337"/>
    </row>
    <row r="931" ht="12.75" customHeight="1">
      <c r="R931" s="336"/>
      <c r="S931" s="337"/>
    </row>
    <row r="932" ht="12.75" customHeight="1">
      <c r="R932" s="336"/>
      <c r="S932" s="337"/>
    </row>
    <row r="933" ht="12.75" customHeight="1">
      <c r="R933" s="336"/>
      <c r="S933" s="337"/>
    </row>
    <row r="934" ht="12.75" customHeight="1">
      <c r="R934" s="336"/>
    </row>
    <row r="935" ht="12.75" customHeight="1">
      <c r="R935" s="336"/>
    </row>
    <row r="936" ht="12.75" customHeight="1">
      <c r="R936" s="336"/>
    </row>
    <row r="937" ht="12.75" customHeight="1">
      <c r="R937"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7">
    <cfRule type="cellIs" dxfId="5" priority="1" operator="lessThan">
      <formula>0</formula>
    </cfRule>
  </conditionalFormatting>
  <dataValidations>
    <dataValidation type="list" allowBlank="1" showErrorMessage="1" sqref="Q12:Q56">
      <formula1>"✔"</formula1>
    </dataValidation>
    <dataValidation type="custom" allowBlank="1" showDropDown="1" sqref="T12:T56">
      <formula1>OR(NOT(ISERROR(DATEVALUE(T12))), AND(ISNUMBER(T12), LEFT(CELL("format", T12))="D"))</formula1>
    </dataValidation>
  </dataValidations>
  <hyperlinks>
    <hyperlink r:id="rId1" ref="T3"/>
  </hyperlinks>
  <drawing r:id="rId2"/>
  <tableParts count="1">
    <tablePart r:id="rId4"/>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8.5"/>
    <col customWidth="1" min="12" max="12" width="8.63"/>
    <col customWidth="1" min="13" max="13" width="6.13"/>
    <col customWidth="1" min="14" max="14" width="8.63"/>
    <col customWidth="1" min="15" max="15" width="2.13"/>
    <col customWidth="1" min="16" max="20" width="17.75"/>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2026.0</v>
      </c>
      <c r="C2" s="3"/>
      <c r="D2" s="9" t="s">
        <v>2</v>
      </c>
      <c r="E2" s="10">
        <v>1.0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JANUARY 2026</v>
      </c>
      <c r="B5" s="22"/>
      <c r="C5" s="22"/>
      <c r="D5" s="22"/>
      <c r="E5" s="22"/>
      <c r="F5" s="22"/>
      <c r="G5" s="22"/>
      <c r="H5" s="23"/>
      <c r="I5" s="23"/>
      <c r="J5" s="23"/>
      <c r="K5" s="22"/>
      <c r="L5" s="24" t="s">
        <v>7</v>
      </c>
      <c r="M5" s="25">
        <f>'December 2025'!M6</f>
        <v>3608.45</v>
      </c>
      <c r="N5" s="26"/>
      <c r="O5" s="23"/>
      <c r="P5" s="27"/>
      <c r="Q5" s="27"/>
      <c r="R5" s="287" t="s">
        <v>8</v>
      </c>
      <c r="S5" s="288">
        <f>SUMIF(A18:N21,"&gt;0")+SUMIF(A24:N27,"&gt;0")+SUMIF(A30:N33,"&gt;0")+SUMIF(A36:N39,"&gt;0")+SUMIF(#REF!,"&gt;0")+SUMIF(S12:S40,"&gt;0")+SUMIF(A12:N15,"&gt;0")</f>
        <v>4599.82</v>
      </c>
      <c r="U5" s="23"/>
      <c r="V5" s="289">
        <f>sum(S5+S6)</f>
        <v>-1461.73</v>
      </c>
      <c r="W5" s="23"/>
      <c r="X5" s="23"/>
      <c r="Y5" s="23"/>
      <c r="Z5" s="23"/>
    </row>
    <row r="6" ht="25.5" customHeight="1">
      <c r="A6" s="31"/>
      <c r="B6" s="31"/>
      <c r="C6" s="31"/>
      <c r="D6" s="31"/>
      <c r="E6" s="31"/>
      <c r="F6" s="32"/>
      <c r="G6" s="33"/>
      <c r="H6" s="34"/>
      <c r="I6" s="34"/>
      <c r="J6" s="34"/>
      <c r="K6" s="31"/>
      <c r="L6" s="24" t="s">
        <v>9</v>
      </c>
      <c r="M6" s="35">
        <f>D46</f>
        <v>2055.15</v>
      </c>
      <c r="O6" s="34"/>
      <c r="P6" s="36"/>
      <c r="Q6" s="36"/>
      <c r="R6" s="287" t="s">
        <v>10</v>
      </c>
      <c r="S6" s="288">
        <f>SUMIF(A18:N21,"&lt;0")+SUMIF(A24:N27,"&lt;0")+SUMIF(A30:N33,"&lt;0")+SUMIF(A36:N39,"&lt;0")+SUMIF(#REF!,"&lt;0")+SUMIF(S12:S197,"&lt;0")+SUMIF(A12:N15,"&lt;0")</f>
        <v>-6061.55</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46023</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46026</v>
      </c>
      <c r="B9" s="40"/>
      <c r="C9" s="39">
        <f>C17</f>
        <v>46027</v>
      </c>
      <c r="D9" s="40"/>
      <c r="E9" s="39">
        <f>E17</f>
        <v>46028</v>
      </c>
      <c r="F9" s="40"/>
      <c r="G9" s="39">
        <f>G17</f>
        <v>46029</v>
      </c>
      <c r="H9" s="40"/>
      <c r="I9" s="39">
        <f>I17</f>
        <v>46030</v>
      </c>
      <c r="J9" s="40"/>
      <c r="K9" s="39">
        <f>K17</f>
        <v>46031</v>
      </c>
      <c r="L9" s="40"/>
      <c r="M9" s="39">
        <f>M17</f>
        <v>46032</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SUMIF($T$11:$T$124,A11,$S$11:$S$85)</f>
        <v>0</v>
      </c>
      <c r="C11" s="50" t="str">
        <f>IF(A11="",IF(WEEKDAY($B$8,1)=MOD($H$2,7)+1,$B$8,""),A11+1)</f>
        <v/>
      </c>
      <c r="D11" s="51">
        <f>SUMIF($T$11:$T$124,C11,$S$11:$S$85)</f>
        <v>0</v>
      </c>
      <c r="E11" s="50" t="str">
        <f>IF(C11="",IF(WEEKDAY($B$8,1)=MOD($H$2+1,7)+1,$B$8,""),C11+1)</f>
        <v/>
      </c>
      <c r="F11" s="51">
        <f>SUMIF($T$11:$T$124,E11,$S$11:$S$85)</f>
        <v>0</v>
      </c>
      <c r="G11" s="50" t="str">
        <f>IF(E11="",IF(WEEKDAY($B$8,1)=MOD($H$2+2,7)+1,$B$8,""),E11+1)</f>
        <v/>
      </c>
      <c r="H11" s="51">
        <f>SUMIF($T$11:$T$124,G11,$S$11:$S$85)</f>
        <v>0</v>
      </c>
      <c r="I11" s="50">
        <f>IF(G11="",IF(WEEKDAY($B$8,1)=MOD($H$2+3,7)+1,$B$8,""),G11+1)</f>
        <v>46023</v>
      </c>
      <c r="J11" s="51">
        <f>SUMIF($T$11:$T$124,I11,$S$11:$S$85)</f>
        <v>-1524.99</v>
      </c>
      <c r="K11" s="50">
        <f>IF(I11="",IF(WEEKDAY($B$8,1)=MOD($H$2+4,7)+1,$B$8,""),I11+1)</f>
        <v>46024</v>
      </c>
      <c r="L11" s="51">
        <f>SUMIF($T$11:$T$124,K11,$S$11:$S$85)</f>
        <v>-355</v>
      </c>
      <c r="M11" s="50">
        <f>IF(K11="",IF(WEEKDAY($B$8,1)=MOD($H$2+5,7)+1,$B$8,""),K11+1)</f>
        <v>46025</v>
      </c>
      <c r="N11" s="51">
        <f>SUMIF($T$11:$T$124,M11,$S$11:$S$85)</f>
        <v>-33</v>
      </c>
      <c r="O11" s="23"/>
      <c r="P11" s="52" t="s">
        <v>13</v>
      </c>
      <c r="Q11" s="53" t="s">
        <v>14</v>
      </c>
      <c r="R11" s="53" t="s">
        <v>15</v>
      </c>
      <c r="S11" s="96" t="s">
        <v>16</v>
      </c>
      <c r="T11" s="53" t="s">
        <v>17</v>
      </c>
      <c r="U11" s="23"/>
      <c r="V11" s="23"/>
      <c r="W11" s="23"/>
      <c r="X11" s="23"/>
      <c r="Y11" s="23"/>
      <c r="Z11" s="23"/>
    </row>
    <row r="12" ht="18.75" customHeight="1">
      <c r="A12" s="55"/>
      <c r="B12" s="56"/>
      <c r="C12" s="55"/>
      <c r="D12" s="56"/>
      <c r="E12" s="55"/>
      <c r="F12" s="56"/>
      <c r="G12" s="55"/>
      <c r="H12" s="56"/>
      <c r="I12" s="58"/>
      <c r="J12" s="57"/>
      <c r="K12" s="55"/>
      <c r="L12" s="56"/>
      <c r="M12" s="55"/>
      <c r="N12" s="56"/>
      <c r="O12" s="23"/>
      <c r="P12" s="398" t="s">
        <v>20</v>
      </c>
      <c r="Q12" s="399"/>
      <c r="R12" s="400">
        <v>1.0</v>
      </c>
      <c r="S12" s="393">
        <f t="array" ref="S12">-INDEX(PaymentSchedule!$E$21:$AG931,MATCH(PaymentSchedule!$B$33,PaymentSchedule!$B$21:$B$100),MATCH($P12,PaymentSchedule!$E$19:$AG$19,0))</f>
        <v>-1461.99</v>
      </c>
      <c r="T12" s="394">
        <f t="shared" ref="T12:T18" si="1">IF(ISBLANK(R12),"-",IF(R12&gt;DAY(EOMONTH(DATE($B$2,$E$2,1),0)),EOMONTH(DATE($B$2,$E$2,1),0),DATE($B$2,$E$2,R12)))</f>
        <v>46023</v>
      </c>
      <c r="U12" s="64"/>
      <c r="V12" s="23"/>
      <c r="W12" s="64"/>
      <c r="X12" s="303"/>
      <c r="Y12" s="23"/>
      <c r="Z12" s="23"/>
    </row>
    <row r="13" ht="18.75" customHeight="1">
      <c r="A13" s="55"/>
      <c r="B13" s="56"/>
      <c r="C13" s="55"/>
      <c r="D13" s="56"/>
      <c r="E13" s="55"/>
      <c r="F13" s="56"/>
      <c r="G13" s="55"/>
      <c r="H13" s="56"/>
      <c r="I13" s="55"/>
      <c r="J13" s="57"/>
      <c r="K13" s="55"/>
      <c r="L13" s="56"/>
      <c r="M13" s="55"/>
      <c r="N13" s="56"/>
      <c r="O13" s="23"/>
      <c r="P13" s="398" t="s">
        <v>86</v>
      </c>
      <c r="Q13" s="399"/>
      <c r="R13" s="400">
        <v>6.0</v>
      </c>
      <c r="S13" s="393">
        <f t="array" ref="S13">-INDEX(PaymentSchedule!$E$21:$AG931,MATCH(PaymentSchedule!$B$33,PaymentSchedule!$B$21:$B$100),MATCH($P13,PaymentSchedule!$E$19:$AG$19,0))</f>
        <v>-791.16</v>
      </c>
      <c r="T13" s="394">
        <f t="shared" si="1"/>
        <v>46028</v>
      </c>
      <c r="U13" s="64"/>
      <c r="V13" s="23"/>
      <c r="W13" s="64"/>
      <c r="X13" s="303"/>
      <c r="Y13" s="23"/>
      <c r="Z13" s="23"/>
    </row>
    <row r="14" ht="18.75" customHeight="1">
      <c r="A14" s="55"/>
      <c r="B14" s="56"/>
      <c r="C14" s="55"/>
      <c r="D14" s="56"/>
      <c r="E14" s="55"/>
      <c r="F14" s="56"/>
      <c r="G14" s="55"/>
      <c r="H14" s="56"/>
      <c r="I14" s="58"/>
      <c r="J14" s="57"/>
      <c r="K14" s="55"/>
      <c r="L14" s="56"/>
      <c r="M14" s="55"/>
      <c r="N14" s="56"/>
      <c r="O14" s="23"/>
      <c r="P14" s="398" t="s">
        <v>25</v>
      </c>
      <c r="Q14" s="399"/>
      <c r="R14" s="400">
        <v>7.0</v>
      </c>
      <c r="S14" s="393">
        <f t="array" ref="S14">-INDEX(PaymentSchedule!$E$21:$AG931,MATCH(PaymentSchedule!$B$33,PaymentSchedule!$B$21:$B$100),MATCH($P14,PaymentSchedule!$E$19:$AG$19,0))</f>
        <v>-83</v>
      </c>
      <c r="T14" s="394">
        <f t="shared" si="1"/>
        <v>46029</v>
      </c>
      <c r="U14" s="64"/>
      <c r="V14" s="23"/>
      <c r="W14" s="64"/>
      <c r="X14" s="303"/>
      <c r="Y14" s="23"/>
      <c r="Z14" s="23"/>
    </row>
    <row r="15" ht="18.75" customHeight="1">
      <c r="A15" s="55"/>
      <c r="B15" s="56"/>
      <c r="C15" s="55"/>
      <c r="D15" s="56"/>
      <c r="E15" s="55"/>
      <c r="F15" s="56"/>
      <c r="G15" s="55"/>
      <c r="H15" s="56"/>
      <c r="I15" s="55"/>
      <c r="J15" s="56"/>
      <c r="K15" s="55"/>
      <c r="L15" s="56"/>
      <c r="M15" s="55"/>
      <c r="N15" s="56"/>
      <c r="O15" s="23"/>
      <c r="P15" s="398" t="s">
        <v>89</v>
      </c>
      <c r="Q15" s="399"/>
      <c r="R15" s="400">
        <v>7.0</v>
      </c>
      <c r="S15" s="393">
        <f t="array" ref="S15">-INDEX(PaymentSchedule!$E$21:$AG931,MATCH(PaymentSchedule!$B$33,PaymentSchedule!$B$21:$B$100),MATCH($P15,PaymentSchedule!$E$19:$AG$19,0))</f>
        <v>-125</v>
      </c>
      <c r="T15" s="394">
        <f t="shared" si="1"/>
        <v>46029</v>
      </c>
      <c r="U15" s="64"/>
      <c r="V15" s="23"/>
      <c r="W15" s="64"/>
      <c r="X15" s="303"/>
      <c r="Y15" s="23"/>
      <c r="Z15" s="23"/>
    </row>
    <row r="16" ht="18.75" customHeight="1">
      <c r="A16" s="66" t="s">
        <v>22</v>
      </c>
      <c r="B16" s="67">
        <f>$M$5+SUM(B11:B15)</f>
        <v>3608.45</v>
      </c>
      <c r="C16" s="66"/>
      <c r="D16" s="67">
        <f>B16+SUM(D11:D15)</f>
        <v>3608.45</v>
      </c>
      <c r="E16" s="66"/>
      <c r="F16" s="67">
        <f>D16+SUM(F11:F15)</f>
        <v>3608.45</v>
      </c>
      <c r="G16" s="66"/>
      <c r="H16" s="67">
        <f>F16+SUM(H11:H15)</f>
        <v>3608.45</v>
      </c>
      <c r="I16" s="66"/>
      <c r="J16" s="67">
        <f>H16+SUM(J11:J15)</f>
        <v>2083.46</v>
      </c>
      <c r="K16" s="66"/>
      <c r="L16" s="67">
        <f>J16+SUM(L11:L15)</f>
        <v>1728.46</v>
      </c>
      <c r="M16" s="66"/>
      <c r="N16" s="67">
        <f>L16+SUM(N11:N15)</f>
        <v>1695.46</v>
      </c>
      <c r="O16" s="68"/>
      <c r="P16" s="398" t="s">
        <v>37</v>
      </c>
      <c r="Q16" s="399"/>
      <c r="R16" s="400">
        <v>9.0</v>
      </c>
      <c r="S16" s="393">
        <f t="array" ref="S16">-INDEX(PaymentSchedule!$E$21:$AG931,MATCH(PaymentSchedule!$B$33,PaymentSchedule!$B$21:$B$100),MATCH($P16,PaymentSchedule!$E$19:$AG$19,0))</f>
        <v>-81</v>
      </c>
      <c r="T16" s="394">
        <f t="shared" si="1"/>
        <v>46031</v>
      </c>
      <c r="U16" s="71"/>
      <c r="V16" s="69"/>
      <c r="W16" s="71"/>
      <c r="X16" s="309"/>
      <c r="Y16" s="69"/>
      <c r="Z16" s="69"/>
    </row>
    <row r="17" ht="18.75" customHeight="1">
      <c r="A17" s="50">
        <f>IF(M11="","",IF(MONTH(M11+1)&lt;&gt;MONTH(M11),"",M11+1))</f>
        <v>46026</v>
      </c>
      <c r="B17" s="51">
        <f>SUMIF($T$11:$T$124,A17,$S$11:$S$85)</f>
        <v>-50</v>
      </c>
      <c r="C17" s="50">
        <f>IF(A17="","",IF(MONTH(A17+1)&lt;&gt;MONTH(A17),"",A17+1))</f>
        <v>46027</v>
      </c>
      <c r="D17" s="51">
        <f>SUMIF($T$11:$T$124,C17,$S$11:$S$85)</f>
        <v>-16.19</v>
      </c>
      <c r="E17" s="50">
        <f>IF(C17="","",IF(MONTH(C17+1)&lt;&gt;MONTH(C17),"",C17+1))</f>
        <v>46028</v>
      </c>
      <c r="F17" s="51">
        <f>SUMIF($T$11:$T$124,E17,$S$11:$S$85)</f>
        <v>-791.16</v>
      </c>
      <c r="G17" s="50">
        <f>IF(E17="","",IF(MONTH(E17+1)&lt;&gt;MONTH(E17),"",E17+1))</f>
        <v>46029</v>
      </c>
      <c r="H17" s="51">
        <f>SUMIF($T$11:$T$124,G17,$S$11:$S$85)</f>
        <v>-358</v>
      </c>
      <c r="I17" s="50">
        <f>IF(G17="","",IF(MONTH(G17+1)&lt;&gt;MONTH(G17),"",G17+1))</f>
        <v>46030</v>
      </c>
      <c r="J17" s="51">
        <f>SUMIF($T$11:$T$124,I17,$S$11:$S$85)</f>
        <v>-27</v>
      </c>
      <c r="K17" s="50">
        <f>IF(I17="","",IF(MONTH(I17+1)&lt;&gt;MONTH(I17),"",I17+1))</f>
        <v>46031</v>
      </c>
      <c r="L17" s="51">
        <f>SUMIF($T$11:$T$124,K17,$S$11:$S$85)</f>
        <v>1757.33</v>
      </c>
      <c r="M17" s="50">
        <f>IF(K17="","",IF(MONTH(K17+1)&lt;&gt;MONTH(K17),"",K17+1))</f>
        <v>46032</v>
      </c>
      <c r="N17" s="51">
        <f>SUMIF($T$11:$T$124,M17,$S$11:$S$85)</f>
        <v>-21.8</v>
      </c>
      <c r="O17" s="23"/>
      <c r="P17" s="398" t="s">
        <v>36</v>
      </c>
      <c r="Q17" s="399"/>
      <c r="R17" s="400">
        <v>9.0</v>
      </c>
      <c r="S17" s="393">
        <f t="array" ref="S17">-INDEX(PaymentSchedule!$E$21:$AG931,MATCH(PaymentSchedule!$B$33,PaymentSchedule!$B$21:$B$100),MATCH($P17,PaymentSchedule!$E$19:$AG$19,0))</f>
        <v>-450.08</v>
      </c>
      <c r="T17" s="394">
        <f t="shared" si="1"/>
        <v>46031</v>
      </c>
      <c r="U17" s="64"/>
      <c r="V17" s="23"/>
      <c r="W17" s="64"/>
      <c r="X17" s="303"/>
      <c r="Y17" s="23"/>
      <c r="Z17" s="23"/>
    </row>
    <row r="18" ht="18.75" customHeight="1">
      <c r="A18" s="55"/>
      <c r="B18" s="56"/>
      <c r="C18" s="58"/>
      <c r="D18" s="57"/>
      <c r="E18" s="55"/>
      <c r="F18" s="57">
        <v>-28.33</v>
      </c>
      <c r="G18" s="58" t="s">
        <v>229</v>
      </c>
      <c r="H18" s="57">
        <v>-45.67</v>
      </c>
      <c r="I18" s="58"/>
      <c r="J18" s="57"/>
      <c r="K18" s="58"/>
      <c r="L18" s="57"/>
      <c r="M18" s="58"/>
      <c r="N18" s="57"/>
      <c r="O18" s="23"/>
      <c r="P18" s="398" t="s">
        <v>85</v>
      </c>
      <c r="Q18" s="399"/>
      <c r="R18" s="400">
        <v>16.0</v>
      </c>
      <c r="S18" s="393">
        <f t="array" ref="S18">-INDEX(PaymentSchedule!$E$21:$AG931,MATCH(PaymentSchedule!$B$33,PaymentSchedule!$B$21:$B$100),MATCH($P18,PaymentSchedule!$E$19:$AG$19,0))</f>
        <v>-163</v>
      </c>
      <c r="T18" s="394">
        <f t="shared" si="1"/>
        <v>46038</v>
      </c>
      <c r="U18" s="64"/>
      <c r="V18" s="23"/>
      <c r="Y18" s="23"/>
      <c r="Z18" s="23"/>
    </row>
    <row r="19" ht="18.75" customHeight="1">
      <c r="A19" s="55"/>
      <c r="B19" s="56"/>
      <c r="C19" s="55"/>
      <c r="D19" s="56"/>
      <c r="E19" s="55"/>
      <c r="F19" s="56"/>
      <c r="G19" s="55"/>
      <c r="H19" s="56"/>
      <c r="I19" s="55"/>
      <c r="J19" s="57"/>
      <c r="K19" s="58"/>
      <c r="L19" s="57"/>
      <c r="M19" s="55"/>
      <c r="N19" s="56"/>
      <c r="O19" s="23"/>
      <c r="P19" s="390" t="s">
        <v>87</v>
      </c>
      <c r="Q19" s="402"/>
      <c r="R19" s="392">
        <v>30.0</v>
      </c>
      <c r="S19" s="592">
        <f t="array" ref="S19">-INDEX(PaymentSchedule!$E$21:$AG931,MATCH(PaymentSchedule!$B$31,PaymentSchedule!$B$21:$B$100),MATCH($P19,PaymentSchedule!$E$19:$AG$19,0))</f>
        <v>-695.6</v>
      </c>
      <c r="T19" s="499">
        <f>IF(ISBLANK(R19),"-",IF(R19&gt;DAY(EOMONTH(DATE($B$2,$E$2,1),0)),EOMONTH(DATE($B$2,$E$2,1),0),DATE($B$2,$E$2,R19)))</f>
        <v>46052</v>
      </c>
      <c r="U19" s="64"/>
      <c r="V19" s="23"/>
      <c r="W19" s="64"/>
      <c r="X19" s="303"/>
      <c r="Y19" s="23"/>
      <c r="Z19" s="23"/>
    </row>
    <row r="20" ht="18.75" customHeight="1">
      <c r="A20" s="55"/>
      <c r="B20" s="56"/>
      <c r="C20" s="55"/>
      <c r="D20" s="56"/>
      <c r="E20" s="55"/>
      <c r="F20" s="56"/>
      <c r="G20" s="55"/>
      <c r="H20" s="56"/>
      <c r="I20" s="55"/>
      <c r="J20" s="57"/>
      <c r="K20" s="58"/>
      <c r="L20" s="57"/>
      <c r="M20" s="55"/>
      <c r="N20" s="56"/>
      <c r="O20" s="23"/>
      <c r="P20" s="385" t="s">
        <v>47</v>
      </c>
      <c r="Q20" s="386"/>
      <c r="R20" s="387">
        <v>1.0</v>
      </c>
      <c r="S20" s="389"/>
      <c r="T20" s="384">
        <f t="shared" ref="T20:T29" si="2">IF(ISBLANK(R20),"-",IF(R20&gt;DAY(EOMONTH(DATE($B$2,$E$2,1),0)),EOMONTH(DATE($B$2,$E$2,1),0),DATE($B$2,$E$2,R20)))</f>
        <v>46023</v>
      </c>
      <c r="U20" s="64"/>
      <c r="V20" s="23"/>
      <c r="W20" s="64"/>
      <c r="X20" s="303"/>
      <c r="Y20" s="23"/>
      <c r="Z20" s="23"/>
    </row>
    <row r="21" ht="18.75" customHeight="1">
      <c r="A21" s="55"/>
      <c r="B21" s="56"/>
      <c r="C21" s="55"/>
      <c r="D21" s="56"/>
      <c r="E21" s="55"/>
      <c r="F21" s="56"/>
      <c r="G21" s="55"/>
      <c r="H21" s="56"/>
      <c r="I21" s="55"/>
      <c r="J21" s="56"/>
      <c r="K21" s="55"/>
      <c r="L21" s="56"/>
      <c r="M21" s="55"/>
      <c r="N21" s="56"/>
      <c r="O21" s="23"/>
      <c r="P21" s="414" t="s">
        <v>142</v>
      </c>
      <c r="Q21" s="415"/>
      <c r="R21" s="416">
        <v>1.0</v>
      </c>
      <c r="S21" s="383"/>
      <c r="T21" s="384">
        <f t="shared" si="2"/>
        <v>46023</v>
      </c>
      <c r="U21" s="64"/>
      <c r="V21" s="303"/>
      <c r="W21" s="64"/>
      <c r="X21" s="303"/>
      <c r="Y21" s="23"/>
      <c r="Z21" s="23"/>
    </row>
    <row r="22" ht="18.75" customHeight="1">
      <c r="A22" s="66" t="s">
        <v>22</v>
      </c>
      <c r="B22" s="67">
        <f>N16+SUM(B17:B21)</f>
        <v>1645.46</v>
      </c>
      <c r="C22" s="66"/>
      <c r="D22" s="67">
        <f>B22+SUM(D17:D21)</f>
        <v>1629.27</v>
      </c>
      <c r="E22" s="66"/>
      <c r="F22" s="67">
        <f>D22+SUM(F17:F21)</f>
        <v>809.78</v>
      </c>
      <c r="G22" s="66"/>
      <c r="H22" s="67">
        <f>F22+SUM(H17:H21)</f>
        <v>406.11</v>
      </c>
      <c r="I22" s="66"/>
      <c r="J22" s="67">
        <f>H22+SUM(J17:J21)</f>
        <v>379.11</v>
      </c>
      <c r="K22" s="66"/>
      <c r="L22" s="67">
        <f>J22+SUM(L17:L21)</f>
        <v>2136.44</v>
      </c>
      <c r="M22" s="66"/>
      <c r="N22" s="67">
        <f>L22+SUM(N17:N21)</f>
        <v>2114.64</v>
      </c>
      <c r="O22" s="68"/>
      <c r="P22" s="593" t="s">
        <v>24</v>
      </c>
      <c r="Q22" s="415"/>
      <c r="R22" s="594">
        <v>1.0</v>
      </c>
      <c r="S22" s="595">
        <v>-63.0</v>
      </c>
      <c r="T22" s="384">
        <f t="shared" si="2"/>
        <v>46023</v>
      </c>
      <c r="W22" s="71"/>
      <c r="X22" s="309"/>
      <c r="Y22" s="69"/>
      <c r="Z22" s="69"/>
    </row>
    <row r="23" ht="18.75" customHeight="1">
      <c r="A23" s="50">
        <f>IF(M17="","",IF(MONTH(M17+1)&lt;&gt;MONTH(M17),"",M17+1))</f>
        <v>46033</v>
      </c>
      <c r="B23" s="51">
        <f>SUMIF($T$11:$T$124,A23,$S$11:$S$85)</f>
        <v>-50</v>
      </c>
      <c r="C23" s="50">
        <f>IF(A23="","",IF(MONTH(A23+1)&lt;&gt;MONTH(A23),"",A23+1))</f>
        <v>46034</v>
      </c>
      <c r="D23" s="51">
        <f>SUMIF($T$11:$T$124,C23,$S$11:$S$85)</f>
        <v>-102</v>
      </c>
      <c r="E23" s="50">
        <f>IF(C23="","",IF(MONTH(C23+1)&lt;&gt;MONTH(C23),"",C23+1))</f>
        <v>46035</v>
      </c>
      <c r="F23" s="51">
        <f>SUMIF($T$11:$T$124,E23,$S$11:$S$85)</f>
        <v>-5.99</v>
      </c>
      <c r="G23" s="50">
        <f>IF(E23="","",IF(MONTH(E23+1)&lt;&gt;MONTH(E23),"",E23+1))</f>
        <v>46036</v>
      </c>
      <c r="H23" s="51">
        <f>SUMIF($T$11:$T$124,G23,$S$11:$S$85)</f>
        <v>-150</v>
      </c>
      <c r="I23" s="50">
        <f>IF(G23="","",IF(MONTH(G23+1)&lt;&gt;MONTH(G23),"",G23+1))</f>
        <v>46037</v>
      </c>
      <c r="J23" s="51">
        <f>SUMIF($T$11:$T$124,I23,$S$11:$S$85)</f>
        <v>0</v>
      </c>
      <c r="K23" s="50">
        <f>IF(I23="","",IF(MONTH(I23+1)&lt;&gt;MONTH(I23),"",I23+1))</f>
        <v>46038</v>
      </c>
      <c r="L23" s="51">
        <f>SUMIF($T$11:$T$124,K23,$S$11:$S$85)</f>
        <v>-163</v>
      </c>
      <c r="M23" s="50">
        <f>IF(K23="","",IF(MONTH(K23+1)&lt;&gt;MONTH(K23),"",K23+1))</f>
        <v>46039</v>
      </c>
      <c r="N23" s="51">
        <f>SUMIF($T$11:$T$124,M23,$S$11:$S$85)</f>
        <v>-9.99</v>
      </c>
      <c r="O23" s="23"/>
      <c r="P23" s="385" t="s">
        <v>57</v>
      </c>
      <c r="Q23" s="386"/>
      <c r="R23" s="387">
        <v>2.0</v>
      </c>
      <c r="S23" s="388">
        <v>-355.0</v>
      </c>
      <c r="T23" s="384">
        <f t="shared" si="2"/>
        <v>46024</v>
      </c>
      <c r="U23" s="64"/>
      <c r="V23" s="23"/>
      <c r="W23" s="64"/>
      <c r="X23" s="303"/>
      <c r="Y23" s="23"/>
      <c r="Z23" s="23"/>
    </row>
    <row r="24" ht="18.75" customHeight="1">
      <c r="A24" s="55"/>
      <c r="B24" s="56"/>
      <c r="C24" s="58" t="s">
        <v>233</v>
      </c>
      <c r="D24" s="57">
        <v>-32.57</v>
      </c>
      <c r="E24" s="58"/>
      <c r="F24" s="57">
        <v>3.0</v>
      </c>
      <c r="G24" s="58" t="s">
        <v>230</v>
      </c>
      <c r="H24" s="57">
        <v>-38.0</v>
      </c>
      <c r="I24" s="55"/>
      <c r="J24" s="57">
        <v>-29.0</v>
      </c>
      <c r="K24" s="58"/>
      <c r="L24" s="57"/>
      <c r="M24" s="55"/>
      <c r="N24" s="56"/>
      <c r="O24" s="23"/>
      <c r="P24" s="385" t="s">
        <v>27</v>
      </c>
      <c r="Q24" s="386"/>
      <c r="R24" s="387">
        <v>3.0</v>
      </c>
      <c r="S24" s="388">
        <v>-33.0</v>
      </c>
      <c r="T24" s="384">
        <f t="shared" si="2"/>
        <v>46025</v>
      </c>
      <c r="U24" s="64"/>
      <c r="V24" s="23"/>
      <c r="W24" s="64"/>
      <c r="X24" s="303"/>
      <c r="Y24" s="23"/>
      <c r="Z24" s="23"/>
    </row>
    <row r="25" ht="18.75" customHeight="1">
      <c r="A25" s="55"/>
      <c r="B25" s="56"/>
      <c r="C25" s="55"/>
      <c r="D25" s="56"/>
      <c r="E25" s="58" t="s">
        <v>234</v>
      </c>
      <c r="F25" s="57">
        <v>-20.0</v>
      </c>
      <c r="G25" s="55"/>
      <c r="H25" s="57">
        <v>-88.0</v>
      </c>
      <c r="I25" s="55"/>
      <c r="J25" s="57">
        <v>-15.07</v>
      </c>
      <c r="K25" s="58"/>
      <c r="L25" s="57"/>
      <c r="M25" s="55"/>
      <c r="N25" s="56"/>
      <c r="O25" s="23"/>
      <c r="P25" s="414" t="s">
        <v>186</v>
      </c>
      <c r="Q25" s="415"/>
      <c r="R25" s="416">
        <v>4.0</v>
      </c>
      <c r="S25" s="383">
        <v>-50.0</v>
      </c>
      <c r="T25" s="384">
        <f t="shared" si="2"/>
        <v>46026</v>
      </c>
      <c r="U25" s="64"/>
      <c r="V25" s="23"/>
      <c r="W25" s="64"/>
      <c r="X25" s="303"/>
      <c r="Y25" s="23"/>
      <c r="Z25" s="23"/>
    </row>
    <row r="26" ht="18.75" customHeight="1">
      <c r="A26" s="55"/>
      <c r="B26" s="56"/>
      <c r="C26" s="55"/>
      <c r="D26" s="56"/>
      <c r="E26" s="58" t="s">
        <v>87</v>
      </c>
      <c r="F26" s="57">
        <v>-10.89</v>
      </c>
      <c r="G26" s="55"/>
      <c r="H26" s="57"/>
      <c r="I26" s="55"/>
      <c r="J26" s="56"/>
      <c r="K26" s="55"/>
      <c r="L26" s="56"/>
      <c r="M26" s="55"/>
      <c r="N26" s="56"/>
      <c r="O26" s="23"/>
      <c r="P26" s="385" t="s">
        <v>29</v>
      </c>
      <c r="Q26" s="386"/>
      <c r="R26" s="387">
        <v>5.0</v>
      </c>
      <c r="S26" s="388">
        <v>-16.19</v>
      </c>
      <c r="T26" s="384">
        <f t="shared" si="2"/>
        <v>46027</v>
      </c>
      <c r="U26" s="64"/>
      <c r="V26" s="23"/>
      <c r="W26" s="64"/>
      <c r="X26" s="303"/>
      <c r="Y26" s="23"/>
      <c r="Z26" s="23"/>
    </row>
    <row r="27" ht="18.75" customHeight="1">
      <c r="A27" s="55"/>
      <c r="B27" s="56"/>
      <c r="C27" s="55"/>
      <c r="D27" s="56"/>
      <c r="E27" s="55"/>
      <c r="F27" s="56"/>
      <c r="G27" s="55"/>
      <c r="H27" s="56"/>
      <c r="I27" s="55"/>
      <c r="J27" s="56"/>
      <c r="K27" s="55"/>
      <c r="L27" s="56"/>
      <c r="M27" s="55"/>
      <c r="N27" s="56"/>
      <c r="O27" s="23"/>
      <c r="P27" s="385" t="s">
        <v>26</v>
      </c>
      <c r="Q27" s="386"/>
      <c r="R27" s="387">
        <v>7.0</v>
      </c>
      <c r="S27" s="388">
        <v>-150.0</v>
      </c>
      <c r="T27" s="384">
        <f t="shared" si="2"/>
        <v>46029</v>
      </c>
      <c r="U27" s="64"/>
      <c r="V27" s="23"/>
      <c r="W27" s="64"/>
      <c r="X27" s="303"/>
      <c r="Y27" s="23"/>
      <c r="Z27" s="23"/>
    </row>
    <row r="28" ht="18.75" customHeight="1">
      <c r="A28" s="66" t="s">
        <v>22</v>
      </c>
      <c r="B28" s="67">
        <f>N22+SUM(B23:B27)</f>
        <v>2064.64</v>
      </c>
      <c r="C28" s="66"/>
      <c r="D28" s="67">
        <f>B28+SUM(D23:D27)</f>
        <v>1930.07</v>
      </c>
      <c r="E28" s="66"/>
      <c r="F28" s="67">
        <f>D28+SUM(F23:F27)</f>
        <v>1896.19</v>
      </c>
      <c r="G28" s="66"/>
      <c r="H28" s="67">
        <f>F28+SUM(H23:H27)</f>
        <v>1620.19</v>
      </c>
      <c r="I28" s="66"/>
      <c r="J28" s="67">
        <f>H28+SUM(J23:J27)</f>
        <v>1576.12</v>
      </c>
      <c r="K28" s="66"/>
      <c r="L28" s="67">
        <f>J28+SUM(L23:L27)</f>
        <v>1413.12</v>
      </c>
      <c r="M28" s="66"/>
      <c r="N28" s="67">
        <f>L28+SUM(N23:N27)</f>
        <v>1403.13</v>
      </c>
      <c r="O28" s="68"/>
      <c r="P28" s="385" t="s">
        <v>51</v>
      </c>
      <c r="Q28" s="386"/>
      <c r="R28" s="387">
        <v>8.0</v>
      </c>
      <c r="S28" s="388">
        <v>-27.0</v>
      </c>
      <c r="T28" s="384">
        <f t="shared" si="2"/>
        <v>46030</v>
      </c>
      <c r="U28" s="71"/>
      <c r="V28" s="69"/>
      <c r="W28" s="71"/>
      <c r="X28" s="309"/>
      <c r="Y28" s="69"/>
      <c r="Z28" s="69"/>
    </row>
    <row r="29" ht="18.75" customHeight="1">
      <c r="A29" s="50">
        <f>IF(M23="","",IF(MONTH(M23+1)&lt;&gt;MONTH(M23),"",M23+1))</f>
        <v>46040</v>
      </c>
      <c r="B29" s="51">
        <f>SUMIF($T$11:$T$124,A29,$S$11:$S$85)</f>
        <v>-296.84</v>
      </c>
      <c r="C29" s="50">
        <f>IF(A29="","",IF(MONTH(A29+1)&lt;&gt;MONTH(A29),"",A29+1))</f>
        <v>46041</v>
      </c>
      <c r="D29" s="51">
        <f>SUMIF($T$11:$T$124,C29,$S$11:$S$85)</f>
        <v>0</v>
      </c>
      <c r="E29" s="50">
        <f>IF(C29="","",IF(MONTH(C29+1)&lt;&gt;MONTH(C29),"",C29+1))</f>
        <v>46042</v>
      </c>
      <c r="F29" s="51">
        <f>SUMIF($T$11:$T$124,E29,$S$11:$S$85)</f>
        <v>0</v>
      </c>
      <c r="G29" s="50">
        <f>IF(E29="","",IF(MONTH(E29+1)&lt;&gt;MONTH(E29),"",E29+1))</f>
        <v>46043</v>
      </c>
      <c r="H29" s="51">
        <f>SUMIF($T$11:$T$124,G29,$S$11:$S$85)</f>
        <v>-150</v>
      </c>
      <c r="I29" s="50">
        <f>IF(G29="","",IF(MONTH(G29+1)&lt;&gt;MONTH(G29),"",G29+1))</f>
        <v>46044</v>
      </c>
      <c r="J29" s="51">
        <f>SUMIF($T$11:$T$124,I29,$S$11:$S$85)</f>
        <v>2308.41</v>
      </c>
      <c r="K29" s="50">
        <f>IF(I29="","",IF(MONTH(I29+1)&lt;&gt;MONTH(I29),"",I29+1))</f>
        <v>46045</v>
      </c>
      <c r="L29" s="51">
        <f>SUMIF($T$11:$T$124,K29,$S$11:$S$85)</f>
        <v>-10.99</v>
      </c>
      <c r="M29" s="50">
        <f>IF(K29="","",IF(MONTH(K29+1)&lt;&gt;MONTH(K29),"",K29+1))</f>
        <v>46046</v>
      </c>
      <c r="N29" s="51">
        <f>SUMIF($T$11:$T$124,M29,$S$11:$S$85)</f>
        <v>0</v>
      </c>
      <c r="O29" s="23"/>
      <c r="P29" s="385" t="s">
        <v>232</v>
      </c>
      <c r="Q29" s="386"/>
      <c r="R29" s="387">
        <v>9.0</v>
      </c>
      <c r="S29" s="388">
        <v>2288.41</v>
      </c>
      <c r="T29" s="384">
        <f t="shared" si="2"/>
        <v>46031</v>
      </c>
      <c r="U29" s="64"/>
      <c r="V29" s="23"/>
      <c r="W29" s="64"/>
      <c r="X29" s="303"/>
      <c r="Y29" s="23"/>
      <c r="Z29" s="23"/>
    </row>
    <row r="30" ht="18.75" customHeight="1">
      <c r="A30" s="55"/>
      <c r="B30" s="56"/>
      <c r="C30" s="58"/>
      <c r="D30" s="57"/>
      <c r="E30" s="55"/>
      <c r="F30" s="56"/>
      <c r="G30" s="55"/>
      <c r="H30" s="56"/>
      <c r="I30" s="55"/>
      <c r="J30" s="57">
        <v>-16.61</v>
      </c>
      <c r="K30" s="485"/>
      <c r="L30" s="486"/>
      <c r="M30" s="55"/>
      <c r="N30" s="56"/>
      <c r="O30" s="23"/>
      <c r="P30" s="519" t="s">
        <v>214</v>
      </c>
      <c r="Q30" s="511"/>
      <c r="R30" s="416">
        <v>10.0</v>
      </c>
      <c r="S30" s="397">
        <v>-21.8</v>
      </c>
      <c r="T30" s="536">
        <f>IF(ISBLANK(R30),"-",IF(R30&gt;DAY(EOMONTH(DATE($B$2,$E$2,1),0)),EOMONTH(DATE($B$2,$E$2,1),0),DATE($B$2,$E$2,R30)))</f>
        <v>46032</v>
      </c>
      <c r="U30" s="64"/>
      <c r="V30" s="23"/>
      <c r="W30" s="64"/>
      <c r="X30" s="303"/>
      <c r="Y30" s="23"/>
      <c r="Z30" s="23"/>
    </row>
    <row r="31" ht="18.75" customHeight="1">
      <c r="A31" s="55"/>
      <c r="B31" s="56"/>
      <c r="C31" s="55"/>
      <c r="D31" s="56"/>
      <c r="E31" s="55"/>
      <c r="F31" s="56"/>
      <c r="G31" s="55"/>
      <c r="H31" s="56"/>
      <c r="I31" s="55"/>
      <c r="J31" s="57">
        <v>-9.0</v>
      </c>
      <c r="K31" s="55"/>
      <c r="L31" s="57"/>
      <c r="M31" s="55"/>
      <c r="N31" s="56"/>
      <c r="O31" s="23"/>
      <c r="P31" s="385" t="s">
        <v>38</v>
      </c>
      <c r="Q31" s="386"/>
      <c r="R31" s="387">
        <v>11.0</v>
      </c>
      <c r="S31" s="388">
        <v>-50.0</v>
      </c>
      <c r="T31" s="384">
        <f t="shared" ref="T31:T47" si="3">IF(ISBLANK(R31),"-",IF(R31&gt;DAY(EOMONTH(DATE($B$2,$E$2,1),0)),EOMONTH(DATE($B$2,$E$2,1),0),DATE($B$2,$E$2,R31)))</f>
        <v>46033</v>
      </c>
      <c r="U31" s="64"/>
      <c r="V31" s="23"/>
      <c r="W31" s="64"/>
      <c r="X31" s="303"/>
      <c r="Y31" s="23"/>
      <c r="Z31" s="23"/>
    </row>
    <row r="32" ht="18.75" customHeight="1">
      <c r="A32" s="55"/>
      <c r="B32" s="56"/>
      <c r="C32" s="55"/>
      <c r="D32" s="56"/>
      <c r="E32" s="55"/>
      <c r="F32" s="56"/>
      <c r="G32" s="55"/>
      <c r="H32" s="56"/>
      <c r="I32" s="55"/>
      <c r="J32" s="56"/>
      <c r="K32" s="55"/>
      <c r="L32" s="56"/>
      <c r="M32" s="55"/>
      <c r="N32" s="56"/>
      <c r="O32" s="23"/>
      <c r="P32" s="385" t="s">
        <v>40</v>
      </c>
      <c r="Q32" s="386"/>
      <c r="R32" s="387">
        <v>12.0</v>
      </c>
      <c r="S32" s="388">
        <v>-102.0</v>
      </c>
      <c r="T32" s="384">
        <f t="shared" si="3"/>
        <v>46034</v>
      </c>
      <c r="U32" s="64"/>
      <c r="V32" s="23"/>
      <c r="W32" s="64"/>
      <c r="X32" s="303"/>
      <c r="Y32" s="23"/>
      <c r="Z32" s="23"/>
    </row>
    <row r="33" ht="18.75" customHeight="1">
      <c r="A33" s="55"/>
      <c r="B33" s="56"/>
      <c r="C33" s="55"/>
      <c r="D33" s="56"/>
      <c r="E33" s="55"/>
      <c r="F33" s="56"/>
      <c r="G33" s="55"/>
      <c r="H33" s="56"/>
      <c r="I33" s="55"/>
      <c r="J33" s="56"/>
      <c r="K33" s="55"/>
      <c r="L33" s="56"/>
      <c r="M33" s="55"/>
      <c r="N33" s="56"/>
      <c r="O33" s="23"/>
      <c r="P33" s="385" t="s">
        <v>34</v>
      </c>
      <c r="Q33" s="386"/>
      <c r="R33" s="387">
        <v>13.0</v>
      </c>
      <c r="S33" s="388">
        <v>-5.99</v>
      </c>
      <c r="T33" s="384">
        <f t="shared" si="3"/>
        <v>46035</v>
      </c>
      <c r="U33" s="64"/>
      <c r="V33" s="23"/>
      <c r="W33" s="64"/>
      <c r="X33" s="303"/>
      <c r="Y33" s="23"/>
      <c r="Z33" s="23"/>
    </row>
    <row r="34" ht="18.75" customHeight="1">
      <c r="A34" s="66" t="s">
        <v>22</v>
      </c>
      <c r="B34" s="67">
        <f>N28+SUM(B29:B33)</f>
        <v>1106.29</v>
      </c>
      <c r="C34" s="66"/>
      <c r="D34" s="67">
        <f>B34+SUM(D29:D33)</f>
        <v>1106.29</v>
      </c>
      <c r="E34" s="66"/>
      <c r="F34" s="67">
        <f>D34+SUM(F29:F33)</f>
        <v>1106.29</v>
      </c>
      <c r="G34" s="66"/>
      <c r="H34" s="67">
        <f>F34+SUM(H29:H33)</f>
        <v>956.29</v>
      </c>
      <c r="I34" s="66"/>
      <c r="J34" s="67">
        <f>H34+SUM(J29:J33)</f>
        <v>3239.09</v>
      </c>
      <c r="K34" s="66"/>
      <c r="L34" s="67">
        <f>J34+SUM(L29:L33)</f>
        <v>3228.1</v>
      </c>
      <c r="M34" s="66"/>
      <c r="N34" s="67">
        <f>L34+SUM(N29:N33)</f>
        <v>3228.1</v>
      </c>
      <c r="O34" s="68"/>
      <c r="P34" s="385" t="s">
        <v>26</v>
      </c>
      <c r="Q34" s="386"/>
      <c r="R34" s="387">
        <v>14.0</v>
      </c>
      <c r="S34" s="388">
        <v>-150.0</v>
      </c>
      <c r="T34" s="384">
        <f t="shared" si="3"/>
        <v>46036</v>
      </c>
      <c r="U34" s="71"/>
      <c r="V34" s="69"/>
      <c r="W34" s="71"/>
      <c r="X34" s="309"/>
      <c r="Y34" s="69"/>
      <c r="Z34" s="69"/>
    </row>
    <row r="35" ht="18.75" customHeight="1">
      <c r="A35" s="50">
        <f>IF(M29="","",IF(MONTH(M29+1)&lt;&gt;MONTH(M29),"",M29+1))</f>
        <v>46047</v>
      </c>
      <c r="B35" s="51">
        <f>SUMIF($T$11:$T$124,A35,$S$11:$S$85)</f>
        <v>-18.35</v>
      </c>
      <c r="C35" s="50">
        <f>IF(A35="","",IF(MONTH(A35+1)&lt;&gt;MONTH(A35),"",A35+1))</f>
        <v>46048</v>
      </c>
      <c r="D35" s="51">
        <f>SUMIF($T$11:$T$124,C35,$S$11:$S$85)</f>
        <v>0</v>
      </c>
      <c r="E35" s="50">
        <f>IF(C35="","",IF(MONTH(C35+1)&lt;&gt;MONTH(C35),"",C35+1))</f>
        <v>46049</v>
      </c>
      <c r="F35" s="51">
        <f>SUMIF($T$11:$T$124,E35,$S$11:$S$85)</f>
        <v>0</v>
      </c>
      <c r="G35" s="50">
        <f>IF(E35="","",IF(MONTH(E35+1)&lt;&gt;MONTH(E35),"",E35+1))</f>
        <v>46050</v>
      </c>
      <c r="H35" s="51">
        <f>SUMIF($T$11:$T$124,G35,$S$11:$S$85)</f>
        <v>-150</v>
      </c>
      <c r="I35" s="50">
        <f>IF(G35="","",IF(MONTH(G35+1)&lt;&gt;MONTH(G35),"",G35+1))</f>
        <v>46051</v>
      </c>
      <c r="J35" s="51">
        <f>SUMIF($T$11:$T$124,I35,$S$11:$S$85)</f>
        <v>-21.99</v>
      </c>
      <c r="K35" s="50">
        <f>IF(I35="","",IF(MONTH(I35+1)&lt;&gt;MONTH(I35),"",I35+1))</f>
        <v>46052</v>
      </c>
      <c r="L35" s="51">
        <f>SUMIF($T$11:$T$124,K35,$S$11:$S$85)</f>
        <v>-713.95</v>
      </c>
      <c r="M35" s="50">
        <f>IF(K35="","",IF(MONTH(K35+1)&lt;&gt;MONTH(K35),"",K35+1))</f>
        <v>46053</v>
      </c>
      <c r="N35" s="51">
        <f>SUMIF($T$11:$T$124,M35,$S$11:$S$85)</f>
        <v>0</v>
      </c>
      <c r="O35" s="23"/>
      <c r="P35" s="385" t="s">
        <v>43</v>
      </c>
      <c r="Q35" s="386"/>
      <c r="R35" s="387">
        <v>17.0</v>
      </c>
      <c r="S35" s="388">
        <v>-9.99</v>
      </c>
      <c r="T35" s="384">
        <f t="shared" si="3"/>
        <v>46039</v>
      </c>
      <c r="U35" s="64"/>
      <c r="V35" s="23"/>
      <c r="W35" s="64"/>
      <c r="X35" s="303"/>
      <c r="Y35" s="23"/>
      <c r="Z35" s="23"/>
    </row>
    <row r="36" ht="18.75" customHeight="1">
      <c r="A36" s="55"/>
      <c r="B36" s="56"/>
      <c r="C36" s="58" t="s">
        <v>139</v>
      </c>
      <c r="D36" s="57">
        <v>-98.94</v>
      </c>
      <c r="E36" s="55"/>
      <c r="F36" s="56"/>
      <c r="G36" s="55"/>
      <c r="H36" s="56"/>
      <c r="I36" s="55"/>
      <c r="J36" s="57">
        <v>-36.58</v>
      </c>
      <c r="K36" s="55"/>
      <c r="L36" s="56"/>
      <c r="M36" s="55"/>
      <c r="N36" s="56"/>
      <c r="O36" s="23"/>
      <c r="P36" s="385" t="s">
        <v>30</v>
      </c>
      <c r="Q36" s="386"/>
      <c r="R36" s="556">
        <v>18.0</v>
      </c>
      <c r="S36" s="397">
        <v>-296.84</v>
      </c>
      <c r="T36" s="384">
        <f t="shared" si="3"/>
        <v>46040</v>
      </c>
      <c r="U36" s="64"/>
      <c r="V36" s="23"/>
      <c r="W36" s="64"/>
      <c r="X36" s="303"/>
      <c r="Y36" s="23"/>
      <c r="Z36" s="23"/>
    </row>
    <row r="37" ht="18.75" customHeight="1">
      <c r="A37" s="55"/>
      <c r="B37" s="56"/>
      <c r="C37" s="55"/>
      <c r="D37" s="57"/>
      <c r="E37" s="55"/>
      <c r="F37" s="56"/>
      <c r="G37" s="55"/>
      <c r="H37" s="56"/>
      <c r="I37" s="55"/>
      <c r="J37" s="57">
        <v>-19.98</v>
      </c>
      <c r="K37" s="55"/>
      <c r="L37" s="57"/>
      <c r="M37" s="55"/>
      <c r="N37" s="56"/>
      <c r="O37" s="23"/>
      <c r="P37" s="596"/>
      <c r="Q37" s="597"/>
      <c r="R37" s="364"/>
      <c r="S37" s="373"/>
      <c r="T37" s="323" t="str">
        <f t="shared" si="3"/>
        <v>-</v>
      </c>
      <c r="U37" s="64"/>
      <c r="V37" s="23"/>
      <c r="W37" s="64"/>
      <c r="X37" s="303"/>
      <c r="Y37" s="23"/>
      <c r="Z37" s="23"/>
    </row>
    <row r="38" ht="18.75" customHeight="1">
      <c r="A38" s="55"/>
      <c r="B38" s="56"/>
      <c r="C38" s="55"/>
      <c r="D38" s="57"/>
      <c r="E38" s="55"/>
      <c r="F38" s="56"/>
      <c r="G38" s="55"/>
      <c r="H38" s="56"/>
      <c r="I38" s="58" t="s">
        <v>29</v>
      </c>
      <c r="J38" s="57">
        <v>-21.59</v>
      </c>
      <c r="K38" s="55"/>
      <c r="L38" s="56"/>
      <c r="M38" s="55"/>
      <c r="N38" s="56"/>
      <c r="O38" s="23"/>
      <c r="P38" s="385" t="s">
        <v>26</v>
      </c>
      <c r="Q38" s="386"/>
      <c r="R38" s="387">
        <v>21.0</v>
      </c>
      <c r="S38" s="388">
        <v>-150.0</v>
      </c>
      <c r="T38" s="384">
        <f t="shared" si="3"/>
        <v>46043</v>
      </c>
      <c r="U38" s="64"/>
      <c r="V38" s="23"/>
      <c r="W38" s="64"/>
      <c r="X38" s="303"/>
      <c r="Y38" s="23"/>
      <c r="Z38" s="23"/>
    </row>
    <row r="39" ht="18.75" customHeight="1">
      <c r="A39" s="55"/>
      <c r="B39" s="56"/>
      <c r="C39" s="55"/>
      <c r="D39" s="56"/>
      <c r="E39" s="55"/>
      <c r="F39" s="56"/>
      <c r="G39" s="55"/>
      <c r="H39" s="56"/>
      <c r="I39" s="55"/>
      <c r="J39" s="56"/>
      <c r="K39" s="55"/>
      <c r="L39" s="56"/>
      <c r="M39" s="55"/>
      <c r="N39" s="56"/>
      <c r="O39" s="23"/>
      <c r="P39" s="385" t="s">
        <v>41</v>
      </c>
      <c r="Q39" s="386"/>
      <c r="R39" s="387">
        <v>22.0</v>
      </c>
      <c r="S39" s="388">
        <v>2308.41</v>
      </c>
      <c r="T39" s="384">
        <f t="shared" si="3"/>
        <v>46044</v>
      </c>
      <c r="U39" s="64"/>
      <c r="V39" s="23"/>
      <c r="W39" s="64"/>
      <c r="X39" s="303"/>
      <c r="Y39" s="23"/>
      <c r="Z39" s="23"/>
    </row>
    <row r="40" ht="18.75" customHeight="1">
      <c r="A40" s="66" t="s">
        <v>22</v>
      </c>
      <c r="B40" s="67">
        <f>N34+SUM(B35:B39)</f>
        <v>3209.75</v>
      </c>
      <c r="C40" s="66"/>
      <c r="D40" s="355">
        <v>3019.24</v>
      </c>
      <c r="E40" s="66"/>
      <c r="F40" s="67">
        <f>D40+SUM(F35:F39)</f>
        <v>3019.24</v>
      </c>
      <c r="G40" s="66"/>
      <c r="H40" s="67">
        <f>F40+SUM(H35:H39)</f>
        <v>2869.24</v>
      </c>
      <c r="I40" s="66"/>
      <c r="J40" s="67">
        <f>H40+SUM(J35:J39)</f>
        <v>2769.1</v>
      </c>
      <c r="K40" s="66"/>
      <c r="L40" s="67">
        <f>J40+SUM(L35:L39)</f>
        <v>2055.15</v>
      </c>
      <c r="M40" s="66"/>
      <c r="N40" s="67">
        <f>L40+SUM(N35:N39)</f>
        <v>2055.15</v>
      </c>
      <c r="O40" s="68"/>
      <c r="P40" s="385" t="s">
        <v>46</v>
      </c>
      <c r="Q40" s="386"/>
      <c r="R40" s="387">
        <v>23.0</v>
      </c>
      <c r="S40" s="388">
        <v>-10.99</v>
      </c>
      <c r="T40" s="384">
        <f t="shared" si="3"/>
        <v>46045</v>
      </c>
      <c r="U40" s="71"/>
      <c r="V40" s="69"/>
      <c r="W40" s="71"/>
      <c r="X40" s="309"/>
      <c r="Y40" s="69"/>
      <c r="Z40" s="69"/>
    </row>
    <row r="41" ht="12.75" customHeight="1">
      <c r="A41" s="50" t="str">
        <f>IF(M35="","",IF(MONTH(M35+1)&lt;&gt;MONTH(M35),"",M35+1))</f>
        <v/>
      </c>
      <c r="B41" s="51">
        <f>SUMIF($T$11:$T$130,A41,$S$11:$S$91)</f>
        <v>0</v>
      </c>
      <c r="C41" s="50" t="str">
        <f>IF(A41="","",IF(MONTH(A41+1)&lt;&gt;MONTH(A41),"",A41+1))</f>
        <v/>
      </c>
      <c r="D41" s="51">
        <f>SUMIF($T$11:$T$130,C41,$S$11:$S$91)</f>
        <v>0</v>
      </c>
      <c r="P41" s="385" t="s">
        <v>34</v>
      </c>
      <c r="Q41" s="386"/>
      <c r="R41" s="387">
        <v>24.0</v>
      </c>
      <c r="S41" s="388"/>
      <c r="T41" s="384">
        <f t="shared" si="3"/>
        <v>46046</v>
      </c>
    </row>
    <row r="42" ht="12.75" customHeight="1">
      <c r="A42" s="55"/>
      <c r="B42" s="56"/>
      <c r="C42" s="55"/>
      <c r="D42" s="56"/>
      <c r="P42" s="380" t="s">
        <v>44</v>
      </c>
      <c r="Q42" s="381"/>
      <c r="R42" s="382">
        <v>25.0</v>
      </c>
      <c r="S42" s="397">
        <v>-18.35</v>
      </c>
      <c r="T42" s="384">
        <f t="shared" si="3"/>
        <v>46047</v>
      </c>
    </row>
    <row r="43" ht="12.75" customHeight="1">
      <c r="A43" s="55"/>
      <c r="B43" s="56"/>
      <c r="C43" s="55"/>
      <c r="D43" s="56"/>
      <c r="P43" s="385" t="s">
        <v>26</v>
      </c>
      <c r="Q43" s="386"/>
      <c r="R43" s="387">
        <v>28.0</v>
      </c>
      <c r="S43" s="388">
        <v>-150.0</v>
      </c>
      <c r="T43" s="384">
        <f t="shared" si="3"/>
        <v>46050</v>
      </c>
    </row>
    <row r="44" ht="12.75" customHeight="1">
      <c r="A44" s="55"/>
      <c r="B44" s="56"/>
      <c r="C44" s="55"/>
      <c r="D44" s="56"/>
      <c r="P44" s="519" t="s">
        <v>53</v>
      </c>
      <c r="Q44" s="511"/>
      <c r="R44" s="556">
        <v>29.0</v>
      </c>
      <c r="S44" s="397">
        <v>-10.99</v>
      </c>
      <c r="T44" s="384">
        <f t="shared" si="3"/>
        <v>46051</v>
      </c>
    </row>
    <row r="45" ht="12.75" customHeight="1">
      <c r="A45" s="55"/>
      <c r="B45" s="56"/>
      <c r="C45" s="55"/>
      <c r="D45" s="56"/>
      <c r="P45" s="380" t="s">
        <v>55</v>
      </c>
      <c r="Q45" s="381"/>
      <c r="R45" s="557">
        <v>30.0</v>
      </c>
      <c r="S45" s="397">
        <v>-18.35</v>
      </c>
      <c r="T45" s="384">
        <f t="shared" si="3"/>
        <v>46052</v>
      </c>
    </row>
    <row r="46" ht="12.75" customHeight="1">
      <c r="A46" s="66" t="s">
        <v>22</v>
      </c>
      <c r="B46" s="67">
        <f>N40+SUM(B41:B45)</f>
        <v>2055.15</v>
      </c>
      <c r="C46" s="66"/>
      <c r="D46" s="67">
        <f>B46+SUM(D41:D45)</f>
        <v>2055.15</v>
      </c>
      <c r="P46" s="385" t="s">
        <v>54</v>
      </c>
      <c r="Q46" s="386"/>
      <c r="R46" s="387">
        <v>29.0</v>
      </c>
      <c r="S46" s="388">
        <v>-11.0</v>
      </c>
      <c r="T46" s="384">
        <f t="shared" si="3"/>
        <v>46051</v>
      </c>
    </row>
    <row r="47" ht="12.75" customHeight="1">
      <c r="P47" s="385" t="s">
        <v>142</v>
      </c>
      <c r="Q47" s="386"/>
      <c r="R47" s="387">
        <v>30.0</v>
      </c>
      <c r="S47" s="388"/>
      <c r="T47" s="384">
        <f t="shared" si="3"/>
        <v>46052</v>
      </c>
    </row>
    <row r="48" ht="12.75" customHeight="1">
      <c r="P48" s="367"/>
      <c r="Q48" s="368"/>
      <c r="R48" s="405"/>
      <c r="S48" s="409"/>
      <c r="T48" s="376"/>
    </row>
    <row r="49" ht="12.75" customHeight="1">
      <c r="P49" s="367"/>
      <c r="Q49" s="368"/>
      <c r="R49" s="405"/>
      <c r="S49" s="370"/>
      <c r="T49" s="376"/>
    </row>
    <row r="50" ht="12.75" customHeight="1">
      <c r="P50" s="542"/>
      <c r="Q50" s="407"/>
      <c r="R50" s="543"/>
      <c r="S50" s="544"/>
      <c r="T50" s="376" t="str">
        <f t="shared" ref="T50:T54" si="4">IF(ISBLANK(R50),"-",IF(R50&gt;DAY(EOMONTH(DATE($B$2,$E$2,1),0)),EOMONTH(DATE($B$2,$E$2,1),0),DATE($B$2,$E$2,$R$47)))</f>
        <v>-</v>
      </c>
    </row>
    <row r="51" ht="12.75" customHeight="1">
      <c r="P51" s="542"/>
      <c r="Q51" s="407"/>
      <c r="R51" s="543"/>
      <c r="S51" s="544"/>
      <c r="T51" s="376" t="str">
        <f t="shared" si="4"/>
        <v>-</v>
      </c>
    </row>
    <row r="52" ht="12.75" customHeight="1">
      <c r="P52" s="542"/>
      <c r="Q52" s="407"/>
      <c r="R52" s="543"/>
      <c r="S52" s="544"/>
      <c r="T52" s="376" t="str">
        <f t="shared" si="4"/>
        <v>-</v>
      </c>
    </row>
    <row r="53" ht="12.75" customHeight="1">
      <c r="P53" s="542"/>
      <c r="Q53" s="407"/>
      <c r="R53" s="543"/>
      <c r="S53" s="544"/>
      <c r="T53" s="376" t="str">
        <f t="shared" si="4"/>
        <v>-</v>
      </c>
    </row>
    <row r="54" ht="12.75" customHeight="1">
      <c r="P54" s="542"/>
      <c r="Q54" s="407"/>
      <c r="R54" s="543"/>
      <c r="S54" s="544"/>
      <c r="T54" s="376" t="str">
        <f t="shared" si="4"/>
        <v>-</v>
      </c>
    </row>
    <row r="55" ht="12.75" customHeight="1">
      <c r="P55" s="19"/>
      <c r="Q55" s="19"/>
      <c r="R55" s="285"/>
      <c r="S55" s="286"/>
      <c r="T55" s="19"/>
    </row>
    <row r="56" ht="12.75" customHeight="1">
      <c r="P56" s="19"/>
      <c r="Q56" s="19"/>
      <c r="R56" s="285"/>
      <c r="S56" s="286"/>
      <c r="T56" s="19"/>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c r="S927" s="337"/>
    </row>
    <row r="928" ht="12.75" customHeight="1">
      <c r="R928" s="336"/>
    </row>
    <row r="929" ht="12.75" customHeight="1">
      <c r="R929" s="336"/>
    </row>
    <row r="930" ht="12.75" customHeight="1">
      <c r="R930" s="336"/>
    </row>
    <row r="931" ht="12.75" customHeight="1">
      <c r="R931"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1">
    <cfRule type="cellIs" dxfId="5" priority="1" operator="lessThan">
      <formula>0</formula>
    </cfRule>
  </conditionalFormatting>
  <dataValidations>
    <dataValidation type="list" allowBlank="1" showErrorMessage="1" sqref="Q12:Q54">
      <formula1>"✔"</formula1>
    </dataValidation>
    <dataValidation type="custom" allowBlank="1" showDropDown="1" sqref="T12:T54">
      <formula1>OR(NOT(ISERROR(DATEVALUE(T12))), AND(ISNUMBER(T12), LEFT(CELL("format", T12))="D"))</formula1>
    </dataValidation>
  </dataValidations>
  <hyperlinks>
    <hyperlink r:id="rId1" ref="T3"/>
  </hyperlinks>
  <drawing r:id="rId2"/>
  <tableParts count="1">
    <tablePart r:id="rId4"/>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7.75"/>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2026.0</v>
      </c>
      <c r="C2" s="3"/>
      <c r="D2" s="9" t="s">
        <v>2</v>
      </c>
      <c r="E2" s="10">
        <v>2.0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FEBRUARY 2026</v>
      </c>
      <c r="B5" s="22"/>
      <c r="C5" s="22"/>
      <c r="D5" s="22"/>
      <c r="E5" s="22"/>
      <c r="F5" s="22"/>
      <c r="G5" s="22"/>
      <c r="H5" s="23"/>
      <c r="I5" s="23"/>
      <c r="J5" s="23"/>
      <c r="K5" s="22"/>
      <c r="L5" s="24" t="s">
        <v>7</v>
      </c>
      <c r="M5" s="25">
        <f>'January 2026'!M6</f>
        <v>2055.15</v>
      </c>
      <c r="N5" s="26"/>
      <c r="O5" s="23"/>
      <c r="P5" s="27"/>
      <c r="Q5" s="27"/>
      <c r="R5" s="287" t="s">
        <v>8</v>
      </c>
      <c r="S5" s="288">
        <f>SUMIF(A18:N21,"&gt;0")+SUMIF(A24:N27,"&gt;0")+SUMIF(A30:N33,"&gt;0")+SUMIF(A36:N39,"&gt;0")+SUMIF(#REF!,"&gt;0")+SUMIF(S12:S40,"&gt;0")+SUMIF(A12:N15,"&gt;0")</f>
        <v>6183.45</v>
      </c>
      <c r="U5" s="23"/>
      <c r="V5" s="289">
        <f>sum(S5+S6)</f>
        <v>-1128.95</v>
      </c>
      <c r="W5" s="23"/>
      <c r="X5" s="23"/>
      <c r="Y5" s="23"/>
      <c r="Z5" s="23"/>
    </row>
    <row r="6" ht="25.5" customHeight="1">
      <c r="A6" s="31"/>
      <c r="B6" s="31"/>
      <c r="C6" s="31"/>
      <c r="D6" s="31"/>
      <c r="E6" s="31"/>
      <c r="F6" s="32"/>
      <c r="G6" s="33"/>
      <c r="H6" s="34"/>
      <c r="I6" s="34"/>
      <c r="J6" s="34"/>
      <c r="K6" s="31"/>
      <c r="L6" s="24" t="s">
        <v>9</v>
      </c>
      <c r="M6" s="35">
        <f>D46</f>
        <v>2221.8</v>
      </c>
      <c r="O6" s="34"/>
      <c r="P6" s="36"/>
      <c r="Q6" s="36"/>
      <c r="R6" s="287" t="s">
        <v>10</v>
      </c>
      <c r="S6" s="288">
        <f>SUMIF(A18:N21,"&lt;0")+SUMIF(A24:N27,"&lt;0")+SUMIF(A30:N33,"&lt;0")+SUMIF(A36:N39,"&lt;0")+SUMIF(#REF!,"&lt;0")+SUMIF(S12:S197,"&lt;0")+SUMIF(A12:N15,"&lt;0")</f>
        <v>-7312.4</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46054</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46061</v>
      </c>
      <c r="B9" s="40"/>
      <c r="C9" s="39">
        <f>C17</f>
        <v>46062</v>
      </c>
      <c r="D9" s="40"/>
      <c r="E9" s="39">
        <f>E17</f>
        <v>46063</v>
      </c>
      <c r="F9" s="40"/>
      <c r="G9" s="39">
        <f>G17</f>
        <v>46064</v>
      </c>
      <c r="H9" s="40"/>
      <c r="I9" s="39">
        <f>I17</f>
        <v>46065</v>
      </c>
      <c r="J9" s="40"/>
      <c r="K9" s="39">
        <f>K17</f>
        <v>46066</v>
      </c>
      <c r="L9" s="40"/>
      <c r="M9" s="39">
        <f>M17</f>
        <v>46067</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f>IF(WEEKDAY($B$8,1)=$H$2,$B$8,"")</f>
        <v>46054</v>
      </c>
      <c r="B11" s="51">
        <f>SUMIF($T$11:$T$124,A11,$S$11:$S$85)</f>
        <v>-63</v>
      </c>
      <c r="C11" s="50">
        <f>IF(A11="",IF(WEEKDAY($B$8,1)=MOD($H$2,7)+1,$B$8,""),A11+1)</f>
        <v>46055</v>
      </c>
      <c r="D11" s="51">
        <f>SUMIF($T$11:$T$124,C11,$S$11:$S$85)</f>
        <v>-1461.99</v>
      </c>
      <c r="E11" s="50">
        <f>IF(C11="",IF(WEEKDAY($B$8,1)=MOD($H$2+1,7)+1,$B$8,""),C11+1)</f>
        <v>46056</v>
      </c>
      <c r="F11" s="51">
        <f>SUMIF($T$11:$T$124,E11,$S$11:$S$85)</f>
        <v>1500</v>
      </c>
      <c r="G11" s="50">
        <f>IF(E11="",IF(WEEKDAY($B$8,1)=MOD($H$2+2,7)+1,$B$8,""),E11+1)</f>
        <v>46057</v>
      </c>
      <c r="H11" s="51">
        <f>SUMIF($T$11:$T$124,G11,$S$11:$S$85)</f>
        <v>-236</v>
      </c>
      <c r="I11" s="50">
        <f>IF(G11="",IF(WEEKDAY($B$8,1)=MOD($H$2+3,7)+1,$B$8,""),G11+1)</f>
        <v>46058</v>
      </c>
      <c r="J11" s="51">
        <f>SUMIF($T$11:$T$124,I11,$S$11:$S$85)</f>
        <v>1070.64</v>
      </c>
      <c r="K11" s="50">
        <f>IF(I11="",IF(WEEKDAY($B$8,1)=MOD($H$2+4,7)+1,$B$8,""),I11+1)</f>
        <v>46059</v>
      </c>
      <c r="L11" s="51">
        <f>SUMIF($T$11:$T$124,K11,$S$11:$S$85)</f>
        <v>0</v>
      </c>
      <c r="M11" s="50">
        <f>IF(K11="",IF(WEEKDAY($B$8,1)=MOD($H$2+5,7)+1,$B$8,""),K11+1)</f>
        <v>46060</v>
      </c>
      <c r="N11" s="51">
        <f>SUMIF($T$11:$T$124,M11,$S$11:$S$85)</f>
        <v>0</v>
      </c>
      <c r="O11" s="23"/>
      <c r="P11" s="52" t="s">
        <v>13</v>
      </c>
      <c r="Q11" s="53" t="s">
        <v>14</v>
      </c>
      <c r="R11" s="53" t="s">
        <v>15</v>
      </c>
      <c r="S11" s="96" t="s">
        <v>16</v>
      </c>
      <c r="T11" s="53" t="s">
        <v>17</v>
      </c>
      <c r="U11" s="23"/>
      <c r="V11" s="23"/>
      <c r="W11" s="23"/>
      <c r="X11" s="23"/>
      <c r="Y11" s="23"/>
      <c r="Z11" s="23"/>
    </row>
    <row r="12" ht="18.75" customHeight="1">
      <c r="A12" s="55"/>
      <c r="B12" s="57">
        <v>-54.43</v>
      </c>
      <c r="C12" s="55"/>
      <c r="D12" s="56"/>
      <c r="E12" s="58"/>
      <c r="F12" s="57">
        <v>19.0</v>
      </c>
      <c r="G12" s="55"/>
      <c r="H12" s="57"/>
      <c r="I12" s="58"/>
      <c r="J12" s="57"/>
      <c r="K12" s="58"/>
      <c r="L12" s="57">
        <v>-28.33</v>
      </c>
      <c r="M12" s="55"/>
      <c r="N12" s="56"/>
      <c r="O12" s="23"/>
      <c r="P12" s="398" t="s">
        <v>89</v>
      </c>
      <c r="Q12" s="399"/>
      <c r="R12" s="400">
        <v>9.0</v>
      </c>
      <c r="S12" s="393">
        <f t="array" ref="S12">-INDEX(PaymentSchedule!$E$21:$AG931,MATCH(PaymentSchedule!$B$34,PaymentSchedule!$B$21:$B$100),MATCH($P12,PaymentSchedule!$E$19:$AG$19,0))</f>
        <v>-122</v>
      </c>
      <c r="T12" s="394">
        <f t="shared" ref="T12:T15" si="1">IF(ISBLANK(R12),"-",IF(R12&gt;DAY(EOMONTH(DATE($B$2,$E$2,1),0)),EOMONTH(DATE($B$2,$E$2,1),0),DATE($B$2,$E$2,R12)))</f>
        <v>46062</v>
      </c>
      <c r="U12" s="64"/>
      <c r="V12" s="23"/>
      <c r="W12" s="64"/>
      <c r="X12" s="303"/>
      <c r="Y12" s="23"/>
      <c r="Z12" s="23"/>
    </row>
    <row r="13" ht="18.75" customHeight="1">
      <c r="A13" s="55"/>
      <c r="B13" s="56"/>
      <c r="C13" s="55"/>
      <c r="D13" s="56"/>
      <c r="E13" s="55"/>
      <c r="F13" s="56"/>
      <c r="G13" s="55"/>
      <c r="H13" s="56"/>
      <c r="I13" s="55"/>
      <c r="J13" s="57"/>
      <c r="K13" s="58"/>
      <c r="L13" s="57"/>
      <c r="M13" s="55"/>
      <c r="N13" s="56"/>
      <c r="O13" s="23"/>
      <c r="P13" s="398" t="s">
        <v>85</v>
      </c>
      <c r="Q13" s="399"/>
      <c r="R13" s="400">
        <v>19.0</v>
      </c>
      <c r="S13" s="393">
        <f t="array" ref="S13">-INDEX(PaymentSchedule!$E$21:$AG931,MATCH(PaymentSchedule!$B$34,PaymentSchedule!$B$21:$B$100),MATCH($P13,PaymentSchedule!$E$19:$AG$19,0))</f>
        <v>-163</v>
      </c>
      <c r="T13" s="394">
        <f t="shared" si="1"/>
        <v>46072</v>
      </c>
      <c r="U13" s="64"/>
      <c r="V13" s="23"/>
      <c r="W13" s="64"/>
      <c r="X13" s="303"/>
      <c r="Y13" s="23"/>
      <c r="Z13" s="23"/>
    </row>
    <row r="14" ht="18.75" customHeight="1">
      <c r="A14" s="55"/>
      <c r="B14" s="56"/>
      <c r="C14" s="55"/>
      <c r="D14" s="56"/>
      <c r="E14" s="55"/>
      <c r="F14" s="56"/>
      <c r="G14" s="55"/>
      <c r="H14" s="56"/>
      <c r="I14" s="58"/>
      <c r="J14" s="57"/>
      <c r="K14" s="58"/>
      <c r="L14" s="57"/>
      <c r="M14" s="55"/>
      <c r="N14" s="56"/>
      <c r="O14" s="23"/>
      <c r="P14" s="398" t="s">
        <v>86</v>
      </c>
      <c r="Q14" s="399"/>
      <c r="R14" s="400">
        <v>5.0</v>
      </c>
      <c r="S14" s="393">
        <f t="array" ref="S14">-INDEX(PaymentSchedule!$E$21:$AG931,MATCH(PaymentSchedule!$B$34,PaymentSchedule!$B$21:$B$100),MATCH($P14,PaymentSchedule!$E$19:$AG$19,0))</f>
        <v>-791.16</v>
      </c>
      <c r="T14" s="394">
        <f t="shared" si="1"/>
        <v>46058</v>
      </c>
      <c r="U14" s="64"/>
      <c r="V14" s="23"/>
      <c r="W14" s="64"/>
      <c r="X14" s="303"/>
      <c r="Y14" s="23"/>
      <c r="Z14" s="23"/>
    </row>
    <row r="15" ht="18.75" customHeight="1">
      <c r="A15" s="55"/>
      <c r="B15" s="56"/>
      <c r="C15" s="55"/>
      <c r="D15" s="56"/>
      <c r="E15" s="55"/>
      <c r="F15" s="56"/>
      <c r="G15" s="55"/>
      <c r="H15" s="56"/>
      <c r="I15" s="55"/>
      <c r="J15" s="56"/>
      <c r="K15" s="55"/>
      <c r="L15" s="56"/>
      <c r="M15" s="55"/>
      <c r="N15" s="56"/>
      <c r="O15" s="23"/>
      <c r="P15" s="398" t="s">
        <v>20</v>
      </c>
      <c r="Q15" s="399"/>
      <c r="R15" s="400">
        <v>2.0</v>
      </c>
      <c r="S15" s="393">
        <f t="array" ref="S15">-INDEX(PaymentSchedule!$E$21:$AG931,MATCH(PaymentSchedule!$B$34,PaymentSchedule!$B$21:$B$100),MATCH($P15,PaymentSchedule!$E$19:$AG$19,0))</f>
        <v>-1461.99</v>
      </c>
      <c r="T15" s="394">
        <f t="shared" si="1"/>
        <v>46055</v>
      </c>
      <c r="U15" s="64"/>
      <c r="V15" s="23"/>
      <c r="W15" s="64"/>
      <c r="X15" s="303"/>
      <c r="Y15" s="23"/>
      <c r="Z15" s="23"/>
    </row>
    <row r="16" ht="18.75" customHeight="1">
      <c r="A16" s="66" t="s">
        <v>22</v>
      </c>
      <c r="B16" s="67">
        <f>$M$5+SUM(B11:B15)</f>
        <v>1937.72</v>
      </c>
      <c r="C16" s="66"/>
      <c r="D16" s="67">
        <f>B16+SUM(D11:D15)</f>
        <v>475.73</v>
      </c>
      <c r="E16" s="66"/>
      <c r="F16" s="67">
        <f>D16+SUM(F11:F15)</f>
        <v>1994.73</v>
      </c>
      <c r="G16" s="66"/>
      <c r="H16" s="67">
        <f>F16+SUM(H11:H15)</f>
        <v>1758.73</v>
      </c>
      <c r="I16" s="66"/>
      <c r="J16" s="67">
        <f>H16+SUM(J11:J15)</f>
        <v>2829.37</v>
      </c>
      <c r="K16" s="66"/>
      <c r="L16" s="67">
        <f>J16+SUM(L11:L15)</f>
        <v>2801.04</v>
      </c>
      <c r="M16" s="66"/>
      <c r="N16" s="67">
        <f>L16+SUM(N11:N15)</f>
        <v>2801.04</v>
      </c>
      <c r="O16" s="68"/>
      <c r="P16" s="546" t="s">
        <v>87</v>
      </c>
      <c r="Q16" s="547"/>
      <c r="R16" s="548"/>
      <c r="S16" s="598">
        <f t="array" ref="S16">-INDEX(PaymentSchedule!$E$21:$AG931,MATCH(PaymentSchedule!$B$31,PaymentSchedule!$B$21:$B$100),MATCH($P16,PaymentSchedule!$E$19:$AG$19,0))</f>
        <v>-695.6</v>
      </c>
      <c r="T16" s="599" t="str">
        <f>IF(ISBLANK(R16),"-",IF(R16&gt;DAY(EOMONTH(DATE($B$2,$E$2,1),0)),EOMONTH(DATE($B$2,$E$2,1),0),DATE($B$2,$E$2,R16)))</f>
        <v>-</v>
      </c>
      <c r="U16" s="71"/>
      <c r="V16" s="69"/>
      <c r="W16" s="71"/>
      <c r="X16" s="309"/>
      <c r="Y16" s="69"/>
      <c r="Z16" s="69"/>
    </row>
    <row r="17" ht="18.75" customHeight="1">
      <c r="A17" s="50">
        <f>IF(M11="","",IF(MONTH(M11+1)&lt;&gt;MONTH(M11),"",M11+1))</f>
        <v>46061</v>
      </c>
      <c r="B17" s="51">
        <f>SUMIF($T$11:$T$124,A17,$S$11:$S$85)</f>
        <v>-48.8</v>
      </c>
      <c r="C17" s="50">
        <f>IF(A17="","",IF(MONTH(A17+1)&lt;&gt;MONTH(A17),"",A17+1))</f>
        <v>46062</v>
      </c>
      <c r="D17" s="51">
        <f>SUMIF($T$11:$T$124,C17,$S$11:$S$85)</f>
        <v>-730.11</v>
      </c>
      <c r="E17" s="50">
        <f>IF(C17="","",IF(MONTH(C17+1)&lt;&gt;MONTH(C17),"",C17+1))</f>
        <v>46063</v>
      </c>
      <c r="F17" s="51">
        <f>SUMIF($T$11:$T$124,E17,$S$11:$S$85)</f>
        <v>-55.99</v>
      </c>
      <c r="G17" s="50">
        <f>IF(E17="","",IF(MONTH(E17+1)&lt;&gt;MONTH(E17),"",E17+1))</f>
        <v>46064</v>
      </c>
      <c r="H17" s="51">
        <f>SUMIF($T$11:$T$124,G17,$S$11:$S$85)</f>
        <v>-150</v>
      </c>
      <c r="I17" s="50">
        <f>IF(G17="","",IF(MONTH(G17+1)&lt;&gt;MONTH(G17),"",G17+1))</f>
        <v>46065</v>
      </c>
      <c r="J17" s="51">
        <f>SUMIF($T$11:$T$124,I17,$S$11:$S$85)</f>
        <v>0</v>
      </c>
      <c r="K17" s="50">
        <f>IF(I17="","",IF(MONTH(I17+1)&lt;&gt;MONTH(I17),"",I17+1))</f>
        <v>46066</v>
      </c>
      <c r="L17" s="51">
        <f>SUMIF($T$11:$T$124,K17,$S$11:$S$85)</f>
        <v>-102</v>
      </c>
      <c r="M17" s="50">
        <f>IF(K17="","",IF(MONTH(K17+1)&lt;&gt;MONTH(K17),"",K17+1))</f>
        <v>46067</v>
      </c>
      <c r="N17" s="51">
        <f>SUMIF($T$11:$T$124,M17,$S$11:$S$85)</f>
        <v>0</v>
      </c>
      <c r="O17" s="23"/>
      <c r="P17" s="398" t="s">
        <v>37</v>
      </c>
      <c r="Q17" s="399"/>
      <c r="R17" s="400">
        <v>9.0</v>
      </c>
      <c r="S17" s="393">
        <f t="array" ref="S17">-INDEX(PaymentSchedule!$E$21:$AG931,MATCH(PaymentSchedule!$B$34,PaymentSchedule!$B$21:$B$100),MATCH($P17,PaymentSchedule!$E$19:$AG$19,0))</f>
        <v>-80</v>
      </c>
      <c r="T17" s="394">
        <f t="shared" ref="T17:T24" si="2">IF(ISBLANK(R17),"-",IF(R17&gt;DAY(EOMONTH(DATE($B$2,$E$2,1),0)),EOMONTH(DATE($B$2,$E$2,1),0),DATE($B$2,$E$2,R17)))</f>
        <v>46062</v>
      </c>
      <c r="U17" s="64"/>
      <c r="V17" s="23"/>
      <c r="W17" s="64"/>
      <c r="X17" s="303"/>
      <c r="Y17" s="23"/>
      <c r="Z17" s="23"/>
    </row>
    <row r="18" ht="18.75" customHeight="1">
      <c r="A18" s="55"/>
      <c r="B18" s="56"/>
      <c r="C18" s="58" t="s">
        <v>229</v>
      </c>
      <c r="D18" s="57">
        <v>-45.67</v>
      </c>
      <c r="E18" s="58" t="s">
        <v>147</v>
      </c>
      <c r="F18" s="57">
        <v>-109.0</v>
      </c>
      <c r="G18" s="58"/>
      <c r="H18" s="57"/>
      <c r="I18" s="58"/>
      <c r="J18" s="57"/>
      <c r="K18" s="58" t="s">
        <v>87</v>
      </c>
      <c r="L18" s="57">
        <v>-10.89</v>
      </c>
      <c r="M18" s="55"/>
      <c r="N18" s="56"/>
      <c r="O18" s="23"/>
      <c r="P18" s="398" t="s">
        <v>36</v>
      </c>
      <c r="Q18" s="399"/>
      <c r="R18" s="400">
        <v>9.0</v>
      </c>
      <c r="S18" s="393">
        <f t="array" ref="S18">-INDEX(PaymentSchedule!$E$21:$AG931,MATCH(PaymentSchedule!$B$34,PaymentSchedule!$B$21:$B$100),MATCH($P18,PaymentSchedule!$E$19:$AG$19,0))</f>
        <v>-450.08</v>
      </c>
      <c r="T18" s="394">
        <f t="shared" si="2"/>
        <v>46062</v>
      </c>
      <c r="U18" s="64"/>
      <c r="V18" s="23"/>
      <c r="Y18" s="23"/>
      <c r="Z18" s="23"/>
    </row>
    <row r="19" ht="18.75" customHeight="1">
      <c r="A19" s="55"/>
      <c r="B19" s="56"/>
      <c r="C19" s="58" t="s">
        <v>165</v>
      </c>
      <c r="D19" s="57">
        <v>-137.18</v>
      </c>
      <c r="E19" s="55"/>
      <c r="F19" s="56"/>
      <c r="G19" s="55"/>
      <c r="H19" s="56"/>
      <c r="I19" s="55"/>
      <c r="J19" s="56"/>
      <c r="K19" s="58"/>
      <c r="L19" s="57">
        <v>27.25</v>
      </c>
      <c r="M19" s="55"/>
      <c r="N19" s="56"/>
      <c r="O19" s="23"/>
      <c r="P19" s="398" t="s">
        <v>25</v>
      </c>
      <c r="Q19" s="399"/>
      <c r="R19" s="400">
        <v>9.0</v>
      </c>
      <c r="S19" s="393">
        <f t="array" ref="S19">-INDEX(PaymentSchedule!$E$21:$AG931,MATCH(PaymentSchedule!$B$34,PaymentSchedule!$B$21:$B$100),MATCH($P19,PaymentSchedule!$E$19:$AG$19,0))</f>
        <v>-78.03</v>
      </c>
      <c r="T19" s="394">
        <f t="shared" si="2"/>
        <v>46062</v>
      </c>
      <c r="U19" s="64"/>
      <c r="V19" s="23"/>
      <c r="W19" s="64"/>
      <c r="X19" s="303"/>
      <c r="Y19" s="23"/>
      <c r="Z19" s="23"/>
    </row>
    <row r="20" ht="18.75" customHeight="1">
      <c r="A20" s="55"/>
      <c r="B20" s="56"/>
      <c r="C20" s="55"/>
      <c r="D20" s="56"/>
      <c r="E20" s="55"/>
      <c r="F20" s="56"/>
      <c r="G20" s="55"/>
      <c r="H20" s="56"/>
      <c r="I20" s="55"/>
      <c r="J20" s="56"/>
      <c r="K20" s="55"/>
      <c r="L20" s="57">
        <v>19.6</v>
      </c>
      <c r="M20" s="55"/>
      <c r="N20" s="56"/>
      <c r="O20" s="23"/>
      <c r="P20" s="380" t="s">
        <v>55</v>
      </c>
      <c r="Q20" s="381"/>
      <c r="R20" s="382">
        <v>30.0</v>
      </c>
      <c r="S20" s="397">
        <v>-18.35</v>
      </c>
      <c r="T20" s="384">
        <f t="shared" si="2"/>
        <v>46081</v>
      </c>
      <c r="U20" s="64"/>
      <c r="V20" s="23"/>
      <c r="W20" s="64"/>
      <c r="X20" s="303"/>
      <c r="Y20" s="23"/>
      <c r="Z20" s="23"/>
    </row>
    <row r="21" ht="18.75" customHeight="1">
      <c r="A21" s="55"/>
      <c r="B21" s="56"/>
      <c r="C21" s="55"/>
      <c r="D21" s="56"/>
      <c r="E21" s="55"/>
      <c r="F21" s="56"/>
      <c r="G21" s="55"/>
      <c r="H21" s="56"/>
      <c r="I21" s="55"/>
      <c r="J21" s="56"/>
      <c r="K21" s="55"/>
      <c r="L21" s="56"/>
      <c r="M21" s="55"/>
      <c r="N21" s="56"/>
      <c r="O21" s="23"/>
      <c r="P21" s="385" t="s">
        <v>29</v>
      </c>
      <c r="Q21" s="386"/>
      <c r="R21" s="387">
        <v>28.0</v>
      </c>
      <c r="S21" s="388">
        <v>-21.59</v>
      </c>
      <c r="T21" s="384">
        <f t="shared" si="2"/>
        <v>46081</v>
      </c>
      <c r="U21" s="64"/>
      <c r="V21" s="303"/>
      <c r="W21" s="64"/>
      <c r="X21" s="303"/>
      <c r="Y21" s="23"/>
      <c r="Z21" s="23"/>
    </row>
    <row r="22" ht="18.75" customHeight="1">
      <c r="A22" s="66" t="s">
        <v>22</v>
      </c>
      <c r="B22" s="67">
        <f>N16+SUM(B17:B21)</f>
        <v>2752.24</v>
      </c>
      <c r="C22" s="66"/>
      <c r="D22" s="67">
        <f>B22+SUM(D17:D21)</f>
        <v>1839.28</v>
      </c>
      <c r="E22" s="66"/>
      <c r="F22" s="67">
        <f>D22+SUM(F17:F21)</f>
        <v>1674.29</v>
      </c>
      <c r="G22" s="66"/>
      <c r="H22" s="67">
        <f>F22+SUM(H17:H21)</f>
        <v>1524.29</v>
      </c>
      <c r="I22" s="66"/>
      <c r="J22" s="67">
        <f>H22+SUM(J17:J21)</f>
        <v>1524.29</v>
      </c>
      <c r="K22" s="66"/>
      <c r="L22" s="67">
        <f>J22+SUM(L17:L21)</f>
        <v>1458.25</v>
      </c>
      <c r="M22" s="66"/>
      <c r="N22" s="67">
        <f>L22+SUM(N17:N21)</f>
        <v>1458.25</v>
      </c>
      <c r="O22" s="68"/>
      <c r="P22" s="385" t="s">
        <v>43</v>
      </c>
      <c r="Q22" s="386"/>
      <c r="R22" s="387">
        <v>17.0</v>
      </c>
      <c r="S22" s="388">
        <v>-9.99</v>
      </c>
      <c r="T22" s="384">
        <f t="shared" si="2"/>
        <v>46070</v>
      </c>
      <c r="W22" s="71"/>
      <c r="X22" s="309"/>
      <c r="Y22" s="69"/>
      <c r="Z22" s="69"/>
    </row>
    <row r="23" ht="18.75" customHeight="1">
      <c r="A23" s="50">
        <f>IF(M17="","",IF(MONTH(M17+1)&lt;&gt;MONTH(M17),"",M17+1))</f>
        <v>46068</v>
      </c>
      <c r="B23" s="51">
        <f>SUMIF($T$11:$T$124,A23,$S$11:$S$85)</f>
        <v>0</v>
      </c>
      <c r="C23" s="50">
        <f>IF(A23="","",IF(MONTH(A23+1)&lt;&gt;MONTH(A23),"",A23+1))</f>
        <v>46069</v>
      </c>
      <c r="D23" s="51">
        <f>SUMIF($T$11:$T$124,C23,$S$11:$S$85)</f>
        <v>0</v>
      </c>
      <c r="E23" s="50">
        <f>IF(C23="","",IF(MONTH(C23+1)&lt;&gt;MONTH(C23),"",C23+1))</f>
        <v>46070</v>
      </c>
      <c r="F23" s="51">
        <f>SUMIF($T$11:$T$124,E23,$S$11:$S$85)</f>
        <v>-9.99</v>
      </c>
      <c r="G23" s="50">
        <f>IF(E23="","",IF(MONTH(E23+1)&lt;&gt;MONTH(E23),"",E23+1))</f>
        <v>46071</v>
      </c>
      <c r="H23" s="51">
        <f>SUMIF($T$11:$T$124,G23,$S$11:$S$85)</f>
        <v>-150</v>
      </c>
      <c r="I23" s="50">
        <f>IF(G23="","",IF(MONTH(G23+1)&lt;&gt;MONTH(G23),"",G23+1))</f>
        <v>46072</v>
      </c>
      <c r="J23" s="51">
        <f>SUMIF($T$11:$T$124,I23,$S$11:$S$85)</f>
        <v>1847.78</v>
      </c>
      <c r="K23" s="50">
        <f>IF(I23="","",IF(MONTH(I23+1)&lt;&gt;MONTH(I23),"",I23+1))</f>
        <v>46073</v>
      </c>
      <c r="L23" s="51">
        <f>SUMIF($T$11:$T$124,K23,$S$11:$S$85)</f>
        <v>0</v>
      </c>
      <c r="M23" s="50">
        <f>IF(K23="","",IF(MONTH(K23+1)&lt;&gt;MONTH(K23),"",K23+1))</f>
        <v>46074</v>
      </c>
      <c r="N23" s="51">
        <f>SUMIF($T$11:$T$124,M23,$S$11:$S$85)</f>
        <v>-414.22</v>
      </c>
      <c r="O23" s="23"/>
      <c r="P23" s="385" t="s">
        <v>54</v>
      </c>
      <c r="Q23" s="386"/>
      <c r="R23" s="387">
        <v>30.0</v>
      </c>
      <c r="S23" s="388">
        <v>-11.0</v>
      </c>
      <c r="T23" s="384">
        <f t="shared" si="2"/>
        <v>46081</v>
      </c>
      <c r="U23" s="64"/>
      <c r="V23" s="23"/>
      <c r="W23" s="64"/>
      <c r="X23" s="303"/>
      <c r="Y23" s="23"/>
      <c r="Z23" s="23"/>
    </row>
    <row r="24" ht="18.75" customHeight="1">
      <c r="A24" s="55"/>
      <c r="B24" s="56"/>
      <c r="C24" s="55"/>
      <c r="D24" s="56"/>
      <c r="E24" s="58" t="s">
        <v>230</v>
      </c>
      <c r="F24" s="57">
        <v>-38.27</v>
      </c>
      <c r="G24" s="413"/>
      <c r="H24" s="411">
        <v>-20.99</v>
      </c>
      <c r="I24" s="55"/>
      <c r="J24" s="56"/>
      <c r="K24" s="58"/>
      <c r="L24" s="57">
        <v>-10.95</v>
      </c>
      <c r="M24" s="55"/>
      <c r="N24" s="57">
        <v>-20.0</v>
      </c>
      <c r="O24" s="23"/>
      <c r="P24" s="385" t="s">
        <v>30</v>
      </c>
      <c r="Q24" s="386"/>
      <c r="R24" s="416">
        <v>19.0</v>
      </c>
      <c r="S24" s="383">
        <v>-298.02</v>
      </c>
      <c r="T24" s="384">
        <f t="shared" si="2"/>
        <v>46072</v>
      </c>
      <c r="U24" s="64"/>
      <c r="V24" s="23"/>
      <c r="W24" s="64"/>
      <c r="X24" s="303"/>
      <c r="Y24" s="23"/>
      <c r="Z24" s="23"/>
    </row>
    <row r="25" ht="18.75" customHeight="1">
      <c r="A25" s="55"/>
      <c r="B25" s="56"/>
      <c r="C25" s="55"/>
      <c r="D25" s="56"/>
      <c r="E25" s="55"/>
      <c r="F25" s="57">
        <v>-15.07</v>
      </c>
      <c r="G25" s="55"/>
      <c r="H25" s="56"/>
      <c r="I25" s="55"/>
      <c r="J25" s="56"/>
      <c r="K25" s="55"/>
      <c r="L25" s="56"/>
      <c r="M25" s="55"/>
      <c r="N25" s="56"/>
      <c r="O25" s="23"/>
      <c r="P25" s="367"/>
      <c r="Q25" s="368"/>
      <c r="R25" s="405"/>
      <c r="S25" s="409"/>
      <c r="T25" s="376"/>
      <c r="U25" s="64"/>
      <c r="V25" s="23"/>
      <c r="W25" s="64"/>
      <c r="X25" s="303"/>
      <c r="Y25" s="23"/>
      <c r="Z25" s="23"/>
    </row>
    <row r="26" ht="18.75" customHeight="1">
      <c r="A26" s="55"/>
      <c r="B26" s="56"/>
      <c r="C26" s="55"/>
      <c r="D26" s="56"/>
      <c r="E26" s="55"/>
      <c r="F26" s="57">
        <v>-29.0</v>
      </c>
      <c r="G26" s="55"/>
      <c r="H26" s="56"/>
      <c r="I26" s="55"/>
      <c r="J26" s="56"/>
      <c r="K26" s="55"/>
      <c r="L26" s="56"/>
      <c r="M26" s="55"/>
      <c r="N26" s="56"/>
      <c r="O26" s="23"/>
      <c r="P26" s="385" t="s">
        <v>232</v>
      </c>
      <c r="Q26" s="386"/>
      <c r="R26" s="387">
        <v>5.0</v>
      </c>
      <c r="S26" s="388">
        <v>2308.8</v>
      </c>
      <c r="T26" s="384">
        <f t="shared" ref="T26:T38" si="3">IF(ISBLANK(R26),"-",IF(R26&gt;DAY(EOMONTH(DATE($B$2,$E$2,1),0)),EOMONTH(DATE($B$2,$E$2,1),0),DATE($B$2,$E$2,R26)))</f>
        <v>46058</v>
      </c>
      <c r="U26" s="64"/>
      <c r="V26" s="23"/>
      <c r="W26" s="64"/>
      <c r="X26" s="303"/>
      <c r="Y26" s="23"/>
      <c r="Z26" s="23"/>
    </row>
    <row r="27" ht="18.75" customHeight="1">
      <c r="A27" s="55"/>
      <c r="B27" s="56"/>
      <c r="C27" s="55"/>
      <c r="D27" s="56"/>
      <c r="E27" s="55"/>
      <c r="F27" s="57">
        <v>-2.17</v>
      </c>
      <c r="G27" s="55"/>
      <c r="H27" s="56"/>
      <c r="I27" s="55"/>
      <c r="J27" s="56"/>
      <c r="K27" s="55"/>
      <c r="L27" s="56"/>
      <c r="M27" s="55"/>
      <c r="N27" s="56"/>
      <c r="O27" s="23"/>
      <c r="P27" s="385" t="s">
        <v>41</v>
      </c>
      <c r="Q27" s="386"/>
      <c r="R27" s="387">
        <v>19.0</v>
      </c>
      <c r="S27" s="388">
        <v>2308.8</v>
      </c>
      <c r="T27" s="384">
        <f t="shared" si="3"/>
        <v>46072</v>
      </c>
      <c r="U27" s="64"/>
      <c r="V27" s="23"/>
      <c r="W27" s="64"/>
      <c r="X27" s="303"/>
      <c r="Y27" s="23"/>
      <c r="Z27" s="23"/>
    </row>
    <row r="28" ht="18.75" customHeight="1">
      <c r="A28" s="66" t="s">
        <v>22</v>
      </c>
      <c r="B28" s="67">
        <f>N22+SUM(B23:B27)</f>
        <v>1458.25</v>
      </c>
      <c r="C28" s="66"/>
      <c r="D28" s="67">
        <f>B28+SUM(D23:D27)</f>
        <v>1458.25</v>
      </c>
      <c r="E28" s="66"/>
      <c r="F28" s="67">
        <f>D28+SUM(F23:F27)</f>
        <v>1363.75</v>
      </c>
      <c r="G28" s="66"/>
      <c r="H28" s="67">
        <f>F28+SUM(H23:H27)</f>
        <v>1192.76</v>
      </c>
      <c r="I28" s="66"/>
      <c r="J28" s="67">
        <f>H28+SUM(J23:J27)</f>
        <v>3040.54</v>
      </c>
      <c r="K28" s="66"/>
      <c r="L28" s="67">
        <f>J28+SUM(L23:L27)</f>
        <v>3029.59</v>
      </c>
      <c r="M28" s="66"/>
      <c r="N28" s="67">
        <f>L28+SUM(N23:N27)</f>
        <v>2595.37</v>
      </c>
      <c r="O28" s="68"/>
      <c r="P28" s="385" t="s">
        <v>47</v>
      </c>
      <c r="Q28" s="386"/>
      <c r="R28" s="387">
        <v>3.0</v>
      </c>
      <c r="S28" s="389">
        <v>1500.0</v>
      </c>
      <c r="T28" s="384">
        <f t="shared" si="3"/>
        <v>46056</v>
      </c>
      <c r="U28" s="71"/>
      <c r="V28" s="69"/>
      <c r="W28" s="71"/>
      <c r="X28" s="309"/>
      <c r="Y28" s="69"/>
      <c r="Z28" s="69"/>
    </row>
    <row r="29" ht="18.75" customHeight="1">
      <c r="A29" s="50">
        <f>IF(M23="","",IF(MONTH(M23+1)&lt;&gt;MONTH(M23),"",M23+1))</f>
        <v>46075</v>
      </c>
      <c r="B29" s="51">
        <f>SUMIF($T$11:$T$124,A29,$S$11:$S$85)</f>
        <v>0</v>
      </c>
      <c r="C29" s="50">
        <f>IF(A29="","",IF(MONTH(A29+1)&lt;&gt;MONTH(A29),"",A29+1))</f>
        <v>46076</v>
      </c>
      <c r="D29" s="51">
        <f>SUMIF($T$11:$T$124,C29,$S$11:$S$85)</f>
        <v>0</v>
      </c>
      <c r="E29" s="50">
        <f>IF(C29="","",IF(MONTH(C29+1)&lt;&gt;MONTH(C29),"",C29+1))</f>
        <v>46077</v>
      </c>
      <c r="F29" s="51">
        <f>SUMIF($T$11:$T$124,E29,$S$11:$S$85)</f>
        <v>0</v>
      </c>
      <c r="G29" s="50">
        <f>IF(E29="","",IF(MONTH(E29+1)&lt;&gt;MONTH(E29),"",E29+1))</f>
        <v>46078</v>
      </c>
      <c r="H29" s="51">
        <f>SUMIF($T$11:$T$124,G29,$S$11:$S$85)</f>
        <v>-162</v>
      </c>
      <c r="I29" s="50">
        <f>IF(G29="","",IF(MONTH(G29+1)&lt;&gt;MONTH(G29),"",G29+1))</f>
        <v>46079</v>
      </c>
      <c r="J29" s="51">
        <f>SUMIF($T$11:$T$124,I29,$S$11:$S$85)</f>
        <v>-18.35</v>
      </c>
      <c r="K29" s="50">
        <f>IF(I29="","",IF(MONTH(I29+1)&lt;&gt;MONTH(I29),"",I29+1))</f>
        <v>46080</v>
      </c>
      <c r="L29" s="51">
        <f>SUMIF($T$11:$T$124,K29,$S$11:$S$85)</f>
        <v>0</v>
      </c>
      <c r="M29" s="50">
        <f>IF(K29="","",IF(MONTH(K29+1)&lt;&gt;MONTH(K29),"",K29+1))</f>
        <v>46081</v>
      </c>
      <c r="N29" s="51">
        <f>SUMIF($T$11:$T$124,M29,$S$11:$S$85)</f>
        <v>-61.93</v>
      </c>
      <c r="O29" s="23"/>
      <c r="P29" s="414" t="s">
        <v>142</v>
      </c>
      <c r="Q29" s="415"/>
      <c r="R29" s="416">
        <v>1.0</v>
      </c>
      <c r="S29" s="383"/>
      <c r="T29" s="384">
        <f t="shared" si="3"/>
        <v>46054</v>
      </c>
      <c r="U29" s="64"/>
      <c r="V29" s="23"/>
      <c r="W29" s="64"/>
      <c r="X29" s="303"/>
      <c r="Y29" s="23"/>
      <c r="Z29" s="23"/>
    </row>
    <row r="30" ht="18.75" customHeight="1">
      <c r="A30" s="55"/>
      <c r="B30" s="56"/>
      <c r="C30" s="485"/>
      <c r="D30" s="486">
        <v>-2.13</v>
      </c>
      <c r="E30" s="55"/>
      <c r="F30" s="57">
        <v>-17.0</v>
      </c>
      <c r="G30" s="55"/>
      <c r="H30" s="57">
        <v>-38.68</v>
      </c>
      <c r="I30" s="55"/>
      <c r="J30" s="56"/>
      <c r="K30" s="58"/>
      <c r="L30" s="57">
        <v>-17.15</v>
      </c>
      <c r="M30" s="55"/>
      <c r="N30" s="56"/>
      <c r="O30" s="23"/>
      <c r="P30" s="406"/>
      <c r="Q30" s="407"/>
      <c r="R30" s="408"/>
      <c r="S30" s="409"/>
      <c r="T30" s="323" t="str">
        <f t="shared" si="3"/>
        <v>-</v>
      </c>
      <c r="U30" s="64"/>
      <c r="V30" s="23"/>
      <c r="W30" s="64"/>
      <c r="X30" s="303"/>
      <c r="Y30" s="23"/>
      <c r="Z30" s="23"/>
    </row>
    <row r="31" ht="18.75" customHeight="1">
      <c r="A31" s="55"/>
      <c r="B31" s="56"/>
      <c r="C31" s="55"/>
      <c r="D31" s="57">
        <v>-22.61</v>
      </c>
      <c r="E31" s="55"/>
      <c r="F31" s="57">
        <v>-1.0</v>
      </c>
      <c r="G31" s="55"/>
      <c r="H31" s="56"/>
      <c r="I31" s="55"/>
      <c r="J31" s="56"/>
      <c r="K31" s="55"/>
      <c r="L31" s="57">
        <v>-16.15</v>
      </c>
      <c r="M31" s="55"/>
      <c r="N31" s="56"/>
      <c r="O31" s="23"/>
      <c r="P31" s="385" t="s">
        <v>46</v>
      </c>
      <c r="Q31" s="386"/>
      <c r="R31" s="387">
        <v>25.0</v>
      </c>
      <c r="S31" s="388">
        <v>-12.0</v>
      </c>
      <c r="T31" s="384">
        <f t="shared" si="3"/>
        <v>46078</v>
      </c>
      <c r="U31" s="64"/>
      <c r="V31" s="23"/>
      <c r="W31" s="64"/>
      <c r="X31" s="303"/>
      <c r="Y31" s="23"/>
      <c r="Z31" s="23"/>
    </row>
    <row r="32" ht="18.75" customHeight="1">
      <c r="A32" s="55"/>
      <c r="B32" s="56"/>
      <c r="C32" s="55"/>
      <c r="D32" s="57">
        <v>-16.57</v>
      </c>
      <c r="E32" s="55"/>
      <c r="F32" s="56"/>
      <c r="G32" s="55"/>
      <c r="H32" s="56"/>
      <c r="I32" s="55"/>
      <c r="J32" s="56"/>
      <c r="K32" s="55"/>
      <c r="L32" s="56"/>
      <c r="M32" s="55"/>
      <c r="N32" s="56"/>
      <c r="O32" s="23"/>
      <c r="P32" s="380" t="s">
        <v>44</v>
      </c>
      <c r="Q32" s="381"/>
      <c r="R32" s="382">
        <v>26.0</v>
      </c>
      <c r="S32" s="397">
        <v>-18.35</v>
      </c>
      <c r="T32" s="384">
        <f t="shared" si="3"/>
        <v>46079</v>
      </c>
      <c r="U32" s="64"/>
      <c r="V32" s="23"/>
      <c r="W32" s="64"/>
      <c r="X32" s="303"/>
      <c r="Y32" s="64"/>
      <c r="Z32" s="23"/>
    </row>
    <row r="33" ht="18.75" customHeight="1">
      <c r="A33" s="55"/>
      <c r="B33" s="56"/>
      <c r="C33" s="55"/>
      <c r="D33" s="56"/>
      <c r="E33" s="55"/>
      <c r="F33" s="56"/>
      <c r="G33" s="55"/>
      <c r="H33" s="56"/>
      <c r="I33" s="55"/>
      <c r="J33" s="56"/>
      <c r="K33" s="55"/>
      <c r="L33" s="56"/>
      <c r="M33" s="55"/>
      <c r="N33" s="56"/>
      <c r="O33" s="23"/>
      <c r="P33" s="385" t="s">
        <v>40</v>
      </c>
      <c r="Q33" s="386"/>
      <c r="R33" s="387">
        <v>13.0</v>
      </c>
      <c r="S33" s="388">
        <v>-102.0</v>
      </c>
      <c r="T33" s="384">
        <f t="shared" si="3"/>
        <v>46066</v>
      </c>
      <c r="U33" s="64"/>
      <c r="V33" s="23"/>
      <c r="W33" s="64"/>
      <c r="X33" s="303"/>
      <c r="Y33" s="64"/>
      <c r="Z33" s="23"/>
    </row>
    <row r="34" ht="18.75" customHeight="1">
      <c r="A34" s="66" t="s">
        <v>22</v>
      </c>
      <c r="B34" s="67">
        <f>N28+SUM(B29:B33)</f>
        <v>2595.37</v>
      </c>
      <c r="C34" s="66"/>
      <c r="D34" s="67">
        <f>B34+SUM(D29:D33)</f>
        <v>2554.06</v>
      </c>
      <c r="E34" s="66"/>
      <c r="F34" s="67">
        <f>D34+SUM(F29:F33)</f>
        <v>2536.06</v>
      </c>
      <c r="G34" s="66"/>
      <c r="H34" s="67">
        <f>F34+SUM(H29:H33)</f>
        <v>2335.38</v>
      </c>
      <c r="I34" s="66"/>
      <c r="J34" s="67">
        <f>H34+SUM(J29:J33)</f>
        <v>2317.03</v>
      </c>
      <c r="K34" s="66"/>
      <c r="L34" s="67">
        <f>J34+SUM(L29:L33)</f>
        <v>2283.73</v>
      </c>
      <c r="M34" s="66"/>
      <c r="N34" s="67">
        <f>L34+SUM(N29:N33)</f>
        <v>2221.8</v>
      </c>
      <c r="O34" s="68"/>
      <c r="P34" s="385" t="s">
        <v>34</v>
      </c>
      <c r="Q34" s="386"/>
      <c r="R34" s="387">
        <v>10.0</v>
      </c>
      <c r="S34" s="388">
        <v>-5.99</v>
      </c>
      <c r="T34" s="384">
        <f t="shared" si="3"/>
        <v>46063</v>
      </c>
      <c r="U34" s="71"/>
      <c r="V34" s="69"/>
      <c r="W34" s="71"/>
      <c r="X34" s="309"/>
      <c r="Y34" s="69"/>
      <c r="Z34" s="69"/>
    </row>
    <row r="35" ht="18.75" customHeight="1">
      <c r="A35" s="50" t="str">
        <f>IF(M29="","",IF(MONTH(M29+1)&lt;&gt;MONTH(M29),"",M29+1))</f>
        <v/>
      </c>
      <c r="B35" s="51">
        <f>SUMIF($T$11:$T$124,A35,$S$11:$S$85)</f>
        <v>0</v>
      </c>
      <c r="C35" s="50" t="str">
        <f>IF(A35="","",IF(MONTH(A35+1)&lt;&gt;MONTH(A35),"",A35+1))</f>
        <v/>
      </c>
      <c r="D35" s="51">
        <f>SUMIF($T$11:$T$124,C35,$S$11:$S$85)</f>
        <v>0</v>
      </c>
      <c r="E35" s="50" t="str">
        <f>IF(C35="","",IF(MONTH(C35+1)&lt;&gt;MONTH(C35),"",C35+1))</f>
        <v/>
      </c>
      <c r="F35" s="51">
        <f>SUMIF($T$11:$T$124,E35,$S$11:$S$85)</f>
        <v>0</v>
      </c>
      <c r="G35" s="50" t="str">
        <f>IF(E35="","",IF(MONTH(E35+1)&lt;&gt;MONTH(E35),"",E35+1))</f>
        <v/>
      </c>
      <c r="H35" s="51">
        <f>SUMIF($T$11:$T$124,G35,$S$11:$S$85)</f>
        <v>0</v>
      </c>
      <c r="I35" s="50" t="str">
        <f>IF(G35="","",IF(MONTH(G35+1)&lt;&gt;MONTH(G35),"",G35+1))</f>
        <v/>
      </c>
      <c r="J35" s="51">
        <f>SUMIF($T$11:$T$124,I35,$S$11:$S$85)</f>
        <v>0</v>
      </c>
      <c r="K35" s="50" t="str">
        <f>IF(I35="","",IF(MONTH(I35+1)&lt;&gt;MONTH(I35),"",I35+1))</f>
        <v/>
      </c>
      <c r="L35" s="51">
        <f>SUMIF($T$11:$T$124,K35,$S$11:$S$85)</f>
        <v>0</v>
      </c>
      <c r="M35" s="50" t="str">
        <f>IF(K35="","",IF(MONTH(K35+1)&lt;&gt;MONTH(K35),"",K35+1))</f>
        <v/>
      </c>
      <c r="N35" s="51">
        <f>SUMIF($T$11:$T$124,M35,$S$11:$S$85)</f>
        <v>0</v>
      </c>
      <c r="O35" s="23"/>
      <c r="P35" s="596" t="s">
        <v>235</v>
      </c>
      <c r="Q35" s="320"/>
      <c r="R35" s="321"/>
      <c r="S35" s="322">
        <v>-600.0</v>
      </c>
      <c r="T35" s="323" t="str">
        <f t="shared" si="3"/>
        <v>-</v>
      </c>
      <c r="U35" s="64"/>
      <c r="V35" s="23"/>
      <c r="W35" s="64"/>
      <c r="X35" s="303"/>
      <c r="Y35" s="23"/>
      <c r="Z35" s="23"/>
    </row>
    <row r="36" ht="18.75" customHeight="1">
      <c r="A36" s="55"/>
      <c r="B36" s="56"/>
      <c r="C36" s="55"/>
      <c r="D36" s="56"/>
      <c r="E36" s="55"/>
      <c r="F36" s="56"/>
      <c r="G36" s="55"/>
      <c r="H36" s="56"/>
      <c r="I36" s="55"/>
      <c r="J36" s="56"/>
      <c r="K36" s="55"/>
      <c r="L36" s="56"/>
      <c r="M36" s="55"/>
      <c r="N36" s="56"/>
      <c r="O36" s="23"/>
      <c r="P36" s="385" t="s">
        <v>51</v>
      </c>
      <c r="Q36" s="386"/>
      <c r="R36" s="387">
        <v>8.0</v>
      </c>
      <c r="S36" s="388">
        <v>-27.0</v>
      </c>
      <c r="T36" s="384">
        <f t="shared" si="3"/>
        <v>46061</v>
      </c>
      <c r="U36" s="64"/>
      <c r="V36" s="23"/>
      <c r="W36" s="64"/>
      <c r="X36" s="303"/>
      <c r="Y36" s="23"/>
      <c r="Z36" s="23"/>
    </row>
    <row r="37" ht="18.75" customHeight="1">
      <c r="A37" s="55"/>
      <c r="B37" s="56"/>
      <c r="C37" s="55"/>
      <c r="D37" s="56"/>
      <c r="E37" s="55"/>
      <c r="F37" s="56"/>
      <c r="G37" s="55"/>
      <c r="H37" s="56"/>
      <c r="I37" s="55"/>
      <c r="J37" s="56"/>
      <c r="K37" s="55"/>
      <c r="L37" s="57"/>
      <c r="M37" s="55"/>
      <c r="N37" s="56"/>
      <c r="O37" s="23"/>
      <c r="P37" s="519" t="s">
        <v>53</v>
      </c>
      <c r="Q37" s="511"/>
      <c r="R37" s="416">
        <v>28.0</v>
      </c>
      <c r="S37" s="397">
        <v>-10.99</v>
      </c>
      <c r="T37" s="384">
        <f t="shared" si="3"/>
        <v>46081</v>
      </c>
      <c r="U37" s="64"/>
      <c r="V37" s="23"/>
      <c r="W37" s="64"/>
      <c r="X37" s="303"/>
      <c r="Y37" s="23"/>
      <c r="Z37" s="23"/>
    </row>
    <row r="38" ht="18.75" customHeight="1">
      <c r="A38" s="55"/>
      <c r="B38" s="56"/>
      <c r="C38" s="55"/>
      <c r="D38" s="56"/>
      <c r="E38" s="55"/>
      <c r="F38" s="56"/>
      <c r="G38" s="55"/>
      <c r="H38" s="56"/>
      <c r="I38" s="55"/>
      <c r="J38" s="56"/>
      <c r="K38" s="55"/>
      <c r="L38" s="56"/>
      <c r="M38" s="55"/>
      <c r="N38" s="56"/>
      <c r="O38" s="23"/>
      <c r="P38" s="385" t="s">
        <v>27</v>
      </c>
      <c r="Q38" s="386"/>
      <c r="R38" s="387">
        <v>4.0</v>
      </c>
      <c r="S38" s="388">
        <v>-36.0</v>
      </c>
      <c r="T38" s="384">
        <f t="shared" si="3"/>
        <v>46057</v>
      </c>
      <c r="U38" s="64"/>
      <c r="V38" s="23"/>
      <c r="W38" s="64"/>
      <c r="X38" s="303"/>
      <c r="Y38" s="23"/>
      <c r="Z38" s="23"/>
    </row>
    <row r="39" ht="18.75" customHeight="1">
      <c r="A39" s="55"/>
      <c r="B39" s="56"/>
      <c r="C39" s="55"/>
      <c r="D39" s="56"/>
      <c r="E39" s="55"/>
      <c r="F39" s="56"/>
      <c r="G39" s="55"/>
      <c r="H39" s="56"/>
      <c r="I39" s="55"/>
      <c r="J39" s="56"/>
      <c r="K39" s="55"/>
      <c r="L39" s="56"/>
      <c r="M39" s="55"/>
      <c r="N39" s="56"/>
      <c r="O39" s="23"/>
      <c r="P39" s="414" t="s">
        <v>186</v>
      </c>
      <c r="Q39" s="511"/>
      <c r="R39" s="416">
        <v>4.0</v>
      </c>
      <c r="S39" s="383">
        <v>-50.0</v>
      </c>
      <c r="T39" s="536">
        <f>IF(ISBLANK(R39),"-",IF(R39&gt;DAY(EOMONTH(DATE($B$2,$E$2,1),0)),EOMONTH(DATE($B$2,$E$2,1),0),DATE($B$2,$E$2,R39)))</f>
        <v>46057</v>
      </c>
      <c r="U39" s="64"/>
      <c r="V39" s="23"/>
      <c r="W39" s="64"/>
      <c r="X39" s="303"/>
      <c r="Y39" s="23"/>
      <c r="Z39" s="23"/>
    </row>
    <row r="40" ht="18.75" customHeight="1">
      <c r="A40" s="66" t="s">
        <v>22</v>
      </c>
      <c r="B40" s="67">
        <f>N34+SUM(B35:B39)</f>
        <v>2221.8</v>
      </c>
      <c r="C40" s="66"/>
      <c r="D40" s="67">
        <f>B40+SUM(D35:D39)</f>
        <v>2221.8</v>
      </c>
      <c r="E40" s="66"/>
      <c r="F40" s="67">
        <f>D40+SUM(F35:F39)</f>
        <v>2221.8</v>
      </c>
      <c r="G40" s="66"/>
      <c r="H40" s="67">
        <f>F40+SUM(H35:H39)</f>
        <v>2221.8</v>
      </c>
      <c r="I40" s="66"/>
      <c r="J40" s="67">
        <f>H40+SUM(J35:J39)</f>
        <v>2221.8</v>
      </c>
      <c r="K40" s="66"/>
      <c r="L40" s="67">
        <f>J40+SUM(L35:L39)</f>
        <v>2221.8</v>
      </c>
      <c r="M40" s="66"/>
      <c r="N40" s="67">
        <f>L40+SUM(N35:N39)</f>
        <v>2221.8</v>
      </c>
      <c r="O40" s="68"/>
      <c r="P40" s="385" t="s">
        <v>38</v>
      </c>
      <c r="Q40" s="386"/>
      <c r="R40" s="387">
        <v>10.0</v>
      </c>
      <c r="S40" s="388">
        <v>-50.0</v>
      </c>
      <c r="T40" s="384">
        <f t="shared" ref="T40:T46" si="4">IF(ISBLANK(R40),"-",IF(R40&gt;DAY(EOMONTH(DATE($B$2,$E$2,1),0)),EOMONTH(DATE($B$2,$E$2,1),0),DATE($B$2,$E$2,R40)))</f>
        <v>46063</v>
      </c>
      <c r="U40" s="71"/>
      <c r="V40" s="69"/>
      <c r="W40" s="71"/>
      <c r="X40" s="309"/>
      <c r="Y40" s="69"/>
      <c r="Z40" s="69"/>
    </row>
    <row r="41" ht="12.75" customHeight="1">
      <c r="A41" s="50" t="str">
        <f>IF(M35="","",IF(MONTH(M35+1)&lt;&gt;MONTH(M35),"",M35+1))</f>
        <v/>
      </c>
      <c r="B41" s="51">
        <f>SUMIF($T$11:$T$130,A41,$S$11:$S$91)</f>
        <v>0</v>
      </c>
      <c r="C41" s="50" t="str">
        <f>IF(A41="","",IF(MONTH(A41+1)&lt;&gt;MONTH(A41),"",A41+1))</f>
        <v/>
      </c>
      <c r="D41" s="51">
        <f>SUMIF($T$11:$T$130,C41,$S$11:$S$91)</f>
        <v>0</v>
      </c>
      <c r="P41" s="385" t="s">
        <v>57</v>
      </c>
      <c r="Q41" s="386"/>
      <c r="R41" s="387">
        <v>5.0</v>
      </c>
      <c r="S41" s="388">
        <v>-447.0</v>
      </c>
      <c r="T41" s="384">
        <f t="shared" si="4"/>
        <v>46058</v>
      </c>
    </row>
    <row r="42" ht="12.75" customHeight="1">
      <c r="A42" s="55"/>
      <c r="B42" s="56"/>
      <c r="C42" s="55"/>
      <c r="D42" s="56"/>
      <c r="P42" s="385" t="s">
        <v>26</v>
      </c>
      <c r="Q42" s="386"/>
      <c r="R42" s="387">
        <v>4.0</v>
      </c>
      <c r="S42" s="388">
        <v>-150.0</v>
      </c>
      <c r="T42" s="384">
        <f t="shared" si="4"/>
        <v>46057</v>
      </c>
    </row>
    <row r="43" ht="12.75" customHeight="1">
      <c r="A43" s="55"/>
      <c r="B43" s="56"/>
      <c r="C43" s="55"/>
      <c r="D43" s="56"/>
      <c r="H43" s="108">
        <v>22.61</v>
      </c>
      <c r="P43" s="385" t="s">
        <v>26</v>
      </c>
      <c r="Q43" s="386"/>
      <c r="R43" s="387">
        <v>11.0</v>
      </c>
      <c r="S43" s="388">
        <v>-150.0</v>
      </c>
      <c r="T43" s="384">
        <f t="shared" si="4"/>
        <v>46064</v>
      </c>
    </row>
    <row r="44" ht="12.75" customHeight="1">
      <c r="A44" s="55"/>
      <c r="B44" s="56"/>
      <c r="C44" s="55"/>
      <c r="D44" s="56"/>
      <c r="P44" s="385" t="s">
        <v>26</v>
      </c>
      <c r="Q44" s="386"/>
      <c r="R44" s="387">
        <v>18.0</v>
      </c>
      <c r="S44" s="388">
        <v>-150.0</v>
      </c>
      <c r="T44" s="384">
        <f t="shared" si="4"/>
        <v>46071</v>
      </c>
    </row>
    <row r="45" ht="12.75" customHeight="1">
      <c r="A45" s="55"/>
      <c r="B45" s="56"/>
      <c r="C45" s="55"/>
      <c r="D45" s="56"/>
      <c r="P45" s="385" t="s">
        <v>26</v>
      </c>
      <c r="Q45" s="386"/>
      <c r="R45" s="387">
        <v>25.0</v>
      </c>
      <c r="S45" s="388">
        <v>-150.0</v>
      </c>
      <c r="T45" s="384">
        <f t="shared" si="4"/>
        <v>46078</v>
      </c>
    </row>
    <row r="46" ht="12.75" customHeight="1">
      <c r="A46" s="66" t="s">
        <v>22</v>
      </c>
      <c r="B46" s="67">
        <f>N40+SUM(B41:B45)</f>
        <v>2221.8</v>
      </c>
      <c r="C46" s="66"/>
      <c r="D46" s="67">
        <f>B46+SUM(D41:D45)</f>
        <v>2221.8</v>
      </c>
      <c r="P46" s="593" t="s">
        <v>24</v>
      </c>
      <c r="Q46" s="415"/>
      <c r="R46" s="594">
        <v>1.0</v>
      </c>
      <c r="S46" s="595">
        <v>-63.0</v>
      </c>
      <c r="T46" s="384">
        <f t="shared" si="4"/>
        <v>46054</v>
      </c>
    </row>
    <row r="47" ht="12.75" customHeight="1">
      <c r="P47" s="519" t="s">
        <v>214</v>
      </c>
      <c r="Q47" s="511"/>
      <c r="R47" s="416">
        <v>8.0</v>
      </c>
      <c r="S47" s="397">
        <v>-21.8</v>
      </c>
      <c r="T47" s="536">
        <f>IF(ISBLANK(R47),"-",IF(R47&gt;DAY(EOMONTH(DATE($B$2,$E$2,1),0)),EOMONTH(DATE($B$2,$E$2,1),0),DATE($B$2,$E$2,R47)))</f>
        <v>46061</v>
      </c>
    </row>
    <row r="48" ht="12.75" customHeight="1">
      <c r="P48" s="593" t="s">
        <v>236</v>
      </c>
      <c r="Q48" s="415"/>
      <c r="R48" s="594">
        <v>21.0</v>
      </c>
      <c r="S48" s="595">
        <v>-414.22</v>
      </c>
      <c r="T48" s="384">
        <f>IF(ISBLANK(R48),"-",IF(R48&gt;DAY(EOMONTH(DATE($B$2,$E$2,1),0)),EOMONTH(DATE($B$2,$E$2,1),0),DATE($B$2,$E$2,R48)))</f>
        <v>46074</v>
      </c>
    </row>
    <row r="49" ht="12.75" customHeight="1">
      <c r="P49" s="542"/>
      <c r="Q49" s="407"/>
      <c r="R49" s="543"/>
      <c r="S49" s="544"/>
      <c r="T49" s="376" t="str">
        <f t="shared" ref="T49:T54" si="5">IF(ISBLANK(R49),"-",IF(R49&gt;DAY(EOMONTH(DATE($B$2,$E$2,1),0)),EOMONTH(DATE($B$2,$E$2,1),0),DATE($B$2,$E$2,$R$47)))</f>
        <v>-</v>
      </c>
    </row>
    <row r="50" ht="12.75" customHeight="1">
      <c r="P50" s="542"/>
      <c r="Q50" s="407"/>
      <c r="R50" s="543"/>
      <c r="S50" s="544"/>
      <c r="T50" s="376" t="str">
        <f t="shared" si="5"/>
        <v>-</v>
      </c>
    </row>
    <row r="51" ht="12.75" customHeight="1">
      <c r="P51" s="542"/>
      <c r="Q51" s="407"/>
      <c r="R51" s="543"/>
      <c r="S51" s="544"/>
      <c r="T51" s="376" t="str">
        <f t="shared" si="5"/>
        <v>-</v>
      </c>
    </row>
    <row r="52" ht="12.75" customHeight="1">
      <c r="P52" s="542"/>
      <c r="Q52" s="407"/>
      <c r="R52" s="543"/>
      <c r="S52" s="544"/>
      <c r="T52" s="376" t="str">
        <f t="shared" si="5"/>
        <v>-</v>
      </c>
    </row>
    <row r="53" ht="12.75" customHeight="1">
      <c r="P53" s="542"/>
      <c r="Q53" s="407"/>
      <c r="R53" s="543"/>
      <c r="S53" s="544"/>
      <c r="T53" s="376" t="str">
        <f t="shared" si="5"/>
        <v>-</v>
      </c>
    </row>
    <row r="54" ht="12.75" customHeight="1">
      <c r="P54" s="542"/>
      <c r="Q54" s="407"/>
      <c r="R54" s="543"/>
      <c r="S54" s="544"/>
      <c r="T54" s="376" t="str">
        <f t="shared" si="5"/>
        <v>-</v>
      </c>
    </row>
    <row r="55" ht="12.75" customHeight="1">
      <c r="P55" s="19"/>
      <c r="Q55" s="19"/>
      <c r="R55" s="285"/>
      <c r="S55" s="286"/>
      <c r="T55" s="19"/>
    </row>
    <row r="56" ht="12.75" customHeight="1">
      <c r="P56" s="19"/>
      <c r="Q56" s="19"/>
      <c r="R56" s="285"/>
      <c r="S56" s="286"/>
      <c r="T56" s="19"/>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c r="S927" s="337"/>
    </row>
    <row r="928" ht="12.75" customHeight="1">
      <c r="R928" s="336"/>
    </row>
    <row r="929" ht="12.75" customHeight="1">
      <c r="R929" s="336"/>
    </row>
    <row r="930" ht="12.75" customHeight="1">
      <c r="R930" s="336"/>
    </row>
    <row r="931" ht="12.75" customHeight="1">
      <c r="R931"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1">
    <cfRule type="cellIs" dxfId="5" priority="1" operator="lessThan">
      <formula>0</formula>
    </cfRule>
  </conditionalFormatting>
  <dataValidations>
    <dataValidation type="list" allowBlank="1" showErrorMessage="1" sqref="Q12:Q54">
      <formula1>"✔"</formula1>
    </dataValidation>
    <dataValidation type="custom" allowBlank="1" showDropDown="1" sqref="T12:T54">
      <formula1>OR(NOT(ISERROR(DATEVALUE(T12))), AND(ISNUMBER(T12), LEFT(CELL("format", T12))="D"))</formula1>
    </dataValidation>
  </dataValidations>
  <hyperlinks>
    <hyperlink r:id="rId1" ref="T3"/>
  </hyperlinks>
  <drawing r:id="rId2"/>
  <tableParts count="1">
    <tablePart r:id="rId4"/>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7.75"/>
    <col customWidth="1" min="21" max="26" width="8.63"/>
  </cols>
  <sheetData>
    <row r="1" ht="24.75" customHeight="1">
      <c r="A1" s="585" t="s">
        <v>0</v>
      </c>
      <c r="B1" s="2"/>
      <c r="C1" s="2"/>
      <c r="D1" s="3"/>
      <c r="E1" s="3"/>
      <c r="F1" s="2"/>
      <c r="G1" s="2"/>
      <c r="H1" s="2"/>
      <c r="I1" s="2"/>
      <c r="J1" s="4"/>
      <c r="K1" s="5"/>
      <c r="L1" s="4"/>
      <c r="M1" s="4"/>
      <c r="N1" s="4"/>
      <c r="O1" s="4"/>
      <c r="P1" s="6"/>
      <c r="Q1" s="6"/>
      <c r="R1" s="280"/>
      <c r="S1" s="281"/>
      <c r="T1" s="8"/>
    </row>
    <row r="2" ht="12.75" customHeight="1">
      <c r="A2" s="9" t="s">
        <v>1</v>
      </c>
      <c r="B2" s="10">
        <v>2026.0</v>
      </c>
      <c r="C2" s="3"/>
      <c r="D2" s="9" t="s">
        <v>2</v>
      </c>
      <c r="E2" s="10">
        <v>3.0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MARCH 2026</v>
      </c>
      <c r="B5" s="22"/>
      <c r="C5" s="22"/>
      <c r="D5" s="22"/>
      <c r="E5" s="22"/>
      <c r="F5" s="22"/>
      <c r="G5" s="22"/>
      <c r="H5" s="23"/>
      <c r="I5" s="23"/>
      <c r="J5" s="23"/>
      <c r="K5" s="22"/>
      <c r="L5" s="24" t="s">
        <v>7</v>
      </c>
      <c r="M5" s="25">
        <f>'February 2026'!M6</f>
        <v>2221.8</v>
      </c>
      <c r="N5" s="26"/>
      <c r="O5" s="23"/>
      <c r="P5" s="27"/>
      <c r="Q5" s="27"/>
      <c r="R5" s="287" t="s">
        <v>8</v>
      </c>
      <c r="S5" s="288">
        <f>SUMIF(A18:N21,"&gt;0")+SUMIF(A24:N27,"&gt;0")+SUMIF(A30:N33,"&gt;0")+SUMIF(A36:N39,"&gt;0")+SUMIF(#REF!,"&gt;0")+SUMIF(S12:S40,"&gt;0")+SUMIF(A12:N15,"&gt;0")</f>
        <v>6439</v>
      </c>
      <c r="U5" s="23"/>
      <c r="V5" s="289">
        <f>sum(S5+S6)</f>
        <v>-2014.78</v>
      </c>
      <c r="W5" s="23"/>
      <c r="X5" s="23"/>
      <c r="Y5" s="23"/>
      <c r="Z5" s="23"/>
    </row>
    <row r="6" ht="25.5" customHeight="1">
      <c r="A6" s="31"/>
      <c r="B6" s="31"/>
      <c r="C6" s="31"/>
      <c r="D6" s="31"/>
      <c r="E6" s="31"/>
      <c r="F6" s="32"/>
      <c r="G6" s="33"/>
      <c r="H6" s="34"/>
      <c r="I6" s="34"/>
      <c r="J6" s="34"/>
      <c r="K6" s="31"/>
      <c r="L6" s="24" t="s">
        <v>9</v>
      </c>
      <c r="M6" s="35">
        <f>D46</f>
        <v>223.21</v>
      </c>
      <c r="O6" s="34"/>
      <c r="P6" s="36"/>
      <c r="Q6" s="36"/>
      <c r="R6" s="287" t="s">
        <v>10</v>
      </c>
      <c r="S6" s="288">
        <f>SUMIF(A18:N21,"&lt;0")+SUMIF(A24:N27,"&lt;0")+SUMIF(A30:N33,"&lt;0")+SUMIF(A36:N39,"&lt;0")+SUMIF(#REF!,"&lt;0")+SUMIF(S12:S197,"&lt;0")+SUMIF(A12:N15,"&lt;0")</f>
        <v>-8453.78</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46082</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46089</v>
      </c>
      <c r="B9" s="40"/>
      <c r="C9" s="39">
        <f>C17</f>
        <v>46090</v>
      </c>
      <c r="D9" s="40"/>
      <c r="E9" s="39">
        <f>E17</f>
        <v>46091</v>
      </c>
      <c r="F9" s="40"/>
      <c r="G9" s="39">
        <f>G17</f>
        <v>46092</v>
      </c>
      <c r="H9" s="40"/>
      <c r="I9" s="39">
        <f>I17</f>
        <v>46093</v>
      </c>
      <c r="J9" s="40"/>
      <c r="K9" s="39">
        <f>K17</f>
        <v>46094</v>
      </c>
      <c r="L9" s="40"/>
      <c r="M9" s="39">
        <f>M17</f>
        <v>46095</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f>IF(WEEKDAY($B$8,1)=$H$2,$B$8,"")</f>
        <v>46082</v>
      </c>
      <c r="B11" s="51">
        <f>SUMIF($T$11:$T$124,A11,$S$11:$S$85)</f>
        <v>-63</v>
      </c>
      <c r="C11" s="50">
        <f>IF(A11="",IF(WEEKDAY($B$8,1)=MOD($H$2,7)+1,$B$8,""),A11+1)</f>
        <v>46083</v>
      </c>
      <c r="D11" s="51">
        <f>SUMIF($T$11:$T$124,C11,$S$11:$S$85)</f>
        <v>-1467.13</v>
      </c>
      <c r="E11" s="50">
        <f>IF(C11="",IF(WEEKDAY($B$8,1)=MOD($H$2+1,7)+1,$B$8,""),C11+1)</f>
        <v>46084</v>
      </c>
      <c r="F11" s="51">
        <f>SUMIF($T$11:$T$124,E11,$S$11:$S$85)</f>
        <v>1764</v>
      </c>
      <c r="G11" s="50">
        <f>IF(E11="",IF(WEEKDAY($B$8,1)=MOD($H$2+2,7)+1,$B$8,""),E11+1)</f>
        <v>46085</v>
      </c>
      <c r="H11" s="51">
        <f>SUMIF($T$11:$T$124,G11,$S$11:$S$85)</f>
        <v>-845.6</v>
      </c>
      <c r="I11" s="50">
        <f>IF(G11="",IF(WEEKDAY($B$8,1)=MOD($H$2+3,7)+1,$B$8,""),G11+1)</f>
        <v>46086</v>
      </c>
      <c r="J11" s="51">
        <f>SUMIF($T$11:$T$124,I11,$S$11:$S$85)</f>
        <v>-841.16</v>
      </c>
      <c r="K11" s="50">
        <f>IF(I11="",IF(WEEKDAY($B$8,1)=MOD($H$2+4,7)+1,$B$8,""),I11+1)</f>
        <v>46087</v>
      </c>
      <c r="L11" s="51">
        <f>SUMIF($T$11:$T$124,K11,$S$11:$S$85)</f>
        <v>1765</v>
      </c>
      <c r="M11" s="50">
        <f>IF(K11="",IF(WEEKDAY($B$8,1)=MOD($H$2+5,7)+1,$B$8,""),K11+1)</f>
        <v>46088</v>
      </c>
      <c r="N11" s="51">
        <f>SUMIF($T$11:$T$124,M11,$S$11:$S$85)</f>
        <v>0</v>
      </c>
      <c r="O11" s="23"/>
      <c r="P11" s="52" t="s">
        <v>13</v>
      </c>
      <c r="Q11" s="53" t="s">
        <v>14</v>
      </c>
      <c r="R11" s="53" t="s">
        <v>15</v>
      </c>
      <c r="S11" s="96" t="s">
        <v>16</v>
      </c>
      <c r="T11" s="53" t="s">
        <v>17</v>
      </c>
      <c r="U11" s="23"/>
      <c r="V11" s="23"/>
      <c r="W11" s="23"/>
      <c r="X11" s="23"/>
      <c r="Y11" s="23"/>
      <c r="Z11" s="23"/>
    </row>
    <row r="12" ht="18.75" customHeight="1">
      <c r="A12" s="55"/>
      <c r="B12" s="57">
        <v>-108.99</v>
      </c>
      <c r="C12" s="55"/>
      <c r="D12" s="57">
        <v>-19.0</v>
      </c>
      <c r="E12" s="58"/>
      <c r="F12" s="57">
        <v>23.0</v>
      </c>
      <c r="G12" s="55"/>
      <c r="H12" s="57"/>
      <c r="I12" s="58"/>
      <c r="J12" s="57"/>
      <c r="K12" s="58"/>
      <c r="L12" s="57">
        <v>-28.33</v>
      </c>
      <c r="M12" s="55"/>
      <c r="N12" s="56"/>
      <c r="O12" s="23"/>
      <c r="P12" s="398" t="s">
        <v>89</v>
      </c>
      <c r="Q12" s="399"/>
      <c r="R12" s="400">
        <v>10.0</v>
      </c>
      <c r="S12" s="393">
        <f t="array" ref="S12">-INDEX(PaymentSchedule!$E$21:$AG931,MATCH(PaymentSchedule!$B$35,PaymentSchedule!$B$21:$B$100),MATCH($P12,PaymentSchedule!$E$19:$AG$19,0))</f>
        <v>-113</v>
      </c>
      <c r="T12" s="499">
        <f>IF(ISBLANK(R12),"-",IF(R12&gt;DAY(EOMONTH(DATE($B$2,$E$2,1),0)),EOMONTH(DATE($B$2,$E$2,1),0),DATE($B$2,$E$2,R12)))</f>
        <v>46091</v>
      </c>
      <c r="U12" s="64"/>
      <c r="V12" s="23"/>
      <c r="W12" s="64"/>
      <c r="X12" s="303"/>
      <c r="Y12" s="23"/>
      <c r="Z12" s="23"/>
    </row>
    <row r="13" ht="18.75" customHeight="1">
      <c r="A13" s="55"/>
      <c r="B13" s="56"/>
      <c r="C13" s="55"/>
      <c r="D13" s="56"/>
      <c r="E13" s="55"/>
      <c r="F13" s="56"/>
      <c r="G13" s="55"/>
      <c r="H13" s="56"/>
      <c r="I13" s="55"/>
      <c r="J13" s="57"/>
      <c r="K13" s="55"/>
      <c r="L13" s="56"/>
      <c r="M13" s="55"/>
      <c r="N13" s="56"/>
      <c r="O13" s="23"/>
      <c r="P13" s="551" t="s">
        <v>85</v>
      </c>
      <c r="Q13" s="552"/>
      <c r="R13" s="553">
        <v>18.0</v>
      </c>
      <c r="S13" s="549">
        <f t="array" ref="S13">-INDEX(PaymentSchedule!$E$21:$AG931,MATCH(PaymentSchedule!$B$35,PaymentSchedule!$B$21:$B$100),MATCH($P13,PaymentSchedule!$E$19:$AG$19,0))</f>
        <v>-151</v>
      </c>
      <c r="T13" s="550">
        <f t="shared" ref="T13:T15" si="1">IF(ISBLANK(R13),"-",IF(R13&gt;DAY(EOMONTH(DATE($B$2,$E$2,1),0)),EOMONTH(DATE($B$2,$E$2,1),0),DATE($B$2,$E$2,R13)))</f>
        <v>46099</v>
      </c>
      <c r="U13" s="64"/>
      <c r="V13" s="23"/>
      <c r="W13" s="64"/>
      <c r="X13" s="303"/>
      <c r="Y13" s="23"/>
      <c r="Z13" s="23"/>
    </row>
    <row r="14" ht="18.75" customHeight="1">
      <c r="A14" s="55"/>
      <c r="B14" s="56"/>
      <c r="C14" s="55"/>
      <c r="D14" s="56"/>
      <c r="E14" s="55"/>
      <c r="F14" s="56"/>
      <c r="G14" s="55"/>
      <c r="H14" s="56"/>
      <c r="I14" s="58"/>
      <c r="J14" s="57"/>
      <c r="K14" s="55"/>
      <c r="L14" s="56"/>
      <c r="M14" s="55"/>
      <c r="N14" s="56"/>
      <c r="O14" s="23"/>
      <c r="P14" s="398" t="s">
        <v>86</v>
      </c>
      <c r="Q14" s="399"/>
      <c r="R14" s="400">
        <v>5.0</v>
      </c>
      <c r="S14" s="393">
        <f t="array" ref="S14">-INDEX(PaymentSchedule!$E$21:$AG931,MATCH(PaymentSchedule!$B$35,PaymentSchedule!$B$21:$B$100),MATCH($P14,PaymentSchedule!$E$19:$AG$19,0))</f>
        <v>-791.16</v>
      </c>
      <c r="T14" s="394">
        <f t="shared" si="1"/>
        <v>46086</v>
      </c>
      <c r="U14" s="64"/>
      <c r="V14" s="23"/>
      <c r="W14" s="64"/>
      <c r="X14" s="303"/>
      <c r="Y14" s="23"/>
      <c r="Z14" s="23"/>
    </row>
    <row r="15" ht="18.75" customHeight="1">
      <c r="A15" s="55"/>
      <c r="B15" s="56"/>
      <c r="C15" s="55"/>
      <c r="D15" s="56"/>
      <c r="E15" s="55"/>
      <c r="F15" s="56"/>
      <c r="G15" s="55"/>
      <c r="H15" s="56"/>
      <c r="I15" s="55"/>
      <c r="J15" s="56"/>
      <c r="K15" s="55"/>
      <c r="L15" s="56"/>
      <c r="M15" s="55"/>
      <c r="N15" s="56"/>
      <c r="O15" s="23"/>
      <c r="P15" s="398" t="s">
        <v>20</v>
      </c>
      <c r="Q15" s="399"/>
      <c r="R15" s="400">
        <v>2.0</v>
      </c>
      <c r="S15" s="393">
        <f t="array" ref="S15">-INDEX(PaymentSchedule!$E$21:$AG931,MATCH(PaymentSchedule!$B$35,PaymentSchedule!$B$21:$B$100),MATCH($P15,PaymentSchedule!$E$19:$AG$19,0))</f>
        <v>-1467.13</v>
      </c>
      <c r="T15" s="394">
        <f t="shared" si="1"/>
        <v>46083</v>
      </c>
      <c r="U15" s="64"/>
      <c r="V15" s="23"/>
      <c r="W15" s="64"/>
      <c r="X15" s="303"/>
      <c r="Y15" s="23"/>
      <c r="Z15" s="23"/>
    </row>
    <row r="16" ht="18.75" customHeight="1">
      <c r="A16" s="66" t="s">
        <v>22</v>
      </c>
      <c r="B16" s="67">
        <f>$M$5+SUM(B11:B15)</f>
        <v>2049.81</v>
      </c>
      <c r="C16" s="66"/>
      <c r="D16" s="67">
        <f>B16+SUM(D11:D15)</f>
        <v>563.68</v>
      </c>
      <c r="E16" s="66"/>
      <c r="F16" s="67">
        <f>D16+SUM(F11:F15)</f>
        <v>2350.68</v>
      </c>
      <c r="G16" s="66"/>
      <c r="H16" s="67">
        <f>F16+SUM(H11:H15)</f>
        <v>1505.08</v>
      </c>
      <c r="I16" s="66"/>
      <c r="J16" s="67">
        <f>H16+SUM(J11:J15)</f>
        <v>663.92</v>
      </c>
      <c r="K16" s="66"/>
      <c r="L16" s="67">
        <f>J16+SUM(L11:L15)</f>
        <v>2400.59</v>
      </c>
      <c r="M16" s="66"/>
      <c r="N16" s="67">
        <f>L16+SUM(N11:N15)</f>
        <v>2400.59</v>
      </c>
      <c r="O16" s="68"/>
      <c r="P16" s="390" t="s">
        <v>87</v>
      </c>
      <c r="Q16" s="402"/>
      <c r="R16" s="392">
        <v>4.0</v>
      </c>
      <c r="S16" s="592">
        <f t="array" ref="S16">-INDEX(PaymentSchedule!$E$21:$AG931,MATCH(PaymentSchedule!$B$31,PaymentSchedule!$B$21:$B$100),MATCH($P16,PaymentSchedule!$E$19:$AG$19,0))</f>
        <v>-695.6</v>
      </c>
      <c r="T16" s="499">
        <f>IF(ISBLANK(R16),"-",IF(R16&gt;DAY(EOMONTH(DATE($B$2,$E$2,1),0)),EOMONTH(DATE($B$2,$E$2,1),0),DATE($B$2,$E$2,R16)))</f>
        <v>46085</v>
      </c>
      <c r="U16" s="71"/>
      <c r="V16" s="69"/>
      <c r="W16" s="71"/>
      <c r="X16" s="309"/>
      <c r="Y16" s="69"/>
      <c r="Z16" s="69"/>
    </row>
    <row r="17" ht="18.75" customHeight="1">
      <c r="A17" s="50">
        <f>IF(M11="","",IF(MONTH(M11+1)&lt;&gt;MONTH(M11),"",M11+1))</f>
        <v>46089</v>
      </c>
      <c r="B17" s="51">
        <f>SUMIF($T$11:$T$124,A17,$S$11:$S$85)</f>
        <v>-48.8</v>
      </c>
      <c r="C17" s="50">
        <f>IF(A17="","",IF(MONTH(A17+1)&lt;&gt;MONTH(A17),"",A17+1))</f>
        <v>46090</v>
      </c>
      <c r="D17" s="51">
        <f>SUMIF($T$11:$T$124,C17,$S$11:$S$85)</f>
        <v>-532.57</v>
      </c>
      <c r="E17" s="50">
        <f>IF(C17="","",IF(MONTH(C17+1)&lt;&gt;MONTH(C17),"",C17+1))</f>
        <v>46091</v>
      </c>
      <c r="F17" s="51">
        <f>SUMIF($T$11:$T$124,E17,$S$11:$S$85)</f>
        <v>-113</v>
      </c>
      <c r="G17" s="50">
        <f>IF(E17="","",IF(MONTH(E17+1)&lt;&gt;MONTH(E17),"",E17+1))</f>
        <v>46092</v>
      </c>
      <c r="H17" s="51">
        <f>SUMIF($T$11:$T$124,G17,$S$11:$S$85)</f>
        <v>-200</v>
      </c>
      <c r="I17" s="50">
        <f>IF(G17="","",IF(MONTH(G17+1)&lt;&gt;MONTH(G17),"",G17+1))</f>
        <v>46093</v>
      </c>
      <c r="J17" s="51">
        <f>SUMIF($T$11:$T$124,I17,$S$11:$S$85)</f>
        <v>-175</v>
      </c>
      <c r="K17" s="50">
        <f>IF(I17="","",IF(MONTH(I17+1)&lt;&gt;MONTH(I17),"",I17+1))</f>
        <v>46094</v>
      </c>
      <c r="L17" s="51">
        <f>SUMIF($T$11:$T$124,K17,$S$11:$S$85)</f>
        <v>0</v>
      </c>
      <c r="M17" s="50">
        <f>IF(K17="","",IF(MONTH(K17+1)&lt;&gt;MONTH(K17),"",K17+1))</f>
        <v>46095</v>
      </c>
      <c r="N17" s="51">
        <f>SUMIF($T$11:$T$124,M17,$S$11:$S$85)</f>
        <v>0</v>
      </c>
      <c r="O17" s="23"/>
      <c r="P17" s="551" t="s">
        <v>37</v>
      </c>
      <c r="Q17" s="552"/>
      <c r="R17" s="553">
        <v>12.0</v>
      </c>
      <c r="S17" s="549">
        <f t="array" ref="S17">-INDEX(PaymentSchedule!$E$21:$AG931,MATCH(PaymentSchedule!$B$35,PaymentSchedule!$B$21:$B$100),MATCH($P17,PaymentSchedule!$E$19:$AG$19,0))</f>
        <v>-73</v>
      </c>
      <c r="T17" s="550">
        <f t="shared" ref="T17:T24" si="2">IF(ISBLANK(R17),"-",IF(R17&gt;DAY(EOMONTH(DATE($B$2,$E$2,1),0)),EOMONTH(DATE($B$2,$E$2,1),0),DATE($B$2,$E$2,R17)))</f>
        <v>46093</v>
      </c>
      <c r="U17" s="64"/>
      <c r="V17" s="23"/>
      <c r="W17" s="64"/>
      <c r="X17" s="303"/>
      <c r="Y17" s="23"/>
      <c r="Z17" s="23"/>
    </row>
    <row r="18" ht="18.75" customHeight="1">
      <c r="A18" s="55"/>
      <c r="B18" s="56"/>
      <c r="C18" s="58" t="s">
        <v>154</v>
      </c>
      <c r="D18" s="57">
        <v>-54.95</v>
      </c>
      <c r="E18" s="55"/>
      <c r="F18" s="56"/>
      <c r="G18" s="58" t="s">
        <v>230</v>
      </c>
      <c r="H18" s="57">
        <v>-38.0</v>
      </c>
      <c r="I18" s="58" t="s">
        <v>139</v>
      </c>
      <c r="J18" s="57">
        <v>-99.0</v>
      </c>
      <c r="K18" s="58" t="s">
        <v>87</v>
      </c>
      <c r="L18" s="57">
        <v>-10.89</v>
      </c>
      <c r="M18" s="55"/>
      <c r="N18" s="56"/>
      <c r="O18" s="23"/>
      <c r="P18" s="398" t="s">
        <v>36</v>
      </c>
      <c r="Q18" s="399"/>
      <c r="R18" s="400">
        <v>9.0</v>
      </c>
      <c r="S18" s="393">
        <f t="array" ref="S18">-INDEX(PaymentSchedule!$E$21:$AG931,MATCH(PaymentSchedule!$B$35,PaymentSchedule!$B$21:$B$100),MATCH($P18,PaymentSchedule!$E$19:$AG$19,0))</f>
        <v>-450.08</v>
      </c>
      <c r="T18" s="394">
        <f t="shared" si="2"/>
        <v>46090</v>
      </c>
      <c r="U18" s="64"/>
      <c r="V18" s="23"/>
      <c r="Y18" s="23"/>
      <c r="Z18" s="23"/>
    </row>
    <row r="19" ht="18.75" customHeight="1">
      <c r="A19" s="55"/>
      <c r="B19" s="56"/>
      <c r="C19" s="58" t="s">
        <v>229</v>
      </c>
      <c r="D19" s="57">
        <v>-41.64</v>
      </c>
      <c r="E19" s="55"/>
      <c r="F19" s="56"/>
      <c r="G19" s="55"/>
      <c r="H19" s="56"/>
      <c r="I19" s="55"/>
      <c r="J19" s="56"/>
      <c r="K19" s="55"/>
      <c r="L19" s="56"/>
      <c r="M19" s="55"/>
      <c r="N19" s="56"/>
      <c r="O19" s="23"/>
      <c r="P19" s="398" t="s">
        <v>25</v>
      </c>
      <c r="Q19" s="399"/>
      <c r="R19" s="400">
        <v>9.0</v>
      </c>
      <c r="S19" s="393">
        <v>-82.49</v>
      </c>
      <c r="T19" s="394">
        <f t="shared" si="2"/>
        <v>46090</v>
      </c>
      <c r="U19" s="64"/>
      <c r="V19" s="23"/>
      <c r="W19" s="64"/>
      <c r="X19" s="303"/>
      <c r="Y19" s="23"/>
      <c r="Z19" s="23"/>
    </row>
    <row r="20" ht="18.75" customHeight="1">
      <c r="A20" s="55"/>
      <c r="B20" s="56"/>
      <c r="C20" s="55"/>
      <c r="D20" s="56"/>
      <c r="E20" s="55"/>
      <c r="F20" s="56"/>
      <c r="G20" s="55"/>
      <c r="H20" s="56"/>
      <c r="I20" s="55"/>
      <c r="J20" s="56"/>
      <c r="K20" s="55"/>
      <c r="L20" s="56"/>
      <c r="M20" s="55"/>
      <c r="N20" s="56"/>
      <c r="O20" s="23"/>
      <c r="P20" s="538" t="s">
        <v>55</v>
      </c>
      <c r="Q20" s="539"/>
      <c r="R20" s="540">
        <v>30.0</v>
      </c>
      <c r="S20" s="365">
        <v>-18.35</v>
      </c>
      <c r="T20" s="323">
        <f t="shared" si="2"/>
        <v>46111</v>
      </c>
      <c r="U20" s="64"/>
      <c r="V20" s="23"/>
      <c r="W20" s="64"/>
      <c r="X20" s="303"/>
      <c r="Y20" s="23"/>
      <c r="Z20" s="23"/>
    </row>
    <row r="21" ht="18.75" customHeight="1">
      <c r="A21" s="55"/>
      <c r="B21" s="56"/>
      <c r="C21" s="55"/>
      <c r="D21" s="56"/>
      <c r="E21" s="55"/>
      <c r="F21" s="56"/>
      <c r="G21" s="55"/>
      <c r="H21" s="56"/>
      <c r="I21" s="55"/>
      <c r="J21" s="56"/>
      <c r="K21" s="55"/>
      <c r="L21" s="56"/>
      <c r="M21" s="55"/>
      <c r="N21" s="56"/>
      <c r="O21" s="23"/>
      <c r="P21" s="319" t="s">
        <v>29</v>
      </c>
      <c r="Q21" s="320"/>
      <c r="R21" s="321"/>
      <c r="S21" s="322">
        <v>-16.19</v>
      </c>
      <c r="T21" s="323" t="str">
        <f t="shared" si="2"/>
        <v>-</v>
      </c>
      <c r="U21" s="64"/>
      <c r="V21" s="303"/>
      <c r="W21" s="64"/>
      <c r="X21" s="303"/>
      <c r="Y21" s="23"/>
      <c r="Z21" s="23"/>
    </row>
    <row r="22" ht="18.75" customHeight="1">
      <c r="A22" s="66" t="s">
        <v>22</v>
      </c>
      <c r="B22" s="67">
        <f>N16+SUM(B17:B21)</f>
        <v>2351.79</v>
      </c>
      <c r="C22" s="66"/>
      <c r="D22" s="67">
        <f>B22+SUM(D17:D21)</f>
        <v>1722.63</v>
      </c>
      <c r="E22" s="66"/>
      <c r="F22" s="67">
        <f>D22+SUM(F17:F21)</f>
        <v>1609.63</v>
      </c>
      <c r="G22" s="66"/>
      <c r="H22" s="67">
        <f>F22+SUM(H17:H21)</f>
        <v>1371.63</v>
      </c>
      <c r="I22" s="66"/>
      <c r="J22" s="67">
        <f>H22+SUM(J17:J21)</f>
        <v>1097.63</v>
      </c>
      <c r="K22" s="66"/>
      <c r="L22" s="67">
        <f>J22+SUM(L17:L21)</f>
        <v>1086.74</v>
      </c>
      <c r="M22" s="66"/>
      <c r="N22" s="67">
        <f>L22+SUM(N17:N21)</f>
        <v>1086.74</v>
      </c>
      <c r="O22" s="68"/>
      <c r="P22" s="319" t="s">
        <v>43</v>
      </c>
      <c r="Q22" s="320"/>
      <c r="R22" s="321">
        <v>17.0</v>
      </c>
      <c r="S22" s="322">
        <v>-9.99</v>
      </c>
      <c r="T22" s="323">
        <f t="shared" si="2"/>
        <v>46098</v>
      </c>
      <c r="W22" s="71"/>
      <c r="X22" s="309"/>
      <c r="Y22" s="69"/>
      <c r="Z22" s="69"/>
    </row>
    <row r="23" ht="18.75" customHeight="1">
      <c r="A23" s="50">
        <f>IF(M17="","",IF(MONTH(M17+1)&lt;&gt;MONTH(M17),"",M17+1))</f>
        <v>46096</v>
      </c>
      <c r="B23" s="51">
        <f>SUMIF($T$11:$T$124,A23,$S$11:$S$85)</f>
        <v>0</v>
      </c>
      <c r="C23" s="50">
        <f>IF(A23="","",IF(MONTH(A23+1)&lt;&gt;MONTH(A23),"",A23+1))</f>
        <v>46097</v>
      </c>
      <c r="D23" s="51">
        <f>SUMIF($T$11:$T$124,C23,$S$11:$S$85)</f>
        <v>0</v>
      </c>
      <c r="E23" s="50">
        <f>IF(C23="","",IF(MONTH(C23+1)&lt;&gt;MONTH(C23),"",C23+1))</f>
        <v>46098</v>
      </c>
      <c r="F23" s="51">
        <f>SUMIF($T$11:$T$124,E23,$S$11:$S$85)</f>
        <v>-15.98</v>
      </c>
      <c r="G23" s="50">
        <f>IF(E23="","",IF(MONTH(E23+1)&lt;&gt;MONTH(E23),"",E23+1))</f>
        <v>46099</v>
      </c>
      <c r="H23" s="51">
        <f>SUMIF($T$11:$T$124,G23,$S$11:$S$85)</f>
        <v>-597.84</v>
      </c>
      <c r="I23" s="50">
        <f>IF(G23="","",IF(MONTH(G23+1)&lt;&gt;MONTH(G23),"",G23+1))</f>
        <v>46100</v>
      </c>
      <c r="J23" s="51">
        <f>SUMIF($T$11:$T$124,I23,$S$11:$S$85)</f>
        <v>2308</v>
      </c>
      <c r="K23" s="50">
        <f>IF(I23="","",IF(MONTH(I23+1)&lt;&gt;MONTH(I23),"",I23+1))</f>
        <v>46101</v>
      </c>
      <c r="L23" s="51">
        <f>SUMIF($T$11:$T$124,K23,$S$11:$S$85)</f>
        <v>0</v>
      </c>
      <c r="M23" s="50">
        <f>IF(K23="","",IF(MONTH(K23+1)&lt;&gt;MONTH(K23),"",K23+1))</f>
        <v>46102</v>
      </c>
      <c r="N23" s="51">
        <f>SUMIF($T$11:$T$124,M23,$S$11:$S$85)</f>
        <v>0</v>
      </c>
      <c r="O23" s="23"/>
      <c r="P23" s="319" t="s">
        <v>54</v>
      </c>
      <c r="Q23" s="320"/>
      <c r="R23" s="321">
        <v>30.0</v>
      </c>
      <c r="S23" s="322">
        <v>-11.0</v>
      </c>
      <c r="T23" s="323">
        <f t="shared" si="2"/>
        <v>46111</v>
      </c>
      <c r="U23" s="64"/>
      <c r="V23" s="23"/>
      <c r="W23" s="64"/>
      <c r="X23" s="303"/>
      <c r="Y23" s="23"/>
      <c r="Z23" s="23"/>
    </row>
    <row r="24" ht="18.75" customHeight="1">
      <c r="A24" s="55"/>
      <c r="B24" s="56"/>
      <c r="C24" s="55"/>
      <c r="D24" s="56"/>
      <c r="E24" s="55"/>
      <c r="F24" s="56"/>
      <c r="G24" s="413"/>
      <c r="H24" s="411"/>
      <c r="I24" s="55"/>
      <c r="J24" s="56"/>
      <c r="K24" s="58" t="s">
        <v>156</v>
      </c>
      <c r="L24" s="57">
        <v>-830.0</v>
      </c>
      <c r="M24" s="55"/>
      <c r="N24" s="56"/>
      <c r="O24" s="23"/>
      <c r="P24" s="319" t="s">
        <v>30</v>
      </c>
      <c r="Q24" s="320"/>
      <c r="R24" s="405">
        <v>18.0</v>
      </c>
      <c r="S24" s="370">
        <v>-296.84</v>
      </c>
      <c r="T24" s="323">
        <f t="shared" si="2"/>
        <v>46099</v>
      </c>
      <c r="U24" s="64"/>
      <c r="V24" s="23"/>
      <c r="W24" s="64"/>
      <c r="X24" s="303"/>
      <c r="Y24" s="23"/>
      <c r="Z24" s="23"/>
    </row>
    <row r="25" ht="18.75" customHeight="1">
      <c r="A25" s="55"/>
      <c r="B25" s="56"/>
      <c r="C25" s="55"/>
      <c r="D25" s="56"/>
      <c r="E25" s="55"/>
      <c r="F25" s="56"/>
      <c r="G25" s="55"/>
      <c r="H25" s="56"/>
      <c r="I25" s="55"/>
      <c r="J25" s="56"/>
      <c r="K25" s="55"/>
      <c r="L25" s="56"/>
      <c r="M25" s="55"/>
      <c r="N25" s="56"/>
      <c r="O25" s="23"/>
      <c r="P25" s="367"/>
      <c r="Q25" s="368"/>
      <c r="R25" s="405"/>
      <c r="S25" s="409"/>
      <c r="T25" s="376"/>
      <c r="U25" s="64"/>
      <c r="V25" s="23"/>
      <c r="W25" s="64"/>
      <c r="X25" s="303"/>
      <c r="Y25" s="23"/>
      <c r="Z25" s="23"/>
    </row>
    <row r="26" ht="18.75" customHeight="1">
      <c r="A26" s="55"/>
      <c r="B26" s="56"/>
      <c r="C26" s="55"/>
      <c r="D26" s="56"/>
      <c r="E26" s="55"/>
      <c r="F26" s="56"/>
      <c r="G26" s="55"/>
      <c r="H26" s="56"/>
      <c r="I26" s="55"/>
      <c r="J26" s="56"/>
      <c r="K26" s="55"/>
      <c r="L26" s="56"/>
      <c r="M26" s="55"/>
      <c r="N26" s="56"/>
      <c r="O26" s="23"/>
      <c r="P26" s="385" t="s">
        <v>232</v>
      </c>
      <c r="Q26" s="386"/>
      <c r="R26" s="387">
        <v>6.0</v>
      </c>
      <c r="S26" s="388">
        <v>2308.0</v>
      </c>
      <c r="T26" s="384">
        <f t="shared" ref="T26:T35" si="3">IF(ISBLANK(R26),"-",IF(R26&gt;DAY(EOMONTH(DATE($B$2,$E$2,1),0)),EOMONTH(DATE($B$2,$E$2,1),0),DATE($B$2,$E$2,R26)))</f>
        <v>46087</v>
      </c>
      <c r="U26" s="64"/>
      <c r="V26" s="23"/>
      <c r="W26" s="64"/>
      <c r="X26" s="303"/>
      <c r="Y26" s="23"/>
      <c r="Z26" s="23"/>
    </row>
    <row r="27" ht="18.75" customHeight="1">
      <c r="A27" s="55"/>
      <c r="B27" s="56"/>
      <c r="C27" s="55"/>
      <c r="D27" s="56"/>
      <c r="E27" s="55"/>
      <c r="F27" s="56"/>
      <c r="G27" s="55"/>
      <c r="H27" s="56"/>
      <c r="I27" s="55"/>
      <c r="J27" s="56"/>
      <c r="K27" s="55"/>
      <c r="L27" s="56"/>
      <c r="M27" s="55"/>
      <c r="N27" s="56"/>
      <c r="O27" s="23"/>
      <c r="P27" s="319" t="s">
        <v>41</v>
      </c>
      <c r="Q27" s="320"/>
      <c r="R27" s="321">
        <v>19.0</v>
      </c>
      <c r="S27" s="322">
        <v>2308.0</v>
      </c>
      <c r="T27" s="323">
        <f t="shared" si="3"/>
        <v>46100</v>
      </c>
      <c r="U27" s="64"/>
      <c r="V27" s="23"/>
      <c r="W27" s="64"/>
      <c r="X27" s="303"/>
      <c r="Y27" s="23"/>
      <c r="Z27" s="23"/>
    </row>
    <row r="28" ht="18.75" customHeight="1">
      <c r="A28" s="66" t="s">
        <v>22</v>
      </c>
      <c r="B28" s="67">
        <f>N22+SUM(B23:B27)</f>
        <v>1086.74</v>
      </c>
      <c r="C28" s="66"/>
      <c r="D28" s="67">
        <f>B28+SUM(D23:D27)</f>
        <v>1086.74</v>
      </c>
      <c r="E28" s="66"/>
      <c r="F28" s="67">
        <f>D28+SUM(F23:F27)</f>
        <v>1070.76</v>
      </c>
      <c r="G28" s="66"/>
      <c r="H28" s="67">
        <f>F28+SUM(H23:H27)</f>
        <v>472.92</v>
      </c>
      <c r="I28" s="66"/>
      <c r="J28" s="67">
        <f>H28+SUM(J23:J27)</f>
        <v>2780.92</v>
      </c>
      <c r="K28" s="66"/>
      <c r="L28" s="67">
        <f>J28+SUM(L23:L27)</f>
        <v>1950.92</v>
      </c>
      <c r="M28" s="66"/>
      <c r="N28" s="67">
        <f>L28+SUM(N23:N27)</f>
        <v>1950.92</v>
      </c>
      <c r="O28" s="68"/>
      <c r="P28" s="385" t="s">
        <v>47</v>
      </c>
      <c r="Q28" s="386"/>
      <c r="R28" s="387">
        <v>3.0</v>
      </c>
      <c r="S28" s="389">
        <v>1800.0</v>
      </c>
      <c r="T28" s="384">
        <f t="shared" si="3"/>
        <v>46084</v>
      </c>
      <c r="U28" s="71"/>
      <c r="V28" s="69"/>
      <c r="W28" s="71"/>
      <c r="X28" s="309"/>
      <c r="Y28" s="69"/>
      <c r="Z28" s="69"/>
    </row>
    <row r="29" ht="18.75" customHeight="1">
      <c r="A29" s="50">
        <f>IF(M23="","",IF(MONTH(M23+1)&lt;&gt;MONTH(M23),"",M23+1))</f>
        <v>46103</v>
      </c>
      <c r="B29" s="51">
        <f>SUMIF($T$11:$T$124,A29,$S$11:$S$85)</f>
        <v>0</v>
      </c>
      <c r="C29" s="50">
        <f>IF(A29="","",IF(MONTH(A29+1)&lt;&gt;MONTH(A29),"",A29+1))</f>
        <v>46104</v>
      </c>
      <c r="D29" s="51">
        <f>SUMIF($T$11:$T$124,C29,$S$11:$S$85)</f>
        <v>-12</v>
      </c>
      <c r="E29" s="50">
        <f>IF(C29="","",IF(MONTH(C29+1)&lt;&gt;MONTH(C29),"",C29+1))</f>
        <v>46105</v>
      </c>
      <c r="F29" s="51">
        <f>SUMIF($T$11:$T$124,E29,$S$11:$S$85)</f>
        <v>0</v>
      </c>
      <c r="G29" s="50">
        <f>IF(E29="","",IF(MONTH(E29+1)&lt;&gt;MONTH(E29),"",E29+1))</f>
        <v>46106</v>
      </c>
      <c r="H29" s="51">
        <f>SUMIF($T$11:$T$124,G29,$S$11:$S$85)</f>
        <v>-150</v>
      </c>
      <c r="I29" s="50">
        <f>IF(G29="","",IF(MONTH(G29+1)&lt;&gt;MONTH(G29),"",G29+1))</f>
        <v>46107</v>
      </c>
      <c r="J29" s="51">
        <f>SUMIF($T$11:$T$124,I29,$S$11:$S$85)</f>
        <v>-18.35</v>
      </c>
      <c r="K29" s="50">
        <f>IF(I29="","",IF(MONTH(I29+1)&lt;&gt;MONTH(I29),"",I29+1))</f>
        <v>46108</v>
      </c>
      <c r="L29" s="51">
        <f>SUMIF($T$11:$T$124,K29,$S$11:$S$85)</f>
        <v>0</v>
      </c>
      <c r="M29" s="50">
        <f>IF(K29="","",IF(MONTH(K29+1)&lt;&gt;MONTH(K29),"",K29+1))</f>
        <v>46109</v>
      </c>
      <c r="N29" s="51">
        <f>SUMIF($T$11:$T$124,M29,$S$11:$S$85)</f>
        <v>-1245.6</v>
      </c>
      <c r="O29" s="23"/>
      <c r="P29" s="414" t="s">
        <v>142</v>
      </c>
      <c r="Q29" s="415"/>
      <c r="R29" s="416">
        <v>1.0</v>
      </c>
      <c r="S29" s="383"/>
      <c r="T29" s="384">
        <f t="shared" si="3"/>
        <v>46082</v>
      </c>
      <c r="U29" s="64"/>
      <c r="V29" s="23"/>
      <c r="W29" s="64"/>
      <c r="X29" s="303"/>
      <c r="Y29" s="23"/>
      <c r="Z29" s="23"/>
    </row>
    <row r="30" ht="18.75" customHeight="1">
      <c r="A30" s="55"/>
      <c r="B30" s="56"/>
      <c r="C30" s="485" t="s">
        <v>202</v>
      </c>
      <c r="D30" s="486"/>
      <c r="E30" s="58" t="s">
        <v>139</v>
      </c>
      <c r="F30" s="57">
        <v>-99.0</v>
      </c>
      <c r="G30" s="55"/>
      <c r="H30" s="57"/>
      <c r="I30" s="55"/>
      <c r="J30" s="57"/>
      <c r="K30" s="58"/>
      <c r="L30" s="57"/>
      <c r="M30" s="55"/>
      <c r="N30" s="56"/>
      <c r="O30" s="23"/>
      <c r="P30" s="319" t="s">
        <v>142</v>
      </c>
      <c r="Q30" s="333"/>
      <c r="R30" s="334"/>
      <c r="S30" s="600"/>
      <c r="T30" s="323" t="str">
        <f t="shared" si="3"/>
        <v>-</v>
      </c>
      <c r="U30" s="64"/>
      <c r="V30" s="23"/>
      <c r="W30" s="64"/>
      <c r="X30" s="303"/>
      <c r="Y30" s="23"/>
      <c r="Z30" s="23"/>
    </row>
    <row r="31" ht="18.75" customHeight="1">
      <c r="A31" s="55"/>
      <c r="B31" s="56"/>
      <c r="C31" s="55"/>
      <c r="D31" s="56"/>
      <c r="E31" s="58" t="s">
        <v>159</v>
      </c>
      <c r="F31" s="57">
        <v>-162.42</v>
      </c>
      <c r="G31" s="55"/>
      <c r="H31" s="56"/>
      <c r="I31" s="55"/>
      <c r="J31" s="56"/>
      <c r="K31" s="55"/>
      <c r="L31" s="56"/>
      <c r="M31" s="55"/>
      <c r="N31" s="56"/>
      <c r="O31" s="23"/>
      <c r="P31" s="319" t="s">
        <v>46</v>
      </c>
      <c r="Q31" s="320"/>
      <c r="R31" s="321">
        <v>23.0</v>
      </c>
      <c r="S31" s="322">
        <v>-12.0</v>
      </c>
      <c r="T31" s="323">
        <f t="shared" si="3"/>
        <v>46104</v>
      </c>
      <c r="U31" s="64"/>
      <c r="V31" s="23"/>
      <c r="W31" s="64"/>
      <c r="X31" s="303"/>
      <c r="Y31" s="23"/>
      <c r="Z31" s="23"/>
    </row>
    <row r="32" ht="18.75" customHeight="1">
      <c r="A32" s="55"/>
      <c r="B32" s="56"/>
      <c r="C32" s="55"/>
      <c r="D32" s="56"/>
      <c r="E32" s="55"/>
      <c r="F32" s="57"/>
      <c r="G32" s="55"/>
      <c r="H32" s="56"/>
      <c r="I32" s="55"/>
      <c r="J32" s="56"/>
      <c r="K32" s="55"/>
      <c r="L32" s="56"/>
      <c r="M32" s="55"/>
      <c r="N32" s="56"/>
      <c r="O32" s="23"/>
      <c r="P32" s="538" t="s">
        <v>44</v>
      </c>
      <c r="Q32" s="539"/>
      <c r="R32" s="540">
        <v>26.0</v>
      </c>
      <c r="S32" s="365">
        <v>-18.35</v>
      </c>
      <c r="T32" s="323">
        <f t="shared" si="3"/>
        <v>46107</v>
      </c>
      <c r="U32" s="64"/>
      <c r="V32" s="23"/>
      <c r="W32" s="64"/>
      <c r="X32" s="303"/>
      <c r="Y32" s="23"/>
      <c r="Z32" s="23"/>
    </row>
    <row r="33" ht="18.75" customHeight="1">
      <c r="A33" s="55"/>
      <c r="B33" s="56"/>
      <c r="C33" s="55"/>
      <c r="D33" s="56"/>
      <c r="E33" s="55"/>
      <c r="F33" s="56"/>
      <c r="G33" s="55"/>
      <c r="H33" s="56"/>
      <c r="I33" s="55"/>
      <c r="J33" s="56"/>
      <c r="K33" s="55"/>
      <c r="L33" s="56"/>
      <c r="M33" s="55"/>
      <c r="N33" s="56"/>
      <c r="O33" s="23"/>
      <c r="P33" s="319" t="s">
        <v>40</v>
      </c>
      <c r="Q33" s="320"/>
      <c r="R33" s="321">
        <v>12.0</v>
      </c>
      <c r="S33" s="322">
        <v>-102.0</v>
      </c>
      <c r="T33" s="323">
        <f t="shared" si="3"/>
        <v>46093</v>
      </c>
      <c r="U33" s="64"/>
      <c r="V33" s="23"/>
      <c r="W33" s="64"/>
      <c r="X33" s="303"/>
      <c r="Y33" s="23"/>
      <c r="Z33" s="23"/>
    </row>
    <row r="34" ht="18.75" customHeight="1">
      <c r="A34" s="66" t="s">
        <v>22</v>
      </c>
      <c r="B34" s="67">
        <f>N28+SUM(B29:B33)</f>
        <v>1950.92</v>
      </c>
      <c r="C34" s="66"/>
      <c r="D34" s="67">
        <f>B34+SUM(D29:D33)</f>
        <v>1938.92</v>
      </c>
      <c r="E34" s="66"/>
      <c r="F34" s="67">
        <f>D34+SUM(F29:F33)</f>
        <v>1677.5</v>
      </c>
      <c r="G34" s="66"/>
      <c r="H34" s="67">
        <f>F34+SUM(H29:H33)</f>
        <v>1527.5</v>
      </c>
      <c r="I34" s="66"/>
      <c r="J34" s="67">
        <f>H34+SUM(J29:J33)</f>
        <v>1509.15</v>
      </c>
      <c r="K34" s="66"/>
      <c r="L34" s="67">
        <f>J34+SUM(L29:L33)</f>
        <v>1509.15</v>
      </c>
      <c r="M34" s="66"/>
      <c r="N34" s="67">
        <f>L34+SUM(N29:N33)</f>
        <v>263.55</v>
      </c>
      <c r="O34" s="68"/>
      <c r="P34" s="319" t="s">
        <v>34</v>
      </c>
      <c r="Q34" s="320"/>
      <c r="R34" s="321">
        <v>17.0</v>
      </c>
      <c r="S34" s="322">
        <v>-5.99</v>
      </c>
      <c r="T34" s="323">
        <f t="shared" si="3"/>
        <v>46098</v>
      </c>
      <c r="U34" s="71"/>
      <c r="V34" s="69"/>
      <c r="W34" s="71"/>
      <c r="X34" s="309"/>
      <c r="Y34" s="69"/>
      <c r="Z34" s="69"/>
    </row>
    <row r="35" ht="18.75" customHeight="1">
      <c r="A35" s="50">
        <f>IF(M29="","",IF(MONTH(M29+1)&lt;&gt;MONTH(M29),"",M29+1))</f>
        <v>46110</v>
      </c>
      <c r="B35" s="51">
        <f>SUMIF($T$11:$T$124,A35,$S$11:$S$85)</f>
        <v>-10.99</v>
      </c>
      <c r="C35" s="50">
        <f>IF(A35="","",IF(MONTH(A35+1)&lt;&gt;MONTH(A35),"",A35+1))</f>
        <v>46111</v>
      </c>
      <c r="D35" s="51">
        <f>SUMIF($T$11:$T$124,C35,$S$11:$S$85)</f>
        <v>-29.35</v>
      </c>
      <c r="E35" s="50">
        <f>IF(C35="","",IF(MONTH(C35+1)&lt;&gt;MONTH(C35),"",C35+1))</f>
        <v>46112</v>
      </c>
      <c r="F35" s="51">
        <f>SUMIF($T$11:$T$124,E35,$S$11:$S$85)</f>
        <v>0</v>
      </c>
      <c r="G35" s="50" t="str">
        <f>IF(E35="","",IF(MONTH(E35+1)&lt;&gt;MONTH(E35),"",E35+1))</f>
        <v/>
      </c>
      <c r="H35" s="51">
        <f>SUMIF($T$11:$T$124,G35,$S$11:$S$85)</f>
        <v>0</v>
      </c>
      <c r="I35" s="50" t="str">
        <f>IF(G35="","",IF(MONTH(G35+1)&lt;&gt;MONTH(G35),"",G35+1))</f>
        <v/>
      </c>
      <c r="J35" s="51">
        <f>SUMIF($T$11:$T$124,I35,$S$11:$S$85)</f>
        <v>0</v>
      </c>
      <c r="K35" s="50" t="str">
        <f>IF(I35="","",IF(MONTH(I35+1)&lt;&gt;MONTH(I35),"",I35+1))</f>
        <v/>
      </c>
      <c r="L35" s="51">
        <f>SUMIF($T$11:$T$124,K35,$S$11:$S$85)</f>
        <v>0</v>
      </c>
      <c r="M35" s="50" t="str">
        <f>IF(K35="","",IF(MONTH(K35+1)&lt;&gt;MONTH(K35),"",K35+1))</f>
        <v/>
      </c>
      <c r="N35" s="51">
        <f>SUMIF($T$11:$T$124,M35,$S$11:$S$85)</f>
        <v>0</v>
      </c>
      <c r="O35" s="23"/>
      <c r="P35" s="319" t="s">
        <v>34</v>
      </c>
      <c r="Q35" s="320"/>
      <c r="R35" s="321">
        <v>24.0</v>
      </c>
      <c r="S35" s="322"/>
      <c r="T35" s="323">
        <f t="shared" si="3"/>
        <v>46105</v>
      </c>
      <c r="U35" s="64"/>
      <c r="V35" s="23"/>
      <c r="W35" s="64"/>
      <c r="X35" s="303"/>
      <c r="Y35" s="23"/>
      <c r="Z35" s="23"/>
    </row>
    <row r="36" ht="18.75" customHeight="1">
      <c r="A36" s="55"/>
      <c r="B36" s="56"/>
      <c r="C36" s="55"/>
      <c r="D36" s="56"/>
      <c r="E36" s="55"/>
      <c r="F36" s="57"/>
      <c r="G36" s="55"/>
      <c r="H36" s="56"/>
      <c r="I36" s="55"/>
      <c r="J36" s="56"/>
      <c r="K36" s="55"/>
      <c r="L36" s="57"/>
      <c r="M36" s="55"/>
      <c r="N36" s="56"/>
      <c r="O36" s="23"/>
      <c r="P36" s="519" t="s">
        <v>51</v>
      </c>
      <c r="Q36" s="511"/>
      <c r="R36" s="416">
        <v>8.0</v>
      </c>
      <c r="S36" s="397">
        <v>-27.0</v>
      </c>
      <c r="T36" s="536">
        <f>IF(ISBLANK(R36),"-",IF(R36&gt;DAY(EOMONTH(DATE($B$2,$E$2,1),0)),EOMONTH(DATE($B$2,$E$2,1),0),DATE($B$2,$E$2,R36)))</f>
        <v>46089</v>
      </c>
      <c r="U36" s="64"/>
      <c r="V36" s="23"/>
      <c r="W36" s="64"/>
      <c r="X36" s="303"/>
      <c r="Y36" s="23"/>
      <c r="Z36" s="23"/>
    </row>
    <row r="37" ht="18.75" customHeight="1">
      <c r="A37" s="55"/>
      <c r="B37" s="56"/>
      <c r="C37" s="55"/>
      <c r="D37" s="56"/>
      <c r="E37" s="55"/>
      <c r="F37" s="56"/>
      <c r="G37" s="55"/>
      <c r="H37" s="56"/>
      <c r="I37" s="55"/>
      <c r="J37" s="56"/>
      <c r="K37" s="55"/>
      <c r="L37" s="57"/>
      <c r="M37" s="55"/>
      <c r="N37" s="56"/>
      <c r="O37" s="23"/>
      <c r="P37" s="367" t="s">
        <v>53</v>
      </c>
      <c r="Q37" s="368"/>
      <c r="R37" s="405">
        <v>29.0</v>
      </c>
      <c r="S37" s="370">
        <v>-10.99</v>
      </c>
      <c r="T37" s="323">
        <f t="shared" ref="T37:T38" si="4">IF(ISBLANK(R37),"-",IF(R37&gt;DAY(EOMONTH(DATE($B$2,$E$2,1),0)),EOMONTH(DATE($B$2,$E$2,1),0),DATE($B$2,$E$2,R37)))</f>
        <v>46110</v>
      </c>
      <c r="U37" s="64"/>
      <c r="V37" s="23"/>
      <c r="W37" s="64"/>
      <c r="X37" s="303"/>
      <c r="Y37" s="23"/>
      <c r="Z37" s="23"/>
    </row>
    <row r="38" ht="18.75" customHeight="1">
      <c r="A38" s="55"/>
      <c r="B38" s="56"/>
      <c r="C38" s="55"/>
      <c r="D38" s="56"/>
      <c r="E38" s="55"/>
      <c r="F38" s="56"/>
      <c r="G38" s="55"/>
      <c r="H38" s="56"/>
      <c r="I38" s="55"/>
      <c r="J38" s="56"/>
      <c r="K38" s="55"/>
      <c r="L38" s="56"/>
      <c r="M38" s="55"/>
      <c r="N38" s="56"/>
      <c r="O38" s="23"/>
      <c r="P38" s="385" t="s">
        <v>27</v>
      </c>
      <c r="Q38" s="386"/>
      <c r="R38" s="387">
        <v>3.0</v>
      </c>
      <c r="S38" s="388">
        <v>-36.0</v>
      </c>
      <c r="T38" s="384">
        <f t="shared" si="4"/>
        <v>46084</v>
      </c>
      <c r="U38" s="64"/>
      <c r="V38" s="23"/>
      <c r="W38" s="64"/>
      <c r="X38" s="303"/>
      <c r="Y38" s="23"/>
      <c r="Z38" s="23"/>
    </row>
    <row r="39" ht="18.75" customHeight="1">
      <c r="A39" s="55"/>
      <c r="B39" s="56"/>
      <c r="C39" s="55"/>
      <c r="D39" s="56"/>
      <c r="E39" s="55"/>
      <c r="F39" s="56"/>
      <c r="G39" s="55"/>
      <c r="H39" s="56"/>
      <c r="I39" s="55"/>
      <c r="J39" s="56"/>
      <c r="K39" s="55"/>
      <c r="L39" s="56"/>
      <c r="M39" s="55"/>
      <c r="N39" s="56"/>
      <c r="O39" s="23"/>
      <c r="P39" s="414" t="s">
        <v>186</v>
      </c>
      <c r="Q39" s="511"/>
      <c r="R39" s="416">
        <v>5.0</v>
      </c>
      <c r="S39" s="397">
        <v>-50.0</v>
      </c>
      <c r="T39" s="536">
        <f>IF(ISBLANK(R39),"-",IF(R39&gt;DAY(EOMONTH(DATE($B$2,$E$2,1),0)),EOMONTH(DATE($B$2,$E$2,1),0),DATE($B$2,$E$2,R39)))</f>
        <v>46086</v>
      </c>
      <c r="U39" s="64"/>
      <c r="V39" s="23"/>
      <c r="W39" s="64"/>
      <c r="X39" s="303"/>
      <c r="Y39" s="23"/>
      <c r="Z39" s="23"/>
    </row>
    <row r="40" ht="18.75" customHeight="1">
      <c r="A40" s="66" t="s">
        <v>22</v>
      </c>
      <c r="B40" s="67">
        <f>N34+SUM(B35:B39)</f>
        <v>252.56</v>
      </c>
      <c r="C40" s="66"/>
      <c r="D40" s="67">
        <f>B40+SUM(D35:D39)</f>
        <v>223.21</v>
      </c>
      <c r="E40" s="66"/>
      <c r="F40" s="67">
        <f>D40+SUM(F35:F39)</f>
        <v>223.21</v>
      </c>
      <c r="G40" s="66"/>
      <c r="H40" s="67">
        <f>F40+SUM(H35:H39)</f>
        <v>223.21</v>
      </c>
      <c r="I40" s="66"/>
      <c r="J40" s="67">
        <f>H40+SUM(J35:J39)</f>
        <v>223.21</v>
      </c>
      <c r="K40" s="66"/>
      <c r="L40" s="67">
        <f>J40+SUM(L35:L39)</f>
        <v>223.21</v>
      </c>
      <c r="M40" s="66"/>
      <c r="N40" s="67">
        <f>L40+SUM(N35:N39)</f>
        <v>223.21</v>
      </c>
      <c r="O40" s="68"/>
      <c r="P40" s="319" t="s">
        <v>38</v>
      </c>
      <c r="Q40" s="320"/>
      <c r="R40" s="321">
        <v>11.0</v>
      </c>
      <c r="S40" s="322">
        <v>-50.0</v>
      </c>
      <c r="T40" s="323">
        <f t="shared" ref="T40:T45" si="5">IF(ISBLANK(R40),"-",IF(R40&gt;DAY(EOMONTH(DATE($B$2,$E$2,1),0)),EOMONTH(DATE($B$2,$E$2,1),0),DATE($B$2,$E$2,R40)))</f>
        <v>46092</v>
      </c>
      <c r="U40" s="71"/>
      <c r="V40" s="69"/>
      <c r="W40" s="71"/>
      <c r="X40" s="309"/>
      <c r="Y40" s="69"/>
      <c r="Z40" s="69"/>
    </row>
    <row r="41" ht="12.75" customHeight="1">
      <c r="A41" s="50" t="str">
        <f>IF(M35="","",IF(MONTH(M35+1)&lt;&gt;MONTH(M35),"",M35+1))</f>
        <v/>
      </c>
      <c r="B41" s="51">
        <f>SUMIF($T$11:$T$130,A41,$S$11:$S$91)</f>
        <v>0</v>
      </c>
      <c r="C41" s="50" t="str">
        <f>IF(A41="","",IF(MONTH(A41+1)&lt;&gt;MONTH(A41),"",A41+1))</f>
        <v/>
      </c>
      <c r="D41" s="51">
        <f>SUMIF($T$11:$T$130,C41,$S$11:$S$91)</f>
        <v>0</v>
      </c>
      <c r="P41" s="385" t="s">
        <v>57</v>
      </c>
      <c r="Q41" s="386"/>
      <c r="R41" s="387">
        <v>6.0</v>
      </c>
      <c r="S41" s="388">
        <v>-543.0</v>
      </c>
      <c r="T41" s="384">
        <f t="shared" si="5"/>
        <v>46087</v>
      </c>
    </row>
    <row r="42" ht="12.75" customHeight="1">
      <c r="A42" s="55"/>
      <c r="B42" s="56"/>
      <c r="C42" s="55"/>
      <c r="D42" s="56"/>
      <c r="P42" s="385" t="s">
        <v>26</v>
      </c>
      <c r="Q42" s="386"/>
      <c r="R42" s="387">
        <v>4.0</v>
      </c>
      <c r="S42" s="388">
        <v>-150.0</v>
      </c>
      <c r="T42" s="384">
        <f t="shared" si="5"/>
        <v>46085</v>
      </c>
    </row>
    <row r="43" ht="12.75" customHeight="1">
      <c r="A43" s="55"/>
      <c r="B43" s="56"/>
      <c r="C43" s="55"/>
      <c r="D43" s="56"/>
      <c r="I43" s="108">
        <v>22.61</v>
      </c>
      <c r="P43" s="319" t="s">
        <v>26</v>
      </c>
      <c r="Q43" s="320"/>
      <c r="R43" s="321">
        <v>11.0</v>
      </c>
      <c r="S43" s="322">
        <v>-150.0</v>
      </c>
      <c r="T43" s="323">
        <f t="shared" si="5"/>
        <v>46092</v>
      </c>
    </row>
    <row r="44" ht="12.75" customHeight="1">
      <c r="A44" s="55"/>
      <c r="B44" s="56"/>
      <c r="C44" s="55"/>
      <c r="D44" s="56"/>
      <c r="P44" s="319" t="s">
        <v>26</v>
      </c>
      <c r="Q44" s="320"/>
      <c r="R44" s="321">
        <v>18.0</v>
      </c>
      <c r="S44" s="322">
        <v>-150.0</v>
      </c>
      <c r="T44" s="323">
        <f t="shared" si="5"/>
        <v>46099</v>
      </c>
    </row>
    <row r="45" ht="12.75" customHeight="1">
      <c r="A45" s="55"/>
      <c r="B45" s="56"/>
      <c r="C45" s="55"/>
      <c r="D45" s="56"/>
      <c r="P45" s="319" t="s">
        <v>26</v>
      </c>
      <c r="Q45" s="320"/>
      <c r="R45" s="321">
        <v>25.0</v>
      </c>
      <c r="S45" s="322">
        <v>-150.0</v>
      </c>
      <c r="T45" s="323">
        <f t="shared" si="5"/>
        <v>46106</v>
      </c>
    </row>
    <row r="46" ht="12.75" customHeight="1">
      <c r="A46" s="66" t="s">
        <v>22</v>
      </c>
      <c r="B46" s="67">
        <f>N40+SUM(B41:B45)</f>
        <v>223.21</v>
      </c>
      <c r="C46" s="66"/>
      <c r="D46" s="67">
        <f>B46+SUM(D41:D45)</f>
        <v>223.21</v>
      </c>
      <c r="P46" s="406" t="s">
        <v>237</v>
      </c>
      <c r="Q46" s="368"/>
      <c r="R46" s="408">
        <v>28.0</v>
      </c>
      <c r="S46" s="409">
        <v>-550.0</v>
      </c>
      <c r="T46" s="376">
        <f>IF(ISBLANK(R46),"-",IF(R46&gt;DAY(EOMONTH(DATE($B$2,$E$2,1),0)),EOMONTH(DATE($B$2,$E$2,1),0),DATE($B$2,$E$2,R46)))</f>
        <v>46109</v>
      </c>
    </row>
    <row r="47" ht="12.75" customHeight="1">
      <c r="P47" s="593" t="s">
        <v>24</v>
      </c>
      <c r="Q47" s="415"/>
      <c r="R47" s="594">
        <v>1.0</v>
      </c>
      <c r="S47" s="595">
        <v>-63.0</v>
      </c>
      <c r="T47" s="384">
        <f>IF(ISBLANK(R47),"-",IF(R47&gt;DAY(EOMONTH(DATE($B$2,$E$2,1),0)),EOMONTH(DATE($B$2,$E$2,1),0),DATE($B$2,$E$2,R47)))</f>
        <v>46082</v>
      </c>
    </row>
    <row r="48" ht="12.75" customHeight="1">
      <c r="P48" s="546" t="s">
        <v>87</v>
      </c>
      <c r="Q48" s="547"/>
      <c r="R48" s="548">
        <v>28.0</v>
      </c>
      <c r="S48" s="598">
        <f t="array" ref="S48">-INDEX(PaymentSchedule!$E$21:$AG931,MATCH(PaymentSchedule!$B$31,PaymentSchedule!$B$21:$B$100),MATCH($P48,PaymentSchedule!$E$19:$AG$19,0))</f>
        <v>-695.6</v>
      </c>
      <c r="T48" s="599">
        <f t="shared" ref="T48:T49" si="6">IF(ISBLANK(R48),"-",IF(R48&gt;DAY(EOMONTH(DATE($B$2,$E$2,1),0)),EOMONTH(DATE($B$2,$E$2,1),0),DATE($B$2,$E$2,R48)))</f>
        <v>46109</v>
      </c>
    </row>
    <row r="49" ht="12.75" customHeight="1">
      <c r="P49" s="519" t="s">
        <v>214</v>
      </c>
      <c r="Q49" s="511"/>
      <c r="R49" s="416">
        <v>8.0</v>
      </c>
      <c r="S49" s="397">
        <v>-21.8</v>
      </c>
      <c r="T49" s="536">
        <f t="shared" si="6"/>
        <v>46089</v>
      </c>
    </row>
    <row r="50" ht="12.75" customHeight="1">
      <c r="P50" s="542"/>
      <c r="Q50" s="407"/>
      <c r="R50" s="543"/>
      <c r="S50" s="544"/>
      <c r="T50" s="376" t="str">
        <f>IF(ISBLANK(R50),"-",IF(R50&gt;DAY(EOMONTH(DATE($B$2,$E$2,1),0)),EOMONTH(DATE($B$2,$E$2,1),0),DATE($B$2,$E$2,$R$47)))</f>
        <v>-</v>
      </c>
    </row>
    <row r="51" ht="12.75" customHeight="1">
      <c r="P51" s="601"/>
      <c r="Q51" s="407"/>
      <c r="R51" s="602"/>
      <c r="S51" s="603"/>
      <c r="T51" s="376"/>
    </row>
    <row r="52" ht="12.75" customHeight="1">
      <c r="P52" s="542"/>
      <c r="Q52" s="407"/>
      <c r="R52" s="543"/>
      <c r="S52" s="544"/>
      <c r="T52" s="376" t="str">
        <f t="shared" ref="T52:T54" si="7">IF(ISBLANK(R52),"-",IF(R52&gt;DAY(EOMONTH(DATE($B$2,$E$2,1),0)),EOMONTH(DATE($B$2,$E$2,1),0),DATE($B$2,$E$2,$R$47)))</f>
        <v>-</v>
      </c>
    </row>
    <row r="53" ht="12.75" customHeight="1">
      <c r="P53" s="542"/>
      <c r="Q53" s="407"/>
      <c r="R53" s="543"/>
      <c r="S53" s="544"/>
      <c r="T53" s="376" t="str">
        <f t="shared" si="7"/>
        <v>-</v>
      </c>
    </row>
    <row r="54" ht="12.75" customHeight="1">
      <c r="P54" s="542"/>
      <c r="Q54" s="407"/>
      <c r="R54" s="543"/>
      <c r="S54" s="544"/>
      <c r="T54" s="376" t="str">
        <f t="shared" si="7"/>
        <v>-</v>
      </c>
    </row>
    <row r="55" ht="12.75" customHeight="1">
      <c r="P55" s="19"/>
      <c r="Q55" s="19"/>
      <c r="R55" s="285"/>
      <c r="S55" s="286"/>
      <c r="T55" s="19"/>
    </row>
    <row r="56" ht="12.75" customHeight="1">
      <c r="P56" s="19"/>
      <c r="Q56" s="19"/>
      <c r="R56" s="285"/>
      <c r="S56" s="286"/>
      <c r="T56" s="19"/>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c r="S927" s="337"/>
    </row>
    <row r="928" ht="12.75" customHeight="1">
      <c r="R928" s="336"/>
    </row>
    <row r="929" ht="12.75" customHeight="1">
      <c r="R929" s="336"/>
    </row>
    <row r="930" ht="12.75" customHeight="1">
      <c r="R930" s="336"/>
    </row>
    <row r="931" ht="12.75" customHeight="1">
      <c r="R931"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1">
    <cfRule type="cellIs" dxfId="5" priority="1" operator="lessThan">
      <formula>0</formula>
    </cfRule>
  </conditionalFormatting>
  <dataValidations>
    <dataValidation type="list" allowBlank="1" showErrorMessage="1" sqref="Q12:Q54">
      <formula1>"✔"</formula1>
    </dataValidation>
    <dataValidation type="custom" allowBlank="1" showDropDown="1" sqref="T12:T54">
      <formula1>OR(NOT(ISERROR(DATEVALUE(T12))), AND(ISNUMBER(T12), LEFT(CELL("format", T12))="D"))</formula1>
    </dataValidation>
  </dataValidations>
  <hyperlinks>
    <hyperlink r:id="rId1" ref="T3"/>
  </hyperlinks>
  <drawing r:id="rId2"/>
  <tableParts count="1">
    <tablePart r:id="rId4"/>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6.13"/>
    <col customWidth="1" min="2" max="2" width="8.63"/>
    <col customWidth="1" min="3" max="3" width="11.5"/>
    <col customWidth="1" min="4" max="4" width="8.63"/>
    <col customWidth="1" min="5" max="5" width="9.13"/>
    <col customWidth="1" min="6" max="6" width="8.63"/>
    <col customWidth="1" min="7" max="7" width="6.13"/>
    <col customWidth="1" min="8" max="8" width="8.63"/>
    <col customWidth="1" min="9" max="9" width="11.5"/>
    <col customWidth="1" min="10" max="10" width="8.63"/>
    <col customWidth="1" min="11" max="11" width="10.63"/>
    <col customWidth="1" min="12" max="12" width="8.63"/>
    <col customWidth="1" min="13" max="13" width="6.13"/>
    <col customWidth="1" min="14" max="14" width="8.63"/>
    <col customWidth="1" min="15" max="15" width="2.13"/>
    <col customWidth="1" min="16" max="20" width="16.0"/>
    <col customWidth="1" min="21" max="22" width="8.63"/>
    <col customWidth="1" min="23" max="23" width="10.75"/>
    <col customWidth="1" min="24" max="26" width="8.63"/>
  </cols>
  <sheetData>
    <row r="1" ht="24.75" customHeight="1">
      <c r="A1" s="530">
        <v>2107.0</v>
      </c>
      <c r="B1" s="2"/>
      <c r="C1" s="2"/>
      <c r="D1" s="3"/>
      <c r="E1" s="3"/>
      <c r="F1" s="2"/>
      <c r="G1" s="2"/>
      <c r="H1" s="2"/>
      <c r="I1" s="2"/>
      <c r="J1" s="4"/>
      <c r="K1" s="5"/>
      <c r="L1" s="4"/>
      <c r="M1" s="4"/>
      <c r="N1" s="4"/>
      <c r="O1" s="4"/>
      <c r="P1" s="6"/>
      <c r="Q1" s="6"/>
      <c r="R1" s="280"/>
      <c r="S1" s="281"/>
      <c r="T1" s="8"/>
    </row>
    <row r="2" ht="12.75" customHeight="1">
      <c r="A2" s="530">
        <v>2107.0</v>
      </c>
      <c r="B2" s="10">
        <v>2026.0</v>
      </c>
      <c r="C2" s="3"/>
      <c r="D2" s="9" t="s">
        <v>2</v>
      </c>
      <c r="E2" s="10">
        <v>4.0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APRIL 2026</v>
      </c>
      <c r="B5" s="22"/>
      <c r="C5" s="22"/>
      <c r="D5" s="22"/>
      <c r="E5" s="22"/>
      <c r="F5" s="22"/>
      <c r="G5" s="22"/>
      <c r="H5" s="23"/>
      <c r="I5" s="23"/>
      <c r="J5" s="23"/>
      <c r="K5" s="22"/>
      <c r="L5" s="24" t="s">
        <v>7</v>
      </c>
      <c r="M5" s="25">
        <f>'March 2026'!F40</f>
        <v>223.21</v>
      </c>
      <c r="N5" s="26"/>
      <c r="O5" s="23"/>
      <c r="P5" s="27"/>
      <c r="Q5" s="27"/>
      <c r="R5" s="287" t="s">
        <v>8</v>
      </c>
      <c r="S5" s="288">
        <f>SUMIF(A18:N21,"&gt;0")+SUMIF(A24:N27,"&gt;0")+SUMIF(A30:N33,"&gt;0")+SUMIF(A36:N39,"&gt;0")+SUMIF(A42:D45,"&gt;0")+SUMIF(S12:S46,"&gt;0")+SUMIF(A12:N15,"&gt;0")</f>
        <v>6400</v>
      </c>
      <c r="U5" s="23"/>
      <c r="V5" s="289">
        <f>sum(S5+S6)</f>
        <v>914.03</v>
      </c>
      <c r="W5" s="23"/>
      <c r="X5" s="23"/>
      <c r="Y5" s="23"/>
      <c r="Z5" s="23"/>
    </row>
    <row r="6" ht="25.5" customHeight="1">
      <c r="A6" s="31"/>
      <c r="B6" s="31"/>
      <c r="C6" s="31"/>
      <c r="D6" s="31"/>
      <c r="E6" s="31"/>
      <c r="F6" s="32"/>
      <c r="G6" s="33"/>
      <c r="H6" s="34"/>
      <c r="I6" s="34"/>
      <c r="J6" s="34"/>
      <c r="K6" s="31"/>
      <c r="L6" s="24" t="s">
        <v>9</v>
      </c>
      <c r="M6" s="35">
        <f>D46</f>
        <v>1158.83</v>
      </c>
      <c r="O6" s="34"/>
      <c r="P6" s="36"/>
      <c r="Q6" s="36"/>
      <c r="R6" s="287" t="s">
        <v>10</v>
      </c>
      <c r="S6" s="288">
        <f>SUMIF(A18:N21,"&lt;0")+SUMIF(A24:N27,"&lt;0")+SUMIF(A30:N33,"&lt;0")+SUMIF(A36:N39,"&lt;0")+SUMIF(A42:D45,"&lt;0")+SUMIF(S12:S186,"&lt;0")+SUMIF(A12:N15,"&lt;0")</f>
        <v>-5485.97</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46113</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46117</v>
      </c>
      <c r="B9" s="40"/>
      <c r="C9" s="39">
        <f>C17</f>
        <v>46118</v>
      </c>
      <c r="D9" s="40"/>
      <c r="E9" s="39">
        <f>E17</f>
        <v>46119</v>
      </c>
      <c r="F9" s="40"/>
      <c r="G9" s="39">
        <f>G17</f>
        <v>46120</v>
      </c>
      <c r="H9" s="40"/>
      <c r="I9" s="39">
        <f>I17</f>
        <v>46121</v>
      </c>
      <c r="J9" s="40"/>
      <c r="K9" s="39">
        <f>K17</f>
        <v>46122</v>
      </c>
      <c r="L9" s="40"/>
      <c r="M9" s="39">
        <f>M17</f>
        <v>46123</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SUMIF($T$11:$T$113,A11,$S$11:$S$74)</f>
        <v>0</v>
      </c>
      <c r="C11" s="50" t="str">
        <f>IF(A11="",IF(WEEKDAY($B$8,1)=MOD($H$2,7)+1,$B$8,""),A11+1)</f>
        <v/>
      </c>
      <c r="D11" s="51">
        <f>SUMIF($T$11:$T$113,C11,$S$11:$S$74)</f>
        <v>0</v>
      </c>
      <c r="E11" s="50" t="str">
        <f>IF(C11="",IF(WEEKDAY($B$8,1)=MOD($H$2+1,7)+1,$B$8,""),C11+1)</f>
        <v/>
      </c>
      <c r="F11" s="51">
        <f>SUMIF($T$11:$T$113,E11,$S$11:$S$74)</f>
        <v>0</v>
      </c>
      <c r="G11" s="50">
        <f>IF(E11="",IF(WEEKDAY($B$8,1)=MOD($H$2+2,7)+1,$B$8,""),E11+1)</f>
        <v>46113</v>
      </c>
      <c r="H11" s="51">
        <f>SUMIF($T$11:$T$113,G11,$S$11:$S$74)</f>
        <v>1287</v>
      </c>
      <c r="I11" s="50">
        <f>IF(G11="",IF(WEEKDAY($B$8,1)=MOD($H$2+3,7)+1,$B$8,""),G11+1)</f>
        <v>46114</v>
      </c>
      <c r="J11" s="51">
        <f>SUMIF($T$11:$T$113,I11,$S$11:$S$74)</f>
        <v>-1467.13</v>
      </c>
      <c r="K11" s="50">
        <f>IF(I11="",IF(WEEKDAY($B$8,1)=MOD($H$2+4,7)+1,$B$8,""),I11+1)</f>
        <v>46115</v>
      </c>
      <c r="L11" s="51">
        <f>SUMIF($T$11:$T$113,K11,$S$11:$S$74)</f>
        <v>2230</v>
      </c>
      <c r="M11" s="50">
        <f>IF(K11="",IF(WEEKDAY($B$8,1)=MOD($H$2+5,7)+1,$B$8,""),K11+1)</f>
        <v>46116</v>
      </c>
      <c r="N11" s="51">
        <f>SUMIF($T$11:$T$113,M11,$S$11:$S$74)</f>
        <v>-83</v>
      </c>
      <c r="O11" s="23"/>
      <c r="P11" s="52" t="s">
        <v>13</v>
      </c>
      <c r="Q11" s="53" t="s">
        <v>14</v>
      </c>
      <c r="R11" s="53" t="s">
        <v>15</v>
      </c>
      <c r="S11" s="96" t="s">
        <v>16</v>
      </c>
      <c r="T11" s="53" t="s">
        <v>17</v>
      </c>
      <c r="U11" s="23"/>
      <c r="V11" s="23"/>
      <c r="W11" s="23"/>
      <c r="X11" s="23"/>
      <c r="Y11" s="23"/>
      <c r="Z11" s="23"/>
    </row>
    <row r="12" ht="18.75" customHeight="1">
      <c r="A12" s="55"/>
      <c r="B12" s="56"/>
      <c r="C12" s="58"/>
      <c r="D12" s="57"/>
      <c r="E12" s="58"/>
      <c r="F12" s="57"/>
      <c r="G12" s="55"/>
      <c r="H12" s="56"/>
      <c r="I12" s="58"/>
      <c r="J12" s="57"/>
      <c r="K12" s="58" t="s">
        <v>229</v>
      </c>
      <c r="L12" s="57"/>
      <c r="M12" s="55"/>
      <c r="N12" s="56"/>
      <c r="O12" s="23"/>
      <c r="P12" s="604" t="s">
        <v>84</v>
      </c>
      <c r="Q12" s="547"/>
      <c r="R12" s="605">
        <v>3.0</v>
      </c>
      <c r="S12" s="549">
        <f t="array" ref="S12">-INDEX(PaymentSchedule!$E$21:$AG920,MATCH(PaymentSchedule!$B$26,PaymentSchedule!$B$21:$B$100),MATCH($P12,PaymentSchedule!$E$19:$AG$19,0))</f>
        <v>0</v>
      </c>
      <c r="T12" s="606">
        <f>IF(ISBLANK(R12),"-",IF(R12&gt;DAY(EOMONTH(DATE($B$2,$E$2,1),0)),EOMONTH(DATE($B$2,$E$2,1),0),DATE($B$2,$E$2,R12)))</f>
        <v>46115</v>
      </c>
      <c r="U12" s="64"/>
      <c r="V12" s="23"/>
      <c r="W12" s="64"/>
      <c r="X12" s="303"/>
      <c r="Y12" s="23"/>
      <c r="Z12" s="23"/>
    </row>
    <row r="13" ht="18.75" customHeight="1">
      <c r="A13" s="55"/>
      <c r="B13" s="56"/>
      <c r="C13" s="58"/>
      <c r="D13" s="57"/>
      <c r="E13" s="55"/>
      <c r="F13" s="56"/>
      <c r="G13" s="55"/>
      <c r="H13" s="56"/>
      <c r="I13" s="55"/>
      <c r="J13" s="57"/>
      <c r="K13" s="55"/>
      <c r="L13" s="56"/>
      <c r="M13" s="55"/>
      <c r="N13" s="56"/>
      <c r="O13" s="23"/>
      <c r="P13" s="551" t="s">
        <v>25</v>
      </c>
      <c r="Q13" s="552"/>
      <c r="R13" s="553">
        <v>8.0</v>
      </c>
      <c r="S13" s="549"/>
      <c r="T13" s="550">
        <f t="shared" ref="T13:T17" si="1">IF(ISBLANK(R13),"-",IF(R13&gt;DAY(EOMONTH(DATE($B$2,$E$2,1),0)),EOMONTH(DATE($B$2,$E$2,1),0),DATE($B$2,$E$2,R13)))</f>
        <v>46120</v>
      </c>
      <c r="U13" s="64"/>
      <c r="V13" s="23"/>
      <c r="W13" s="64"/>
      <c r="X13" s="303"/>
      <c r="Y13" s="23"/>
      <c r="Z13" s="23"/>
    </row>
    <row r="14" ht="18.75" customHeight="1">
      <c r="A14" s="55"/>
      <c r="B14" s="56"/>
      <c r="C14" s="55"/>
      <c r="D14" s="56"/>
      <c r="E14" s="55"/>
      <c r="F14" s="56"/>
      <c r="G14" s="55"/>
      <c r="H14" s="56"/>
      <c r="I14" s="58"/>
      <c r="J14" s="57"/>
      <c r="K14" s="55"/>
      <c r="L14" s="56"/>
      <c r="M14" s="55"/>
      <c r="N14" s="56"/>
      <c r="O14" s="23"/>
      <c r="P14" s="546" t="s">
        <v>89</v>
      </c>
      <c r="Q14" s="547"/>
      <c r="R14" s="548">
        <v>7.0</v>
      </c>
      <c r="S14" s="549">
        <f t="array" ref="S14">-INDEX(PaymentSchedule!$E$21:$AG920,MATCH(PaymentSchedule!$B$36,PaymentSchedule!$B$21:$B$100),MATCH($P14,PaymentSchedule!$E$19:$AG$19,0))</f>
        <v>-125</v>
      </c>
      <c r="T14" s="550">
        <f t="shared" si="1"/>
        <v>46119</v>
      </c>
      <c r="U14" s="64"/>
      <c r="V14" s="23"/>
      <c r="W14" s="64"/>
      <c r="X14" s="303"/>
      <c r="Y14" s="23"/>
      <c r="Z14" s="23"/>
    </row>
    <row r="15" ht="18.75" customHeight="1">
      <c r="A15" s="55"/>
      <c r="B15" s="56"/>
      <c r="C15" s="55"/>
      <c r="D15" s="56"/>
      <c r="E15" s="55"/>
      <c r="F15" s="56"/>
      <c r="G15" s="55"/>
      <c r="H15" s="56"/>
      <c r="I15" s="55"/>
      <c r="J15" s="56"/>
      <c r="K15" s="55"/>
      <c r="L15" s="56"/>
      <c r="M15" s="55"/>
      <c r="N15" s="56"/>
      <c r="O15" s="23"/>
      <c r="P15" s="551" t="s">
        <v>85</v>
      </c>
      <c r="Q15" s="552"/>
      <c r="R15" s="553">
        <v>18.0</v>
      </c>
      <c r="S15" s="549">
        <f t="array" ref="S15">-INDEX(PaymentSchedule!$E$21:$AG920,MATCH(PaymentSchedule!$B$36,PaymentSchedule!$B$21:$B$100),MATCH($P15,PaymentSchedule!$E$19:$AG$19,0))</f>
        <v>-151</v>
      </c>
      <c r="T15" s="550">
        <f t="shared" si="1"/>
        <v>46130</v>
      </c>
      <c r="U15" s="64"/>
      <c r="V15" s="23"/>
      <c r="W15" s="64"/>
      <c r="X15" s="303"/>
      <c r="Y15" s="23"/>
      <c r="Z15" s="23"/>
    </row>
    <row r="16" ht="18.75" customHeight="1">
      <c r="A16" s="66" t="s">
        <v>22</v>
      </c>
      <c r="B16" s="67">
        <f>$M$5+SUM(B11:B15)</f>
        <v>223.21</v>
      </c>
      <c r="C16" s="66"/>
      <c r="D16" s="67">
        <f>B16+SUM(D11:D15)</f>
        <v>223.21</v>
      </c>
      <c r="E16" s="66"/>
      <c r="F16" s="67">
        <f>D16+SUM(F11:F15)</f>
        <v>223.21</v>
      </c>
      <c r="G16" s="66"/>
      <c r="H16" s="67">
        <f>F16+SUM(H11:H15)</f>
        <v>1510.21</v>
      </c>
      <c r="I16" s="66"/>
      <c r="J16" s="67">
        <f>H16+SUM(J11:J15)</f>
        <v>43.08</v>
      </c>
      <c r="K16" s="66"/>
      <c r="L16" s="67">
        <f>J16+SUM(L11:L15)</f>
        <v>2273.08</v>
      </c>
      <c r="M16" s="66"/>
      <c r="N16" s="67">
        <f>L16+SUM(N11:N15)</f>
        <v>2190.08</v>
      </c>
      <c r="O16" s="68"/>
      <c r="P16" s="551" t="s">
        <v>86</v>
      </c>
      <c r="Q16" s="552"/>
      <c r="R16" s="553">
        <v>5.0</v>
      </c>
      <c r="S16" s="549">
        <f t="array" ref="S16">-INDEX(PaymentSchedule!$E$21:$AG920,MATCH(PaymentSchedule!$B$36,PaymentSchedule!$B$21:$B$100),MATCH($P16,PaymentSchedule!$E$19:$AG$19,0))</f>
        <v>-791.16</v>
      </c>
      <c r="T16" s="550">
        <f t="shared" si="1"/>
        <v>46117</v>
      </c>
      <c r="U16" s="71"/>
      <c r="V16" s="69"/>
      <c r="W16" s="71"/>
      <c r="X16" s="309"/>
      <c r="Y16" s="69"/>
      <c r="Z16" s="69"/>
    </row>
    <row r="17" ht="18.75" customHeight="1">
      <c r="A17" s="50">
        <f>IF(M11="","",IF(MONTH(M11+1)&lt;&gt;MONTH(M11),"",M11+1))</f>
        <v>46117</v>
      </c>
      <c r="B17" s="51">
        <f>SUMIF($T$11:$T$113,A17,$S$11:$S$74)</f>
        <v>-791.16</v>
      </c>
      <c r="C17" s="50">
        <f>IF(A17="","",IF(MONTH(A17+1)&lt;&gt;MONTH(A17),"",A17+1))</f>
        <v>46118</v>
      </c>
      <c r="D17" s="51">
        <f>SUMIF($T$11:$T$113,C17,$S$11:$S$74)</f>
        <v>0</v>
      </c>
      <c r="E17" s="50">
        <f>IF(C17="","",IF(MONTH(C17+1)&lt;&gt;MONTH(C17),"",C17+1))</f>
        <v>46119</v>
      </c>
      <c r="F17" s="51">
        <f>SUMIF($T$11:$T$113,E17,$S$11:$S$74)</f>
        <v>-146.8</v>
      </c>
      <c r="G17" s="50">
        <f>IF(E17="","",IF(MONTH(E17+1)&lt;&gt;MONTH(E17),"",E17+1))</f>
        <v>46120</v>
      </c>
      <c r="H17" s="51">
        <f>SUMIF($T$11:$T$113,G17,$S$11:$S$74)</f>
        <v>-150</v>
      </c>
      <c r="I17" s="50">
        <f>IF(G17="","",IF(MONTH(G17+1)&lt;&gt;MONTH(G17),"",G17+1))</f>
        <v>46121</v>
      </c>
      <c r="J17" s="51">
        <f>SUMIF($T$11:$T$113,I17,$S$11:$S$74)</f>
        <v>-450.08</v>
      </c>
      <c r="K17" s="50">
        <f>IF(I17="","",IF(MONTH(I17+1)&lt;&gt;MONTH(I17),"",I17+1))</f>
        <v>46122</v>
      </c>
      <c r="L17" s="51">
        <f>SUMIF($T$11:$T$113,K17,$S$11:$S$74)</f>
        <v>-101</v>
      </c>
      <c r="M17" s="50">
        <f>IF(K17="","",IF(MONTH(K17+1)&lt;&gt;MONTH(K17),"",K17+1))</f>
        <v>46123</v>
      </c>
      <c r="N17" s="51">
        <f>SUMIF($T$11:$T$113,M17,$S$11:$S$74)</f>
        <v>-80</v>
      </c>
      <c r="O17" s="23"/>
      <c r="P17" s="551" t="s">
        <v>20</v>
      </c>
      <c r="Q17" s="552"/>
      <c r="R17" s="553">
        <v>2.0</v>
      </c>
      <c r="S17" s="549">
        <f t="array" ref="S17">-INDEX(PaymentSchedule!$E$21:$AG920,MATCH(PaymentSchedule!$B$36,PaymentSchedule!$B$21:$B$100),MATCH($P17,PaymentSchedule!$E$19:$AG$19,0))</f>
        <v>-1467.13</v>
      </c>
      <c r="T17" s="550">
        <f t="shared" si="1"/>
        <v>46114</v>
      </c>
      <c r="U17" s="64"/>
      <c r="V17" s="23"/>
      <c r="W17" s="64"/>
      <c r="X17" s="303"/>
      <c r="Y17" s="23"/>
      <c r="Z17" s="23"/>
    </row>
    <row r="18" ht="18.75" customHeight="1">
      <c r="A18" s="55"/>
      <c r="B18" s="56"/>
      <c r="C18" s="58"/>
      <c r="D18" s="57"/>
      <c r="E18" s="55"/>
      <c r="F18" s="57"/>
      <c r="G18" s="55"/>
      <c r="H18" s="57"/>
      <c r="J18" s="57"/>
      <c r="K18" s="58" t="s">
        <v>139</v>
      </c>
      <c r="L18" s="57">
        <v>-52.06</v>
      </c>
      <c r="M18" s="55"/>
      <c r="N18" s="57"/>
      <c r="O18" s="23"/>
      <c r="P18" s="546" t="s">
        <v>87</v>
      </c>
      <c r="Q18" s="547"/>
      <c r="R18" s="607">
        <v>28.0</v>
      </c>
      <c r="S18" s="598">
        <f t="array" ref="S18">-INDEX(PaymentSchedule!$E$21:$AG920,MATCH(PaymentSchedule!$B$31,PaymentSchedule!$B$21:$B$100),MATCH($P18,PaymentSchedule!$E$19:$AG$19,0))</f>
        <v>-695.6</v>
      </c>
      <c r="T18" s="599">
        <f>IF(ISBLANK(R18),"-",IF(R18&gt;DAY(EOMONTH(DATE($B$2,$E$2,1),0)),EOMONTH(DATE($B$2,$E$2,1),0),DATE($B$2,$E$2,R18)))</f>
        <v>46140</v>
      </c>
      <c r="U18" s="64"/>
      <c r="V18" s="23"/>
      <c r="Y18" s="23"/>
      <c r="Z18" s="23"/>
    </row>
    <row r="19" ht="18.75" customHeight="1">
      <c r="A19" s="55"/>
      <c r="B19" s="56"/>
      <c r="C19" s="55"/>
      <c r="D19" s="56"/>
      <c r="E19" s="55"/>
      <c r="F19" s="56"/>
      <c r="G19" s="55"/>
      <c r="H19" s="56"/>
      <c r="I19" s="55"/>
      <c r="J19" s="57"/>
      <c r="K19" s="410"/>
      <c r="L19" s="57"/>
      <c r="M19" s="55"/>
      <c r="N19" s="57"/>
      <c r="O19" s="23"/>
      <c r="P19" s="551" t="s">
        <v>37</v>
      </c>
      <c r="Q19" s="552"/>
      <c r="R19" s="553">
        <v>11.0</v>
      </c>
      <c r="S19" s="549">
        <f t="array" ref="S19">-INDEX(PaymentSchedule!$E$21:$AG920,MATCH(PaymentSchedule!$B$36,PaymentSchedule!$B$21:$B$100),MATCH($P19,PaymentSchedule!$E$19:$AG$19,0))</f>
        <v>-80</v>
      </c>
      <c r="T19" s="550">
        <f t="shared" ref="T19:T25" si="2">IF(ISBLANK(R19),"-",IF(R19&gt;DAY(EOMONTH(DATE($B$2,$E$2,1),0)),EOMONTH(DATE($B$2,$E$2,1),0),DATE($B$2,$E$2,R19)))</f>
        <v>46123</v>
      </c>
      <c r="U19" s="64"/>
      <c r="V19" s="23"/>
      <c r="W19" s="64"/>
      <c r="X19" s="303"/>
      <c r="Y19" s="23"/>
      <c r="Z19" s="23"/>
    </row>
    <row r="20" ht="18.75" customHeight="1">
      <c r="A20" s="55"/>
      <c r="B20" s="56"/>
      <c r="C20" s="55"/>
      <c r="D20" s="56"/>
      <c r="E20" s="55"/>
      <c r="F20" s="56"/>
      <c r="G20" s="55"/>
      <c r="H20" s="56"/>
      <c r="I20" s="55"/>
      <c r="J20" s="57"/>
      <c r="L20" s="57"/>
      <c r="M20" s="55"/>
      <c r="N20" s="56"/>
      <c r="O20" s="23"/>
      <c r="P20" s="551" t="s">
        <v>36</v>
      </c>
      <c r="Q20" s="552"/>
      <c r="R20" s="553">
        <v>9.0</v>
      </c>
      <c r="S20" s="549">
        <f t="array" ref="S20">-INDEX(PaymentSchedule!$E$21:$AG920,MATCH(PaymentSchedule!$B$36,PaymentSchedule!$B$21:$B$100),MATCH($P20,PaymentSchedule!$E$19:$AG$19,0))</f>
        <v>-450.08</v>
      </c>
      <c r="T20" s="550">
        <f t="shared" si="2"/>
        <v>46121</v>
      </c>
      <c r="U20" s="64"/>
      <c r="V20" s="23"/>
      <c r="W20" s="410"/>
      <c r="X20" s="57"/>
      <c r="Y20" s="23"/>
      <c r="Z20" s="23"/>
    </row>
    <row r="21" ht="18.75" customHeight="1">
      <c r="A21" s="55"/>
      <c r="B21" s="56"/>
      <c r="C21" s="55"/>
      <c r="D21" s="56"/>
      <c r="E21" s="55"/>
      <c r="F21" s="56"/>
      <c r="G21" s="55"/>
      <c r="H21" s="56"/>
      <c r="I21" s="55"/>
      <c r="J21" s="56"/>
      <c r="K21" s="534"/>
      <c r="L21" s="535"/>
      <c r="M21" s="55"/>
      <c r="N21" s="56"/>
      <c r="O21" s="23"/>
      <c r="P21" s="538" t="s">
        <v>55</v>
      </c>
      <c r="Q21" s="539"/>
      <c r="R21" s="540">
        <v>30.0</v>
      </c>
      <c r="S21" s="365">
        <v>-18.35</v>
      </c>
      <c r="T21" s="323">
        <f t="shared" si="2"/>
        <v>46142</v>
      </c>
      <c r="U21" s="64"/>
      <c r="V21" s="303"/>
      <c r="W21" s="64"/>
      <c r="X21" s="303"/>
      <c r="Y21" s="23"/>
      <c r="Z21" s="23"/>
    </row>
    <row r="22" ht="18.75" customHeight="1">
      <c r="A22" s="66" t="s">
        <v>22</v>
      </c>
      <c r="B22" s="67">
        <f>N16+SUM(B17:B21)</f>
        <v>1398.92</v>
      </c>
      <c r="C22" s="66"/>
      <c r="D22" s="67">
        <f>B22+SUM(D17:D21)</f>
        <v>1398.92</v>
      </c>
      <c r="E22" s="66"/>
      <c r="F22" s="67">
        <f>D22+SUM(F17:F21)</f>
        <v>1252.12</v>
      </c>
      <c r="G22" s="66"/>
      <c r="H22" s="67">
        <f>F22+SUM(H17:H21)</f>
        <v>1102.12</v>
      </c>
      <c r="I22" s="66"/>
      <c r="J22" s="67">
        <f>H22+SUM(J17:J21)</f>
        <v>652.04</v>
      </c>
      <c r="K22" s="66"/>
      <c r="L22" s="67">
        <f>J22+SUM(L17:L21)</f>
        <v>498.98</v>
      </c>
      <c r="M22" s="66"/>
      <c r="N22" s="67">
        <f>L22+SUM(N17:N21)</f>
        <v>418.98</v>
      </c>
      <c r="O22" s="68"/>
      <c r="P22" s="319" t="s">
        <v>29</v>
      </c>
      <c r="Q22" s="320"/>
      <c r="R22" s="321"/>
      <c r="S22" s="322">
        <v>-21.59</v>
      </c>
      <c r="T22" s="323" t="str">
        <f t="shared" si="2"/>
        <v>-</v>
      </c>
      <c r="W22" s="71"/>
      <c r="X22" s="309"/>
      <c r="Y22" s="69"/>
      <c r="Z22" s="69"/>
    </row>
    <row r="23" ht="18.75" customHeight="1">
      <c r="A23" s="50">
        <f>IF(M17="","",IF(MONTH(M17+1)&lt;&gt;MONTH(M17),"",M17+1))</f>
        <v>46124</v>
      </c>
      <c r="B23" s="51">
        <f>SUMIF($T$11:$T$113,A23,$S$11:$S$74)</f>
        <v>0</v>
      </c>
      <c r="C23" s="50">
        <f>IF(A23="","",IF(MONTH(A23+1)&lt;&gt;MONTH(A23),"",A23+1))</f>
        <v>46125</v>
      </c>
      <c r="D23" s="51">
        <f>SUMIF($T$11:$T$113,C23,$S$11:$S$74)</f>
        <v>-102</v>
      </c>
      <c r="E23" s="50">
        <f>IF(C23="","",IF(MONTH(C23+1)&lt;&gt;MONTH(C23),"",C23+1))</f>
        <v>46126</v>
      </c>
      <c r="F23" s="51">
        <f>SUMIF($T$11:$T$113,E23,$S$11:$S$74)</f>
        <v>0</v>
      </c>
      <c r="G23" s="50">
        <f>IF(E23="","",IF(MONTH(E23+1)&lt;&gt;MONTH(E23),"",E23+1))</f>
        <v>46127</v>
      </c>
      <c r="H23" s="51">
        <f>SUMIF($T$11:$T$113,G23,$S$11:$S$74)</f>
        <v>-150</v>
      </c>
      <c r="I23" s="50">
        <f>IF(G23="","",IF(MONTH(G23+1)&lt;&gt;MONTH(G23),"",G23+1))</f>
        <v>46128</v>
      </c>
      <c r="J23" s="51">
        <f>SUMIF($T$11:$T$113,I23,$S$11:$S$74)</f>
        <v>0</v>
      </c>
      <c r="K23" s="50">
        <f>IF(I23="","",IF(MONTH(I23+1)&lt;&gt;MONTH(I23),"",I23+1))</f>
        <v>46129</v>
      </c>
      <c r="L23" s="51">
        <f>SUMIF($T$11:$T$113,K23,$S$11:$S$74)</f>
        <v>2284.02</v>
      </c>
      <c r="M23" s="50">
        <f>IF(K23="","",IF(MONTH(K23+1)&lt;&gt;MONTH(K23),"",K23+1))</f>
        <v>46130</v>
      </c>
      <c r="N23" s="51">
        <f>SUMIF($T$11:$T$113,M23,$S$11:$S$74)</f>
        <v>-151</v>
      </c>
      <c r="O23" s="23"/>
      <c r="P23" s="319" t="s">
        <v>43</v>
      </c>
      <c r="Q23" s="320"/>
      <c r="R23" s="321">
        <v>17.0</v>
      </c>
      <c r="S23" s="322">
        <v>-9.99</v>
      </c>
      <c r="T23" s="323">
        <f t="shared" si="2"/>
        <v>46129</v>
      </c>
      <c r="U23" s="64"/>
      <c r="V23" s="23"/>
      <c r="W23" s="64"/>
      <c r="X23" s="303"/>
      <c r="Y23" s="23"/>
      <c r="Z23" s="23"/>
    </row>
    <row r="24" ht="18.75" customHeight="1">
      <c r="A24" s="55"/>
      <c r="B24" s="56"/>
      <c r="C24" s="58" t="s">
        <v>87</v>
      </c>
      <c r="D24" s="57">
        <v>-10.89</v>
      </c>
      <c r="E24" s="58"/>
      <c r="F24" s="57"/>
      <c r="G24" s="58"/>
      <c r="H24" s="57"/>
      <c r="I24" s="58"/>
      <c r="J24" s="56"/>
      <c r="K24" s="410"/>
      <c r="L24" s="57"/>
      <c r="M24" s="55"/>
      <c r="N24" s="56"/>
      <c r="O24" s="23"/>
      <c r="P24" s="319" t="s">
        <v>54</v>
      </c>
      <c r="Q24" s="320"/>
      <c r="R24" s="321">
        <v>30.0</v>
      </c>
      <c r="S24" s="322">
        <v>-11.0</v>
      </c>
      <c r="T24" s="323">
        <f t="shared" si="2"/>
        <v>46142</v>
      </c>
      <c r="U24" s="64"/>
      <c r="V24" s="23"/>
      <c r="W24" s="64"/>
      <c r="X24" s="303"/>
      <c r="Y24" s="23"/>
      <c r="Z24" s="23"/>
    </row>
    <row r="25" ht="18.75" customHeight="1">
      <c r="A25" s="55"/>
      <c r="B25" s="56"/>
      <c r="C25" s="58" t="s">
        <v>230</v>
      </c>
      <c r="D25" s="57">
        <v>-38.0</v>
      </c>
      <c r="E25" s="58"/>
      <c r="F25" s="57"/>
      <c r="G25" s="55"/>
      <c r="H25" s="57"/>
      <c r="I25" s="55"/>
      <c r="J25" s="56"/>
      <c r="K25" s="55"/>
      <c r="L25" s="56"/>
      <c r="M25" s="55"/>
      <c r="N25" s="56"/>
      <c r="O25" s="23"/>
      <c r="P25" s="319" t="s">
        <v>30</v>
      </c>
      <c r="Q25" s="320"/>
      <c r="R25" s="321">
        <v>30.0</v>
      </c>
      <c r="S25" s="409"/>
      <c r="T25" s="323">
        <f t="shared" si="2"/>
        <v>46142</v>
      </c>
      <c r="U25" s="64"/>
      <c r="V25" s="23"/>
      <c r="W25" s="64"/>
      <c r="X25" s="303"/>
      <c r="Y25" s="23"/>
      <c r="Z25" s="23"/>
    </row>
    <row r="26" ht="18.75" customHeight="1">
      <c r="A26" s="55"/>
      <c r="B26" s="56"/>
      <c r="C26" s="55"/>
      <c r="D26" s="56"/>
      <c r="E26" s="55"/>
      <c r="F26" s="56"/>
      <c r="G26" s="55"/>
      <c r="H26" s="57"/>
      <c r="I26" s="55"/>
      <c r="J26" s="56"/>
      <c r="K26" s="55"/>
      <c r="L26" s="56"/>
      <c r="M26" s="55"/>
      <c r="N26" s="56"/>
      <c r="O26" s="23"/>
      <c r="P26" s="367" t="s">
        <v>205</v>
      </c>
      <c r="Q26" s="368"/>
      <c r="R26" s="405"/>
      <c r="S26" s="409"/>
      <c r="T26" s="376" t="str">
        <f>IF(ISBLANK(R26),"-",IF(R26&gt;DAY(EOMONTH(DATE($B$2,$E$2,1),0)),EOMONTH(DATE($B$2,$E$2,1),0),DATE($B$2,$E$2,R26)))</f>
        <v>-</v>
      </c>
      <c r="U26" s="64"/>
      <c r="V26" s="23"/>
      <c r="W26" s="64"/>
      <c r="X26" s="303"/>
      <c r="Y26" s="23"/>
      <c r="Z26" s="23"/>
    </row>
    <row r="27" ht="18.75" customHeight="1">
      <c r="A27" s="55"/>
      <c r="B27" s="56"/>
      <c r="C27" s="55"/>
      <c r="D27" s="56"/>
      <c r="E27" s="55"/>
      <c r="F27" s="56"/>
      <c r="G27" s="55"/>
      <c r="H27" s="56"/>
      <c r="I27" s="55"/>
      <c r="J27" s="56"/>
      <c r="K27" s="55"/>
      <c r="L27" s="56"/>
      <c r="M27" s="55"/>
      <c r="N27" s="56"/>
      <c r="O27" s="23"/>
      <c r="P27" s="319" t="s">
        <v>47</v>
      </c>
      <c r="Q27" s="320"/>
      <c r="R27" s="321">
        <v>1.0</v>
      </c>
      <c r="S27" s="608">
        <v>1500.0</v>
      </c>
      <c r="T27" s="323">
        <f t="shared" ref="T27:T30" si="3">IF(ISBLANK(R27),"-",IF(R27&gt;DAY(EOMONTH(DATE($B$2,$E$2,1),0)),EOMONTH(DATE($B$2,$E$2,1),0),DATE($B$2,$E$2,R27)))</f>
        <v>46113</v>
      </c>
      <c r="U27" s="64"/>
      <c r="V27" s="23"/>
      <c r="W27" s="64"/>
      <c r="X27" s="303"/>
      <c r="Y27" s="23"/>
      <c r="Z27" s="23"/>
    </row>
    <row r="28" ht="18.75" customHeight="1">
      <c r="A28" s="66" t="s">
        <v>22</v>
      </c>
      <c r="B28" s="67">
        <f>N22+SUM(B23:B27)</f>
        <v>418.98</v>
      </c>
      <c r="C28" s="66"/>
      <c r="D28" s="67">
        <f>B28+SUM(D23:D27)</f>
        <v>268.09</v>
      </c>
      <c r="E28" s="66"/>
      <c r="F28" s="67">
        <f>D28+SUM(F23:F27)</f>
        <v>268.09</v>
      </c>
      <c r="G28" s="66"/>
      <c r="H28" s="67">
        <f>F28+SUM(H23:H27)</f>
        <v>118.09</v>
      </c>
      <c r="I28" s="66"/>
      <c r="J28" s="67">
        <f>H28+SUM(J23:J27)</f>
        <v>118.09</v>
      </c>
      <c r="K28" s="66"/>
      <c r="L28" s="67">
        <f>J28+SUM(L23:L27)</f>
        <v>2402.11</v>
      </c>
      <c r="M28" s="66"/>
      <c r="N28" s="67">
        <f>L28+SUM(N23:N27)</f>
        <v>2251.11</v>
      </c>
      <c r="O28" s="68"/>
      <c r="P28" s="319" t="s">
        <v>19</v>
      </c>
      <c r="Q28" s="320"/>
      <c r="R28" s="321">
        <v>3.0</v>
      </c>
      <c r="S28" s="322">
        <v>2600.0</v>
      </c>
      <c r="T28" s="323">
        <f t="shared" si="3"/>
        <v>46115</v>
      </c>
      <c r="U28" s="71"/>
      <c r="V28" s="69"/>
      <c r="W28" s="71"/>
      <c r="X28" s="309"/>
      <c r="Y28" s="69"/>
      <c r="Z28" s="69"/>
    </row>
    <row r="29" ht="18.75" customHeight="1">
      <c r="A29" s="50">
        <f>IF(M23="","",IF(MONTH(M23+1)&lt;&gt;MONTH(M23),"",M23+1))</f>
        <v>46131</v>
      </c>
      <c r="B29" s="51">
        <f>SUMIF($T$11:$T$113,A29,$S$11:$S$74)</f>
        <v>0</v>
      </c>
      <c r="C29" s="50">
        <f>IF(A29="","",IF(MONTH(A29+1)&lt;&gt;MONTH(A29),"",A29+1))</f>
        <v>46132</v>
      </c>
      <c r="D29" s="51">
        <f>SUMIF($T$11:$T$113,C29,$S$11:$S$74)</f>
        <v>0</v>
      </c>
      <c r="E29" s="50">
        <f>IF(C29="","",IF(MONTH(C29+1)&lt;&gt;MONTH(C29),"",C29+1))</f>
        <v>46133</v>
      </c>
      <c r="F29" s="51">
        <f>SUMIF($T$11:$T$113,E29,$S$11:$S$74)</f>
        <v>0</v>
      </c>
      <c r="G29" s="50">
        <f>IF(E29="","",IF(MONTH(E29+1)&lt;&gt;MONTH(E29),"",E29+1))</f>
        <v>46134</v>
      </c>
      <c r="H29" s="51">
        <f>SUMIF($T$11:$T$113,G29,$S$11:$S$74)</f>
        <v>-150</v>
      </c>
      <c r="I29" s="50">
        <f>IF(G29="","",IF(MONTH(G29+1)&lt;&gt;MONTH(G29),"",G29+1))</f>
        <v>46135</v>
      </c>
      <c r="J29" s="51">
        <f>SUMIF($T$11:$T$113,I29,$S$11:$S$74)</f>
        <v>-10.99</v>
      </c>
      <c r="K29" s="50">
        <f>IF(I29="","",IF(MONTH(I29+1)&lt;&gt;MONTH(I29),"",I29+1))</f>
        <v>46136</v>
      </c>
      <c r="L29" s="51">
        <f>SUMIF($T$11:$T$113,K29,$S$11:$S$74)</f>
        <v>0</v>
      </c>
      <c r="M29" s="50">
        <f>IF(K29="","",IF(MONTH(K29+1)&lt;&gt;MONTH(K29),"",K29+1))</f>
        <v>46137</v>
      </c>
      <c r="N29" s="51">
        <f>SUMIF($T$11:$T$113,M29,$S$11:$S$74)</f>
        <v>0</v>
      </c>
      <c r="O29" s="23"/>
      <c r="P29" s="319" t="s">
        <v>151</v>
      </c>
      <c r="Q29" s="320"/>
      <c r="R29" s="321">
        <v>17.0</v>
      </c>
      <c r="S29" s="322">
        <v>2300.0</v>
      </c>
      <c r="T29" s="323">
        <f t="shared" si="3"/>
        <v>46129</v>
      </c>
      <c r="U29" s="64"/>
      <c r="V29" s="23"/>
      <c r="W29" s="64"/>
      <c r="X29" s="303"/>
      <c r="Y29" s="23"/>
      <c r="Z29" s="23"/>
    </row>
    <row r="30" ht="18.75" customHeight="1">
      <c r="A30" s="55"/>
      <c r="B30" s="56"/>
      <c r="C30" s="485" t="s">
        <v>202</v>
      </c>
      <c r="D30" s="486"/>
      <c r="E30" s="58"/>
      <c r="F30" s="57"/>
      <c r="G30" s="55"/>
      <c r="H30" s="56"/>
      <c r="I30" s="58"/>
      <c r="J30" s="57"/>
      <c r="K30" s="58"/>
      <c r="L30" s="57"/>
      <c r="M30" s="58" t="s">
        <v>163</v>
      </c>
      <c r="N30" s="57"/>
      <c r="O30" s="23"/>
      <c r="P30" s="406" t="s">
        <v>142</v>
      </c>
      <c r="Q30" s="407"/>
      <c r="R30" s="408">
        <v>1.0</v>
      </c>
      <c r="S30" s="409"/>
      <c r="T30" s="323">
        <f t="shared" si="3"/>
        <v>46113</v>
      </c>
      <c r="U30" s="64"/>
      <c r="V30" s="23"/>
      <c r="W30" s="64"/>
      <c r="X30" s="303"/>
      <c r="Y30" s="23"/>
      <c r="Z30" s="23"/>
    </row>
    <row r="31" ht="18.75" customHeight="1">
      <c r="A31" s="55"/>
      <c r="B31" s="56"/>
      <c r="C31" s="58"/>
      <c r="D31" s="57"/>
      <c r="E31" s="55"/>
      <c r="F31" s="56"/>
      <c r="G31" s="55"/>
      <c r="H31" s="56"/>
      <c r="I31" s="58"/>
      <c r="J31" s="57"/>
      <c r="M31" s="55"/>
      <c r="N31" s="56"/>
      <c r="O31" s="23"/>
      <c r="P31" s="406" t="s">
        <v>238</v>
      </c>
      <c r="Q31" s="368"/>
      <c r="R31" s="408">
        <v>10.0</v>
      </c>
      <c r="S31" s="409">
        <v>-51.0</v>
      </c>
      <c r="T31" s="376">
        <f>IF(ISBLANK(R31),"-",IF(R31&gt;DAY(EOMONTH(DATE($B$2,$E$2,1),0)),EOMONTH(DATE($B$2,$E$2,1),0),DATE($B$2,$E$2,R31)))</f>
        <v>46122</v>
      </c>
      <c r="U31" s="64"/>
      <c r="V31" s="23"/>
      <c r="W31" s="64"/>
      <c r="X31" s="303"/>
      <c r="Y31" s="23"/>
      <c r="Z31" s="23"/>
    </row>
    <row r="32" ht="18.75" customHeight="1">
      <c r="A32" s="55"/>
      <c r="B32" s="56"/>
      <c r="C32" s="55"/>
      <c r="D32" s="56"/>
      <c r="E32" s="55"/>
      <c r="F32" s="56"/>
      <c r="G32" s="55"/>
      <c r="H32" s="56"/>
      <c r="I32" s="55"/>
      <c r="J32" s="56"/>
      <c r="M32" s="55"/>
      <c r="N32" s="56"/>
      <c r="O32" s="23"/>
      <c r="P32" s="319" t="s">
        <v>46</v>
      </c>
      <c r="Q32" s="320"/>
      <c r="R32" s="321">
        <v>23.0</v>
      </c>
      <c r="S32" s="322">
        <v>-10.99</v>
      </c>
      <c r="T32" s="323">
        <f t="shared" ref="T32:T36" si="4">IF(ISBLANK(R32),"-",IF(R32&gt;DAY(EOMONTH(DATE($B$2,$E$2,1),0)),EOMONTH(DATE($B$2,$E$2,1),0),DATE($B$2,$E$2,R32)))</f>
        <v>46135</v>
      </c>
      <c r="U32" s="64"/>
      <c r="V32" s="23"/>
      <c r="W32" s="64"/>
      <c r="X32" s="303"/>
      <c r="Y32" s="23"/>
      <c r="Z32" s="23"/>
    </row>
    <row r="33" ht="18.75" customHeight="1">
      <c r="A33" s="55"/>
      <c r="B33" s="56"/>
      <c r="C33" s="55"/>
      <c r="D33" s="56"/>
      <c r="E33" s="55"/>
      <c r="F33" s="56"/>
      <c r="G33" s="55"/>
      <c r="H33" s="56"/>
      <c r="I33" s="55"/>
      <c r="J33" s="57"/>
      <c r="K33" s="55"/>
      <c r="L33" s="56"/>
      <c r="M33" s="55"/>
      <c r="N33" s="56"/>
      <c r="O33" s="23"/>
      <c r="P33" s="538" t="s">
        <v>44</v>
      </c>
      <c r="Q33" s="539"/>
      <c r="R33" s="540">
        <v>26.0</v>
      </c>
      <c r="S33" s="365">
        <v>-18.35</v>
      </c>
      <c r="T33" s="323">
        <f t="shared" si="4"/>
        <v>46138</v>
      </c>
      <c r="U33" s="64"/>
      <c r="V33" s="23"/>
      <c r="W33" s="64"/>
      <c r="X33" s="303"/>
      <c r="Y33" s="23"/>
      <c r="Z33" s="23"/>
    </row>
    <row r="34" ht="18.75" customHeight="1">
      <c r="A34" s="66" t="s">
        <v>22</v>
      </c>
      <c r="B34" s="67">
        <f>N28+SUM(B29:B33)</f>
        <v>2251.11</v>
      </c>
      <c r="C34" s="66"/>
      <c r="D34" s="67">
        <f>B34+SUM(D29:D33)</f>
        <v>2251.11</v>
      </c>
      <c r="E34" s="66"/>
      <c r="F34" s="67">
        <f>D34+SUM(F29:F33)</f>
        <v>2251.11</v>
      </c>
      <c r="G34" s="66"/>
      <c r="H34" s="67">
        <f>F34+SUM(H29:H33)</f>
        <v>2101.11</v>
      </c>
      <c r="I34" s="66"/>
      <c r="J34" s="67">
        <f>H34+SUM(J29:J33)</f>
        <v>2090.12</v>
      </c>
      <c r="K34" s="66"/>
      <c r="L34" s="67">
        <f>J34+SUM(L29:L33)</f>
        <v>2090.12</v>
      </c>
      <c r="M34" s="66"/>
      <c r="N34" s="67">
        <f>L34+SUM(N29:N33)</f>
        <v>2090.12</v>
      </c>
      <c r="O34" s="68"/>
      <c r="P34" s="319" t="s">
        <v>40</v>
      </c>
      <c r="Q34" s="320"/>
      <c r="R34" s="321">
        <v>13.0</v>
      </c>
      <c r="S34" s="322">
        <v>-102.0</v>
      </c>
      <c r="T34" s="323">
        <f t="shared" si="4"/>
        <v>46125</v>
      </c>
      <c r="U34" s="71"/>
      <c r="V34" s="69"/>
      <c r="W34" s="71"/>
      <c r="X34" s="309"/>
      <c r="Y34" s="69"/>
      <c r="Z34" s="69"/>
    </row>
    <row r="35" ht="18.75" customHeight="1">
      <c r="A35" s="50">
        <f>IF(M29="","",IF(MONTH(M29+1)&lt;&gt;MONTH(M29),"",M29+1))</f>
        <v>46138</v>
      </c>
      <c r="B35" s="51">
        <f>SUMIF($T$11:$T$113,A35,$S$11:$S$74)</f>
        <v>-45.35</v>
      </c>
      <c r="C35" s="50">
        <f>IF(A35="","",IF(MONTH(A35+1)&lt;&gt;MONTH(A35),"",A35+1))</f>
        <v>46139</v>
      </c>
      <c r="D35" s="51">
        <f>SUMIF($T$11:$T$113,C35,$S$11:$S$74)</f>
        <v>0</v>
      </c>
      <c r="E35" s="50">
        <f>IF(C35="","",IF(MONTH(C35+1)&lt;&gt;MONTH(C35),"",C35+1))</f>
        <v>46140</v>
      </c>
      <c r="F35" s="51">
        <f>SUMIF($T$11:$T$113,E35,$S$11:$S$74)</f>
        <v>-695.6</v>
      </c>
      <c r="G35" s="50">
        <f>IF(E35="","",IF(MONTH(E35+1)&lt;&gt;MONTH(E35),"",E35+1))</f>
        <v>46141</v>
      </c>
      <c r="H35" s="51">
        <f>SUMIF($T$11:$T$113,G35,$S$11:$S$74)</f>
        <v>-160.99</v>
      </c>
      <c r="I35" s="50">
        <f>IF(G35="","",IF(MONTH(G35+1)&lt;&gt;MONTH(G35),"",G35+1))</f>
        <v>46142</v>
      </c>
      <c r="J35" s="51">
        <f>SUMIF($T$11:$T$113,I35,$S$11:$S$74)</f>
        <v>-29.35</v>
      </c>
      <c r="K35" s="50" t="str">
        <f>IF(I35="","",IF(MONTH(I35+1)&lt;&gt;MONTH(I35),"",I35+1))</f>
        <v/>
      </c>
      <c r="L35" s="51">
        <f>SUMIF($T$11:$T$113,K35,$S$11:$S$74)</f>
        <v>0</v>
      </c>
      <c r="M35" s="50" t="str">
        <f>IF(K35="","",IF(MONTH(K35+1)&lt;&gt;MONTH(K35),"",K35+1))</f>
        <v/>
      </c>
      <c r="N35" s="51">
        <f>SUMIF($T$11:$T$113,M35,$S$11:$S$74)</f>
        <v>0</v>
      </c>
      <c r="O35" s="23"/>
      <c r="P35" s="319" t="s">
        <v>34</v>
      </c>
      <c r="Q35" s="320"/>
      <c r="R35" s="321">
        <v>17.0</v>
      </c>
      <c r="S35" s="322">
        <v>-5.99</v>
      </c>
      <c r="T35" s="323">
        <f t="shared" si="4"/>
        <v>46129</v>
      </c>
      <c r="U35" s="64"/>
      <c r="V35" s="23"/>
      <c r="W35" s="64"/>
      <c r="X35" s="303"/>
      <c r="Y35" s="23"/>
      <c r="Z35" s="23"/>
    </row>
    <row r="36" ht="18.75" customHeight="1">
      <c r="A36" s="55"/>
      <c r="B36" s="56"/>
      <c r="C36" s="55"/>
      <c r="D36" s="57"/>
      <c r="E36" s="55"/>
      <c r="F36" s="56"/>
      <c r="G36" s="55"/>
      <c r="H36" s="56"/>
      <c r="I36" s="55"/>
      <c r="J36" s="56"/>
      <c r="K36" s="55"/>
      <c r="L36" s="56"/>
      <c r="M36" s="55"/>
      <c r="N36" s="56"/>
      <c r="O36" s="23"/>
      <c r="P36" s="319" t="s">
        <v>34</v>
      </c>
      <c r="Q36" s="320"/>
      <c r="R36" s="321">
        <v>24.0</v>
      </c>
      <c r="S36" s="322"/>
      <c r="T36" s="323">
        <f t="shared" si="4"/>
        <v>46136</v>
      </c>
      <c r="U36" s="64"/>
      <c r="V36" s="23"/>
      <c r="W36" s="64"/>
      <c r="X36" s="303"/>
      <c r="Y36" s="23"/>
      <c r="Z36" s="23"/>
    </row>
    <row r="37" ht="18.75" customHeight="1">
      <c r="A37" s="55"/>
      <c r="B37" s="56"/>
      <c r="C37" s="58"/>
      <c r="D37" s="57"/>
      <c r="E37" s="55"/>
      <c r="F37" s="56"/>
      <c r="G37" s="55"/>
      <c r="H37" s="56"/>
      <c r="I37" s="55"/>
      <c r="J37" s="56"/>
      <c r="K37" s="55"/>
      <c r="L37" s="56"/>
      <c r="M37" s="55"/>
      <c r="N37" s="56"/>
      <c r="O37" s="23"/>
      <c r="P37" s="367" t="s">
        <v>51</v>
      </c>
      <c r="Q37" s="368"/>
      <c r="R37" s="405">
        <v>26.0</v>
      </c>
      <c r="S37" s="370">
        <v>-27.0</v>
      </c>
      <c r="T37" s="376">
        <f>IF(ISBLANK(R37),"-",IF(R37&gt;DAY(EOMONTH(DATE($B$2,$E$2,1),0)),EOMONTH(DATE($B$2,$E$2,1),0),DATE($B$2,$E$2,R37)))</f>
        <v>46138</v>
      </c>
      <c r="U37" s="64"/>
      <c r="V37" s="23"/>
      <c r="W37" s="64"/>
      <c r="X37" s="303"/>
      <c r="Y37" s="23"/>
      <c r="Z37" s="23"/>
    </row>
    <row r="38" ht="18.75" customHeight="1">
      <c r="A38" s="55"/>
      <c r="B38" s="56"/>
      <c r="C38" s="55"/>
      <c r="D38" s="56"/>
      <c r="E38" s="55"/>
      <c r="F38" s="56"/>
      <c r="G38" s="55"/>
      <c r="H38" s="56"/>
      <c r="I38" s="55"/>
      <c r="J38" s="56"/>
      <c r="K38" s="55"/>
      <c r="L38" s="56"/>
      <c r="M38" s="55"/>
      <c r="N38" s="56"/>
      <c r="O38" s="23"/>
      <c r="P38" s="367" t="s">
        <v>53</v>
      </c>
      <c r="Q38" s="368"/>
      <c r="R38" s="405">
        <v>29.0</v>
      </c>
      <c r="S38" s="370">
        <v>-10.99</v>
      </c>
      <c r="T38" s="323">
        <f t="shared" ref="T38:T40" si="5">IF(ISBLANK(R38),"-",IF(R38&gt;DAY(EOMONTH(DATE($B$2,$E$2,1),0)),EOMONTH(DATE($B$2,$E$2,1),0),DATE($B$2,$E$2,R38)))</f>
        <v>46141</v>
      </c>
      <c r="U38" s="64"/>
      <c r="V38" s="23"/>
      <c r="W38" s="64"/>
      <c r="X38" s="303"/>
      <c r="Y38" s="23"/>
      <c r="Z38" s="23"/>
    </row>
    <row r="39" ht="18.75" customHeight="1">
      <c r="A39" s="55"/>
      <c r="B39" s="56"/>
      <c r="C39" s="55"/>
      <c r="D39" s="56"/>
      <c r="E39" s="55"/>
      <c r="F39" s="56"/>
      <c r="G39" s="55"/>
      <c r="H39" s="56"/>
      <c r="I39" s="55"/>
      <c r="J39" s="56"/>
      <c r="K39" s="55"/>
      <c r="L39" s="56"/>
      <c r="M39" s="55"/>
      <c r="N39" s="56"/>
      <c r="O39" s="23"/>
      <c r="P39" s="319" t="s">
        <v>27</v>
      </c>
      <c r="Q39" s="320"/>
      <c r="R39" s="321">
        <v>4.0</v>
      </c>
      <c r="S39" s="322">
        <v>-33.0</v>
      </c>
      <c r="T39" s="323">
        <f t="shared" si="5"/>
        <v>46116</v>
      </c>
      <c r="U39" s="64"/>
      <c r="V39" s="23"/>
      <c r="W39" s="64"/>
      <c r="X39" s="303"/>
      <c r="Y39" s="23"/>
      <c r="Z39" s="23"/>
    </row>
    <row r="40" ht="18.75" customHeight="1">
      <c r="A40" s="66" t="s">
        <v>22</v>
      </c>
      <c r="B40" s="67">
        <f>N34+SUM(B35:B39)</f>
        <v>2044.77</v>
      </c>
      <c r="C40" s="66"/>
      <c r="D40" s="67">
        <f>B40+SUM(D35:D39)</f>
        <v>2044.77</v>
      </c>
      <c r="E40" s="66"/>
      <c r="F40" s="67">
        <f>D40+SUM(F35:F39)</f>
        <v>1349.17</v>
      </c>
      <c r="G40" s="66"/>
      <c r="H40" s="67">
        <f>F40+SUM(H35:H39)</f>
        <v>1188.18</v>
      </c>
      <c r="I40" s="66"/>
      <c r="J40" s="67">
        <f>H40+SUM(J35:J39)</f>
        <v>1158.83</v>
      </c>
      <c r="K40" s="66"/>
      <c r="L40" s="67">
        <f>J40+SUM(L35:L39)</f>
        <v>1158.83</v>
      </c>
      <c r="M40" s="66"/>
      <c r="N40" s="67">
        <f>L40+SUM(N35:N39)</f>
        <v>1158.83</v>
      </c>
      <c r="O40" s="68"/>
      <c r="P40" s="406" t="s">
        <v>186</v>
      </c>
      <c r="Q40" s="407"/>
      <c r="R40" s="408">
        <v>4.0</v>
      </c>
      <c r="S40" s="409">
        <v>-50.0</v>
      </c>
      <c r="T40" s="323">
        <f t="shared" si="5"/>
        <v>46116</v>
      </c>
      <c r="U40" s="71"/>
      <c r="V40" s="69"/>
      <c r="W40" s="71"/>
      <c r="X40" s="309"/>
      <c r="Y40" s="69"/>
      <c r="Z40" s="69"/>
    </row>
    <row r="41" ht="18.75" customHeight="1">
      <c r="A41" s="50" t="str">
        <f>IF(M35="","",IF(MONTH(M35+1)&lt;&gt;MONTH(M35),"",M35+1))</f>
        <v/>
      </c>
      <c r="B41" s="51">
        <f>SUMIF($T$11:$T$113,A41,$S$11:$S$74)</f>
        <v>0</v>
      </c>
      <c r="C41" s="50" t="str">
        <f>IF(A41="","",IF(MONTH(A41+1)&lt;&gt;MONTH(A41),"",A41+1))</f>
        <v/>
      </c>
      <c r="D41" s="51">
        <f>SUMIF($T$11:$T$113,C41,$S$11:$S$74)</f>
        <v>0</v>
      </c>
      <c r="E41" s="77"/>
      <c r="F41" s="77" t="s">
        <v>50</v>
      </c>
      <c r="G41" s="77"/>
      <c r="H41" s="77"/>
      <c r="I41" s="77"/>
      <c r="J41" s="77"/>
      <c r="K41" s="77"/>
      <c r="L41" s="77"/>
      <c r="M41" s="77"/>
      <c r="N41" s="77"/>
      <c r="P41" s="367" t="s">
        <v>188</v>
      </c>
      <c r="Q41" s="368"/>
      <c r="R41" s="405"/>
      <c r="S41" s="409"/>
      <c r="T41" s="376" t="str">
        <f t="shared" ref="T41:T42" si="6">IF(ISBLANK(R41),"-",IF(R41&gt;DAY(EOMONTH(DATE($B$2,$E$2,1),0)),EOMONTH(DATE($B$2,$E$2,1),0),DATE($B$2,$E$2,R41)))</f>
        <v>-</v>
      </c>
      <c r="V41" s="313"/>
      <c r="X41" s="314"/>
    </row>
    <row r="42" ht="18.75" customHeight="1">
      <c r="A42" s="55"/>
      <c r="B42" s="56"/>
      <c r="C42" s="55"/>
      <c r="D42" s="57"/>
      <c r="E42" s="77"/>
      <c r="F42" s="77" t="s">
        <v>52</v>
      </c>
      <c r="G42" s="77"/>
      <c r="H42" s="77"/>
      <c r="I42" s="77"/>
      <c r="J42" s="77"/>
      <c r="K42" s="77"/>
      <c r="L42" s="77"/>
      <c r="M42" s="77"/>
      <c r="N42" s="77"/>
      <c r="P42" s="367" t="s">
        <v>214</v>
      </c>
      <c r="Q42" s="368"/>
      <c r="R42" s="405">
        <v>7.0</v>
      </c>
      <c r="S42" s="370">
        <v>-21.8</v>
      </c>
      <c r="T42" s="376">
        <f t="shared" si="6"/>
        <v>46119</v>
      </c>
      <c r="V42" s="313"/>
      <c r="X42" s="314"/>
    </row>
    <row r="43" ht="18.75" customHeight="1">
      <c r="A43" s="55"/>
      <c r="B43" s="56"/>
      <c r="C43" s="55"/>
      <c r="D43" s="56"/>
      <c r="E43" s="77"/>
      <c r="F43" s="77"/>
      <c r="G43" s="77"/>
      <c r="H43" s="77"/>
      <c r="I43" s="77"/>
      <c r="J43" s="77"/>
      <c r="K43" s="77"/>
      <c r="L43" s="77"/>
      <c r="M43" s="77"/>
      <c r="N43" s="77"/>
      <c r="P43" s="319" t="s">
        <v>38</v>
      </c>
      <c r="Q43" s="320"/>
      <c r="R43" s="321">
        <v>10.0</v>
      </c>
      <c r="S43" s="322">
        <v>-50.0</v>
      </c>
      <c r="T43" s="323">
        <f t="shared" ref="T43:T50" si="7">IF(ISBLANK(R43),"-",IF(R43&gt;DAY(EOMONTH(DATE($B$2,$E$2,1),0)),EOMONTH(DATE($B$2,$E$2,1),0),DATE($B$2,$E$2,R43)))</f>
        <v>46122</v>
      </c>
      <c r="V43" s="313"/>
    </row>
    <row r="44" ht="18.75" customHeight="1">
      <c r="A44" s="55"/>
      <c r="B44" s="56"/>
      <c r="C44" s="55"/>
      <c r="D44" s="56"/>
      <c r="E44" s="77"/>
      <c r="F44" s="77"/>
      <c r="G44" s="77"/>
      <c r="H44" s="77"/>
      <c r="I44" s="77"/>
      <c r="J44" s="77"/>
      <c r="K44" s="77"/>
      <c r="L44" s="77"/>
      <c r="M44" s="77"/>
      <c r="N44" s="77"/>
      <c r="P44" s="319" t="s">
        <v>57</v>
      </c>
      <c r="Q44" s="320"/>
      <c r="R44" s="321">
        <v>3.0</v>
      </c>
      <c r="S44" s="322">
        <v>-370.0</v>
      </c>
      <c r="T44" s="323">
        <f t="shared" si="7"/>
        <v>46115</v>
      </c>
      <c r="V44" s="313"/>
      <c r="X44" s="314"/>
    </row>
    <row r="45" ht="18.75" customHeight="1">
      <c r="A45" s="55"/>
      <c r="B45" s="56"/>
      <c r="C45" s="55"/>
      <c r="D45" s="56"/>
      <c r="E45" s="77"/>
      <c r="F45" s="77"/>
      <c r="G45" s="77"/>
      <c r="H45" s="77"/>
      <c r="I45" s="77"/>
      <c r="J45" s="77"/>
      <c r="K45" s="77"/>
      <c r="L45" s="77"/>
      <c r="M45" s="77"/>
      <c r="N45" s="77"/>
      <c r="P45" s="609" t="s">
        <v>24</v>
      </c>
      <c r="Q45" s="597"/>
      <c r="R45" s="610">
        <v>1.0</v>
      </c>
      <c r="S45" s="611">
        <v>-63.0</v>
      </c>
      <c r="T45" s="323">
        <f t="shared" si="7"/>
        <v>46113</v>
      </c>
    </row>
    <row r="46" ht="18.75" customHeight="1">
      <c r="A46" s="66" t="s">
        <v>22</v>
      </c>
      <c r="B46" s="67">
        <f>N40+SUM(B41:B45)</f>
        <v>1158.83</v>
      </c>
      <c r="C46" s="66"/>
      <c r="D46" s="67">
        <f>B46+SUM(D41:D45)</f>
        <v>1158.83</v>
      </c>
      <c r="E46" s="77"/>
      <c r="F46" s="77"/>
      <c r="G46" s="77"/>
      <c r="H46" s="77"/>
      <c r="I46" s="77"/>
      <c r="J46" s="77"/>
      <c r="K46" s="77"/>
      <c r="L46" s="77"/>
      <c r="M46" s="77"/>
      <c r="N46" s="77"/>
      <c r="P46" s="319" t="s">
        <v>26</v>
      </c>
      <c r="Q46" s="320"/>
      <c r="R46" s="321">
        <v>1.0</v>
      </c>
      <c r="S46" s="322">
        <v>-150.0</v>
      </c>
      <c r="T46" s="323">
        <f t="shared" si="7"/>
        <v>46113</v>
      </c>
    </row>
    <row r="47" ht="12.75" customHeight="1">
      <c r="P47" s="319" t="s">
        <v>26</v>
      </c>
      <c r="Q47" s="320"/>
      <c r="R47" s="321">
        <v>8.0</v>
      </c>
      <c r="S47" s="322">
        <v>-150.0</v>
      </c>
      <c r="T47" s="323">
        <f t="shared" si="7"/>
        <v>46120</v>
      </c>
    </row>
    <row r="48" ht="12.75" customHeight="1">
      <c r="P48" s="319" t="s">
        <v>26</v>
      </c>
      <c r="Q48" s="320"/>
      <c r="R48" s="321">
        <v>15.0</v>
      </c>
      <c r="S48" s="322">
        <v>-150.0</v>
      </c>
      <c r="T48" s="323">
        <f t="shared" si="7"/>
        <v>46127</v>
      </c>
    </row>
    <row r="49" ht="12.75" customHeight="1">
      <c r="J49" s="108">
        <v>60.0</v>
      </c>
      <c r="P49" s="319" t="s">
        <v>26</v>
      </c>
      <c r="Q49" s="320"/>
      <c r="R49" s="321">
        <v>22.0</v>
      </c>
      <c r="S49" s="322">
        <v>-150.0</v>
      </c>
      <c r="T49" s="323">
        <f t="shared" si="7"/>
        <v>46134</v>
      </c>
    </row>
    <row r="50" ht="12.75" customHeight="1">
      <c r="J50" s="108">
        <v>16.2</v>
      </c>
      <c r="P50" s="319" t="s">
        <v>26</v>
      </c>
      <c r="Q50" s="320"/>
      <c r="R50" s="321">
        <v>29.0</v>
      </c>
      <c r="S50" s="322">
        <v>-150.0</v>
      </c>
      <c r="T50" s="323">
        <f t="shared" si="7"/>
        <v>46141</v>
      </c>
    </row>
    <row r="51" ht="12.75" customHeight="1">
      <c r="J51" s="108">
        <v>20.9</v>
      </c>
      <c r="P51" s="367"/>
      <c r="Q51" s="407"/>
      <c r="R51" s="408"/>
      <c r="S51" s="541"/>
      <c r="T51" s="376"/>
    </row>
    <row r="52" ht="12.75" customHeight="1">
      <c r="J52" s="108">
        <v>22.61</v>
      </c>
      <c r="P52" s="542"/>
      <c r="Q52" s="407"/>
      <c r="R52" s="543"/>
      <c r="S52" s="544"/>
      <c r="T52" s="376" t="str">
        <f t="shared" ref="T52:T56" si="8">IF(ISBLANK(R52),"-",IF(R52&gt;DAY(EOMONTH(DATE($B$2,$E$2,1),0)),EOMONTH(DATE($B$2,$E$2,1),0),DATE($B$2,$E$2,$R$47)))</f>
        <v>-</v>
      </c>
    </row>
    <row r="53" ht="12.75" customHeight="1">
      <c r="P53" s="542"/>
      <c r="Q53" s="407"/>
      <c r="R53" s="543"/>
      <c r="S53" s="544"/>
      <c r="T53" s="376" t="str">
        <f t="shared" si="8"/>
        <v>-</v>
      </c>
    </row>
    <row r="54" ht="12.75" customHeight="1">
      <c r="P54" s="542"/>
      <c r="Q54" s="407"/>
      <c r="R54" s="543"/>
      <c r="S54" s="544"/>
      <c r="T54" s="376" t="str">
        <f t="shared" si="8"/>
        <v>-</v>
      </c>
    </row>
    <row r="55" ht="12.75" customHeight="1">
      <c r="P55" s="542"/>
      <c r="Q55" s="407"/>
      <c r="R55" s="543"/>
      <c r="S55" s="544"/>
      <c r="T55" s="376" t="str">
        <f t="shared" si="8"/>
        <v>-</v>
      </c>
    </row>
    <row r="56" ht="12.75" customHeight="1">
      <c r="P56" s="542"/>
      <c r="Q56" s="407"/>
      <c r="R56" s="543"/>
      <c r="S56" s="544"/>
      <c r="T56" s="376" t="str">
        <f t="shared" si="8"/>
        <v>-</v>
      </c>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row>
    <row r="918" ht="12.75" customHeight="1">
      <c r="R918" s="336"/>
    </row>
    <row r="919" ht="12.75" customHeight="1">
      <c r="R919" s="336"/>
    </row>
    <row r="920" ht="12.75" customHeight="1">
      <c r="R920" s="336"/>
    </row>
  </sheetData>
  <mergeCells count="11">
    <mergeCell ref="G9:H9"/>
    <mergeCell ref="I9:J9"/>
    <mergeCell ref="K9:L9"/>
    <mergeCell ref="M9:N9"/>
    <mergeCell ref="M5:N5"/>
    <mergeCell ref="S5:T5"/>
    <mergeCell ref="M6:N6"/>
    <mergeCell ref="S6:T6"/>
    <mergeCell ref="A9:B9"/>
    <mergeCell ref="C9:D9"/>
    <mergeCell ref="E9:F9"/>
  </mergeCells>
  <conditionalFormatting sqref="A1:A2 S1:S920">
    <cfRule type="cellIs" dxfId="5" priority="1" operator="lessThan">
      <formula>0</formula>
    </cfRule>
  </conditionalFormatting>
  <dataValidations>
    <dataValidation type="list" allowBlank="1" showErrorMessage="1" sqref="Q12:Q56">
      <formula1>"✔"</formula1>
    </dataValidation>
    <dataValidation type="custom" allowBlank="1" showDropDown="1" sqref="T12:T56">
      <formula1>OR(NOT(ISERROR(DATEVALUE(T12))), AND(ISNUMBER(T12), LEFT(CELL("format", T12))="D"))</formula1>
    </dataValidation>
  </dataValidations>
  <hyperlinks>
    <hyperlink r:id="rId1" ref="T3"/>
  </hyperlinks>
  <drawing r:id="rId2"/>
  <tableParts count="2">
    <tablePart r:id="rId5"/>
    <tablePart r:id="rId6"/>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10.75"/>
    <col customWidth="1" min="4" max="4" width="8.63"/>
    <col customWidth="1" min="5" max="5" width="9.0"/>
    <col customWidth="1" min="6" max="6" width="8.63"/>
    <col customWidth="1" min="7" max="7" width="6.13"/>
    <col customWidth="1" min="8" max="8" width="8.63"/>
    <col customWidth="1" min="9" max="9" width="6.13"/>
    <col customWidth="1" min="10" max="10" width="8.63"/>
    <col customWidth="1" min="11" max="11" width="10.88"/>
    <col customWidth="1" min="12" max="12" width="8.63"/>
    <col customWidth="1" min="13" max="13" width="9.75"/>
    <col customWidth="1" min="14" max="14" width="8.63"/>
    <col customWidth="1" min="15" max="15" width="2.13"/>
    <col customWidth="1" min="16" max="16" width="27.38"/>
    <col customWidth="1" min="17" max="20" width="16.25"/>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2026.0</v>
      </c>
      <c r="C2" s="3"/>
      <c r="D2" s="9" t="s">
        <v>2</v>
      </c>
      <c r="E2" s="10">
        <v>5.0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MAY 2026</v>
      </c>
      <c r="B5" s="22"/>
      <c r="C5" s="22"/>
      <c r="D5" s="22"/>
      <c r="E5" s="22"/>
      <c r="F5" s="22"/>
      <c r="G5" s="22"/>
      <c r="H5" s="23"/>
      <c r="I5" s="23"/>
      <c r="J5" s="23"/>
      <c r="K5" s="22"/>
      <c r="L5" s="24" t="s">
        <v>7</v>
      </c>
      <c r="M5" s="25">
        <f>'April 2026'!M6</f>
        <v>1158.83</v>
      </c>
      <c r="N5" s="26"/>
      <c r="O5" s="23"/>
      <c r="P5" s="27"/>
      <c r="Q5" s="27"/>
      <c r="R5" s="287" t="s">
        <v>8</v>
      </c>
      <c r="S5" s="288">
        <f>SUMIF(A18:N21,"&gt;0")+SUMIF(A24:N27,"&gt;0")+SUMIF(A30:N33,"&gt;0")+SUMIF(A36:N39,"&gt;0")+SUMIF(A42:D45,"&gt;0")+SUMIF(S12:S46,"&gt;0")+SUMIF(A12:N15,"&gt;0")</f>
        <v>8426.4</v>
      </c>
      <c r="U5" s="23"/>
      <c r="V5" s="289">
        <f>sum(S5+S6)</f>
        <v>1832.61</v>
      </c>
      <c r="W5" s="23"/>
      <c r="X5" s="23"/>
      <c r="Y5" s="23"/>
      <c r="Z5" s="23"/>
    </row>
    <row r="6" ht="25.5" customHeight="1">
      <c r="A6" s="31"/>
      <c r="B6" s="31"/>
      <c r="C6" s="31"/>
      <c r="D6" s="31"/>
      <c r="E6" s="31"/>
      <c r="F6" s="32"/>
      <c r="G6" s="33"/>
      <c r="H6" s="34"/>
      <c r="I6" s="34"/>
      <c r="J6" s="34"/>
      <c r="K6" s="31"/>
      <c r="L6" s="24" t="s">
        <v>9</v>
      </c>
      <c r="M6" s="35">
        <f>D46</f>
        <v>3008.86</v>
      </c>
      <c r="O6" s="34"/>
      <c r="P6" s="36"/>
      <c r="Q6" s="36"/>
      <c r="R6" s="287" t="s">
        <v>10</v>
      </c>
      <c r="S6" s="288">
        <f>SUMIF(A18:N21,"&lt;0")+SUMIF(A24:N27,"&lt;0")+SUMIF(A30:N33,"&lt;0")+SUMIF(A36:N39,"&lt;0")+SUMIF(A42:D45,"&lt;0")+SUMIF(S12:S174,"&lt;0")+SUMIF(A12:N15,"&lt;0")</f>
        <v>-6593.79</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46143</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46145</v>
      </c>
      <c r="B9" s="40"/>
      <c r="C9" s="39">
        <f>C17</f>
        <v>46146</v>
      </c>
      <c r="D9" s="40"/>
      <c r="E9" s="39">
        <f>E17</f>
        <v>46147</v>
      </c>
      <c r="F9" s="40"/>
      <c r="G9" s="39">
        <f>G17</f>
        <v>46148</v>
      </c>
      <c r="H9" s="40"/>
      <c r="I9" s="39">
        <f>I17</f>
        <v>46149</v>
      </c>
      <c r="J9" s="40"/>
      <c r="K9" s="39">
        <f>K17</f>
        <v>46150</v>
      </c>
      <c r="L9" s="40"/>
      <c r="M9" s="39">
        <f>M17</f>
        <v>46151</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SUMIF($T$11:$T$101,A11,$S$11:$S$62)</f>
        <v>0</v>
      </c>
      <c r="C11" s="50" t="str">
        <f>IF(A11="",IF(WEEKDAY($B$8,1)=MOD($H$2,7)+1,$B$8,""),A11+1)</f>
        <v/>
      </c>
      <c r="D11" s="51">
        <f>SUMIF($T$11:$T$101,C11,$S$11:$S$62)</f>
        <v>0</v>
      </c>
      <c r="E11" s="50" t="str">
        <f>IF(C11="",IF(WEEKDAY($B$8,1)=MOD($H$2+1,7)+1,$B$8,""),C11+1)</f>
        <v/>
      </c>
      <c r="F11" s="51">
        <f>SUMIF($T$11:$T$101,E11,$S$11:$S$62)</f>
        <v>0</v>
      </c>
      <c r="G11" s="50" t="str">
        <f>IF(E11="",IF(WEEKDAY($B$8,1)=MOD($H$2+2,7)+1,$B$8,""),E11+1)</f>
        <v/>
      </c>
      <c r="H11" s="51">
        <f>SUMIF($T$11:$T$101,G11,$S$11:$S$62)</f>
        <v>0</v>
      </c>
      <c r="I11" s="50" t="str">
        <f>IF(G11="",IF(WEEKDAY($B$8,1)=MOD($H$2+3,7)+1,$B$8,""),G11+1)</f>
        <v/>
      </c>
      <c r="J11" s="51">
        <f>SUMIF($T$11:$T$101,I11,$S$11:$S$62)</f>
        <v>0</v>
      </c>
      <c r="K11" s="50">
        <f>IF(I11="",IF(WEEKDAY($B$8,1)=MOD($H$2+4,7)+1,$B$8,""),I11+1)</f>
        <v>46143</v>
      </c>
      <c r="L11" s="51">
        <f>SUMIF($T$11:$T$101,K11,$S$11:$S$62)</f>
        <v>378.67</v>
      </c>
      <c r="M11" s="50">
        <f>IF(K11="",IF(WEEKDAY($B$8,1)=MOD($H$2+5,7)+1,$B$8,""),K11+1)</f>
        <v>46144</v>
      </c>
      <c r="N11" s="51">
        <f>SUMIF($T$11:$T$101,M11,$S$11:$S$62)</f>
        <v>0</v>
      </c>
      <c r="O11" s="23"/>
      <c r="P11" s="52" t="s">
        <v>13</v>
      </c>
      <c r="Q11" s="53" t="s">
        <v>14</v>
      </c>
      <c r="R11" s="53" t="s">
        <v>15</v>
      </c>
      <c r="S11" s="96" t="s">
        <v>16</v>
      </c>
      <c r="T11" s="53" t="s">
        <v>17</v>
      </c>
      <c r="U11" s="23"/>
      <c r="V11" s="23"/>
      <c r="W11" s="23"/>
      <c r="X11" s="23"/>
      <c r="Y11" s="23"/>
      <c r="Z11" s="23"/>
    </row>
    <row r="12" ht="18.75" customHeight="1">
      <c r="A12" s="55"/>
      <c r="B12" s="56"/>
      <c r="C12" s="55"/>
      <c r="D12" s="56"/>
      <c r="E12" s="58"/>
      <c r="F12" s="57"/>
      <c r="G12" s="55"/>
      <c r="H12" s="56"/>
      <c r="I12" s="58"/>
      <c r="J12" s="57"/>
      <c r="K12" s="55"/>
      <c r="L12" s="56"/>
      <c r="M12" s="55"/>
      <c r="N12" s="56"/>
      <c r="O12" s="23"/>
      <c r="P12" s="551" t="s">
        <v>25</v>
      </c>
      <c r="Q12" s="552"/>
      <c r="R12" s="553">
        <v>3.0</v>
      </c>
      <c r="S12" s="549">
        <f t="array" ref="S12">-INDEX(PaymentSchedule!$E$21:$AG908,MATCH(PaymentSchedule!$B$37,PaymentSchedule!$B$21:$B$100),MATCH($P12,PaymentSchedule!$E$19:$AG$19,0))</f>
        <v>0</v>
      </c>
      <c r="T12" s="550">
        <f>IF(ISBLANK(R12),"-",IF(R12&gt;DAY(EOMONTH(DATE($B$2,$E$2,1),0)),EOMONTH(DATE($B$2,$E$2,1),0),DATE($B$2,$E$2,R12)))</f>
        <v>46145</v>
      </c>
      <c r="U12" s="64"/>
      <c r="V12" s="23"/>
      <c r="W12" s="64"/>
      <c r="X12" s="303"/>
      <c r="Y12" s="23"/>
      <c r="Z12" s="23"/>
    </row>
    <row r="13" ht="18.75" customHeight="1">
      <c r="A13" s="55"/>
      <c r="B13" s="56"/>
      <c r="C13" s="55"/>
      <c r="D13" s="56"/>
      <c r="E13" s="55"/>
      <c r="F13" s="56"/>
      <c r="G13" s="55"/>
      <c r="H13" s="56"/>
      <c r="I13" s="55"/>
      <c r="J13" s="57"/>
      <c r="K13" s="55"/>
      <c r="L13" s="56"/>
      <c r="M13" s="55"/>
      <c r="N13" s="56"/>
      <c r="O13" s="23"/>
      <c r="P13" s="546" t="s">
        <v>25</v>
      </c>
      <c r="Q13" s="547"/>
      <c r="R13" s="607">
        <v>8.0</v>
      </c>
      <c r="S13" s="598">
        <f t="array" ref="S13">-INDEX(PaymentSchedule!$E$21:$AG908,MATCH(PaymentSchedule!$B$36,PaymentSchedule!$B$21:$B$100),MATCH($P13,PaymentSchedule!$E$19:$AG$19,0))</f>
        <v>0</v>
      </c>
      <c r="T13" s="599">
        <f>IF(ISBLANK(R13),"-",IF(R13&gt;DAY(EOMONTH(DATE($B$2,$E$2,1),0)),EOMONTH(DATE($B$2,$E$2,1),0),DATE($B$2,$E$2,R13)))</f>
        <v>46150</v>
      </c>
      <c r="U13" s="64"/>
      <c r="V13" s="23"/>
      <c r="W13" s="64"/>
      <c r="X13" s="303"/>
      <c r="Y13" s="23"/>
      <c r="Z13" s="23"/>
    </row>
    <row r="14" ht="18.75" customHeight="1">
      <c r="A14" s="55"/>
      <c r="B14" s="56"/>
      <c r="C14" s="55"/>
      <c r="D14" s="56"/>
      <c r="E14" s="55"/>
      <c r="F14" s="56"/>
      <c r="G14" s="55"/>
      <c r="H14" s="56"/>
      <c r="I14" s="58"/>
      <c r="J14" s="57"/>
      <c r="K14" s="55"/>
      <c r="L14" s="56"/>
      <c r="M14" s="55"/>
      <c r="N14" s="56"/>
      <c r="O14" s="23"/>
      <c r="P14" s="546" t="s">
        <v>89</v>
      </c>
      <c r="Q14" s="547"/>
      <c r="R14" s="548">
        <v>7.0</v>
      </c>
      <c r="S14" s="549">
        <f t="array" ref="S14">-INDEX(PaymentSchedule!$E$21:$AG908,MATCH(PaymentSchedule!$B$37,PaymentSchedule!$B$21:$B$100),MATCH($P14,PaymentSchedule!$E$19:$AG$19,0))</f>
        <v>-125</v>
      </c>
      <c r="T14" s="550">
        <f t="shared" ref="T14:T17" si="1">IF(ISBLANK(R14),"-",IF(R14&gt;DAY(EOMONTH(DATE($B$2,$E$2,1),0)),EOMONTH(DATE($B$2,$E$2,1),0),DATE($B$2,$E$2,R14)))</f>
        <v>46149</v>
      </c>
      <c r="U14" s="64"/>
      <c r="V14" s="23"/>
      <c r="W14" s="64"/>
      <c r="X14" s="303"/>
      <c r="Y14" s="23"/>
      <c r="Z14" s="23"/>
    </row>
    <row r="15" ht="18.75" customHeight="1">
      <c r="A15" s="55"/>
      <c r="B15" s="56"/>
      <c r="C15" s="55"/>
      <c r="D15" s="56"/>
      <c r="E15" s="55"/>
      <c r="F15" s="56"/>
      <c r="G15" s="55"/>
      <c r="H15" s="56"/>
      <c r="I15" s="55"/>
      <c r="J15" s="56"/>
      <c r="K15" s="55"/>
      <c r="L15" s="56"/>
      <c r="M15" s="55"/>
      <c r="N15" s="56"/>
      <c r="O15" s="23"/>
      <c r="P15" s="551" t="s">
        <v>85</v>
      </c>
      <c r="Q15" s="552"/>
      <c r="R15" s="553">
        <v>18.0</v>
      </c>
      <c r="S15" s="549">
        <f t="array" ref="S15">-INDEX(PaymentSchedule!$E$21:$AG908,MATCH(PaymentSchedule!$B$37,PaymentSchedule!$B$21:$B$100),MATCH($P15,PaymentSchedule!$E$19:$AG$19,0))</f>
        <v>-151</v>
      </c>
      <c r="T15" s="550">
        <f t="shared" si="1"/>
        <v>46160</v>
      </c>
      <c r="U15" s="64"/>
      <c r="V15" s="23"/>
      <c r="W15" s="64"/>
      <c r="X15" s="303"/>
      <c r="Y15" s="23"/>
      <c r="Z15" s="23"/>
    </row>
    <row r="16" ht="18.75" customHeight="1">
      <c r="A16" s="66" t="s">
        <v>22</v>
      </c>
      <c r="B16" s="67">
        <f>$M$5+SUM(B11:B15)</f>
        <v>1158.83</v>
      </c>
      <c r="C16" s="66"/>
      <c r="D16" s="67">
        <f>B16+SUM(D11:D15)</f>
        <v>1158.83</v>
      </c>
      <c r="E16" s="66"/>
      <c r="F16" s="67">
        <f>D16+SUM(F11:F15)</f>
        <v>1158.83</v>
      </c>
      <c r="G16" s="66"/>
      <c r="H16" s="67">
        <f>F16+SUM(H11:H15)</f>
        <v>1158.83</v>
      </c>
      <c r="I16" s="66"/>
      <c r="J16" s="67">
        <f>H16+SUM(J11:J15)</f>
        <v>1158.83</v>
      </c>
      <c r="K16" s="66"/>
      <c r="L16" s="67">
        <f>J16+SUM(L11:L15)</f>
        <v>1537.5</v>
      </c>
      <c r="M16" s="66"/>
      <c r="N16" s="67">
        <f>L16+SUM(N11:N15)</f>
        <v>1537.5</v>
      </c>
      <c r="O16" s="68"/>
      <c r="P16" s="551" t="s">
        <v>86</v>
      </c>
      <c r="Q16" s="552"/>
      <c r="R16" s="553">
        <v>5.0</v>
      </c>
      <c r="S16" s="549">
        <f t="array" ref="S16">-INDEX(PaymentSchedule!$E$21:$AG908,MATCH(PaymentSchedule!$B$37,PaymentSchedule!$B$21:$B$100),MATCH($P16,PaymentSchedule!$E$19:$AG$19,0))</f>
        <v>-791.16</v>
      </c>
      <c r="T16" s="550">
        <f t="shared" si="1"/>
        <v>46147</v>
      </c>
      <c r="U16" s="71"/>
      <c r="V16" s="71"/>
      <c r="W16" s="71"/>
      <c r="X16" s="309"/>
      <c r="Y16" s="69"/>
      <c r="Z16" s="69"/>
    </row>
    <row r="17" ht="18.75" customHeight="1">
      <c r="A17" s="50">
        <f>IF(M11="","",IF(MONTH(M11+1)&lt;&gt;MONTH(M11),"",M11+1))</f>
        <v>46145</v>
      </c>
      <c r="B17" s="51">
        <f>SUMIF($T$11:$T$101,A17,$S$11:$S$62)</f>
        <v>-403</v>
      </c>
      <c r="C17" s="50">
        <f>IF(A17="","",IF(MONTH(A17+1)&lt;&gt;MONTH(A17),"",A17+1))</f>
        <v>46146</v>
      </c>
      <c r="D17" s="51">
        <f>SUMIF($T$11:$T$101,C17,$S$11:$S$62)</f>
        <v>1450</v>
      </c>
      <c r="E17" s="50">
        <f>IF(C17="","",IF(MONTH(C17+1)&lt;&gt;MONTH(C17),"",C17+1))</f>
        <v>46147</v>
      </c>
      <c r="F17" s="51">
        <f>SUMIF($T$11:$T$101,E17,$S$11:$S$62)</f>
        <v>-807.35</v>
      </c>
      <c r="G17" s="50">
        <f>IF(E17="","",IF(MONTH(E17+1)&lt;&gt;MONTH(E17),"",E17+1))</f>
        <v>46148</v>
      </c>
      <c r="H17" s="51">
        <f>SUMIF($T$11:$T$101,G17,$S$11:$S$62)</f>
        <v>-150</v>
      </c>
      <c r="I17" s="50">
        <f>IF(G17="","",IF(MONTH(G17+1)&lt;&gt;MONTH(G17),"",G17+1))</f>
        <v>46149</v>
      </c>
      <c r="J17" s="51">
        <f>SUMIF($T$11:$T$101,I17,$S$11:$S$62)</f>
        <v>-146.8</v>
      </c>
      <c r="K17" s="50">
        <f>IF(I17="","",IF(MONTH(I17+1)&lt;&gt;MONTH(I17),"",I17+1))</f>
        <v>46150</v>
      </c>
      <c r="L17" s="51">
        <f>SUMIF($T$11:$T$101,K17,$S$11:$S$62)</f>
        <v>0</v>
      </c>
      <c r="M17" s="50">
        <f>IF(K17="","",IF(MONTH(K17+1)&lt;&gt;MONTH(K17),"",K17+1))</f>
        <v>46151</v>
      </c>
      <c r="N17" s="51">
        <f>SUMIF($T$11:$T$101,M17,$S$11:$S$62)</f>
        <v>-450.08</v>
      </c>
      <c r="O17" s="23"/>
      <c r="P17" s="551" t="s">
        <v>20</v>
      </c>
      <c r="Q17" s="552"/>
      <c r="R17" s="553">
        <v>1.0</v>
      </c>
      <c r="S17" s="549">
        <f t="array" ref="S17">-INDEX(PaymentSchedule!$E$21:$AG908,MATCH(PaymentSchedule!$B$37,PaymentSchedule!$B$21:$B$100),MATCH($P17,PaymentSchedule!$E$19:$AG$19,0))</f>
        <v>-1467.13</v>
      </c>
      <c r="T17" s="550">
        <f t="shared" si="1"/>
        <v>46143</v>
      </c>
      <c r="U17" s="64"/>
      <c r="V17" s="23"/>
      <c r="W17" s="64"/>
      <c r="X17" s="303"/>
      <c r="Y17" s="23"/>
      <c r="Z17" s="23"/>
    </row>
    <row r="18" ht="18.75" customHeight="1">
      <c r="A18" s="55"/>
      <c r="B18" s="57"/>
      <c r="C18" s="58" t="s">
        <v>229</v>
      </c>
      <c r="D18" s="57"/>
      <c r="E18" s="58"/>
      <c r="F18" s="57"/>
      <c r="G18" s="58"/>
      <c r="H18" s="545"/>
      <c r="I18" s="55"/>
      <c r="J18" s="56"/>
      <c r="M18" s="55"/>
      <c r="N18" s="56"/>
      <c r="O18" s="23"/>
      <c r="P18" s="546" t="s">
        <v>87</v>
      </c>
      <c r="Q18" s="547"/>
      <c r="R18" s="607">
        <v>28.0</v>
      </c>
      <c r="S18" s="598">
        <f t="array" ref="S18">-INDEX(PaymentSchedule!$E$21:$AG908,MATCH(PaymentSchedule!$B$31,PaymentSchedule!$B$21:$B$100),MATCH($P18,PaymentSchedule!$E$19:$AG$19,0))</f>
        <v>-695.6</v>
      </c>
      <c r="T18" s="599">
        <f>IF(ISBLANK(R18),"-",IF(R18&gt;DAY(EOMONTH(DATE($B$2,$E$2,1),0)),EOMONTH(DATE($B$2,$E$2,1),0),DATE($B$2,$E$2,R18)))</f>
        <v>46170</v>
      </c>
      <c r="U18" s="64"/>
      <c r="V18" s="23"/>
      <c r="Y18" s="23"/>
      <c r="Z18" s="23"/>
    </row>
    <row r="19" ht="18.75" customHeight="1">
      <c r="A19" s="55"/>
      <c r="B19" s="56"/>
      <c r="C19" s="55"/>
      <c r="D19" s="56"/>
      <c r="E19" s="55"/>
      <c r="F19" s="56"/>
      <c r="G19" s="58"/>
      <c r="H19" s="545"/>
      <c r="I19" s="55"/>
      <c r="J19" s="56"/>
      <c r="K19" s="410" t="s">
        <v>139</v>
      </c>
      <c r="L19" s="57">
        <v>-99.0</v>
      </c>
      <c r="M19" s="55"/>
      <c r="N19" s="56"/>
      <c r="O19" s="23"/>
      <c r="P19" s="551" t="s">
        <v>37</v>
      </c>
      <c r="Q19" s="552"/>
      <c r="R19" s="553">
        <v>12.0</v>
      </c>
      <c r="S19" s="549">
        <f t="array" ref="S19">-INDEX(PaymentSchedule!$E$21:$AG908,MATCH(PaymentSchedule!$B$37,PaymentSchedule!$B$21:$B$100),MATCH($P19,PaymentSchedule!$E$19:$AG$19,0))</f>
        <v>-80</v>
      </c>
      <c r="T19" s="550">
        <f t="shared" ref="T19:T25" si="2">IF(ISBLANK(R19),"-",IF(R19&gt;DAY(EOMONTH(DATE($B$2,$E$2,1),0)),EOMONTH(DATE($B$2,$E$2,1),0),DATE($B$2,$E$2,R19)))</f>
        <v>46154</v>
      </c>
      <c r="U19" s="64"/>
      <c r="V19" s="64"/>
      <c r="W19" s="64"/>
      <c r="X19" s="303"/>
      <c r="Y19" s="23"/>
      <c r="Z19" s="23"/>
    </row>
    <row r="20" ht="18.75" customHeight="1">
      <c r="A20" s="55"/>
      <c r="B20" s="56"/>
      <c r="C20" s="55"/>
      <c r="D20" s="56"/>
      <c r="E20" s="55"/>
      <c r="F20" s="56"/>
      <c r="G20" s="58"/>
      <c r="H20" s="545"/>
      <c r="I20" s="55"/>
      <c r="J20" s="56"/>
      <c r="M20" s="55"/>
      <c r="N20" s="56"/>
      <c r="O20" s="23"/>
      <c r="P20" s="551" t="s">
        <v>36</v>
      </c>
      <c r="Q20" s="552"/>
      <c r="R20" s="553">
        <v>9.0</v>
      </c>
      <c r="S20" s="549">
        <f t="array" ref="S20">-INDEX(PaymentSchedule!$E$21:$AG908,MATCH(PaymentSchedule!$B$37,PaymentSchedule!$B$21:$B$100),MATCH($P20,PaymentSchedule!$E$19:$AG$19,0))</f>
        <v>-450.08</v>
      </c>
      <c r="T20" s="550">
        <f t="shared" si="2"/>
        <v>46151</v>
      </c>
      <c r="U20" s="64"/>
      <c r="V20" s="23"/>
      <c r="W20" s="64"/>
      <c r="X20" s="303"/>
      <c r="Y20" s="23"/>
      <c r="Z20" s="23"/>
    </row>
    <row r="21" ht="18.75" customHeight="1">
      <c r="A21" s="55"/>
      <c r="B21" s="56"/>
      <c r="C21" s="55"/>
      <c r="D21" s="56"/>
      <c r="E21" s="55"/>
      <c r="F21" s="56"/>
      <c r="G21" s="58"/>
      <c r="H21" s="545"/>
      <c r="I21" s="55"/>
      <c r="J21" s="56"/>
      <c r="M21" s="55"/>
      <c r="N21" s="56"/>
      <c r="O21" s="23"/>
      <c r="P21" s="538" t="s">
        <v>55</v>
      </c>
      <c r="Q21" s="539"/>
      <c r="R21" s="540">
        <v>30.0</v>
      </c>
      <c r="S21" s="365">
        <v>-18.35</v>
      </c>
      <c r="T21" s="323">
        <f t="shared" si="2"/>
        <v>46172</v>
      </c>
      <c r="U21" s="64"/>
      <c r="V21" s="303"/>
      <c r="W21" s="64"/>
      <c r="X21" s="303"/>
      <c r="Y21" s="23"/>
      <c r="Z21" s="23"/>
    </row>
    <row r="22" ht="18.75" customHeight="1">
      <c r="A22" s="66" t="s">
        <v>22</v>
      </c>
      <c r="B22" s="67">
        <f>N16+SUM(B17:B21)</f>
        <v>1134.5</v>
      </c>
      <c r="C22" s="66"/>
      <c r="D22" s="67">
        <f>B22+SUM(D17:D21)</f>
        <v>2584.5</v>
      </c>
      <c r="E22" s="66"/>
      <c r="F22" s="67">
        <f>D22+SUM(F17:F21)</f>
        <v>1777.15</v>
      </c>
      <c r="G22" s="66"/>
      <c r="H22" s="67">
        <f>F22+SUM(H17:H21)</f>
        <v>1627.15</v>
      </c>
      <c r="I22" s="66"/>
      <c r="J22" s="67">
        <f>H22+SUM(J17:J21)</f>
        <v>1480.35</v>
      </c>
      <c r="K22" s="66"/>
      <c r="L22" s="67">
        <f>J22+SUM(L17:L21)</f>
        <v>1381.35</v>
      </c>
      <c r="M22" s="66"/>
      <c r="N22" s="67">
        <f>L22+SUM(N17:N21)</f>
        <v>931.27</v>
      </c>
      <c r="O22" s="68"/>
      <c r="P22" s="319" t="s">
        <v>29</v>
      </c>
      <c r="Q22" s="320"/>
      <c r="R22" s="321">
        <v>5.0</v>
      </c>
      <c r="S22" s="322">
        <v>-16.19</v>
      </c>
      <c r="T22" s="323">
        <f t="shared" si="2"/>
        <v>46147</v>
      </c>
      <c r="W22" s="71"/>
      <c r="X22" s="309"/>
      <c r="Y22" s="69"/>
      <c r="Z22" s="69"/>
    </row>
    <row r="23" ht="18.75" customHeight="1">
      <c r="A23" s="50">
        <f>IF(M17="","",IF(MONTH(M17+1)&lt;&gt;MONTH(M17),"",M17+1))</f>
        <v>46152</v>
      </c>
      <c r="B23" s="51">
        <f>SUMIF($T$11:$T$101,A23,$S$11:$S$62)</f>
        <v>0</v>
      </c>
      <c r="C23" s="50">
        <f>IF(A23="","",IF(MONTH(A23+1)&lt;&gt;MONTH(A23),"",A23+1))</f>
        <v>46153</v>
      </c>
      <c r="D23" s="51">
        <f>SUMIF($T$11:$T$101,C23,$S$11:$S$62)</f>
        <v>-50</v>
      </c>
      <c r="E23" s="50">
        <f>IF(C23="","",IF(MONTH(C23+1)&lt;&gt;MONTH(C23),"",C23+1))</f>
        <v>46154</v>
      </c>
      <c r="F23" s="51">
        <f>SUMIF($T$11:$T$101,E23,$S$11:$S$62)</f>
        <v>-182</v>
      </c>
      <c r="G23" s="50">
        <f>IF(E23="","",IF(MONTH(E23+1)&lt;&gt;MONTH(E23),"",E23+1))</f>
        <v>46155</v>
      </c>
      <c r="H23" s="51">
        <f>SUMIF($T$11:$T$101,G23,$S$11:$S$62)</f>
        <v>-150</v>
      </c>
      <c r="I23" s="50">
        <f>IF(G23="","",IF(MONTH(G23+1)&lt;&gt;MONTH(G23),"",G23+1))</f>
        <v>46156</v>
      </c>
      <c r="J23" s="51">
        <f>SUMIF($T$11:$T$101,I23,$S$11:$S$62)</f>
        <v>0</v>
      </c>
      <c r="K23" s="50">
        <f>IF(I23="","",IF(MONTH(I23+1)&lt;&gt;MONTH(I23),"",I23+1))</f>
        <v>46157</v>
      </c>
      <c r="L23" s="51">
        <f>SUMIF($T$11:$T$101,K23,$S$11:$S$62)</f>
        <v>2308.8</v>
      </c>
      <c r="M23" s="50">
        <f>IF(K23="","",IF(MONTH(K23+1)&lt;&gt;MONTH(K23),"",K23+1))</f>
        <v>46158</v>
      </c>
      <c r="N23" s="51">
        <f>SUMIF($T$11:$T$101,M23,$S$11:$S$62)</f>
        <v>0</v>
      </c>
      <c r="O23" s="23"/>
      <c r="P23" s="319" t="s">
        <v>43</v>
      </c>
      <c r="Q23" s="320"/>
      <c r="R23" s="321">
        <v>17.0</v>
      </c>
      <c r="S23" s="322">
        <v>-9.99</v>
      </c>
      <c r="T23" s="323">
        <f t="shared" si="2"/>
        <v>46159</v>
      </c>
      <c r="U23" s="64"/>
      <c r="V23" s="23"/>
      <c r="W23" s="64"/>
      <c r="X23" s="303"/>
      <c r="Y23" s="23"/>
      <c r="Z23" s="23"/>
    </row>
    <row r="24" ht="18.75" customHeight="1">
      <c r="A24" s="55"/>
      <c r="B24" s="56"/>
      <c r="C24" s="58"/>
      <c r="D24" s="57"/>
      <c r="E24" s="55"/>
      <c r="F24" s="56"/>
      <c r="G24" s="58" t="s">
        <v>87</v>
      </c>
      <c r="H24" s="57">
        <v>-10.89</v>
      </c>
      <c r="I24" s="58"/>
      <c r="J24" s="57"/>
      <c r="K24" s="58"/>
      <c r="L24" s="57"/>
      <c r="M24" s="55"/>
      <c r="N24" s="56"/>
      <c r="O24" s="23"/>
      <c r="P24" s="319" t="s">
        <v>54</v>
      </c>
      <c r="Q24" s="320"/>
      <c r="R24" s="321">
        <v>30.0</v>
      </c>
      <c r="S24" s="322">
        <v>-11.0</v>
      </c>
      <c r="T24" s="323">
        <f t="shared" si="2"/>
        <v>46172</v>
      </c>
      <c r="U24" s="64"/>
      <c r="V24" s="23"/>
      <c r="W24" s="64"/>
      <c r="X24" s="303"/>
      <c r="Y24" s="23"/>
      <c r="Z24" s="23"/>
    </row>
    <row r="25" ht="18.75" customHeight="1">
      <c r="A25" s="55"/>
      <c r="B25" s="56"/>
      <c r="C25" s="55"/>
      <c r="D25" s="57"/>
      <c r="E25" s="55"/>
      <c r="F25" s="56"/>
      <c r="G25" s="55"/>
      <c r="H25" s="612"/>
      <c r="I25" s="55"/>
      <c r="J25" s="56"/>
      <c r="K25" s="534"/>
      <c r="L25" s="57"/>
      <c r="M25" s="55"/>
      <c r="N25" s="56"/>
      <c r="O25" s="23"/>
      <c r="P25" s="319" t="s">
        <v>30</v>
      </c>
      <c r="Q25" s="320"/>
      <c r="R25" s="321">
        <v>20.0</v>
      </c>
      <c r="S25" s="322">
        <v>-300.86</v>
      </c>
      <c r="T25" s="323">
        <f t="shared" si="2"/>
        <v>46162</v>
      </c>
      <c r="U25" s="64"/>
      <c r="V25" s="23"/>
      <c r="W25" s="64"/>
      <c r="X25" s="303"/>
      <c r="Y25" s="23"/>
      <c r="Z25" s="23"/>
    </row>
    <row r="26" ht="18.75" customHeight="1">
      <c r="A26" s="55"/>
      <c r="B26" s="56"/>
      <c r="C26" s="55"/>
      <c r="D26" s="56"/>
      <c r="E26" s="55"/>
      <c r="F26" s="56"/>
      <c r="G26" s="58" t="s">
        <v>230</v>
      </c>
      <c r="H26" s="57">
        <v>-38.0</v>
      </c>
      <c r="I26" s="57"/>
      <c r="J26" s="56"/>
      <c r="K26" s="55"/>
      <c r="L26" s="56"/>
      <c r="M26" s="55"/>
      <c r="N26" s="56"/>
      <c r="O26" s="23"/>
      <c r="P26" s="367" t="s">
        <v>205</v>
      </c>
      <c r="Q26" s="368"/>
      <c r="R26" s="405"/>
      <c r="S26" s="409">
        <v>-17.42</v>
      </c>
      <c r="T26" s="376" t="str">
        <f>IF(ISBLANK(R26),"-",IF(R26&gt;DAY(EOMONTH(DATE($B$2,$E$2,1),0)),EOMONTH(DATE($B$2,$E$2,1),0),DATE($B$2,$E$2,R26)))</f>
        <v>-</v>
      </c>
      <c r="U26" s="64"/>
      <c r="V26" s="23"/>
      <c r="W26" s="64"/>
      <c r="X26" s="303"/>
      <c r="Y26" s="23"/>
      <c r="Z26" s="23"/>
    </row>
    <row r="27" ht="18.75" customHeight="1">
      <c r="A27" s="55"/>
      <c r="B27" s="56"/>
      <c r="C27" s="55"/>
      <c r="D27" s="56"/>
      <c r="E27" s="55"/>
      <c r="F27" s="56"/>
      <c r="G27" s="55"/>
      <c r="H27" s="56"/>
      <c r="I27" s="55"/>
      <c r="J27" s="56"/>
      <c r="K27" s="55"/>
      <c r="L27" s="56"/>
      <c r="M27" s="55"/>
      <c r="N27" s="56"/>
      <c r="O27" s="23"/>
      <c r="P27" s="319" t="s">
        <v>47</v>
      </c>
      <c r="Q27" s="320"/>
      <c r="R27" s="321">
        <v>4.0</v>
      </c>
      <c r="S27" s="608">
        <v>1500.0</v>
      </c>
      <c r="T27" s="323">
        <f t="shared" ref="T27:T31" si="3">IF(ISBLANK(R27),"-",IF(R27&gt;DAY(EOMONTH(DATE($B$2,$E$2,1),0)),EOMONTH(DATE($B$2,$E$2,1),0),DATE($B$2,$E$2,R27)))</f>
        <v>46146</v>
      </c>
      <c r="U27" s="64"/>
      <c r="V27" s="23"/>
      <c r="W27" s="64"/>
      <c r="X27" s="303"/>
      <c r="Y27" s="23"/>
      <c r="Z27" s="23"/>
    </row>
    <row r="28" ht="18.75" customHeight="1">
      <c r="A28" s="66" t="s">
        <v>22</v>
      </c>
      <c r="B28" s="67">
        <f>N22+SUM(B23:B27)</f>
        <v>931.27</v>
      </c>
      <c r="C28" s="66"/>
      <c r="D28" s="67">
        <f>B28+SUM(D23:D27)</f>
        <v>881.27</v>
      </c>
      <c r="E28" s="66"/>
      <c r="F28" s="67">
        <f>D28+SUM(F23:F27)</f>
        <v>699.27</v>
      </c>
      <c r="G28" s="66"/>
      <c r="H28" s="67">
        <f>F28+SUM(H23:H27)</f>
        <v>500.38</v>
      </c>
      <c r="I28" s="66"/>
      <c r="J28" s="67">
        <f>H28+SUM(J23:J27)</f>
        <v>500.38</v>
      </c>
      <c r="K28" s="66"/>
      <c r="L28" s="67">
        <f>J28+SUM(L23:L27)</f>
        <v>2809.18</v>
      </c>
      <c r="M28" s="66"/>
      <c r="N28" s="67">
        <f>L28+SUM(N23:N27)</f>
        <v>2809.18</v>
      </c>
      <c r="O28" s="68"/>
      <c r="P28" s="319" t="s">
        <v>19</v>
      </c>
      <c r="Q28" s="320"/>
      <c r="R28" s="321">
        <v>1.0</v>
      </c>
      <c r="S28" s="322">
        <v>2308.8</v>
      </c>
      <c r="T28" s="323">
        <f t="shared" si="3"/>
        <v>46143</v>
      </c>
      <c r="U28" s="71"/>
      <c r="V28" s="69"/>
      <c r="W28" s="71"/>
      <c r="X28" s="309"/>
      <c r="Y28" s="69"/>
      <c r="Z28" s="69"/>
    </row>
    <row r="29" ht="18.75" customHeight="1">
      <c r="A29" s="50">
        <f>IF(M23="","",IF(MONTH(M23+1)&lt;&gt;MONTH(M23),"",M23+1))</f>
        <v>46159</v>
      </c>
      <c r="B29" s="51">
        <f>SUMIF($T$11:$T$101,A29,$S$11:$S$62)</f>
        <v>-15.98</v>
      </c>
      <c r="C29" s="50">
        <f>IF(A29="","",IF(MONTH(A29+1)&lt;&gt;MONTH(A29),"",A29+1))</f>
        <v>46160</v>
      </c>
      <c r="D29" s="51">
        <f>SUMIF($T$11:$T$101,C29,$S$11:$S$62)</f>
        <v>-151</v>
      </c>
      <c r="E29" s="50">
        <f>IF(C29="","",IF(MONTH(C29+1)&lt;&gt;MONTH(C29),"",C29+1))</f>
        <v>46161</v>
      </c>
      <c r="F29" s="51">
        <f>SUMIF($T$11:$T$101,E29,$S$11:$S$62)</f>
        <v>0</v>
      </c>
      <c r="G29" s="50">
        <f>IF(E29="","",IF(MONTH(E29+1)&lt;&gt;MONTH(E29),"",E29+1))</f>
        <v>46162</v>
      </c>
      <c r="H29" s="51">
        <f>SUMIF($T$11:$T$101,G29,$S$11:$S$62)</f>
        <v>-450.86</v>
      </c>
      <c r="I29" s="50">
        <f>IF(G29="","",IF(MONTH(G29+1)&lt;&gt;MONTH(G29),"",G29+1))</f>
        <v>46163</v>
      </c>
      <c r="J29" s="51">
        <f>SUMIF($T$11:$T$101,I29,$S$11:$S$62)</f>
        <v>0</v>
      </c>
      <c r="K29" s="50">
        <f>IF(I29="","",IF(MONTH(I29+1)&lt;&gt;MONTH(I29),"",I29+1))</f>
        <v>46164</v>
      </c>
      <c r="L29" s="51">
        <f>SUMIF($T$11:$T$101,K29,$S$11:$S$62)</f>
        <v>0</v>
      </c>
      <c r="M29" s="50">
        <f>IF(K29="","",IF(MONTH(K29+1)&lt;&gt;MONTH(K29),"",K29+1))</f>
        <v>46165</v>
      </c>
      <c r="N29" s="51">
        <f>SUMIF($T$11:$T$101,M29,$S$11:$S$62)</f>
        <v>-610.99</v>
      </c>
      <c r="O29" s="23"/>
      <c r="P29" s="319" t="s">
        <v>151</v>
      </c>
      <c r="Q29" s="320"/>
      <c r="R29" s="321">
        <v>15.0</v>
      </c>
      <c r="S29" s="322">
        <v>2308.8</v>
      </c>
      <c r="T29" s="323">
        <f t="shared" si="3"/>
        <v>46157</v>
      </c>
      <c r="U29" s="64"/>
      <c r="V29" s="23"/>
      <c r="W29" s="64"/>
      <c r="X29" s="303"/>
      <c r="Y29" s="23"/>
      <c r="Z29" s="23"/>
    </row>
    <row r="30" ht="18.75" customHeight="1">
      <c r="A30" s="58"/>
      <c r="B30" s="57"/>
      <c r="C30" s="55"/>
      <c r="D30" s="57"/>
      <c r="E30" s="55"/>
      <c r="F30" s="56"/>
      <c r="G30" s="485" t="s">
        <v>202</v>
      </c>
      <c r="H30" s="486"/>
      <c r="I30" s="58"/>
      <c r="J30" s="57"/>
      <c r="K30" s="58" t="s">
        <v>139</v>
      </c>
      <c r="L30" s="57">
        <v>-99.0</v>
      </c>
      <c r="M30" s="58"/>
      <c r="N30" s="57"/>
      <c r="O30" s="23"/>
      <c r="P30" s="319" t="s">
        <v>48</v>
      </c>
      <c r="Q30" s="320"/>
      <c r="R30" s="321">
        <v>29.0</v>
      </c>
      <c r="S30" s="322">
        <v>2308.8</v>
      </c>
      <c r="T30" s="323">
        <f t="shared" si="3"/>
        <v>46171</v>
      </c>
      <c r="U30" s="64"/>
      <c r="V30" s="23"/>
      <c r="W30" s="64"/>
      <c r="X30" s="303"/>
      <c r="Y30" s="23"/>
      <c r="Z30" s="23"/>
    </row>
    <row r="31" ht="18.75" customHeight="1">
      <c r="A31" s="55"/>
      <c r="B31" s="56"/>
      <c r="C31" s="58"/>
      <c r="D31" s="57"/>
      <c r="E31" s="55"/>
      <c r="F31" s="56"/>
      <c r="G31" s="55"/>
      <c r="H31" s="56"/>
      <c r="I31" s="55"/>
      <c r="J31" s="56"/>
      <c r="K31" s="410"/>
      <c r="L31" s="57"/>
      <c r="M31" s="58"/>
      <c r="N31" s="57"/>
      <c r="O31" s="23"/>
      <c r="P31" s="406" t="s">
        <v>142</v>
      </c>
      <c r="Q31" s="407"/>
      <c r="R31" s="408">
        <v>1.0</v>
      </c>
      <c r="S31" s="409"/>
      <c r="T31" s="323">
        <f t="shared" si="3"/>
        <v>46143</v>
      </c>
      <c r="U31" s="64"/>
      <c r="V31" s="23"/>
      <c r="W31" s="64"/>
      <c r="X31" s="303"/>
      <c r="Y31" s="23"/>
      <c r="Z31" s="23"/>
    </row>
    <row r="32" ht="18.75" customHeight="1">
      <c r="A32" s="55"/>
      <c r="B32" s="56"/>
      <c r="C32" s="55"/>
      <c r="D32" s="56"/>
      <c r="E32" s="55"/>
      <c r="F32" s="56"/>
      <c r="G32" s="55"/>
      <c r="H32" s="56"/>
      <c r="I32" s="55"/>
      <c r="J32" s="56"/>
      <c r="K32" s="410"/>
      <c r="L32" s="57"/>
      <c r="M32" s="55"/>
      <c r="N32" s="56"/>
      <c r="O32" s="23"/>
      <c r="P32" s="406" t="s">
        <v>239</v>
      </c>
      <c r="Q32" s="368"/>
      <c r="R32" s="408">
        <v>23.0</v>
      </c>
      <c r="S32" s="409">
        <v>-600.0</v>
      </c>
      <c r="T32" s="376">
        <f>IF(ISBLANK(R32),"-",IF(R32&gt;DAY(EOMONTH(DATE($B$2,$E$2,1),0)),EOMONTH(DATE($B$2,$E$2,1),0),DATE($B$2,$E$2,R32)))</f>
        <v>46165</v>
      </c>
      <c r="U32" s="64"/>
      <c r="V32" s="23"/>
      <c r="W32" s="64"/>
      <c r="X32" s="303"/>
      <c r="Y32" s="23"/>
      <c r="Z32" s="23"/>
    </row>
    <row r="33" ht="18.75" customHeight="1">
      <c r="A33" s="55"/>
      <c r="B33" s="56"/>
      <c r="C33" s="55"/>
      <c r="D33" s="56"/>
      <c r="E33" s="55"/>
      <c r="F33" s="56"/>
      <c r="G33" s="55"/>
      <c r="H33" s="56"/>
      <c r="I33" s="55"/>
      <c r="J33" s="56"/>
      <c r="K33" s="58"/>
      <c r="L33" s="57"/>
      <c r="M33" s="55"/>
      <c r="N33" s="56"/>
      <c r="O33" s="23"/>
      <c r="P33" s="319" t="s">
        <v>46</v>
      </c>
      <c r="Q33" s="320"/>
      <c r="R33" s="321">
        <v>23.0</v>
      </c>
      <c r="S33" s="322">
        <v>-10.99</v>
      </c>
      <c r="T33" s="323">
        <f t="shared" ref="T33:T37" si="4">IF(ISBLANK(R33),"-",IF(R33&gt;DAY(EOMONTH(DATE($B$2,$E$2,1),0)),EOMONTH(DATE($B$2,$E$2,1),0),DATE($B$2,$E$2,R33)))</f>
        <v>46165</v>
      </c>
      <c r="U33" s="64"/>
      <c r="V33" s="23"/>
      <c r="W33" s="64"/>
      <c r="X33" s="303"/>
      <c r="Y33" s="23"/>
      <c r="Z33" s="23"/>
    </row>
    <row r="34" ht="18.75" customHeight="1">
      <c r="A34" s="66" t="s">
        <v>22</v>
      </c>
      <c r="B34" s="67">
        <f>N28+SUM(B29:B33)</f>
        <v>2793.2</v>
      </c>
      <c r="C34" s="66"/>
      <c r="D34" s="67">
        <f>B34+SUM(D29:D33)</f>
        <v>2642.2</v>
      </c>
      <c r="E34" s="66"/>
      <c r="F34" s="67">
        <f>D34+SUM(F29:F33)</f>
        <v>2642.2</v>
      </c>
      <c r="G34" s="66"/>
      <c r="H34" s="67">
        <f>F34+SUM(H29:H33)</f>
        <v>2191.34</v>
      </c>
      <c r="I34" s="66"/>
      <c r="J34" s="67">
        <f>H34+SUM(J29:J33)</f>
        <v>2191.34</v>
      </c>
      <c r="K34" s="66"/>
      <c r="L34" s="67">
        <f>J34+SUM(L29:L33)</f>
        <v>2092.34</v>
      </c>
      <c r="M34" s="66"/>
      <c r="N34" s="67">
        <f>L34+SUM(N29:N33)</f>
        <v>1481.35</v>
      </c>
      <c r="O34" s="68"/>
      <c r="P34" s="538" t="s">
        <v>44</v>
      </c>
      <c r="Q34" s="539"/>
      <c r="R34" s="540">
        <v>26.0</v>
      </c>
      <c r="S34" s="365">
        <v>-18.35</v>
      </c>
      <c r="T34" s="323">
        <f t="shared" si="4"/>
        <v>46168</v>
      </c>
      <c r="U34" s="71"/>
      <c r="V34" s="69"/>
      <c r="W34" s="71"/>
      <c r="X34" s="309"/>
      <c r="Y34" s="69"/>
      <c r="Z34" s="69"/>
    </row>
    <row r="35" ht="18.75" customHeight="1">
      <c r="A35" s="50">
        <f>IF(M29="","",IF(MONTH(M29+1)&lt;&gt;MONTH(M29),"",M29+1))</f>
        <v>46166</v>
      </c>
      <c r="B35" s="51">
        <f>SUMIF($T$11:$T$101,A35,$S$11:$S$62)</f>
        <v>0</v>
      </c>
      <c r="C35" s="50">
        <f>IF(A35="","",IF(MONTH(A35+1)&lt;&gt;MONTH(A35),"",A35+1))</f>
        <v>46167</v>
      </c>
      <c r="D35" s="51">
        <f>SUMIF($T$11:$T$101,C35,$S$11:$S$62)</f>
        <v>0</v>
      </c>
      <c r="E35" s="50">
        <f>IF(C35="","",IF(MONTH(C35+1)&lt;&gt;MONTH(C35),"",C35+1))</f>
        <v>46168</v>
      </c>
      <c r="F35" s="51">
        <f>SUMIF($T$11:$T$101,E35,$S$11:$S$62)</f>
        <v>-45.35</v>
      </c>
      <c r="G35" s="50">
        <f>IF(E35="","",IF(MONTH(E35+1)&lt;&gt;MONTH(E35),"",E35+1))</f>
        <v>46169</v>
      </c>
      <c r="H35" s="51">
        <f>SUMIF($T$11:$T$101,G35,$S$11:$S$62)</f>
        <v>0</v>
      </c>
      <c r="I35" s="50">
        <f>IF(G35="","",IF(MONTH(G35+1)&lt;&gt;MONTH(G35),"",G35+1))</f>
        <v>46170</v>
      </c>
      <c r="J35" s="51">
        <f>SUMIF($T$11:$T$101,I35,$S$11:$S$62)</f>
        <v>-695.6</v>
      </c>
      <c r="K35" s="50">
        <f>IF(I35="","",IF(MONTH(I35+1)&lt;&gt;MONTH(I35),"",I35+1))</f>
        <v>46171</v>
      </c>
      <c r="L35" s="51">
        <f>SUMIF($T$11:$T$101,K35,$S$11:$S$62)</f>
        <v>2297.81</v>
      </c>
      <c r="M35" s="50">
        <f>IF(K35="","",IF(MONTH(K35+1)&lt;&gt;MONTH(K35),"",K35+1))</f>
        <v>46172</v>
      </c>
      <c r="N35" s="51">
        <f>SUMIF($T$11:$T$101,M35,$S$11:$S$62)</f>
        <v>-29.35</v>
      </c>
      <c r="O35" s="23"/>
      <c r="P35" s="319" t="s">
        <v>40</v>
      </c>
      <c r="Q35" s="320"/>
      <c r="R35" s="321">
        <v>12.0</v>
      </c>
      <c r="S35" s="322">
        <v>-102.0</v>
      </c>
      <c r="T35" s="323">
        <f t="shared" si="4"/>
        <v>46154</v>
      </c>
      <c r="U35" s="64"/>
      <c r="V35" s="23"/>
      <c r="W35" s="64"/>
      <c r="X35" s="303"/>
      <c r="Y35" s="23"/>
      <c r="Z35" s="23"/>
    </row>
    <row r="36" ht="18.75" customHeight="1">
      <c r="A36" s="55"/>
      <c r="B36" s="56"/>
      <c r="C36" s="58" t="s">
        <v>163</v>
      </c>
      <c r="D36" s="57"/>
      <c r="E36" s="58"/>
      <c r="F36" s="57"/>
      <c r="G36" s="55"/>
      <c r="H36" s="56"/>
      <c r="I36" s="58"/>
      <c r="J36" s="57"/>
      <c r="M36" s="55"/>
      <c r="N36" s="56"/>
      <c r="O36" s="23"/>
      <c r="P36" s="319" t="s">
        <v>34</v>
      </c>
      <c r="Q36" s="320"/>
      <c r="R36" s="321">
        <v>17.0</v>
      </c>
      <c r="S36" s="322">
        <v>-5.99</v>
      </c>
      <c r="T36" s="323">
        <f t="shared" si="4"/>
        <v>46159</v>
      </c>
      <c r="U36" s="64"/>
      <c r="V36" s="23"/>
      <c r="W36" s="64"/>
      <c r="X36" s="303"/>
      <c r="Y36" s="23"/>
      <c r="Z36" s="23"/>
    </row>
    <row r="37" ht="18.75" customHeight="1">
      <c r="A37" s="55"/>
      <c r="B37" s="56"/>
      <c r="E37" s="55"/>
      <c r="F37" s="56"/>
      <c r="G37" s="55"/>
      <c r="H37" s="56"/>
      <c r="I37" s="55"/>
      <c r="J37" s="56"/>
      <c r="M37" s="55"/>
      <c r="N37" s="56"/>
      <c r="O37" s="23"/>
      <c r="P37" s="319" t="s">
        <v>34</v>
      </c>
      <c r="Q37" s="320"/>
      <c r="R37" s="321">
        <v>24.0</v>
      </c>
      <c r="S37" s="322"/>
      <c r="T37" s="323">
        <f t="shared" si="4"/>
        <v>46166</v>
      </c>
      <c r="U37" s="64"/>
      <c r="V37" s="23"/>
      <c r="W37" s="64"/>
      <c r="X37" s="303"/>
      <c r="Y37" s="23"/>
      <c r="Z37" s="23"/>
    </row>
    <row r="38" ht="18.75" customHeight="1">
      <c r="A38" s="55"/>
      <c r="B38" s="56"/>
      <c r="E38" s="55"/>
      <c r="F38" s="56"/>
      <c r="G38" s="55"/>
      <c r="H38" s="56"/>
      <c r="I38" s="55"/>
      <c r="J38" s="56"/>
      <c r="K38" s="55"/>
      <c r="L38" s="56"/>
      <c r="M38" s="55"/>
      <c r="N38" s="56"/>
      <c r="O38" s="23"/>
      <c r="P38" s="367" t="s">
        <v>51</v>
      </c>
      <c r="Q38" s="368"/>
      <c r="R38" s="405">
        <v>26.0</v>
      </c>
      <c r="S38" s="370">
        <v>-27.0</v>
      </c>
      <c r="T38" s="376">
        <f>IF(ISBLANK(R38),"-",IF(R38&gt;DAY(EOMONTH(DATE($B$2,$E$2,1),0)),EOMONTH(DATE($B$2,$E$2,1),0),DATE($B$2,$E$2,R38)))</f>
        <v>46168</v>
      </c>
      <c r="U38" s="64"/>
      <c r="V38" s="23"/>
      <c r="W38" s="64"/>
      <c r="X38" s="303"/>
      <c r="Y38" s="23"/>
      <c r="Z38" s="23"/>
    </row>
    <row r="39" ht="18.75" customHeight="1">
      <c r="A39" s="55"/>
      <c r="B39" s="56"/>
      <c r="C39" s="55"/>
      <c r="D39" s="56"/>
      <c r="E39" s="55"/>
      <c r="F39" s="56"/>
      <c r="G39" s="55"/>
      <c r="H39" s="56"/>
      <c r="I39" s="55"/>
      <c r="J39" s="56"/>
      <c r="K39" s="55"/>
      <c r="L39" s="56"/>
      <c r="M39" s="55"/>
      <c r="N39" s="56"/>
      <c r="O39" s="23"/>
      <c r="P39" s="367" t="s">
        <v>53</v>
      </c>
      <c r="Q39" s="368"/>
      <c r="R39" s="405">
        <v>29.0</v>
      </c>
      <c r="S39" s="370">
        <v>-10.99</v>
      </c>
      <c r="T39" s="323">
        <f t="shared" ref="T39:T40" si="5">IF(ISBLANK(R39),"-",IF(R39&gt;DAY(EOMONTH(DATE($B$2,$E$2,1),0)),EOMONTH(DATE($B$2,$E$2,1),0),DATE($B$2,$E$2,R39)))</f>
        <v>46171</v>
      </c>
      <c r="U39" s="64"/>
      <c r="V39" s="23"/>
      <c r="W39" s="64"/>
      <c r="X39" s="303"/>
      <c r="Y39" s="23"/>
      <c r="Z39" s="23"/>
    </row>
    <row r="40" ht="18.75" customHeight="1">
      <c r="A40" s="66" t="s">
        <v>22</v>
      </c>
      <c r="B40" s="67">
        <f>N34+SUM(B35:B39)</f>
        <v>1481.35</v>
      </c>
      <c r="C40" s="66"/>
      <c r="D40" s="67">
        <f>B40+SUM(D35:D39)</f>
        <v>1481.35</v>
      </c>
      <c r="E40" s="66"/>
      <c r="F40" s="67">
        <f>D40+SUM(F35:F39)</f>
        <v>1436</v>
      </c>
      <c r="G40" s="66"/>
      <c r="H40" s="67">
        <f>F40+SUM(H35:H39)</f>
        <v>1436</v>
      </c>
      <c r="I40" s="66"/>
      <c r="J40" s="67">
        <f>H40+SUM(J35:J39)</f>
        <v>740.4</v>
      </c>
      <c r="K40" s="66"/>
      <c r="L40" s="67">
        <f>J40+SUM(L35:L39)</f>
        <v>3038.21</v>
      </c>
      <c r="M40" s="66"/>
      <c r="N40" s="67">
        <f>L40+SUM(N35:N39)</f>
        <v>3008.86</v>
      </c>
      <c r="O40" s="68"/>
      <c r="P40" s="319" t="s">
        <v>27</v>
      </c>
      <c r="Q40" s="320"/>
      <c r="R40" s="321">
        <v>3.0</v>
      </c>
      <c r="S40" s="322">
        <v>-33.0</v>
      </c>
      <c r="T40" s="323">
        <f t="shared" si="5"/>
        <v>46145</v>
      </c>
      <c r="U40" s="71"/>
      <c r="V40" s="69"/>
      <c r="W40" s="71"/>
      <c r="X40" s="309"/>
      <c r="Y40" s="69"/>
      <c r="Z40" s="69"/>
    </row>
    <row r="41" ht="18.75" customHeight="1">
      <c r="A41" s="50">
        <f>IF(M35="","",IF(MONTH(M35+1)&lt;&gt;MONTH(M35),"",M35+1))</f>
        <v>46173</v>
      </c>
      <c r="B41" s="51">
        <f>SUMIF($T$11:$T$101,A41,$S$11:$S$62)</f>
        <v>0</v>
      </c>
      <c r="C41" s="50" t="str">
        <f>IF(A41="","",IF(MONTH(A41+1)&lt;&gt;MONTH(A41),"",A41+1))</f>
        <v/>
      </c>
      <c r="D41" s="51">
        <f>SUMIF($T$11:$T$101,C41,$S$11:$S$62)</f>
        <v>0</v>
      </c>
      <c r="E41" s="77"/>
      <c r="F41" s="77" t="s">
        <v>50</v>
      </c>
      <c r="G41" s="77"/>
      <c r="H41" s="77"/>
      <c r="I41" s="77"/>
      <c r="J41" s="77"/>
      <c r="K41" s="77"/>
      <c r="L41" s="77"/>
      <c r="M41" s="77"/>
      <c r="N41" s="77"/>
      <c r="P41" s="319" t="s">
        <v>207</v>
      </c>
      <c r="Q41" s="320"/>
      <c r="R41" s="321">
        <v>28.0</v>
      </c>
      <c r="S41" s="322">
        <v>-400.0</v>
      </c>
      <c r="T41" s="376">
        <f>IF(ISBLANK(R41),"-",IF(R41&gt;DAY(EOMONTH(DATE($B$2,$E$2,1),0)),EOMONTH(DATE($B$2,$E$2,1),0),DATE($B$2,$E$2,$R$47)))</f>
        <v>46143</v>
      </c>
      <c r="V41" s="313"/>
      <c r="X41" s="314"/>
    </row>
    <row r="42" ht="18.75" customHeight="1">
      <c r="A42" s="55"/>
      <c r="B42" s="56"/>
      <c r="C42" s="55"/>
      <c r="D42" s="56"/>
      <c r="E42" s="77"/>
      <c r="F42" s="77" t="s">
        <v>52</v>
      </c>
      <c r="G42" s="77"/>
      <c r="H42" s="77"/>
      <c r="I42" s="77"/>
      <c r="J42" s="77"/>
      <c r="K42" s="77"/>
      <c r="L42" s="77"/>
      <c r="M42" s="77"/>
      <c r="N42" s="77"/>
      <c r="P42" s="406" t="s">
        <v>186</v>
      </c>
      <c r="Q42" s="407"/>
      <c r="R42" s="408">
        <v>4.0</v>
      </c>
      <c r="S42" s="409">
        <v>-50.0</v>
      </c>
      <c r="T42" s="323">
        <f>IF(ISBLANK(R42),"-",IF(R42&gt;DAY(EOMONTH(DATE($B$2,$E$2,1),0)),EOMONTH(DATE($B$2,$E$2,1),0),DATE($B$2,$E$2,R42)))</f>
        <v>46146</v>
      </c>
      <c r="V42" s="313"/>
      <c r="X42" s="314"/>
    </row>
    <row r="43" ht="18.75" customHeight="1">
      <c r="A43" s="55"/>
      <c r="B43" s="56"/>
      <c r="C43" s="55"/>
      <c r="D43" s="56"/>
      <c r="E43" s="77"/>
      <c r="F43" s="77"/>
      <c r="G43" s="77"/>
      <c r="H43" s="77"/>
      <c r="I43" s="77"/>
      <c r="J43" s="77"/>
      <c r="K43" s="77"/>
      <c r="L43" s="77"/>
      <c r="M43" s="77"/>
      <c r="N43" s="77"/>
      <c r="P43" s="367" t="s">
        <v>188</v>
      </c>
      <c r="Q43" s="368"/>
      <c r="R43" s="405"/>
      <c r="S43" s="409"/>
      <c r="T43" s="376" t="str">
        <f t="shared" ref="T43:T44" si="6">IF(ISBLANK(R43),"-",IF(R43&gt;DAY(EOMONTH(DATE($B$2,$E$2,1),0)),EOMONTH(DATE($B$2,$E$2,1),0),DATE($B$2,$E$2,R43)))</f>
        <v>-</v>
      </c>
      <c r="V43" s="313"/>
    </row>
    <row r="44" ht="18.75" customHeight="1">
      <c r="A44" s="55"/>
      <c r="B44" s="56"/>
      <c r="C44" s="55"/>
      <c r="D44" s="56"/>
      <c r="E44" s="77"/>
      <c r="F44" s="77"/>
      <c r="G44" s="77"/>
      <c r="H44" s="77"/>
      <c r="I44" s="77"/>
      <c r="J44" s="77"/>
      <c r="K44" s="77"/>
      <c r="L44" s="77"/>
      <c r="M44" s="77"/>
      <c r="N44" s="77"/>
      <c r="P44" s="367" t="s">
        <v>214</v>
      </c>
      <c r="Q44" s="368"/>
      <c r="R44" s="405">
        <v>7.0</v>
      </c>
      <c r="S44" s="370">
        <v>-21.8</v>
      </c>
      <c r="T44" s="376">
        <f t="shared" si="6"/>
        <v>46149</v>
      </c>
      <c r="V44" s="313"/>
      <c r="X44" s="314"/>
    </row>
    <row r="45" ht="18.75" customHeight="1">
      <c r="A45" s="55"/>
      <c r="B45" s="56"/>
      <c r="C45" s="55"/>
      <c r="D45" s="56"/>
      <c r="E45" s="77"/>
      <c r="F45" s="77"/>
      <c r="G45" s="77"/>
      <c r="H45" s="77"/>
      <c r="I45" s="326">
        <v>22.61</v>
      </c>
      <c r="J45" s="77"/>
      <c r="K45" s="77"/>
      <c r="L45" s="77"/>
      <c r="M45" s="77"/>
      <c r="N45" s="77"/>
      <c r="P45" s="319" t="s">
        <v>38</v>
      </c>
      <c r="Q45" s="320"/>
      <c r="R45" s="321">
        <v>11.0</v>
      </c>
      <c r="S45" s="322">
        <v>-50.0</v>
      </c>
      <c r="T45" s="323">
        <f t="shared" ref="T45:T46" si="7">IF(ISBLANK(R45),"-",IF(R45&gt;DAY(EOMONTH(DATE($B$2,$E$2,1),0)),EOMONTH(DATE($B$2,$E$2,1),0),DATE($B$2,$E$2,R45)))</f>
        <v>46153</v>
      </c>
    </row>
    <row r="46" ht="18.75" customHeight="1">
      <c r="A46" s="66" t="s">
        <v>22</v>
      </c>
      <c r="B46" s="67">
        <f>N40+SUM(B41:B45)</f>
        <v>3008.86</v>
      </c>
      <c r="C46" s="66"/>
      <c r="D46" s="67">
        <f>B46+SUM(D41:D45)</f>
        <v>3008.86</v>
      </c>
      <c r="E46" s="77"/>
      <c r="F46" s="77"/>
      <c r="G46" s="77"/>
      <c r="H46" s="77"/>
      <c r="I46" s="326">
        <v>16.2</v>
      </c>
      <c r="J46" s="77"/>
      <c r="K46" s="77"/>
      <c r="L46" s="77"/>
      <c r="M46" s="77"/>
      <c r="N46" s="77"/>
      <c r="P46" s="319" t="s">
        <v>57</v>
      </c>
      <c r="Q46" s="320"/>
      <c r="R46" s="321">
        <v>3.0</v>
      </c>
      <c r="S46" s="322">
        <v>-370.0</v>
      </c>
      <c r="T46" s="323">
        <f t="shared" si="7"/>
        <v>46145</v>
      </c>
    </row>
    <row r="47" ht="12.75" customHeight="1">
      <c r="I47" s="108">
        <v>20.9</v>
      </c>
      <c r="P47" s="613" t="s">
        <v>24</v>
      </c>
      <c r="Q47" s="368"/>
      <c r="R47" s="614">
        <v>1.0</v>
      </c>
      <c r="S47" s="615">
        <v>-63.0</v>
      </c>
      <c r="T47" s="376">
        <f>IF(ISBLANK(R47),"-",IF(R47&gt;DAY(EOMONTH(DATE($B$2,$E$2,1),0)),EOMONTH(DATE($B$2,$E$2,1),0),DATE($B$2,$E$2,R47)))</f>
        <v>46143</v>
      </c>
    </row>
    <row r="48" ht="12.75" customHeight="1">
      <c r="I48" s="108">
        <v>60.0</v>
      </c>
      <c r="P48" s="319" t="s">
        <v>26</v>
      </c>
      <c r="Q48" s="320"/>
      <c r="R48" s="321">
        <v>6.0</v>
      </c>
      <c r="S48" s="322">
        <v>-150.0</v>
      </c>
      <c r="T48" s="323">
        <f t="shared" ref="T48:T50" si="8">IF(ISBLANK(R48),"-",IF(R48&gt;DAY(EOMONTH(DATE($B$2,$E$2,1),0)),EOMONTH(DATE($B$2,$E$2,1),0),DATE($B$2,$E$2,R48)))</f>
        <v>46148</v>
      </c>
    </row>
    <row r="49" ht="12.75" customHeight="1">
      <c r="P49" s="319" t="s">
        <v>26</v>
      </c>
      <c r="Q49" s="320"/>
      <c r="R49" s="321">
        <v>13.0</v>
      </c>
      <c r="S49" s="322">
        <v>-150.0</v>
      </c>
      <c r="T49" s="323">
        <f t="shared" si="8"/>
        <v>46155</v>
      </c>
    </row>
    <row r="50" ht="12.75" customHeight="1">
      <c r="P50" s="319" t="s">
        <v>26</v>
      </c>
      <c r="Q50" s="320"/>
      <c r="R50" s="321">
        <v>20.0</v>
      </c>
      <c r="S50" s="322">
        <v>-150.0</v>
      </c>
      <c r="T50" s="323">
        <f t="shared" si="8"/>
        <v>46162</v>
      </c>
    </row>
    <row r="51" ht="12.75" customHeight="1">
      <c r="P51" s="406"/>
      <c r="Q51" s="407"/>
      <c r="R51" s="408"/>
      <c r="S51" s="541"/>
      <c r="T51" s="323"/>
    </row>
    <row r="52" ht="12.75" customHeight="1">
      <c r="P52" s="542"/>
      <c r="Q52" s="407"/>
      <c r="R52" s="543"/>
      <c r="S52" s="544"/>
      <c r="T52" s="323" t="str">
        <f t="shared" ref="T52:T56" si="9">IF(ISBLANK(R52),"-",IF(R52&gt;DAY(EOMONTH(DATE($B$2,$E$2,1),0)),EOMONTH(DATE($B$2,$E$2,1),0),DATE($B$2,$E$2,R52)))</f>
        <v>-</v>
      </c>
    </row>
    <row r="53" ht="12.75" customHeight="1">
      <c r="P53" s="542"/>
      <c r="Q53" s="407"/>
      <c r="R53" s="543"/>
      <c r="S53" s="544"/>
      <c r="T53" s="323" t="str">
        <f t="shared" si="9"/>
        <v>-</v>
      </c>
    </row>
    <row r="54" ht="12.75" customHeight="1">
      <c r="P54" s="542"/>
      <c r="Q54" s="407"/>
      <c r="R54" s="543"/>
      <c r="S54" s="544"/>
      <c r="T54" s="323" t="str">
        <f t="shared" si="9"/>
        <v>-</v>
      </c>
    </row>
    <row r="55" ht="12.75" customHeight="1">
      <c r="P55" s="542"/>
      <c r="Q55" s="407"/>
      <c r="R55" s="543"/>
      <c r="S55" s="544"/>
      <c r="T55" s="323" t="str">
        <f t="shared" si="9"/>
        <v>-</v>
      </c>
    </row>
    <row r="56" ht="12.75" customHeight="1">
      <c r="P56" s="542"/>
      <c r="Q56" s="407"/>
      <c r="R56" s="543"/>
      <c r="S56" s="544"/>
      <c r="T56" s="323" t="str">
        <f t="shared" si="9"/>
        <v>-</v>
      </c>
    </row>
    <row r="57" ht="12.75" customHeight="1">
      <c r="P57" s="542"/>
      <c r="Q57" s="407"/>
      <c r="R57" s="543"/>
      <c r="S57" s="544"/>
      <c r="T57" s="376" t="str">
        <f>IF(ISBLANK(R57),"-",IF(R57&gt;DAY(EOMONTH(DATE($B$2,$E$2,1),0)),EOMONTH(DATE($B$2,$E$2,1),0),DATE($B$2,$E$2,$R$47)))</f>
        <v>-</v>
      </c>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row>
    <row r="906" ht="12.75" customHeight="1">
      <c r="R906" s="336"/>
    </row>
    <row r="907" ht="12.75" customHeight="1">
      <c r="R907" s="336"/>
    </row>
    <row r="908" ht="12.75" customHeight="1">
      <c r="R908" s="336"/>
    </row>
  </sheetData>
  <mergeCells count="11">
    <mergeCell ref="G9:H9"/>
    <mergeCell ref="I9:J9"/>
    <mergeCell ref="K9:L9"/>
    <mergeCell ref="M9:N9"/>
    <mergeCell ref="M5:N5"/>
    <mergeCell ref="S5:T5"/>
    <mergeCell ref="M6:N6"/>
    <mergeCell ref="S6:T6"/>
    <mergeCell ref="A9:B9"/>
    <mergeCell ref="C9:D9"/>
    <mergeCell ref="E9:F9"/>
  </mergeCells>
  <conditionalFormatting sqref="S1:S908">
    <cfRule type="cellIs" dxfId="5" priority="1" operator="lessThan">
      <formula>0</formula>
    </cfRule>
  </conditionalFormatting>
  <dataValidations>
    <dataValidation type="list" allowBlank="1" showErrorMessage="1" sqref="Q12:Q57">
      <formula1>"✔"</formula1>
    </dataValidation>
    <dataValidation type="custom" allowBlank="1" showDropDown="1" sqref="T12:T57">
      <formula1>OR(NOT(ISERROR(DATEVALUE(T12))), AND(ISNUMBER(T12), LEFT(CELL("format", T12))="D"))</formula1>
    </dataValidation>
  </dataValidations>
  <hyperlinks>
    <hyperlink r:id="rId1" ref="T3"/>
  </hyperlinks>
  <drawing r:id="rId2"/>
  <tableParts count="1">
    <tablePart r:id="rId4"/>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6.88"/>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2026.0</v>
      </c>
      <c r="C2" s="3"/>
      <c r="D2" s="9" t="s">
        <v>2</v>
      </c>
      <c r="E2" s="10">
        <v>6.0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JUNE 2026</v>
      </c>
      <c r="B5" s="22"/>
      <c r="C5" s="22"/>
      <c r="D5" s="22"/>
      <c r="E5" s="22"/>
      <c r="F5" s="22"/>
      <c r="G5" s="22"/>
      <c r="H5" s="23"/>
      <c r="I5" s="23"/>
      <c r="J5" s="23"/>
      <c r="K5" s="22"/>
      <c r="L5" s="24" t="s">
        <v>7</v>
      </c>
      <c r="M5" s="25">
        <f>'May 2026'!M6</f>
        <v>3008.86</v>
      </c>
      <c r="N5" s="26"/>
      <c r="O5" s="23"/>
      <c r="P5" s="27"/>
      <c r="Q5" s="27"/>
      <c r="R5" s="287" t="s">
        <v>8</v>
      </c>
      <c r="S5" s="288">
        <f>SUMIF(A18:N21,"&gt;0")+SUMIF(A24:N27,"&gt;0")+SUMIF(A30:N33,"&gt;0")+SUMIF(A36:N39,"&gt;0")+SUMIF(A42:D45,"&gt;0")+SUMIF(S12:S46,"&gt;0")+SUMIF(A12:N15,"&gt;0")</f>
        <v>6117.6</v>
      </c>
      <c r="U5" s="23"/>
      <c r="V5" s="289">
        <f>sum(S5+S6)</f>
        <v>-278.33</v>
      </c>
      <c r="W5" s="23"/>
      <c r="X5" s="23"/>
      <c r="Y5" s="23"/>
      <c r="Z5" s="23"/>
    </row>
    <row r="6" ht="25.5" customHeight="1">
      <c r="A6" s="31"/>
      <c r="B6" s="31"/>
      <c r="C6" s="31"/>
      <c r="D6" s="31"/>
      <c r="E6" s="31"/>
      <c r="F6" s="32"/>
      <c r="G6" s="33"/>
      <c r="H6" s="34"/>
      <c r="I6" s="34"/>
      <c r="J6" s="34"/>
      <c r="K6" s="31"/>
      <c r="L6" s="24" t="s">
        <v>9</v>
      </c>
      <c r="M6" s="35">
        <f>D46</f>
        <v>2747.95</v>
      </c>
      <c r="O6" s="34"/>
      <c r="P6" s="36"/>
      <c r="Q6" s="36"/>
      <c r="R6" s="287" t="s">
        <v>10</v>
      </c>
      <c r="S6" s="288">
        <f>SUMIF(A18:N21,"&lt;0")+SUMIF(A24:N27,"&lt;0")+SUMIF(A30:N33,"&lt;0")+SUMIF(A36:N39,"&lt;0")+SUMIF(A42:D45,"&lt;0")+SUMIF(S12:S181,"&lt;0")+SUMIF(A12:N15,"&lt;0")</f>
        <v>-6395.93</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46174</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46180</v>
      </c>
      <c r="B9" s="40"/>
      <c r="C9" s="39">
        <f>C17</f>
        <v>46181</v>
      </c>
      <c r="D9" s="40"/>
      <c r="E9" s="39">
        <f>E17</f>
        <v>46182</v>
      </c>
      <c r="F9" s="40"/>
      <c r="G9" s="39">
        <f>G17</f>
        <v>46183</v>
      </c>
      <c r="H9" s="40"/>
      <c r="I9" s="39">
        <f>I17</f>
        <v>46184</v>
      </c>
      <c r="J9" s="40"/>
      <c r="K9" s="39">
        <f>K17</f>
        <v>46185</v>
      </c>
      <c r="L9" s="40"/>
      <c r="M9" s="39">
        <f>M17</f>
        <v>46186</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SUMIF($T$11:$T$108,A11,$S$11:$S$69)</f>
        <v>0</v>
      </c>
      <c r="C11" s="50">
        <f>IF(A11="",IF(WEEKDAY($B$8,1)=MOD($H$2,7)+1,$B$8,""),A11+1)</f>
        <v>46174</v>
      </c>
      <c r="D11" s="51">
        <f>SUMIF($T$11:$T$108,C11,$S$11:$S$69)</f>
        <v>-30.13</v>
      </c>
      <c r="E11" s="50">
        <f>IF(C11="",IF(WEEKDAY($B$8,1)=MOD($H$2+1,7)+1,$B$8,""),C11+1)</f>
        <v>46175</v>
      </c>
      <c r="F11" s="51">
        <f>SUMIF($T$11:$T$108,E11,$S$11:$S$69)</f>
        <v>0</v>
      </c>
      <c r="G11" s="50">
        <f>IF(E11="",IF(WEEKDAY($B$8,1)=MOD($H$2+2,7)+1,$B$8,""),E11+1)</f>
        <v>46176</v>
      </c>
      <c r="H11" s="51">
        <f>SUMIF($T$11:$T$108,G11,$S$11:$S$69)</f>
        <v>-403</v>
      </c>
      <c r="I11" s="50">
        <f>IF(G11="",IF(WEEKDAY($B$8,1)=MOD($H$2+3,7)+1,$B$8,""),G11+1)</f>
        <v>46177</v>
      </c>
      <c r="J11" s="51">
        <f>SUMIF($T$11:$T$108,I11,$S$11:$S$69)</f>
        <v>-50</v>
      </c>
      <c r="K11" s="50">
        <f>IF(I11="",IF(WEEKDAY($B$8,1)=MOD($H$2+4,7)+1,$B$8,""),I11+1)</f>
        <v>46178</v>
      </c>
      <c r="L11" s="51">
        <f>SUMIF($T$11:$T$108,K11,$S$11:$S$69)</f>
        <v>-807.35</v>
      </c>
      <c r="M11" s="50">
        <f>IF(K11="",IF(WEEKDAY($B$8,1)=MOD($H$2+5,7)+1,$B$8,""),K11+1)</f>
        <v>46179</v>
      </c>
      <c r="N11" s="51">
        <f>SUMIF($T$11:$T$108,M11,$S$11:$S$69)</f>
        <v>0</v>
      </c>
      <c r="O11" s="23"/>
      <c r="P11" s="52" t="s">
        <v>13</v>
      </c>
      <c r="Q11" s="53" t="s">
        <v>14</v>
      </c>
      <c r="R11" s="53" t="s">
        <v>15</v>
      </c>
      <c r="S11" s="96" t="s">
        <v>16</v>
      </c>
      <c r="T11" s="53" t="s">
        <v>17</v>
      </c>
      <c r="U11" s="23"/>
      <c r="V11" s="23"/>
      <c r="W11" s="23"/>
      <c r="X11" s="23"/>
      <c r="Y11" s="23"/>
      <c r="Z11" s="23"/>
    </row>
    <row r="12" ht="18.75" customHeight="1">
      <c r="A12" s="55"/>
      <c r="B12" s="56"/>
      <c r="C12" s="55"/>
      <c r="D12" s="56"/>
      <c r="E12" s="55"/>
      <c r="F12" s="56"/>
      <c r="G12" s="55"/>
      <c r="H12" s="56"/>
      <c r="I12" s="58"/>
      <c r="J12" s="57"/>
      <c r="K12" s="55"/>
      <c r="L12" s="56"/>
      <c r="M12" s="55"/>
      <c r="N12" s="56"/>
      <c r="O12" s="23"/>
      <c r="P12" s="551" t="s">
        <v>20</v>
      </c>
      <c r="Q12" s="552"/>
      <c r="R12" s="553">
        <v>1.0</v>
      </c>
      <c r="S12" s="549">
        <f t="array" ref="S12">-INDEX(PaymentSchedule!$E$21:$AG915,MATCH(PaymentSchedule!$B$38,PaymentSchedule!$B$21:$B$100),MATCH($P12,PaymentSchedule!$E$19:$AG$19,0))</f>
        <v>-1467.13</v>
      </c>
      <c r="T12" s="550">
        <f>IF(ISBLANK(R12),"-",IF(R12&gt;DAY(EOMONTH(DATE($B$2,$E$2,1),0)),EOMONTH(DATE($B$2,$E$2,1),0),DATE($B$2,$E$2,R12)))</f>
        <v>46174</v>
      </c>
      <c r="U12" s="64"/>
      <c r="V12" s="23"/>
      <c r="W12" s="64"/>
      <c r="X12" s="303"/>
      <c r="Y12" s="23"/>
      <c r="Z12" s="23"/>
    </row>
    <row r="13" ht="18.75" customHeight="1">
      <c r="A13" s="55"/>
      <c r="B13" s="56"/>
      <c r="C13" s="55"/>
      <c r="D13" s="56"/>
      <c r="E13" s="55"/>
      <c r="F13" s="56"/>
      <c r="G13" s="55"/>
      <c r="H13" s="56"/>
      <c r="I13" s="55"/>
      <c r="J13" s="57"/>
      <c r="K13" s="55"/>
      <c r="L13" s="56"/>
      <c r="M13" s="55"/>
      <c r="N13" s="56"/>
      <c r="O13" s="23"/>
      <c r="P13" s="546" t="s">
        <v>87</v>
      </c>
      <c r="Q13" s="547"/>
      <c r="R13" s="607">
        <v>28.0</v>
      </c>
      <c r="S13" s="598">
        <f t="array" ref="S13">-INDEX(PaymentSchedule!$E$21:$AG915,MATCH(PaymentSchedule!$B$31,PaymentSchedule!$B$21:$B$100),MATCH($P13,PaymentSchedule!$E$19:$AG$19,0))</f>
        <v>-695.6</v>
      </c>
      <c r="T13" s="599">
        <f>IF(ISBLANK(R13),"-",IF(R13&gt;DAY(EOMONTH(DATE($B$2,$E$2,1),0)),EOMONTH(DATE($B$2,$E$2,1),0),DATE($B$2,$E$2,R13)))</f>
        <v>46201</v>
      </c>
      <c r="U13" s="64"/>
      <c r="V13" s="23"/>
      <c r="W13" s="64"/>
      <c r="X13" s="303"/>
      <c r="Y13" s="23"/>
      <c r="Z13" s="23"/>
    </row>
    <row r="14" ht="18.75" customHeight="1">
      <c r="A14" s="55"/>
      <c r="B14" s="56"/>
      <c r="C14" s="55"/>
      <c r="D14" s="56"/>
      <c r="E14" s="55"/>
      <c r="F14" s="56"/>
      <c r="G14" s="55"/>
      <c r="H14" s="56"/>
      <c r="I14" s="58"/>
      <c r="J14" s="57"/>
      <c r="K14" s="55"/>
      <c r="L14" s="56"/>
      <c r="M14" s="55"/>
      <c r="N14" s="56"/>
      <c r="O14" s="23"/>
      <c r="P14" s="551" t="s">
        <v>25</v>
      </c>
      <c r="Q14" s="552"/>
      <c r="R14" s="553">
        <v>3.0</v>
      </c>
      <c r="S14" s="549">
        <f t="array" ref="S14">-INDEX(PaymentSchedule!$E$21:$AG915,MATCH(PaymentSchedule!$B$38,PaymentSchedule!$B$21:$B$100),MATCH($P14,PaymentSchedule!$E$19:$AG$19,0))</f>
        <v>0</v>
      </c>
      <c r="T14" s="550">
        <f t="shared" ref="T14:T20" si="1">IF(ISBLANK(R14),"-",IF(R14&gt;DAY(EOMONTH(DATE($B$2,$E$2,1),0)),EOMONTH(DATE($B$2,$E$2,1),0),DATE($B$2,$E$2,R14)))</f>
        <v>46176</v>
      </c>
      <c r="U14" s="64"/>
      <c r="V14" s="23"/>
      <c r="W14" s="64"/>
      <c r="X14" s="303"/>
      <c r="Y14" s="23"/>
      <c r="Z14" s="23"/>
    </row>
    <row r="15" ht="18.75" customHeight="1">
      <c r="A15" s="55"/>
      <c r="B15" s="56"/>
      <c r="C15" s="55"/>
      <c r="D15" s="56"/>
      <c r="E15" s="55"/>
      <c r="F15" s="56"/>
      <c r="G15" s="55"/>
      <c r="H15" s="56"/>
      <c r="I15" s="55"/>
      <c r="J15" s="56"/>
      <c r="K15" s="55"/>
      <c r="L15" s="56"/>
      <c r="M15" s="55"/>
      <c r="N15" s="56"/>
      <c r="O15" s="23"/>
      <c r="P15" s="551" t="s">
        <v>86</v>
      </c>
      <c r="Q15" s="552"/>
      <c r="R15" s="553">
        <v>5.0</v>
      </c>
      <c r="S15" s="549">
        <f t="array" ref="S15">-INDEX(PaymentSchedule!$E$21:$AG915,MATCH(PaymentSchedule!$B$38,PaymentSchedule!$B$21:$B$100),MATCH($P15,PaymentSchedule!$E$19:$AG$19,0))</f>
        <v>-791.16</v>
      </c>
      <c r="T15" s="550">
        <f t="shared" si="1"/>
        <v>46178</v>
      </c>
      <c r="U15" s="64"/>
      <c r="V15" s="23"/>
      <c r="W15" s="64"/>
      <c r="X15" s="303"/>
      <c r="Y15" s="23"/>
      <c r="Z15" s="23"/>
    </row>
    <row r="16" ht="18.75" customHeight="1">
      <c r="A16" s="66" t="s">
        <v>22</v>
      </c>
      <c r="B16" s="67">
        <f>$M$5+SUM(B11:B15)</f>
        <v>3008.86</v>
      </c>
      <c r="C16" s="66"/>
      <c r="D16" s="67">
        <f>B16+SUM(D11:D15)</f>
        <v>2978.73</v>
      </c>
      <c r="E16" s="66"/>
      <c r="F16" s="67">
        <f>D16+SUM(F11:F15)</f>
        <v>2978.73</v>
      </c>
      <c r="G16" s="66"/>
      <c r="H16" s="67">
        <f>F16+SUM(H11:H15)</f>
        <v>2575.73</v>
      </c>
      <c r="I16" s="66"/>
      <c r="J16" s="67">
        <f>H16+SUM(J11:J15)</f>
        <v>2525.73</v>
      </c>
      <c r="K16" s="66"/>
      <c r="L16" s="67">
        <f>J16+SUM(L11:L15)</f>
        <v>1718.38</v>
      </c>
      <c r="M16" s="66"/>
      <c r="N16" s="67">
        <f>L16+SUM(N11:N15)</f>
        <v>1718.38</v>
      </c>
      <c r="O16" s="68"/>
      <c r="P16" s="551" t="s">
        <v>85</v>
      </c>
      <c r="Q16" s="552"/>
      <c r="R16" s="553">
        <v>18.0</v>
      </c>
      <c r="S16" s="549">
        <f t="array" ref="S16">-INDEX(PaymentSchedule!$E$21:$AG915,MATCH(PaymentSchedule!$B$38,PaymentSchedule!$B$21:$B$100),MATCH($P16,PaymentSchedule!$E$19:$AG$19,0))</f>
        <v>-151</v>
      </c>
      <c r="T16" s="550">
        <f t="shared" si="1"/>
        <v>46191</v>
      </c>
      <c r="U16" s="71"/>
      <c r="V16" s="69"/>
      <c r="W16" s="71"/>
      <c r="X16" s="309"/>
      <c r="Y16" s="69"/>
      <c r="Z16" s="69"/>
    </row>
    <row r="17" ht="18.75" customHeight="1">
      <c r="A17" s="50">
        <f>IF(M11="","",IF(MONTH(M11+1)&lt;&gt;MONTH(M11),"",M11+1))</f>
        <v>46180</v>
      </c>
      <c r="B17" s="51">
        <f>SUMIF($T$11:$T$108,A17,$S$11:$S$69)</f>
        <v>-146.8</v>
      </c>
      <c r="C17" s="50">
        <f>IF(A17="","",IF(MONTH(A17+1)&lt;&gt;MONTH(A17),"",A17+1))</f>
        <v>46181</v>
      </c>
      <c r="D17" s="51">
        <f>SUMIF($T$11:$T$108,C17,$S$11:$S$69)</f>
        <v>0</v>
      </c>
      <c r="E17" s="50">
        <f>IF(C17="","",IF(MONTH(C17+1)&lt;&gt;MONTH(C17),"",C17+1))</f>
        <v>46182</v>
      </c>
      <c r="F17" s="51">
        <f>SUMIF($T$11:$T$108,E17,$S$11:$S$69)</f>
        <v>-450.08</v>
      </c>
      <c r="G17" s="50">
        <f>IF(E17="","",IF(MONTH(E17+1)&lt;&gt;MONTH(E17),"",E17+1))</f>
        <v>46183</v>
      </c>
      <c r="H17" s="51">
        <f>SUMIF($T$11:$T$108,G17,$S$11:$S$69)</f>
        <v>0</v>
      </c>
      <c r="I17" s="50">
        <f>IF(G17="","",IF(MONTH(G17+1)&lt;&gt;MONTH(G17),"",G17+1))</f>
        <v>46184</v>
      </c>
      <c r="J17" s="51">
        <f>SUMIF($T$11:$T$108,I17,$S$11:$S$69)</f>
        <v>2258.8</v>
      </c>
      <c r="K17" s="50">
        <f>IF(I17="","",IF(MONTH(I17+1)&lt;&gt;MONTH(I17),"",I17+1))</f>
        <v>46185</v>
      </c>
      <c r="L17" s="51">
        <f>SUMIF($T$11:$T$108,K17,$S$11:$S$69)</f>
        <v>-182</v>
      </c>
      <c r="M17" s="50">
        <f>IF(K17="","",IF(MONTH(K17+1)&lt;&gt;MONTH(K17),"",K17+1))</f>
        <v>46186</v>
      </c>
      <c r="N17" s="51">
        <f>SUMIF($T$11:$T$108,M17,$S$11:$S$69)</f>
        <v>-301</v>
      </c>
      <c r="O17" s="23"/>
      <c r="P17" s="551" t="s">
        <v>36</v>
      </c>
      <c r="Q17" s="552"/>
      <c r="R17" s="553">
        <v>9.0</v>
      </c>
      <c r="S17" s="549">
        <f t="array" ref="S17">-INDEX(PaymentSchedule!$E$21:$AG915,MATCH(PaymentSchedule!$B$38,PaymentSchedule!$B$21:$B$100),MATCH($P17,PaymentSchedule!$E$19:$AG$19,0))</f>
        <v>-450.08</v>
      </c>
      <c r="T17" s="550">
        <f t="shared" si="1"/>
        <v>46182</v>
      </c>
      <c r="U17" s="64"/>
      <c r="V17" s="23"/>
      <c r="W17" s="64"/>
      <c r="X17" s="303"/>
      <c r="Y17" s="23"/>
      <c r="Z17" s="23"/>
    </row>
    <row r="18" ht="18.75" customHeight="1">
      <c r="A18" s="55"/>
      <c r="B18" s="56"/>
      <c r="C18" s="55"/>
      <c r="D18" s="57"/>
      <c r="E18" s="55"/>
      <c r="F18" s="56"/>
      <c r="G18" s="55"/>
      <c r="H18" s="56"/>
      <c r="I18" s="58" t="s">
        <v>230</v>
      </c>
      <c r="J18" s="57">
        <v>-38.0</v>
      </c>
      <c r="K18" s="58"/>
      <c r="L18" s="57"/>
      <c r="M18" s="58" t="s">
        <v>87</v>
      </c>
      <c r="N18" s="57">
        <v>-10.89</v>
      </c>
      <c r="O18" s="23"/>
      <c r="P18" s="551" t="s">
        <v>37</v>
      </c>
      <c r="Q18" s="552"/>
      <c r="R18" s="553">
        <v>12.0</v>
      </c>
      <c r="S18" s="549">
        <f t="array" ref="S18">-INDEX(PaymentSchedule!$E$21:$AG915,MATCH(PaymentSchedule!$B$38,PaymentSchedule!$B$21:$B$100),MATCH($P18,PaymentSchedule!$E$19:$AG$19,0))</f>
        <v>-80</v>
      </c>
      <c r="T18" s="550">
        <f t="shared" si="1"/>
        <v>46185</v>
      </c>
      <c r="U18" s="64"/>
      <c r="V18" s="23"/>
      <c r="Y18" s="23"/>
      <c r="Z18" s="23"/>
    </row>
    <row r="19" ht="18.75" customHeight="1">
      <c r="A19" s="55"/>
      <c r="B19" s="56"/>
      <c r="C19" s="55"/>
      <c r="D19" s="56"/>
      <c r="E19" s="55"/>
      <c r="F19" s="56"/>
      <c r="G19" s="55"/>
      <c r="H19" s="56"/>
      <c r="I19" s="55"/>
      <c r="J19" s="56"/>
      <c r="K19" s="58"/>
      <c r="L19" s="57"/>
      <c r="M19" s="55"/>
      <c r="N19" s="56"/>
      <c r="O19" s="23"/>
      <c r="P19" s="546" t="s">
        <v>89</v>
      </c>
      <c r="Q19" s="547"/>
      <c r="R19" s="548">
        <v>7.0</v>
      </c>
      <c r="S19" s="549">
        <f t="array" ref="S19">-INDEX(PaymentSchedule!$E$21:$AG915,MATCH(PaymentSchedule!$B$38,PaymentSchedule!$B$21:$B$100),MATCH($P19,PaymentSchedule!$E$19:$AG$19,0))</f>
        <v>-125</v>
      </c>
      <c r="T19" s="550">
        <f t="shared" si="1"/>
        <v>46180</v>
      </c>
      <c r="U19" s="64"/>
      <c r="V19" s="23"/>
      <c r="W19" s="64"/>
      <c r="X19" s="303"/>
      <c r="Y19" s="23"/>
      <c r="Z19" s="23"/>
    </row>
    <row r="20" ht="18.75" customHeight="1">
      <c r="A20" s="55"/>
      <c r="B20" s="56"/>
      <c r="C20" s="55"/>
      <c r="D20" s="56"/>
      <c r="E20" s="55"/>
      <c r="F20" s="56"/>
      <c r="G20" s="55"/>
      <c r="H20" s="56"/>
      <c r="I20" s="55"/>
      <c r="J20" s="56"/>
      <c r="K20" s="58"/>
      <c r="L20" s="57"/>
      <c r="M20" s="55"/>
      <c r="N20" s="56"/>
      <c r="O20" s="23"/>
      <c r="P20" s="319" t="s">
        <v>47</v>
      </c>
      <c r="Q20" s="320"/>
      <c r="R20" s="321">
        <v>1.0</v>
      </c>
      <c r="S20" s="608">
        <v>1500.0</v>
      </c>
      <c r="T20" s="323">
        <f t="shared" si="1"/>
        <v>46174</v>
      </c>
      <c r="U20" s="64"/>
      <c r="V20" s="23"/>
      <c r="W20" s="64"/>
      <c r="X20" s="303"/>
      <c r="Y20" s="23"/>
      <c r="Z20" s="23"/>
    </row>
    <row r="21" ht="18.75" customHeight="1">
      <c r="A21" s="55"/>
      <c r="B21" s="56"/>
      <c r="C21" s="55"/>
      <c r="D21" s="56"/>
      <c r="E21" s="55"/>
      <c r="F21" s="56"/>
      <c r="G21" s="55"/>
      <c r="H21" s="56"/>
      <c r="I21" s="55"/>
      <c r="J21" s="56"/>
      <c r="K21" s="55"/>
      <c r="L21" s="56"/>
      <c r="M21" s="55"/>
      <c r="N21" s="56"/>
      <c r="O21" s="23"/>
      <c r="P21" s="613" t="s">
        <v>24</v>
      </c>
      <c r="Q21" s="368"/>
      <c r="R21" s="614">
        <v>1.0</v>
      </c>
      <c r="S21" s="615">
        <v>-63.0</v>
      </c>
      <c r="T21" s="376">
        <f>IF(ISBLANK(R21),"-",IF(R21&gt;DAY(EOMONTH(DATE($B$2,$E$2,1),0)),EOMONTH(DATE($B$2,$E$2,1),0),DATE($B$2,$E$2,R21)))</f>
        <v>46174</v>
      </c>
      <c r="U21" s="64"/>
      <c r="V21" s="303"/>
      <c r="W21" s="64"/>
      <c r="X21" s="303"/>
      <c r="Y21" s="23"/>
      <c r="Z21" s="23"/>
    </row>
    <row r="22" ht="18.75" customHeight="1">
      <c r="A22" s="66" t="s">
        <v>22</v>
      </c>
      <c r="B22" s="67">
        <f>N16+SUM(B17:B21)</f>
        <v>1571.58</v>
      </c>
      <c r="C22" s="66"/>
      <c r="D22" s="67">
        <f>B22+SUM(D17:D21)</f>
        <v>1571.58</v>
      </c>
      <c r="E22" s="66"/>
      <c r="F22" s="67">
        <f>D22+SUM(F17:F21)</f>
        <v>1121.5</v>
      </c>
      <c r="G22" s="66"/>
      <c r="H22" s="67">
        <f>F22+SUM(H17:H21)</f>
        <v>1121.5</v>
      </c>
      <c r="I22" s="66"/>
      <c r="J22" s="67">
        <f>H22+SUM(J17:J21)</f>
        <v>3342.3</v>
      </c>
      <c r="K22" s="66"/>
      <c r="L22" s="67">
        <f>J22+SUM(L17:L21)</f>
        <v>3160.3</v>
      </c>
      <c r="M22" s="66"/>
      <c r="N22" s="67">
        <f>L22+SUM(N17:N21)</f>
        <v>2848.41</v>
      </c>
      <c r="O22" s="68"/>
      <c r="P22" s="406" t="s">
        <v>142</v>
      </c>
      <c r="Q22" s="407"/>
      <c r="R22" s="408">
        <v>1.0</v>
      </c>
      <c r="S22" s="409"/>
      <c r="T22" s="323">
        <f t="shared" ref="T22:T28" si="2">IF(ISBLANK(R22),"-",IF(R22&gt;DAY(EOMONTH(DATE($B$2,$E$2,1),0)),EOMONTH(DATE($B$2,$E$2,1),0),DATE($B$2,$E$2,R22)))</f>
        <v>46174</v>
      </c>
      <c r="W22" s="71"/>
      <c r="X22" s="309"/>
      <c r="Y22" s="69"/>
      <c r="Z22" s="69"/>
    </row>
    <row r="23" ht="18.75" customHeight="1">
      <c r="A23" s="50">
        <f>IF(M17="","",IF(MONTH(M17+1)&lt;&gt;MONTH(M17),"",M17+1))</f>
        <v>46187</v>
      </c>
      <c r="B23" s="51">
        <f>SUMIF($T$11:$T$108,A23,$S$11:$S$69)</f>
        <v>0</v>
      </c>
      <c r="C23" s="50">
        <f>IF(A23="","",IF(MONTH(A23+1)&lt;&gt;MONTH(A23),"",A23+1))</f>
        <v>46188</v>
      </c>
      <c r="D23" s="51">
        <f>SUMIF($T$11:$T$108,C23,$S$11:$S$69)</f>
        <v>0</v>
      </c>
      <c r="E23" s="50">
        <f>IF(C23="","",IF(MONTH(C23+1)&lt;&gt;MONTH(C23),"",C23+1))</f>
        <v>46189</v>
      </c>
      <c r="F23" s="51">
        <f>SUMIF($T$11:$T$108,E23,$S$11:$S$69)</f>
        <v>0</v>
      </c>
      <c r="G23" s="50">
        <f>IF(E23="","",IF(MONTH(E23+1)&lt;&gt;MONTH(E23),"",E23+1))</f>
        <v>46190</v>
      </c>
      <c r="H23" s="51">
        <f>SUMIF($T$11:$T$108,G23,$S$11:$S$69)</f>
        <v>-15.98</v>
      </c>
      <c r="I23" s="50">
        <f>IF(G23="","",IF(MONTH(G23+1)&lt;&gt;MONTH(G23),"",G23+1))</f>
        <v>46191</v>
      </c>
      <c r="J23" s="51">
        <f>SUMIF($T$11:$T$108,I23,$S$11:$S$69)</f>
        <v>-151</v>
      </c>
      <c r="K23" s="50">
        <f>IF(I23="","",IF(MONTH(I23+1)&lt;&gt;MONTH(I23),"",I23+1))</f>
        <v>46192</v>
      </c>
      <c r="L23" s="51">
        <f>SUMIF($T$11:$T$108,K23,$S$11:$S$69)</f>
        <v>0</v>
      </c>
      <c r="M23" s="50">
        <f>IF(K23="","",IF(MONTH(K23+1)&lt;&gt;MONTH(K23),"",K23+1))</f>
        <v>46193</v>
      </c>
      <c r="N23" s="51">
        <f>SUMIF($T$11:$T$108,M23,$S$11:$S$69)</f>
        <v>0</v>
      </c>
      <c r="O23" s="23"/>
      <c r="P23" s="319" t="s">
        <v>27</v>
      </c>
      <c r="Q23" s="320"/>
      <c r="R23" s="321">
        <v>3.0</v>
      </c>
      <c r="S23" s="322">
        <v>-33.0</v>
      </c>
      <c r="T23" s="323">
        <f t="shared" si="2"/>
        <v>46176</v>
      </c>
      <c r="U23" s="64"/>
      <c r="V23" s="23"/>
      <c r="W23" s="64">
        <v>-2.0</v>
      </c>
      <c r="X23" s="303"/>
      <c r="Y23" s="23"/>
      <c r="Z23" s="23"/>
    </row>
    <row r="24" ht="18.75" customHeight="1">
      <c r="A24" s="55"/>
      <c r="B24" s="56"/>
      <c r="C24" s="58"/>
      <c r="D24" s="57"/>
      <c r="E24" s="55"/>
      <c r="F24" s="56"/>
      <c r="G24" s="413"/>
      <c r="H24" s="535"/>
      <c r="I24" s="55"/>
      <c r="J24" s="56"/>
      <c r="K24" s="58"/>
      <c r="L24" s="57"/>
      <c r="M24" s="58" t="s">
        <v>235</v>
      </c>
      <c r="N24" s="57">
        <v>-250.0</v>
      </c>
      <c r="O24" s="23"/>
      <c r="P24" s="406" t="s">
        <v>186</v>
      </c>
      <c r="Q24" s="407"/>
      <c r="R24" s="408">
        <v>4.0</v>
      </c>
      <c r="S24" s="409">
        <v>-50.0</v>
      </c>
      <c r="T24" s="323">
        <f t="shared" si="2"/>
        <v>46177</v>
      </c>
      <c r="U24" s="64"/>
      <c r="V24" s="23"/>
      <c r="W24" s="64"/>
      <c r="X24" s="303"/>
      <c r="Y24" s="23"/>
      <c r="Z24" s="23"/>
    </row>
    <row r="25" ht="18.75" customHeight="1">
      <c r="A25" s="55"/>
      <c r="B25" s="56"/>
      <c r="C25" s="55"/>
      <c r="D25" s="56"/>
      <c r="E25" s="55"/>
      <c r="F25" s="56"/>
      <c r="G25" s="55"/>
      <c r="H25" s="56"/>
      <c r="I25" s="55"/>
      <c r="J25" s="56"/>
      <c r="K25" s="55"/>
      <c r="L25" s="56"/>
      <c r="M25" s="58"/>
      <c r="N25" s="57"/>
      <c r="O25" s="23"/>
      <c r="P25" s="319" t="s">
        <v>29</v>
      </c>
      <c r="Q25" s="320"/>
      <c r="R25" s="321">
        <v>5.0</v>
      </c>
      <c r="S25" s="322">
        <v>-16.19</v>
      </c>
      <c r="T25" s="323">
        <f t="shared" si="2"/>
        <v>46178</v>
      </c>
      <c r="U25" s="64"/>
      <c r="V25" s="23"/>
      <c r="W25" s="64"/>
      <c r="X25" s="303"/>
      <c r="Y25" s="23"/>
      <c r="Z25" s="23"/>
    </row>
    <row r="26" ht="18.75" customHeight="1">
      <c r="A26" s="55"/>
      <c r="B26" s="56"/>
      <c r="C26" s="55"/>
      <c r="D26" s="56"/>
      <c r="E26" s="55"/>
      <c r="F26" s="56"/>
      <c r="G26" s="55"/>
      <c r="H26" s="56"/>
      <c r="I26" s="55"/>
      <c r="J26" s="56"/>
      <c r="K26" s="55"/>
      <c r="L26" s="56"/>
      <c r="M26" s="55"/>
      <c r="N26" s="56"/>
      <c r="O26" s="23"/>
      <c r="P26" s="319" t="s">
        <v>38</v>
      </c>
      <c r="Q26" s="320"/>
      <c r="R26" s="321">
        <v>11.0</v>
      </c>
      <c r="S26" s="322">
        <v>-50.0</v>
      </c>
      <c r="T26" s="323">
        <f t="shared" si="2"/>
        <v>46184</v>
      </c>
      <c r="U26" s="64"/>
      <c r="V26" s="23"/>
      <c r="W26" s="64"/>
      <c r="X26" s="303"/>
      <c r="Y26" s="23"/>
      <c r="Z26" s="23"/>
    </row>
    <row r="27" ht="18.75" customHeight="1">
      <c r="A27" s="55"/>
      <c r="B27" s="56"/>
      <c r="C27" s="55"/>
      <c r="D27" s="56"/>
      <c r="E27" s="55"/>
      <c r="F27" s="56"/>
      <c r="G27" s="55"/>
      <c r="H27" s="56"/>
      <c r="I27" s="55"/>
      <c r="J27" s="56"/>
      <c r="K27" s="55"/>
      <c r="L27" s="56"/>
      <c r="M27" s="55"/>
      <c r="N27" s="56"/>
      <c r="O27" s="23"/>
      <c r="P27" s="319" t="s">
        <v>19</v>
      </c>
      <c r="Q27" s="320"/>
      <c r="R27" s="321">
        <v>11.0</v>
      </c>
      <c r="S27" s="322">
        <v>2308.8</v>
      </c>
      <c r="T27" s="323">
        <f t="shared" si="2"/>
        <v>46184</v>
      </c>
      <c r="U27" s="64"/>
      <c r="V27" s="23"/>
      <c r="W27" s="64"/>
      <c r="X27" s="303"/>
      <c r="Y27" s="23"/>
      <c r="Z27" s="23"/>
    </row>
    <row r="28" ht="18.75" customHeight="1">
      <c r="A28" s="66" t="s">
        <v>22</v>
      </c>
      <c r="B28" s="67">
        <f>N22+SUM(B23:B27)</f>
        <v>2848.41</v>
      </c>
      <c r="C28" s="66"/>
      <c r="D28" s="67">
        <f>B28+SUM(D23:D27)</f>
        <v>2848.41</v>
      </c>
      <c r="E28" s="66"/>
      <c r="F28" s="67">
        <f>D28+SUM(F23:F27)</f>
        <v>2848.41</v>
      </c>
      <c r="G28" s="66"/>
      <c r="H28" s="67">
        <f>F28+SUM(H23:H27)</f>
        <v>2832.43</v>
      </c>
      <c r="I28" s="66"/>
      <c r="J28" s="67">
        <f>H28+SUM(J23:J27)</f>
        <v>2681.43</v>
      </c>
      <c r="K28" s="66"/>
      <c r="L28" s="67">
        <f>J28+SUM(L23:L27)</f>
        <v>2681.43</v>
      </c>
      <c r="M28" s="66"/>
      <c r="N28" s="67">
        <f>L28+SUM(N23:N27)</f>
        <v>2431.43</v>
      </c>
      <c r="O28" s="68"/>
      <c r="P28" s="319" t="s">
        <v>40</v>
      </c>
      <c r="Q28" s="320"/>
      <c r="R28" s="321">
        <v>12.0</v>
      </c>
      <c r="S28" s="322">
        <v>-102.0</v>
      </c>
      <c r="T28" s="323">
        <f t="shared" si="2"/>
        <v>46185</v>
      </c>
      <c r="U28" s="71"/>
      <c r="V28" s="69"/>
      <c r="W28" s="71"/>
      <c r="X28" s="309"/>
      <c r="Y28" s="69"/>
      <c r="Z28" s="69"/>
    </row>
    <row r="29" ht="18.75" customHeight="1">
      <c r="A29" s="50">
        <f>IF(M23="","",IF(MONTH(M23+1)&lt;&gt;MONTH(M23),"",M23+1))</f>
        <v>46194</v>
      </c>
      <c r="B29" s="51">
        <f>SUMIF($T$11:$T$108,A29,$S$11:$S$69)</f>
        <v>0</v>
      </c>
      <c r="C29" s="50">
        <f>IF(A29="","",IF(MONTH(A29+1)&lt;&gt;MONTH(A29),"",A29+1))</f>
        <v>46195</v>
      </c>
      <c r="D29" s="51">
        <f>SUMIF($T$11:$T$108,C29,$S$11:$S$69)</f>
        <v>0</v>
      </c>
      <c r="E29" s="50">
        <f>IF(C29="","",IF(MONTH(C29+1)&lt;&gt;MONTH(C29),"",C29+1))</f>
        <v>46196</v>
      </c>
      <c r="F29" s="51">
        <f>SUMIF($T$11:$T$108,E29,$S$11:$S$69)</f>
        <v>-10.99</v>
      </c>
      <c r="G29" s="50">
        <f>IF(E29="","",IF(MONTH(E29+1)&lt;&gt;MONTH(E29),"",E29+1))</f>
        <v>46197</v>
      </c>
      <c r="H29" s="51">
        <f>SUMIF($T$11:$T$108,G29,$S$11:$S$69)</f>
        <v>0</v>
      </c>
      <c r="I29" s="50">
        <f>IF(G29="","",IF(MONTH(G29+1)&lt;&gt;MONTH(G29),"",G29+1))</f>
        <v>46198</v>
      </c>
      <c r="J29" s="51">
        <f>SUMIF($T$11:$T$108,I29,$S$11:$S$69)</f>
        <v>2308.8</v>
      </c>
      <c r="K29" s="50">
        <f>IF(I29="","",IF(MONTH(I29+1)&lt;&gt;MONTH(I29),"",I29+1))</f>
        <v>46199</v>
      </c>
      <c r="L29" s="51">
        <f>SUMIF($T$11:$T$108,K29,$S$11:$S$69)</f>
        <v>-45.35</v>
      </c>
      <c r="M29" s="50">
        <f>IF(K29="","",IF(MONTH(K29+1)&lt;&gt;MONTH(K29),"",K29+1))</f>
        <v>46200</v>
      </c>
      <c r="N29" s="51">
        <f>SUMIF($T$11:$T$108,M29,$S$11:$S$69)</f>
        <v>0</v>
      </c>
      <c r="O29" s="23"/>
      <c r="P29" s="367" t="s">
        <v>205</v>
      </c>
      <c r="Q29" s="368"/>
      <c r="R29" s="405"/>
      <c r="S29" s="409">
        <v>-17.42</v>
      </c>
      <c r="T29" s="376" t="str">
        <f>IF(ISBLANK(R29),"-",IF(R29&gt;DAY(EOMONTH(DATE($B$2,$E$2,1),0)),EOMONTH(DATE($B$2,$E$2,1),0),DATE($B$2,$E$2,R29)))</f>
        <v>-</v>
      </c>
      <c r="U29" s="64"/>
      <c r="V29" s="23"/>
      <c r="W29" s="64"/>
      <c r="X29" s="303"/>
      <c r="Y29" s="23"/>
      <c r="Z29" s="23"/>
    </row>
    <row r="30" ht="18.75" customHeight="1">
      <c r="A30" s="55"/>
      <c r="B30" s="56"/>
      <c r="C30" s="58"/>
      <c r="D30" s="57"/>
      <c r="E30" s="55"/>
      <c r="F30" s="56"/>
      <c r="G30" s="55"/>
      <c r="H30" s="56"/>
      <c r="I30" s="55"/>
      <c r="J30" s="57"/>
      <c r="K30" s="58" t="s">
        <v>188</v>
      </c>
      <c r="L30" s="57">
        <v>-1200.0</v>
      </c>
      <c r="M30" s="485" t="s">
        <v>202</v>
      </c>
      <c r="N30" s="486"/>
      <c r="O30" s="23"/>
      <c r="P30" s="319" t="s">
        <v>30</v>
      </c>
      <c r="Q30" s="320"/>
      <c r="R30" s="321">
        <v>13.0</v>
      </c>
      <c r="S30" s="322">
        <v>-301.0</v>
      </c>
      <c r="T30" s="323">
        <f t="shared" ref="T30:T32" si="3">IF(ISBLANK(R30),"-",IF(R30&gt;DAY(EOMONTH(DATE($B$2,$E$2,1),0)),EOMONTH(DATE($B$2,$E$2,1),0),DATE($B$2,$E$2,R30)))</f>
        <v>46186</v>
      </c>
      <c r="U30" s="64"/>
      <c r="V30" s="23"/>
      <c r="W30" s="64"/>
      <c r="X30" s="303"/>
      <c r="Y30" s="23"/>
      <c r="Z30" s="23"/>
    </row>
    <row r="31" ht="18.75" customHeight="1">
      <c r="A31" s="55"/>
      <c r="B31" s="56"/>
      <c r="C31" s="58"/>
      <c r="D31" s="57"/>
      <c r="E31" s="55"/>
      <c r="F31" s="56"/>
      <c r="G31" s="55"/>
      <c r="H31" s="56"/>
      <c r="I31" s="55"/>
      <c r="J31" s="56"/>
      <c r="K31" s="58"/>
      <c r="L31" s="57"/>
      <c r="M31" s="55"/>
      <c r="N31" s="56"/>
      <c r="O31" s="23"/>
      <c r="P31" s="319" t="s">
        <v>43</v>
      </c>
      <c r="Q31" s="320"/>
      <c r="R31" s="321">
        <v>17.0</v>
      </c>
      <c r="S31" s="322">
        <v>-9.99</v>
      </c>
      <c r="T31" s="323">
        <f t="shared" si="3"/>
        <v>46190</v>
      </c>
      <c r="U31" s="64"/>
      <c r="V31" s="23"/>
      <c r="W31" s="64"/>
      <c r="X31" s="303"/>
      <c r="Y31" s="23"/>
      <c r="Z31" s="23"/>
    </row>
    <row r="32" ht="18.75" customHeight="1">
      <c r="A32" s="55"/>
      <c r="B32" s="56"/>
      <c r="C32" s="55"/>
      <c r="D32" s="56"/>
      <c r="E32" s="55"/>
      <c r="F32" s="56"/>
      <c r="G32" s="55"/>
      <c r="H32" s="56"/>
      <c r="I32" s="55"/>
      <c r="J32" s="56"/>
      <c r="K32" s="55"/>
      <c r="L32" s="56"/>
      <c r="M32" s="55"/>
      <c r="N32" s="56"/>
      <c r="O32" s="23"/>
      <c r="P32" s="319" t="s">
        <v>34</v>
      </c>
      <c r="Q32" s="320"/>
      <c r="R32" s="321">
        <v>17.0</v>
      </c>
      <c r="S32" s="322">
        <v>-5.99</v>
      </c>
      <c r="T32" s="323">
        <f t="shared" si="3"/>
        <v>46190</v>
      </c>
      <c r="U32" s="64"/>
      <c r="V32" s="23"/>
      <c r="W32" s="64"/>
      <c r="X32" s="303"/>
      <c r="Y32" s="23"/>
      <c r="Z32" s="23"/>
    </row>
    <row r="33" ht="18.75" customHeight="1">
      <c r="A33" s="55"/>
      <c r="B33" s="56"/>
      <c r="C33" s="55"/>
      <c r="D33" s="56"/>
      <c r="E33" s="55"/>
      <c r="F33" s="56"/>
      <c r="G33" s="55"/>
      <c r="H33" s="56"/>
      <c r="I33" s="55"/>
      <c r="J33" s="56"/>
      <c r="K33" s="55"/>
      <c r="L33" s="56"/>
      <c r="M33" s="55"/>
      <c r="N33" s="56"/>
      <c r="O33" s="23"/>
      <c r="P33" s="367"/>
      <c r="Q33" s="368"/>
      <c r="R33" s="405"/>
      <c r="S33" s="370"/>
      <c r="T33" s="376" t="str">
        <f>IF(ISBLANK(R33),"-",IF(R33&gt;DAY(EOMONTH(DATE($B$2,$E$2,1),0)),EOMONTH(DATE($B$2,$E$2,1),0),DATE($B$2,$E$2,R33)))</f>
        <v>-</v>
      </c>
      <c r="U33" s="64"/>
      <c r="V33" s="23"/>
      <c r="W33" s="64"/>
      <c r="X33" s="303"/>
      <c r="Y33" s="23"/>
      <c r="Z33" s="23"/>
    </row>
    <row r="34" ht="18.75" customHeight="1">
      <c r="A34" s="66" t="s">
        <v>22</v>
      </c>
      <c r="B34" s="67">
        <f>N28+SUM(B29:B33)</f>
        <v>2431.43</v>
      </c>
      <c r="C34" s="66"/>
      <c r="D34" s="67">
        <f>B34+SUM(D29:D33)</f>
        <v>2431.43</v>
      </c>
      <c r="E34" s="66"/>
      <c r="F34" s="67">
        <f>D34+SUM(F29:F33)</f>
        <v>2420.44</v>
      </c>
      <c r="G34" s="66"/>
      <c r="H34" s="67">
        <f>F34+SUM(H29:H33)</f>
        <v>2420.44</v>
      </c>
      <c r="I34" s="66"/>
      <c r="J34" s="67">
        <f>H34+SUM(J29:J33)</f>
        <v>4729.24</v>
      </c>
      <c r="K34" s="66"/>
      <c r="L34" s="67">
        <f>J34+SUM(L29:L33)</f>
        <v>3483.89</v>
      </c>
      <c r="M34" s="66"/>
      <c r="N34" s="67">
        <f>L34+SUM(N29:N33)</f>
        <v>3483.89</v>
      </c>
      <c r="O34" s="68"/>
      <c r="P34" s="319" t="s">
        <v>46</v>
      </c>
      <c r="Q34" s="320"/>
      <c r="R34" s="321">
        <v>23.0</v>
      </c>
      <c r="S34" s="322">
        <v>-10.99</v>
      </c>
      <c r="T34" s="323">
        <f t="shared" ref="T34:T37" si="4">IF(ISBLANK(R34),"-",IF(R34&gt;DAY(EOMONTH(DATE($B$2,$E$2,1),0)),EOMONTH(DATE($B$2,$E$2,1),0),DATE($B$2,$E$2,R34)))</f>
        <v>46196</v>
      </c>
      <c r="U34" s="71"/>
      <c r="V34" s="69"/>
      <c r="W34" s="71"/>
      <c r="X34" s="309"/>
      <c r="Y34" s="69"/>
      <c r="Z34" s="69"/>
    </row>
    <row r="35" ht="18.75" customHeight="1">
      <c r="A35" s="50">
        <f>IF(M29="","",IF(MONTH(M29+1)&lt;&gt;MONTH(M29),"",M29+1))</f>
        <v>46201</v>
      </c>
      <c r="B35" s="51">
        <f>SUMIF($T$11:$T$108,A35,$S$11:$S$69)</f>
        <v>-695.6</v>
      </c>
      <c r="C35" s="50">
        <f>IF(A35="","",IF(MONTH(A35+1)&lt;&gt;MONTH(A35),"",A35+1))</f>
        <v>46202</v>
      </c>
      <c r="D35" s="51">
        <f>SUMIF($T$11:$T$108,C35,$S$11:$S$69)</f>
        <v>-10.99</v>
      </c>
      <c r="E35" s="50">
        <f>IF(C35="","",IF(MONTH(C35+1)&lt;&gt;MONTH(C35),"",C35+1))</f>
        <v>46203</v>
      </c>
      <c r="F35" s="51">
        <f>SUMIF($T$11:$T$108,E35,$S$11:$S$69)</f>
        <v>-29.35</v>
      </c>
      <c r="G35" s="50" t="str">
        <f>IF(E35="","",IF(MONTH(E35+1)&lt;&gt;MONTH(E35),"",E35+1))</f>
        <v/>
      </c>
      <c r="H35" s="51">
        <f>SUMIF($T$11:$T$108,G35,$S$11:$S$69)</f>
        <v>0</v>
      </c>
      <c r="I35" s="50" t="str">
        <f>IF(G35="","",IF(MONTH(G35+1)&lt;&gt;MONTH(G35),"",G35+1))</f>
        <v/>
      </c>
      <c r="J35" s="51">
        <f>SUMIF($T$11:$T$108,I35,$S$11:$S$69)</f>
        <v>0</v>
      </c>
      <c r="K35" s="50" t="str">
        <f>IF(I35="","",IF(MONTH(I35+1)&lt;&gt;MONTH(I35),"",I35+1))</f>
        <v/>
      </c>
      <c r="L35" s="51">
        <f>SUMIF($T$11:$T$108,K35,$S$11:$S$69)</f>
        <v>0</v>
      </c>
      <c r="M35" s="50" t="str">
        <f>IF(K35="","",IF(MONTH(K35+1)&lt;&gt;MONTH(K35),"",K35+1))</f>
        <v/>
      </c>
      <c r="N35" s="51">
        <f>SUMIF($T$11:$T$108,M35,$S$11:$S$69)</f>
        <v>0</v>
      </c>
      <c r="O35" s="23"/>
      <c r="P35" s="319" t="s">
        <v>34</v>
      </c>
      <c r="Q35" s="320"/>
      <c r="R35" s="321">
        <v>24.0</v>
      </c>
      <c r="S35" s="322"/>
      <c r="T35" s="323">
        <f t="shared" si="4"/>
        <v>46197</v>
      </c>
      <c r="U35" s="64"/>
      <c r="V35" s="23"/>
      <c r="W35" s="64"/>
      <c r="X35" s="303"/>
      <c r="Y35" s="23"/>
      <c r="Z35" s="23"/>
    </row>
    <row r="36" ht="18.75" customHeight="1">
      <c r="A36" s="55"/>
      <c r="B36" s="56"/>
      <c r="C36" s="55"/>
      <c r="D36" s="56"/>
      <c r="E36" s="58" t="s">
        <v>160</v>
      </c>
      <c r="F36" s="57"/>
      <c r="G36" s="55"/>
      <c r="H36" s="56"/>
      <c r="I36" s="58" t="s">
        <v>163</v>
      </c>
      <c r="J36" s="57"/>
      <c r="K36" s="58"/>
      <c r="L36" s="57"/>
      <c r="M36" s="55"/>
      <c r="N36" s="56"/>
      <c r="O36" s="23"/>
      <c r="P36" s="319" t="s">
        <v>151</v>
      </c>
      <c r="Q36" s="320"/>
      <c r="R36" s="321">
        <v>25.0</v>
      </c>
      <c r="S36" s="322">
        <v>2308.8</v>
      </c>
      <c r="T36" s="323">
        <f t="shared" si="4"/>
        <v>46198</v>
      </c>
      <c r="U36" s="64"/>
      <c r="V36" s="23"/>
      <c r="W36" s="64"/>
      <c r="X36" s="303"/>
      <c r="Y36" s="23"/>
      <c r="Z36" s="23"/>
    </row>
    <row r="37" ht="18.75" customHeight="1">
      <c r="A37" s="55"/>
      <c r="B37" s="56"/>
      <c r="C37" s="55"/>
      <c r="D37" s="56"/>
      <c r="E37" s="58" t="s">
        <v>161</v>
      </c>
      <c r="F37" s="57"/>
      <c r="G37" s="55"/>
      <c r="H37" s="56"/>
      <c r="I37" s="55"/>
      <c r="J37" s="56"/>
      <c r="K37" s="55"/>
      <c r="L37" s="56"/>
      <c r="M37" s="55"/>
      <c r="N37" s="56"/>
      <c r="O37" s="23"/>
      <c r="P37" s="538" t="s">
        <v>44</v>
      </c>
      <c r="Q37" s="539"/>
      <c r="R37" s="540">
        <v>26.0</v>
      </c>
      <c r="S37" s="365">
        <v>-18.35</v>
      </c>
      <c r="T37" s="323">
        <f t="shared" si="4"/>
        <v>46199</v>
      </c>
      <c r="U37" s="64"/>
      <c r="V37" s="23"/>
      <c r="W37" s="64"/>
      <c r="X37" s="303"/>
      <c r="Y37" s="23"/>
      <c r="Z37" s="23"/>
    </row>
    <row r="38" ht="18.75" customHeight="1">
      <c r="A38" s="55"/>
      <c r="B38" s="56"/>
      <c r="C38" s="55"/>
      <c r="D38" s="56"/>
      <c r="E38" s="55"/>
      <c r="F38" s="56"/>
      <c r="G38" s="55"/>
      <c r="H38" s="56"/>
      <c r="I38" s="55"/>
      <c r="J38" s="56"/>
      <c r="K38" s="55"/>
      <c r="L38" s="56"/>
      <c r="M38" s="55"/>
      <c r="N38" s="56"/>
      <c r="O38" s="23"/>
      <c r="P38" s="367" t="s">
        <v>51</v>
      </c>
      <c r="Q38" s="368"/>
      <c r="R38" s="405">
        <v>26.0</v>
      </c>
      <c r="S38" s="370">
        <v>-27.0</v>
      </c>
      <c r="T38" s="376">
        <f t="shared" ref="T38:T39" si="5">IF(ISBLANK(R38),"-",IF(R38&gt;DAY(EOMONTH(DATE($B$2,$E$2,1),0)),EOMONTH(DATE($B$2,$E$2,1),0),DATE($B$2,$E$2,R38)))</f>
        <v>46199</v>
      </c>
      <c r="U38" s="64"/>
      <c r="V38" s="23"/>
      <c r="W38" s="64"/>
      <c r="X38" s="303"/>
      <c r="Y38" s="23"/>
      <c r="Z38" s="23"/>
    </row>
    <row r="39" ht="18.75" customHeight="1">
      <c r="A39" s="55"/>
      <c r="B39" s="56"/>
      <c r="C39" s="55"/>
      <c r="D39" s="56"/>
      <c r="E39" s="55"/>
      <c r="F39" s="56"/>
      <c r="G39" s="55"/>
      <c r="H39" s="56"/>
      <c r="I39" s="55"/>
      <c r="J39" s="56"/>
      <c r="K39" s="55"/>
      <c r="L39" s="56"/>
      <c r="M39" s="55"/>
      <c r="N39" s="56"/>
      <c r="O39" s="23"/>
      <c r="P39" s="367" t="s">
        <v>142</v>
      </c>
      <c r="Q39" s="368"/>
      <c r="R39" s="405">
        <v>28.0</v>
      </c>
      <c r="S39" s="370"/>
      <c r="T39" s="376">
        <f t="shared" si="5"/>
        <v>46201</v>
      </c>
      <c r="U39" s="64"/>
      <c r="V39" s="23"/>
      <c r="W39" s="64"/>
      <c r="X39" s="303"/>
      <c r="Y39" s="23"/>
      <c r="Z39" s="23"/>
    </row>
    <row r="40" ht="18.75" customHeight="1">
      <c r="A40" s="66" t="s">
        <v>22</v>
      </c>
      <c r="B40" s="67">
        <f>N34+SUM(B35:B39)</f>
        <v>2788.29</v>
      </c>
      <c r="C40" s="66"/>
      <c r="D40" s="67">
        <f>B40+SUM(D35:D39)</f>
        <v>2777.3</v>
      </c>
      <c r="E40" s="66"/>
      <c r="F40" s="67">
        <f>D40+SUM(F35:F39)</f>
        <v>2747.95</v>
      </c>
      <c r="G40" s="66"/>
      <c r="H40" s="67">
        <f>F40+SUM(H35:H39)</f>
        <v>2747.95</v>
      </c>
      <c r="I40" s="66"/>
      <c r="J40" s="67">
        <f>H40+SUM(J35:J39)</f>
        <v>2747.95</v>
      </c>
      <c r="K40" s="66"/>
      <c r="L40" s="67">
        <f>J40+SUM(L35:L39)</f>
        <v>2747.95</v>
      </c>
      <c r="M40" s="66"/>
      <c r="N40" s="67">
        <f>L40+SUM(N35:N39)</f>
        <v>2747.95</v>
      </c>
      <c r="O40" s="68"/>
      <c r="P40" s="319" t="s">
        <v>57</v>
      </c>
      <c r="Q40" s="320"/>
      <c r="R40" s="321">
        <v>3.0</v>
      </c>
      <c r="S40" s="322">
        <v>-370.0</v>
      </c>
      <c r="T40" s="323">
        <f t="shared" ref="T40:T44" si="6">IF(ISBLANK(R40),"-",IF(R40&gt;DAY(EOMONTH(DATE($B$2,$E$2,1),0)),EOMONTH(DATE($B$2,$E$2,1),0),DATE($B$2,$E$2,R40)))</f>
        <v>46176</v>
      </c>
      <c r="U40" s="71"/>
      <c r="V40" s="69"/>
      <c r="W40" s="71"/>
      <c r="X40" s="309"/>
      <c r="Y40" s="69"/>
      <c r="Z40" s="69"/>
    </row>
    <row r="41" ht="18.75" customHeight="1">
      <c r="A41" s="50" t="str">
        <f>IF(M35="","",IF(MONTH(M35+1)&lt;&gt;MONTH(M35),"",M35+1))</f>
        <v/>
      </c>
      <c r="B41" s="51">
        <f>SUMIF($T$11:$T$108,A41,$S$11:$S$69)</f>
        <v>0</v>
      </c>
      <c r="C41" s="50" t="str">
        <f>IF(A41="","",IF(MONTH(A41+1)&lt;&gt;MONTH(A41),"",A41+1))</f>
        <v/>
      </c>
      <c r="D41" s="51">
        <f>SUMIF($T$11:$T$108,C41,$S$11:$S$69)</f>
        <v>0</v>
      </c>
      <c r="E41" s="77"/>
      <c r="F41" s="77" t="s">
        <v>50</v>
      </c>
      <c r="G41" s="77"/>
      <c r="H41" s="77"/>
      <c r="I41" s="77"/>
      <c r="J41" s="77"/>
      <c r="K41" s="77"/>
      <c r="L41" s="77"/>
      <c r="M41" s="77"/>
      <c r="N41" s="77"/>
      <c r="P41" s="367" t="s">
        <v>53</v>
      </c>
      <c r="Q41" s="368"/>
      <c r="R41" s="405">
        <v>29.0</v>
      </c>
      <c r="S41" s="370">
        <v>-10.99</v>
      </c>
      <c r="T41" s="323">
        <f t="shared" si="6"/>
        <v>46202</v>
      </c>
      <c r="V41" s="313"/>
      <c r="X41" s="314"/>
    </row>
    <row r="42" ht="18.75" customHeight="1">
      <c r="A42" s="55"/>
      <c r="B42" s="56"/>
      <c r="C42" s="55"/>
      <c r="D42" s="56"/>
      <c r="E42" s="77"/>
      <c r="F42" s="77" t="s">
        <v>52</v>
      </c>
      <c r="G42" s="77"/>
      <c r="H42" s="77"/>
      <c r="I42" s="77"/>
      <c r="J42" s="77"/>
      <c r="K42" s="77"/>
      <c r="L42" s="77"/>
      <c r="M42" s="77"/>
      <c r="N42" s="77"/>
      <c r="P42" s="538" t="s">
        <v>55</v>
      </c>
      <c r="Q42" s="539"/>
      <c r="R42" s="540">
        <v>30.0</v>
      </c>
      <c r="S42" s="365">
        <v>-18.35</v>
      </c>
      <c r="T42" s="323">
        <f t="shared" si="6"/>
        <v>46203</v>
      </c>
      <c r="V42" s="313"/>
      <c r="X42" s="314"/>
    </row>
    <row r="43" ht="18.75" customHeight="1">
      <c r="A43" s="55"/>
      <c r="B43" s="56"/>
      <c r="C43" s="55"/>
      <c r="D43" s="56"/>
      <c r="E43" s="77"/>
      <c r="F43" s="77"/>
      <c r="G43" s="77"/>
      <c r="H43" s="77"/>
      <c r="I43" s="77"/>
      <c r="J43" s="77"/>
      <c r="K43" s="77"/>
      <c r="L43" s="77"/>
      <c r="M43" s="77"/>
      <c r="N43" s="77"/>
      <c r="P43" s="319" t="s">
        <v>54</v>
      </c>
      <c r="Q43" s="320"/>
      <c r="R43" s="321">
        <v>30.0</v>
      </c>
      <c r="S43" s="322">
        <v>-11.0</v>
      </c>
      <c r="T43" s="323">
        <f t="shared" si="6"/>
        <v>46203</v>
      </c>
      <c r="V43" s="313"/>
    </row>
    <row r="44" ht="18.75" customHeight="1">
      <c r="A44" s="55"/>
      <c r="B44" s="56"/>
      <c r="C44" s="55"/>
      <c r="D44" s="56"/>
      <c r="E44" s="77"/>
      <c r="F44" s="77"/>
      <c r="G44" s="77"/>
      <c r="H44" s="77"/>
      <c r="I44" s="77"/>
      <c r="J44" s="77"/>
      <c r="K44" s="77"/>
      <c r="L44" s="77"/>
      <c r="M44" s="77"/>
      <c r="N44" s="77"/>
      <c r="P44" s="319"/>
      <c r="Q44" s="320"/>
      <c r="R44" s="321"/>
      <c r="S44" s="322"/>
      <c r="T44" s="323" t="str">
        <f t="shared" si="6"/>
        <v>-</v>
      </c>
      <c r="V44" s="313"/>
      <c r="X44" s="314"/>
    </row>
    <row r="45" ht="18.75" customHeight="1">
      <c r="A45" s="55"/>
      <c r="B45" s="56"/>
      <c r="C45" s="55"/>
      <c r="D45" s="56"/>
      <c r="E45" s="77"/>
      <c r="F45" s="77"/>
      <c r="G45" s="77"/>
      <c r="H45" s="326">
        <v>22.61</v>
      </c>
      <c r="I45" s="77"/>
      <c r="J45" s="77"/>
      <c r="K45" s="77"/>
      <c r="L45" s="77"/>
      <c r="M45" s="77"/>
      <c r="N45" s="77"/>
      <c r="P45" s="367" t="s">
        <v>214</v>
      </c>
      <c r="Q45" s="368"/>
      <c r="R45" s="405">
        <v>7.0</v>
      </c>
      <c r="S45" s="370">
        <v>-21.8</v>
      </c>
      <c r="T45" s="376">
        <f>IF(ISBLANK(R45),"-",IF(R45&gt;DAY(EOMONTH(DATE($B$2,$E$2,1),0)),EOMONTH(DATE($B$2,$E$2,1),0),DATE($B$2,$E$2,R45)))</f>
        <v>46180</v>
      </c>
    </row>
    <row r="46" ht="18.75" customHeight="1">
      <c r="A46" s="66" t="s">
        <v>22</v>
      </c>
      <c r="B46" s="67">
        <f>N40+SUM(B41:B45)</f>
        <v>2747.95</v>
      </c>
      <c r="C46" s="66"/>
      <c r="D46" s="67">
        <f>B46+SUM(D41:D45)</f>
        <v>2747.95</v>
      </c>
      <c r="E46" s="77"/>
      <c r="F46" s="77"/>
      <c r="G46" s="77"/>
      <c r="H46" s="326">
        <v>16.2</v>
      </c>
      <c r="I46" s="77"/>
      <c r="J46" s="77"/>
      <c r="K46" s="77"/>
      <c r="L46" s="77"/>
      <c r="M46" s="77"/>
      <c r="N46" s="77"/>
      <c r="P46" s="362"/>
      <c r="Q46" s="363"/>
      <c r="R46" s="372"/>
      <c r="S46" s="365"/>
      <c r="T46" s="366"/>
    </row>
    <row r="47" ht="12.75" customHeight="1">
      <c r="H47" s="108">
        <v>20.9</v>
      </c>
      <c r="P47" s="319"/>
      <c r="Q47" s="320"/>
      <c r="R47" s="321"/>
      <c r="S47" s="322"/>
      <c r="T47" s="323" t="str">
        <f t="shared" ref="T47:T48" si="7">IF(ISBLANK(R47),"-",IF(R47&gt;DAY(EOMONTH(DATE($B$2,$E$2,1),0)),EOMONTH(DATE($B$2,$E$2,1),0),DATE($B$2,$E$2,R47)))</f>
        <v>-</v>
      </c>
    </row>
    <row r="48" ht="12.75" customHeight="1">
      <c r="H48" s="108">
        <v>60.0</v>
      </c>
      <c r="P48" s="319"/>
      <c r="Q48" s="320"/>
      <c r="R48" s="321"/>
      <c r="S48" s="322"/>
      <c r="T48" s="323" t="str">
        <f t="shared" si="7"/>
        <v>-</v>
      </c>
    </row>
    <row r="49" ht="12.75" customHeight="1">
      <c r="P49" s="367"/>
      <c r="Q49" s="407"/>
      <c r="R49" s="405"/>
      <c r="S49" s="370"/>
      <c r="T49" s="323" t="str">
        <f>IF(ISBLANK(R49),"-",IF(R49&gt;DAY(EOMONTH(DATE($B$2,3,1),0)),EOMONTH(DATE($B$2,3,1),0),DATE($B$2,3,R49)))</f>
        <v>-</v>
      </c>
    </row>
    <row r="50" ht="12.75" customHeight="1">
      <c r="P50" s="367"/>
      <c r="Q50" s="407"/>
      <c r="R50" s="405"/>
      <c r="S50" s="555"/>
      <c r="T50" s="376" t="str">
        <f t="shared" ref="T50:T58" si="8">IF(ISBLANK(R50),"-",IF(R50&gt;DAY(EOMONTH(DATE($B$2,$E$2,1),0)),EOMONTH(DATE($B$2,$E$2,1),0),DATE($B$2,$E$2,$R$47)))</f>
        <v>-</v>
      </c>
    </row>
    <row r="51" ht="12.75" customHeight="1">
      <c r="P51" s="367"/>
      <c r="Q51" s="407"/>
      <c r="R51" s="405"/>
      <c r="S51" s="555"/>
      <c r="T51" s="376" t="str">
        <f t="shared" si="8"/>
        <v>-</v>
      </c>
    </row>
    <row r="52" ht="12.75" customHeight="1">
      <c r="P52" s="542"/>
      <c r="Q52" s="407"/>
      <c r="R52" s="543"/>
      <c r="S52" s="544"/>
      <c r="T52" s="376" t="str">
        <f t="shared" si="8"/>
        <v>-</v>
      </c>
    </row>
    <row r="53" ht="12.75" customHeight="1">
      <c r="P53" s="542"/>
      <c r="Q53" s="407"/>
      <c r="R53" s="543"/>
      <c r="S53" s="544"/>
      <c r="T53" s="376" t="str">
        <f t="shared" si="8"/>
        <v>-</v>
      </c>
    </row>
    <row r="54" ht="12.75" customHeight="1">
      <c r="P54" s="542"/>
      <c r="Q54" s="407"/>
      <c r="R54" s="543"/>
      <c r="S54" s="544"/>
      <c r="T54" s="376" t="str">
        <f t="shared" si="8"/>
        <v>-</v>
      </c>
    </row>
    <row r="55" ht="12.75" customHeight="1">
      <c r="P55" s="542"/>
      <c r="Q55" s="407"/>
      <c r="R55" s="543"/>
      <c r="S55" s="544"/>
      <c r="T55" s="376" t="str">
        <f t="shared" si="8"/>
        <v>-</v>
      </c>
    </row>
    <row r="56" ht="12.75" customHeight="1">
      <c r="P56" s="542"/>
      <c r="Q56" s="407"/>
      <c r="R56" s="543"/>
      <c r="S56" s="544"/>
      <c r="T56" s="376" t="str">
        <f t="shared" si="8"/>
        <v>-</v>
      </c>
    </row>
    <row r="57" ht="12.75" customHeight="1">
      <c r="P57" s="542"/>
      <c r="Q57" s="407"/>
      <c r="R57" s="543"/>
      <c r="S57" s="544"/>
      <c r="T57" s="376" t="str">
        <f t="shared" si="8"/>
        <v>-</v>
      </c>
    </row>
    <row r="58" ht="12.75" customHeight="1">
      <c r="P58" s="542"/>
      <c r="Q58" s="407"/>
      <c r="R58" s="543"/>
      <c r="S58" s="544"/>
      <c r="T58" s="376" t="str">
        <f t="shared" si="8"/>
        <v>-</v>
      </c>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row>
    <row r="913" ht="12.75" customHeight="1">
      <c r="R913" s="336"/>
    </row>
    <row r="914" ht="12.75" customHeight="1">
      <c r="R914" s="336"/>
    </row>
    <row r="915" ht="12.75" customHeight="1">
      <c r="R915" s="336"/>
    </row>
  </sheetData>
  <mergeCells count="11">
    <mergeCell ref="G9:H9"/>
    <mergeCell ref="I9:J9"/>
    <mergeCell ref="K9:L9"/>
    <mergeCell ref="M9:N9"/>
    <mergeCell ref="M5:N5"/>
    <mergeCell ref="S5:T5"/>
    <mergeCell ref="M6:N6"/>
    <mergeCell ref="S6:T6"/>
    <mergeCell ref="A9:B9"/>
    <mergeCell ref="C9:D9"/>
    <mergeCell ref="E9:F9"/>
  </mergeCells>
  <conditionalFormatting sqref="S1:S915">
    <cfRule type="cellIs" dxfId="5" priority="1" operator="lessThan">
      <formula>0</formula>
    </cfRule>
  </conditionalFormatting>
  <dataValidations>
    <dataValidation type="list" allowBlank="1" showErrorMessage="1" sqref="Q12:Q58">
      <formula1>"✔"</formula1>
    </dataValidation>
    <dataValidation type="custom" allowBlank="1" showDropDown="1" sqref="T12:T58">
      <formula1>OR(NOT(ISERROR(DATEVALUE(T12))), AND(ISNUMBER(T12), LEFT(CELL("format", T12))="D"))</formula1>
    </dataValidation>
  </dataValidations>
  <hyperlinks>
    <hyperlink r:id="rId1" ref="T3"/>
  </hyperlinks>
  <drawing r:id="rId2"/>
  <tableParts count="1">
    <tablePart r:id="rId4"/>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5.75"/>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2026.0</v>
      </c>
      <c r="C2" s="3"/>
      <c r="D2" s="9" t="s">
        <v>2</v>
      </c>
      <c r="E2" s="10">
        <v>7.0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JULY 2026</v>
      </c>
      <c r="B5" s="22"/>
      <c r="C5" s="22"/>
      <c r="D5" s="22"/>
      <c r="E5" s="22"/>
      <c r="F5" s="22"/>
      <c r="G5" s="22"/>
      <c r="H5" s="23"/>
      <c r="I5" s="23"/>
      <c r="J5" s="23"/>
      <c r="K5" s="22"/>
      <c r="L5" s="24" t="s">
        <v>7</v>
      </c>
      <c r="M5" s="25">
        <f>'June 2026'!M6</f>
        <v>2747.95</v>
      </c>
      <c r="N5" s="26"/>
      <c r="O5" s="23"/>
      <c r="P5" s="27"/>
      <c r="Q5" s="27"/>
      <c r="R5" s="287" t="s">
        <v>8</v>
      </c>
      <c r="S5" s="288">
        <f>SUMIF(A18:N21,"&gt;0")+SUMIF(A24:N27,"&gt;0")+SUMIF(A30:N33,"&gt;0")+SUMIF(A36:N39,"&gt;0")+SUMIF(A42:D45,"&gt;0")+SUMIF(S12:S46,"&gt;0")+SUMIF(A12:N15,"&gt;0")</f>
        <v>6117.6</v>
      </c>
      <c r="U5" s="23"/>
      <c r="V5" s="289">
        <f>sum(S5+S6)</f>
        <v>-88.91</v>
      </c>
      <c r="W5" s="23"/>
      <c r="X5" s="23"/>
      <c r="Y5" s="23"/>
      <c r="Z5" s="23"/>
    </row>
    <row r="6" ht="25.5" customHeight="1">
      <c r="A6" s="31"/>
      <c r="B6" s="31"/>
      <c r="C6" s="31"/>
      <c r="D6" s="31"/>
      <c r="E6" s="31"/>
      <c r="F6" s="32"/>
      <c r="G6" s="33"/>
      <c r="H6" s="34"/>
      <c r="I6" s="34"/>
      <c r="J6" s="34"/>
      <c r="K6" s="31"/>
      <c r="L6" s="24" t="s">
        <v>9</v>
      </c>
      <c r="M6" s="35">
        <f>D46</f>
        <v>2659.04</v>
      </c>
      <c r="O6" s="34"/>
      <c r="P6" s="36"/>
      <c r="Q6" s="36"/>
      <c r="R6" s="287" t="s">
        <v>10</v>
      </c>
      <c r="S6" s="288">
        <f>SUMIF(A18:N21,"&lt;0")+SUMIF(A24:N27,"&lt;0")+SUMIF(A30:N33,"&lt;0")+SUMIF(A36:N39,"&lt;0")+SUMIF(A42:D45,"&lt;0")+SUMIF(S12:S180,"&lt;0")+SUMIF(A12:N15,"&lt;0")</f>
        <v>-6206.51</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46204</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46208</v>
      </c>
      <c r="B9" s="40"/>
      <c r="C9" s="39">
        <f>C17</f>
        <v>46209</v>
      </c>
      <c r="D9" s="40"/>
      <c r="E9" s="39">
        <f>E17</f>
        <v>46210</v>
      </c>
      <c r="F9" s="40"/>
      <c r="G9" s="39">
        <f>G17</f>
        <v>46211</v>
      </c>
      <c r="H9" s="40"/>
      <c r="I9" s="39">
        <f>I17</f>
        <v>46212</v>
      </c>
      <c r="J9" s="40"/>
      <c r="K9" s="39">
        <f>K17</f>
        <v>46213</v>
      </c>
      <c r="L9" s="40"/>
      <c r="M9" s="39">
        <f>M17</f>
        <v>46214</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SUMIF($T$11:$T$107,A11,$S$11:$S$68)</f>
        <v>0</v>
      </c>
      <c r="C11" s="50" t="str">
        <f>IF(A11="",IF(WEEKDAY($B$8,1)=MOD($H$2,7)+1,$B$8,""),A11+1)</f>
        <v/>
      </c>
      <c r="D11" s="51">
        <f>SUMIF($T$11:$T$107,C11,$S$11:$S$68)</f>
        <v>0</v>
      </c>
      <c r="E11" s="50" t="str">
        <f>IF(C11="",IF(WEEKDAY($B$8,1)=MOD($H$2+1,7)+1,$B$8,""),C11+1)</f>
        <v/>
      </c>
      <c r="F11" s="51">
        <f>SUMIF($T$11:$T$107,E11,$S$11:$S$68)</f>
        <v>0</v>
      </c>
      <c r="G11" s="50">
        <f>IF(E11="",IF(WEEKDAY($B$8,1)=MOD($H$2+2,7)+1,$B$8,""),E11+1)</f>
        <v>46204</v>
      </c>
      <c r="H11" s="51">
        <f>SUMIF($T$11:$T$107,G11,$S$11:$S$68)</f>
        <v>-30.13</v>
      </c>
      <c r="I11" s="50">
        <f>IF(G11="",IF(WEEKDAY($B$8,1)=MOD($H$2+3,7)+1,$B$8,""),G11+1)</f>
        <v>46205</v>
      </c>
      <c r="J11" s="51">
        <f>SUMIF($T$11:$T$107,I11,$S$11:$S$68)</f>
        <v>0</v>
      </c>
      <c r="K11" s="50">
        <f>IF(I11="",IF(WEEKDAY($B$8,1)=MOD($H$2+4,7)+1,$B$8,""),I11+1)</f>
        <v>46206</v>
      </c>
      <c r="L11" s="51">
        <f>SUMIF($T$11:$T$107,K11,$S$11:$S$68)</f>
        <v>-33</v>
      </c>
      <c r="M11" s="50">
        <f>IF(K11="",IF(WEEKDAY($B$8,1)=MOD($H$2+5,7)+1,$B$8,""),K11+1)</f>
        <v>46207</v>
      </c>
      <c r="N11" s="51">
        <f>SUMIF($T$11:$T$107,M11,$S$11:$S$68)</f>
        <v>-50</v>
      </c>
      <c r="O11" s="23"/>
      <c r="P11" s="52" t="s">
        <v>13</v>
      </c>
      <c r="Q11" s="53" t="s">
        <v>14</v>
      </c>
      <c r="R11" s="53" t="s">
        <v>15</v>
      </c>
      <c r="S11" s="96" t="s">
        <v>16</v>
      </c>
      <c r="T11" s="53" t="s">
        <v>17</v>
      </c>
      <c r="U11" s="23"/>
      <c r="V11" s="23"/>
      <c r="W11" s="23"/>
      <c r="X11" s="23"/>
      <c r="Y11" s="23"/>
      <c r="Z11" s="23"/>
    </row>
    <row r="12" ht="18.75" customHeight="1">
      <c r="A12" s="55"/>
      <c r="B12" s="56"/>
      <c r="C12" s="55"/>
      <c r="D12" s="57"/>
      <c r="E12" s="55"/>
      <c r="F12" s="56"/>
      <c r="G12" s="55"/>
      <c r="H12" s="56"/>
      <c r="I12" s="58"/>
      <c r="J12" s="57"/>
      <c r="K12" s="58"/>
      <c r="L12" s="57"/>
      <c r="M12" s="55"/>
      <c r="N12" s="56"/>
      <c r="O12" s="23"/>
      <c r="P12" s="551" t="s">
        <v>25</v>
      </c>
      <c r="Q12" s="552"/>
      <c r="R12" s="553">
        <v>3.0</v>
      </c>
      <c r="S12" s="549">
        <f t="array" ref="S12">-INDEX(PaymentSchedule!$E$21:$AG914,MATCH(PaymentSchedule!$B$39,PaymentSchedule!$B$21:$B$100),MATCH($P12,PaymentSchedule!$E$19:$AG$19,0))</f>
        <v>0</v>
      </c>
      <c r="T12" s="550">
        <f>IF(ISBLANK(R12),"-",IF(R12&gt;DAY(EOMONTH(DATE($B$2,$E$2,1),0)),EOMONTH(DATE($B$2,$E$2,1),0),DATE($B$2,$E$2,R12)))</f>
        <v>46206</v>
      </c>
      <c r="U12" s="64"/>
      <c r="V12" s="23"/>
      <c r="W12" s="64"/>
      <c r="X12" s="303"/>
      <c r="Y12" s="23"/>
      <c r="Z12" s="23"/>
    </row>
    <row r="13" ht="18.75" customHeight="1">
      <c r="A13" s="55"/>
      <c r="B13" s="56"/>
      <c r="C13" s="55"/>
      <c r="D13" s="56"/>
      <c r="E13" s="55"/>
      <c r="F13" s="56"/>
      <c r="G13" s="55"/>
      <c r="H13" s="56"/>
      <c r="I13" s="55"/>
      <c r="J13" s="57"/>
      <c r="K13" s="58"/>
      <c r="L13" s="57"/>
      <c r="M13" s="55"/>
      <c r="N13" s="56"/>
      <c r="O13" s="23"/>
      <c r="P13" s="362"/>
      <c r="Q13" s="363"/>
      <c r="R13" s="372">
        <v>8.0</v>
      </c>
      <c r="S13" s="365"/>
      <c r="T13" s="366"/>
      <c r="U13" s="64"/>
      <c r="V13" s="23"/>
      <c r="W13" s="64"/>
      <c r="X13" s="303"/>
      <c r="Y13" s="23"/>
      <c r="Z13" s="23"/>
    </row>
    <row r="14" ht="18.75" customHeight="1">
      <c r="A14" s="55"/>
      <c r="B14" s="56"/>
      <c r="C14" s="55"/>
      <c r="D14" s="56"/>
      <c r="E14" s="55"/>
      <c r="F14" s="56"/>
      <c r="G14" s="55"/>
      <c r="H14" s="56"/>
      <c r="I14" s="58"/>
      <c r="J14" s="57"/>
      <c r="K14" s="58"/>
      <c r="L14" s="57"/>
      <c r="M14" s="55"/>
      <c r="N14" s="56"/>
      <c r="O14" s="23"/>
      <c r="P14" s="546" t="s">
        <v>89</v>
      </c>
      <c r="Q14" s="547"/>
      <c r="R14" s="548">
        <v>7.0</v>
      </c>
      <c r="S14" s="549">
        <f t="array" ref="S14">-INDEX(PaymentSchedule!$E$21:$AG914,MATCH(PaymentSchedule!$B$39,PaymentSchedule!$B$21:$B$100),MATCH($P14,PaymentSchedule!$E$19:$AG$19,0))</f>
        <v>-175</v>
      </c>
      <c r="T14" s="550">
        <f t="shared" ref="T14:T17" si="1">IF(ISBLANK(R14),"-",IF(R14&gt;DAY(EOMONTH(DATE($B$2,$E$2,1),0)),EOMONTH(DATE($B$2,$E$2,1),0),DATE($B$2,$E$2,R14)))</f>
        <v>46210</v>
      </c>
      <c r="U14" s="64"/>
      <c r="V14" s="23"/>
      <c r="W14" s="64"/>
      <c r="X14" s="303"/>
      <c r="Y14" s="23"/>
      <c r="Z14" s="23"/>
    </row>
    <row r="15" ht="18.75" customHeight="1">
      <c r="A15" s="55"/>
      <c r="B15" s="56"/>
      <c r="C15" s="55"/>
      <c r="D15" s="56"/>
      <c r="E15" s="55"/>
      <c r="F15" s="56"/>
      <c r="G15" s="55"/>
      <c r="H15" s="56"/>
      <c r="I15" s="55"/>
      <c r="J15" s="56"/>
      <c r="K15" s="55"/>
      <c r="L15" s="56"/>
      <c r="M15" s="55"/>
      <c r="N15" s="56"/>
      <c r="O15" s="23"/>
      <c r="P15" s="551" t="s">
        <v>85</v>
      </c>
      <c r="Q15" s="552"/>
      <c r="R15" s="553">
        <v>18.0</v>
      </c>
      <c r="S15" s="549">
        <f t="array" ref="S15">-INDEX(PaymentSchedule!$E$21:$AG914,MATCH(PaymentSchedule!$B$39,PaymentSchedule!$B$21:$B$100),MATCH($P15,PaymentSchedule!$E$19:$AG$19,0))</f>
        <v>-151</v>
      </c>
      <c r="T15" s="550">
        <f t="shared" si="1"/>
        <v>46221</v>
      </c>
      <c r="U15" s="64"/>
      <c r="V15" s="23"/>
      <c r="W15" s="64"/>
      <c r="X15" s="303"/>
      <c r="Y15" s="23"/>
      <c r="Z15" s="23"/>
    </row>
    <row r="16" ht="18.75" customHeight="1">
      <c r="A16" s="66" t="s">
        <v>22</v>
      </c>
      <c r="B16" s="67">
        <f>$M$5+SUM(B11:B15)</f>
        <v>2747.95</v>
      </c>
      <c r="C16" s="66"/>
      <c r="D16" s="67">
        <f>B16+SUM(D11:D15)</f>
        <v>2747.95</v>
      </c>
      <c r="E16" s="66"/>
      <c r="F16" s="67">
        <f>D16+SUM(F11:F15)</f>
        <v>2747.95</v>
      </c>
      <c r="G16" s="66"/>
      <c r="H16" s="67">
        <f>F16+SUM(H11:H15)</f>
        <v>2717.82</v>
      </c>
      <c r="I16" s="66"/>
      <c r="J16" s="67">
        <f>H16+SUM(J11:J15)</f>
        <v>2717.82</v>
      </c>
      <c r="K16" s="66"/>
      <c r="L16" s="67">
        <f>J16+SUM(L11:L15)</f>
        <v>2684.82</v>
      </c>
      <c r="M16" s="66"/>
      <c r="N16" s="67">
        <f>L16+SUM(N11:N15)</f>
        <v>2634.82</v>
      </c>
      <c r="O16" s="68"/>
      <c r="P16" s="551" t="s">
        <v>86</v>
      </c>
      <c r="Q16" s="552"/>
      <c r="R16" s="553">
        <v>5.0</v>
      </c>
      <c r="S16" s="549">
        <f t="array" ref="S16">-INDEX(PaymentSchedule!$E$21:$AG914,MATCH(PaymentSchedule!$B$39,PaymentSchedule!$B$21:$B$100),MATCH($P16,PaymentSchedule!$E$19:$AG$19,0))</f>
        <v>-791.16</v>
      </c>
      <c r="T16" s="550">
        <f t="shared" si="1"/>
        <v>46208</v>
      </c>
      <c r="U16" s="71"/>
      <c r="V16" s="69"/>
      <c r="W16" s="71"/>
      <c r="X16" s="309"/>
      <c r="Y16" s="69"/>
      <c r="Z16" s="69"/>
    </row>
    <row r="17" ht="18.75" customHeight="1">
      <c r="A17" s="50">
        <f>IF(M11="","",IF(MONTH(M11+1)&lt;&gt;MONTH(M11),"",M11+1))</f>
        <v>46208</v>
      </c>
      <c r="B17" s="51">
        <f>SUMIF($T$11:$T$107,A17,$S$11:$S$68)</f>
        <v>-807.35</v>
      </c>
      <c r="C17" s="50">
        <f>IF(A17="","",IF(MONTH(A17+1)&lt;&gt;MONTH(A17),"",A17+1))</f>
        <v>46209</v>
      </c>
      <c r="D17" s="51">
        <f>SUMIF($T$11:$T$107,C17,$S$11:$S$68)</f>
        <v>-301</v>
      </c>
      <c r="E17" s="50">
        <f>IF(C17="","",IF(MONTH(C17+1)&lt;&gt;MONTH(C17),"",C17+1))</f>
        <v>46210</v>
      </c>
      <c r="F17" s="51">
        <f>SUMIF($T$11:$T$107,E17,$S$11:$S$68)</f>
        <v>-196.8</v>
      </c>
      <c r="G17" s="50">
        <f>IF(E17="","",IF(MONTH(E17+1)&lt;&gt;MONTH(E17),"",E17+1))</f>
        <v>46211</v>
      </c>
      <c r="H17" s="51">
        <f>SUMIF($T$11:$T$107,G17,$S$11:$S$68)</f>
        <v>0</v>
      </c>
      <c r="I17" s="50">
        <f>IF(G17="","",IF(MONTH(G17+1)&lt;&gt;MONTH(G17),"",G17+1))</f>
        <v>46212</v>
      </c>
      <c r="J17" s="51">
        <f>SUMIF($T$11:$T$107,I17,$S$11:$S$68)</f>
        <v>1858.72</v>
      </c>
      <c r="K17" s="50">
        <f>IF(I17="","",IF(MONTH(I17+1)&lt;&gt;MONTH(I17),"",I17+1))</f>
        <v>46213</v>
      </c>
      <c r="L17" s="51">
        <f>SUMIF($T$11:$T$107,K17,$S$11:$S$68)</f>
        <v>0</v>
      </c>
      <c r="M17" s="50">
        <f>IF(K17="","",IF(MONTH(K17+1)&lt;&gt;MONTH(K17),"",K17+1))</f>
        <v>46214</v>
      </c>
      <c r="N17" s="51">
        <f>SUMIF($T$11:$T$107,M17,$S$11:$S$68)</f>
        <v>-50</v>
      </c>
      <c r="O17" s="23"/>
      <c r="P17" s="551" t="s">
        <v>20</v>
      </c>
      <c r="Q17" s="552"/>
      <c r="R17" s="553">
        <v>1.0</v>
      </c>
      <c r="S17" s="549">
        <f t="array" ref="S17">-INDEX(PaymentSchedule!$E$21:$AG914,MATCH(PaymentSchedule!$B$39,PaymentSchedule!$B$21:$B$100),MATCH($P17,PaymentSchedule!$E$19:$AG$19,0))</f>
        <v>-1467.13</v>
      </c>
      <c r="T17" s="550">
        <f t="shared" si="1"/>
        <v>46204</v>
      </c>
      <c r="U17" s="64"/>
      <c r="V17" s="23"/>
      <c r="W17" s="64"/>
      <c r="X17" s="303"/>
      <c r="Y17" s="23"/>
      <c r="Z17" s="23"/>
    </row>
    <row r="18" ht="18.75" customHeight="1">
      <c r="A18" s="55"/>
      <c r="B18" s="56"/>
      <c r="C18" s="58"/>
      <c r="D18" s="57"/>
      <c r="E18" s="55"/>
      <c r="F18" s="56"/>
      <c r="G18" s="55"/>
      <c r="H18" s="56"/>
      <c r="I18" s="55"/>
      <c r="J18" s="56"/>
      <c r="K18" s="58" t="s">
        <v>139</v>
      </c>
      <c r="L18" s="57">
        <v>-53.0</v>
      </c>
      <c r="M18" s="55"/>
      <c r="N18" s="56"/>
      <c r="O18" s="23"/>
      <c r="P18" s="546" t="s">
        <v>87</v>
      </c>
      <c r="Q18" s="547"/>
      <c r="R18" s="607">
        <v>28.0</v>
      </c>
      <c r="S18" s="598">
        <f t="array" ref="S18">-INDEX(PaymentSchedule!$E$21:$AG914,MATCH(PaymentSchedule!$B$31,PaymentSchedule!$B$21:$B$100),MATCH($P18,PaymentSchedule!$E$19:$AG$19,0))</f>
        <v>-695.6</v>
      </c>
      <c r="T18" s="599">
        <f>IF(ISBLANK(R18),"-",IF(R18&gt;DAY(EOMONTH(DATE($B$2,$E$2,1),0)),EOMONTH(DATE($B$2,$E$2,1),0),DATE($B$2,$E$2,R18)))</f>
        <v>46231</v>
      </c>
      <c r="U18" s="64"/>
      <c r="V18" s="23"/>
      <c r="Y18" s="23"/>
      <c r="Z18" s="23"/>
    </row>
    <row r="19" ht="18.75" customHeight="1">
      <c r="A19" s="55"/>
      <c r="B19" s="56"/>
      <c r="C19" s="55"/>
      <c r="D19" s="56"/>
      <c r="E19" s="58"/>
      <c r="F19" s="57"/>
      <c r="G19" s="55"/>
      <c r="H19" s="56"/>
      <c r="I19" s="58" t="s">
        <v>240</v>
      </c>
      <c r="J19" s="57">
        <v>-800.0</v>
      </c>
      <c r="K19" s="55"/>
      <c r="L19" s="56"/>
      <c r="M19" s="55"/>
      <c r="N19" s="56"/>
      <c r="O19" s="23"/>
      <c r="P19" s="551" t="s">
        <v>37</v>
      </c>
      <c r="Q19" s="552"/>
      <c r="R19" s="553">
        <v>12.0</v>
      </c>
      <c r="S19" s="549">
        <f t="array" ref="S19">-INDEX(PaymentSchedule!$E$21:$AG914,MATCH(PaymentSchedule!$B$39,PaymentSchedule!$B$21:$B$100),MATCH($P19,PaymentSchedule!$E$19:$AG$19,0))</f>
        <v>-80</v>
      </c>
      <c r="T19" s="550">
        <f t="shared" ref="T19:T30" si="2">IF(ISBLANK(R19),"-",IF(R19&gt;DAY(EOMONTH(DATE($B$2,$E$2,1),0)),EOMONTH(DATE($B$2,$E$2,1),0),DATE($B$2,$E$2,R19)))</f>
        <v>46215</v>
      </c>
      <c r="U19" s="64"/>
      <c r="V19" s="23"/>
      <c r="W19" s="64"/>
      <c r="X19" s="303"/>
      <c r="Y19" s="23"/>
      <c r="Z19" s="23"/>
    </row>
    <row r="20" ht="18.75" customHeight="1">
      <c r="A20" s="55"/>
      <c r="B20" s="56"/>
      <c r="C20" s="55"/>
      <c r="D20" s="56"/>
      <c r="E20" s="55"/>
      <c r="F20" s="56"/>
      <c r="G20" s="55"/>
      <c r="H20" s="56"/>
      <c r="I20" s="55"/>
      <c r="J20" s="56"/>
      <c r="K20" s="55"/>
      <c r="L20" s="56"/>
      <c r="M20" s="55"/>
      <c r="N20" s="56"/>
      <c r="O20" s="23"/>
      <c r="P20" s="551" t="s">
        <v>36</v>
      </c>
      <c r="Q20" s="552"/>
      <c r="R20" s="553">
        <v>9.0</v>
      </c>
      <c r="S20" s="549">
        <f t="array" ref="S20">-INDEX(PaymentSchedule!$E$21:$AG914,MATCH(PaymentSchedule!$B$39,PaymentSchedule!$B$21:$B$100),MATCH($P20,PaymentSchedule!$E$19:$AG$19,0))</f>
        <v>-450.08</v>
      </c>
      <c r="T20" s="550">
        <f t="shared" si="2"/>
        <v>46212</v>
      </c>
      <c r="U20" s="64"/>
      <c r="V20" s="23"/>
      <c r="W20" s="64"/>
      <c r="X20" s="303"/>
      <c r="Y20" s="23"/>
      <c r="Z20" s="23"/>
    </row>
    <row r="21" ht="18.75" customHeight="1">
      <c r="A21" s="55"/>
      <c r="B21" s="56"/>
      <c r="C21" s="55"/>
      <c r="D21" s="56"/>
      <c r="E21" s="55"/>
      <c r="F21" s="56"/>
      <c r="G21" s="55"/>
      <c r="H21" s="56"/>
      <c r="I21" s="55"/>
      <c r="J21" s="56"/>
      <c r="K21" s="55"/>
      <c r="L21" s="56"/>
      <c r="M21" s="55"/>
      <c r="N21" s="56"/>
      <c r="O21" s="23"/>
      <c r="P21" s="538" t="s">
        <v>55</v>
      </c>
      <c r="Q21" s="539"/>
      <c r="R21" s="540">
        <v>30.0</v>
      </c>
      <c r="S21" s="365">
        <v>-18.35</v>
      </c>
      <c r="T21" s="323">
        <f t="shared" si="2"/>
        <v>46233</v>
      </c>
      <c r="U21" s="64"/>
      <c r="V21" s="303"/>
      <c r="W21" s="64"/>
      <c r="X21" s="303"/>
      <c r="Y21" s="23"/>
      <c r="Z21" s="23"/>
    </row>
    <row r="22" ht="18.75" customHeight="1">
      <c r="A22" s="66" t="s">
        <v>22</v>
      </c>
      <c r="B22" s="67">
        <f>N16+SUM(B17:B21)</f>
        <v>1827.47</v>
      </c>
      <c r="C22" s="66"/>
      <c r="D22" s="67">
        <f>B22+SUM(D17:D21)</f>
        <v>1526.47</v>
      </c>
      <c r="E22" s="66"/>
      <c r="F22" s="67">
        <f>D22+SUM(F17:F21)</f>
        <v>1329.67</v>
      </c>
      <c r="G22" s="66"/>
      <c r="H22" s="67">
        <f>F22+SUM(H17:H21)</f>
        <v>1329.67</v>
      </c>
      <c r="I22" s="66"/>
      <c r="J22" s="67">
        <f>H22+SUM(J17:J21)</f>
        <v>2388.39</v>
      </c>
      <c r="K22" s="66"/>
      <c r="L22" s="67">
        <f>J22+SUM(L17:L21)</f>
        <v>2335.39</v>
      </c>
      <c r="M22" s="66"/>
      <c r="N22" s="67">
        <f>L22+SUM(N17:N21)</f>
        <v>2285.39</v>
      </c>
      <c r="O22" s="68"/>
      <c r="P22" s="319" t="s">
        <v>29</v>
      </c>
      <c r="Q22" s="320"/>
      <c r="R22" s="321">
        <v>5.0</v>
      </c>
      <c r="S22" s="322">
        <v>-16.19</v>
      </c>
      <c r="T22" s="323">
        <f t="shared" si="2"/>
        <v>46208</v>
      </c>
      <c r="W22" s="71"/>
      <c r="X22" s="309"/>
      <c r="Y22" s="69"/>
      <c r="Z22" s="69"/>
    </row>
    <row r="23" ht="18.75" customHeight="1">
      <c r="A23" s="50">
        <f>IF(M17="","",IF(MONTH(M17+1)&lt;&gt;MONTH(M17),"",M17+1))</f>
        <v>46215</v>
      </c>
      <c r="B23" s="51">
        <f>SUMIF($T$11:$T$107,A23,$S$11:$S$68)</f>
        <v>-182</v>
      </c>
      <c r="C23" s="50">
        <f>IF(A23="","",IF(MONTH(A23+1)&lt;&gt;MONTH(A23),"",A23+1))</f>
        <v>46216</v>
      </c>
      <c r="D23" s="51">
        <f>SUMIF($T$11:$T$107,C23,$S$11:$S$68)</f>
        <v>0</v>
      </c>
      <c r="E23" s="50">
        <f>IF(C23="","",IF(MONTH(C23+1)&lt;&gt;MONTH(C23),"",C23+1))</f>
        <v>46217</v>
      </c>
      <c r="F23" s="51">
        <f>SUMIF($T$11:$T$107,E23,$S$11:$S$68)</f>
        <v>0</v>
      </c>
      <c r="G23" s="50">
        <f>IF(E23="","",IF(MONTH(E23+1)&lt;&gt;MONTH(E23),"",E23+1))</f>
        <v>46218</v>
      </c>
      <c r="H23" s="51">
        <f>SUMIF($T$11:$T$107,G23,$S$11:$S$68)</f>
        <v>0</v>
      </c>
      <c r="I23" s="50">
        <f>IF(G23="","",IF(MONTH(G23+1)&lt;&gt;MONTH(G23),"",G23+1))</f>
        <v>46219</v>
      </c>
      <c r="J23" s="51">
        <f>SUMIF($T$11:$T$107,I23,$S$11:$S$68)</f>
        <v>0</v>
      </c>
      <c r="K23" s="50">
        <f>IF(I23="","",IF(MONTH(I23+1)&lt;&gt;MONTH(I23),"",I23+1))</f>
        <v>46220</v>
      </c>
      <c r="L23" s="51">
        <f>SUMIF($T$11:$T$107,K23,$S$11:$S$68)</f>
        <v>-15.98</v>
      </c>
      <c r="M23" s="50">
        <f>IF(K23="","",IF(MONTH(K23+1)&lt;&gt;MONTH(K23),"",K23+1))</f>
        <v>46221</v>
      </c>
      <c r="N23" s="51">
        <f>SUMIF($T$11:$T$107,M23,$S$11:$S$68)</f>
        <v>-151</v>
      </c>
      <c r="O23" s="23"/>
      <c r="P23" s="319" t="s">
        <v>43</v>
      </c>
      <c r="Q23" s="320"/>
      <c r="R23" s="321">
        <v>17.0</v>
      </c>
      <c r="S23" s="322">
        <v>-9.99</v>
      </c>
      <c r="T23" s="323">
        <f t="shared" si="2"/>
        <v>46220</v>
      </c>
      <c r="U23" s="64"/>
      <c r="V23" s="23"/>
      <c r="W23" s="64"/>
      <c r="X23" s="303"/>
      <c r="Y23" s="23"/>
      <c r="Z23" s="23"/>
    </row>
    <row r="24" ht="18.75" customHeight="1">
      <c r="A24" s="55"/>
      <c r="B24" s="56"/>
      <c r="C24" s="58" t="s">
        <v>87</v>
      </c>
      <c r="D24" s="57">
        <v>-10.89</v>
      </c>
      <c r="E24" s="58"/>
      <c r="F24" s="57"/>
      <c r="G24" s="413"/>
      <c r="H24" s="535"/>
      <c r="I24" s="55"/>
      <c r="J24" s="56"/>
      <c r="K24" s="58" t="s">
        <v>241</v>
      </c>
      <c r="L24" s="57">
        <v>-375.0</v>
      </c>
      <c r="M24" s="58"/>
      <c r="N24" s="57"/>
      <c r="O24" s="23"/>
      <c r="P24" s="319" t="s">
        <v>54</v>
      </c>
      <c r="Q24" s="320"/>
      <c r="R24" s="321">
        <v>30.0</v>
      </c>
      <c r="S24" s="322">
        <v>-11.0</v>
      </c>
      <c r="T24" s="323">
        <f t="shared" si="2"/>
        <v>46233</v>
      </c>
      <c r="U24" s="64"/>
      <c r="V24" s="23"/>
      <c r="W24" s="64"/>
      <c r="X24" s="303"/>
      <c r="Y24" s="23"/>
      <c r="Z24" s="23"/>
    </row>
    <row r="25" ht="18.75" customHeight="1">
      <c r="A25" s="55"/>
      <c r="B25" s="56"/>
      <c r="C25" s="58" t="s">
        <v>230</v>
      </c>
      <c r="D25" s="57">
        <v>-38.0</v>
      </c>
      <c r="E25" s="55"/>
      <c r="F25" s="56"/>
      <c r="G25" s="55"/>
      <c r="H25" s="56"/>
      <c r="I25" s="55"/>
      <c r="J25" s="56"/>
      <c r="K25" s="55"/>
      <c r="L25" s="56"/>
      <c r="M25" s="55"/>
      <c r="N25" s="56"/>
      <c r="O25" s="23"/>
      <c r="P25" s="319" t="s">
        <v>30</v>
      </c>
      <c r="Q25" s="320"/>
      <c r="R25" s="321">
        <v>6.0</v>
      </c>
      <c r="S25" s="322">
        <v>-301.0</v>
      </c>
      <c r="T25" s="323">
        <f t="shared" si="2"/>
        <v>46209</v>
      </c>
      <c r="U25" s="64"/>
      <c r="V25" s="23"/>
      <c r="W25" s="64"/>
      <c r="X25" s="303"/>
      <c r="Y25" s="23"/>
      <c r="Z25" s="23"/>
    </row>
    <row r="26" ht="18.75" customHeight="1">
      <c r="A26" s="55"/>
      <c r="B26" s="56"/>
      <c r="C26" s="55"/>
      <c r="D26" s="56"/>
      <c r="E26" s="55"/>
      <c r="F26" s="56"/>
      <c r="G26" s="55"/>
      <c r="H26" s="56"/>
      <c r="I26" s="55"/>
      <c r="J26" s="56"/>
      <c r="K26" s="55"/>
      <c r="L26" s="56"/>
      <c r="M26" s="55"/>
      <c r="N26" s="56"/>
      <c r="O26" s="23"/>
      <c r="P26" s="319" t="s">
        <v>47</v>
      </c>
      <c r="Q26" s="320"/>
      <c r="R26" s="321">
        <v>1.0</v>
      </c>
      <c r="S26" s="608">
        <v>1500.0</v>
      </c>
      <c r="T26" s="323">
        <f t="shared" si="2"/>
        <v>46204</v>
      </c>
      <c r="U26" s="64"/>
      <c r="V26" s="23"/>
      <c r="W26" s="64"/>
      <c r="X26" s="303"/>
      <c r="Y26" s="23"/>
      <c r="Z26" s="23"/>
    </row>
    <row r="27" ht="18.75" customHeight="1">
      <c r="A27" s="55"/>
      <c r="B27" s="56"/>
      <c r="C27" s="55"/>
      <c r="D27" s="56"/>
      <c r="E27" s="55"/>
      <c r="F27" s="56"/>
      <c r="G27" s="55"/>
      <c r="H27" s="56"/>
      <c r="I27" s="55"/>
      <c r="J27" s="56"/>
      <c r="K27" s="55"/>
      <c r="L27" s="56"/>
      <c r="M27" s="55"/>
      <c r="N27" s="56"/>
      <c r="O27" s="23"/>
      <c r="P27" s="319" t="s">
        <v>19</v>
      </c>
      <c r="Q27" s="320"/>
      <c r="R27" s="321">
        <v>9.0</v>
      </c>
      <c r="S27" s="322">
        <v>2308.8</v>
      </c>
      <c r="T27" s="323">
        <f t="shared" si="2"/>
        <v>46212</v>
      </c>
      <c r="U27" s="64"/>
      <c r="V27" s="23"/>
      <c r="W27" s="64"/>
      <c r="X27" s="303"/>
      <c r="Y27" s="23"/>
      <c r="Z27" s="23"/>
    </row>
    <row r="28" ht="18.75" customHeight="1">
      <c r="A28" s="66" t="s">
        <v>22</v>
      </c>
      <c r="B28" s="67">
        <f>N22+SUM(B23:B27)</f>
        <v>2103.39</v>
      </c>
      <c r="C28" s="66"/>
      <c r="D28" s="67">
        <f>B28+SUM(D23:D27)</f>
        <v>2054.5</v>
      </c>
      <c r="E28" s="66"/>
      <c r="F28" s="67">
        <f>D28+SUM(F23:F27)</f>
        <v>2054.5</v>
      </c>
      <c r="G28" s="66"/>
      <c r="H28" s="67">
        <f>F28+SUM(H23:H27)</f>
        <v>2054.5</v>
      </c>
      <c r="I28" s="66"/>
      <c r="J28" s="67">
        <f>H28+SUM(J23:J27)</f>
        <v>2054.5</v>
      </c>
      <c r="K28" s="66"/>
      <c r="L28" s="67">
        <f>J28+SUM(L23:L27)</f>
        <v>1663.52</v>
      </c>
      <c r="M28" s="66"/>
      <c r="N28" s="67">
        <f>L28+SUM(N23:N27)</f>
        <v>1512.52</v>
      </c>
      <c r="O28" s="68"/>
      <c r="P28" s="319" t="s">
        <v>151</v>
      </c>
      <c r="Q28" s="320"/>
      <c r="R28" s="321">
        <v>23.0</v>
      </c>
      <c r="S28" s="322">
        <v>2308.8</v>
      </c>
      <c r="T28" s="323">
        <f t="shared" si="2"/>
        <v>46226</v>
      </c>
      <c r="U28" s="71"/>
      <c r="V28" s="69"/>
      <c r="W28" s="71"/>
      <c r="X28" s="309"/>
      <c r="Y28" s="69"/>
      <c r="Z28" s="69"/>
    </row>
    <row r="29" ht="18.75" customHeight="1">
      <c r="A29" s="50">
        <f>IF(M23="","",IF(MONTH(M23+1)&lt;&gt;MONTH(M23),"",M23+1))</f>
        <v>46222</v>
      </c>
      <c r="B29" s="51">
        <f>SUMIF($T$11:$T$107,A29,$S$11:$S$68)</f>
        <v>0</v>
      </c>
      <c r="C29" s="50">
        <f>IF(A29="","",IF(MONTH(A29+1)&lt;&gt;MONTH(A29),"",A29+1))</f>
        <v>46223</v>
      </c>
      <c r="D29" s="51">
        <f>SUMIF($T$11:$T$107,C29,$S$11:$S$68)</f>
        <v>0</v>
      </c>
      <c r="E29" s="50">
        <f>IF(C29="","",IF(MONTH(C29+1)&lt;&gt;MONTH(C29),"",C29+1))</f>
        <v>46224</v>
      </c>
      <c r="F29" s="51">
        <f>SUMIF($T$11:$T$107,E29,$S$11:$S$68)</f>
        <v>0</v>
      </c>
      <c r="G29" s="50">
        <f>IF(E29="","",IF(MONTH(E29+1)&lt;&gt;MONTH(E29),"",E29+1))</f>
        <v>46225</v>
      </c>
      <c r="H29" s="51">
        <f>SUMIF($T$11:$T$107,G29,$S$11:$S$68)</f>
        <v>0</v>
      </c>
      <c r="I29" s="50">
        <f>IF(G29="","",IF(MONTH(G29+1)&lt;&gt;MONTH(G29),"",G29+1))</f>
        <v>46226</v>
      </c>
      <c r="J29" s="51">
        <f>SUMIF($T$11:$T$107,I29,$S$11:$S$68)</f>
        <v>2297.81</v>
      </c>
      <c r="K29" s="50">
        <f>IF(I29="","",IF(MONTH(I29+1)&lt;&gt;MONTH(I29),"",I29+1))</f>
        <v>46227</v>
      </c>
      <c r="L29" s="51">
        <f>SUMIF($T$11:$T$107,K29,$S$11:$S$68)</f>
        <v>0</v>
      </c>
      <c r="M29" s="50">
        <f>IF(K29="","",IF(MONTH(K29+1)&lt;&gt;MONTH(K29),"",K29+1))</f>
        <v>46228</v>
      </c>
      <c r="N29" s="51">
        <f>SUMIF($T$11:$T$107,M29,$S$11:$S$68)</f>
        <v>0</v>
      </c>
      <c r="O29" s="23"/>
      <c r="P29" s="406" t="s">
        <v>142</v>
      </c>
      <c r="Q29" s="407"/>
      <c r="R29" s="408">
        <v>1.0</v>
      </c>
      <c r="S29" s="409"/>
      <c r="T29" s="323">
        <f t="shared" si="2"/>
        <v>46204</v>
      </c>
      <c r="U29" s="64"/>
      <c r="V29" s="23"/>
      <c r="W29" s="64"/>
      <c r="X29" s="303"/>
      <c r="Y29" s="23"/>
      <c r="Z29" s="23"/>
    </row>
    <row r="30" ht="18.75" customHeight="1">
      <c r="A30" s="55"/>
      <c r="B30" s="56"/>
      <c r="C30" s="55"/>
      <c r="D30" s="56"/>
      <c r="E30" s="485" t="s">
        <v>202</v>
      </c>
      <c r="F30" s="486"/>
      <c r="G30" s="58"/>
      <c r="H30" s="57"/>
      <c r="I30" s="55"/>
      <c r="J30" s="56"/>
      <c r="K30" s="58" t="s">
        <v>160</v>
      </c>
      <c r="L30" s="57"/>
      <c r="M30" s="55"/>
      <c r="N30" s="56"/>
      <c r="O30" s="23"/>
      <c r="P30" s="319" t="s">
        <v>142</v>
      </c>
      <c r="Q30" s="320"/>
      <c r="R30" s="321"/>
      <c r="S30" s="322"/>
      <c r="T30" s="323" t="str">
        <f t="shared" si="2"/>
        <v>-</v>
      </c>
      <c r="U30" s="64"/>
      <c r="V30" s="23"/>
      <c r="W30" s="64"/>
      <c r="X30" s="303"/>
      <c r="Y30" s="23"/>
      <c r="Z30" s="23"/>
    </row>
    <row r="31" ht="18.75" customHeight="1">
      <c r="A31" s="55"/>
      <c r="B31" s="56"/>
      <c r="C31" s="58"/>
      <c r="D31" s="57"/>
      <c r="E31" s="55"/>
      <c r="F31" s="56"/>
      <c r="G31" s="55"/>
      <c r="H31" s="56"/>
      <c r="I31" s="55"/>
      <c r="J31" s="56"/>
      <c r="K31" s="58" t="s">
        <v>161</v>
      </c>
      <c r="L31" s="57"/>
      <c r="M31" s="55"/>
      <c r="N31" s="56"/>
      <c r="O31" s="23"/>
      <c r="P31" s="367"/>
      <c r="Q31" s="368"/>
      <c r="R31" s="405"/>
      <c r="S31" s="370"/>
      <c r="T31" s="376" t="str">
        <f>IF(ISBLANK(R31),"-",IF(R31&gt;DAY(EOMONTH(DATE($B$2,$E$2,1),0)),EOMONTH(DATE($B$2,$E$2,1),0),DATE($B$2,$E$2,R31)))</f>
        <v>-</v>
      </c>
      <c r="U31" s="64"/>
      <c r="V31" s="23"/>
      <c r="W31" s="64"/>
      <c r="X31" s="303"/>
      <c r="Y31" s="23"/>
      <c r="Z31" s="23"/>
    </row>
    <row r="32" ht="18.75" customHeight="1">
      <c r="A32" s="55"/>
      <c r="B32" s="56"/>
      <c r="C32" s="55"/>
      <c r="D32" s="56"/>
      <c r="E32" s="55"/>
      <c r="F32" s="56"/>
      <c r="G32" s="55"/>
      <c r="H32" s="56"/>
      <c r="I32" s="55"/>
      <c r="J32" s="56"/>
      <c r="K32" s="58"/>
      <c r="L32" s="57"/>
      <c r="M32" s="55"/>
      <c r="N32" s="56"/>
      <c r="O32" s="23"/>
      <c r="P32" s="319" t="s">
        <v>46</v>
      </c>
      <c r="Q32" s="320"/>
      <c r="R32" s="321">
        <v>23.0</v>
      </c>
      <c r="S32" s="322">
        <v>-10.99</v>
      </c>
      <c r="T32" s="323">
        <f t="shared" ref="T32:T36" si="3">IF(ISBLANK(R32),"-",IF(R32&gt;DAY(EOMONTH(DATE($B$2,$E$2,1),0)),EOMONTH(DATE($B$2,$E$2,1),0),DATE($B$2,$E$2,R32)))</f>
        <v>46226</v>
      </c>
      <c r="U32" s="64"/>
      <c r="V32" s="23"/>
      <c r="W32" s="64"/>
      <c r="X32" s="303"/>
      <c r="Y32" s="23"/>
      <c r="Z32" s="23"/>
    </row>
    <row r="33" ht="18.75" customHeight="1">
      <c r="A33" s="55"/>
      <c r="B33" s="56"/>
      <c r="C33" s="55"/>
      <c r="D33" s="56"/>
      <c r="E33" s="55"/>
      <c r="F33" s="56"/>
      <c r="G33" s="55"/>
      <c r="H33" s="56"/>
      <c r="I33" s="55"/>
      <c r="J33" s="56"/>
      <c r="K33" s="55"/>
      <c r="L33" s="56"/>
      <c r="M33" s="55"/>
      <c r="N33" s="56"/>
      <c r="O33" s="23"/>
      <c r="P33" s="538" t="s">
        <v>44</v>
      </c>
      <c r="Q33" s="539"/>
      <c r="R33" s="540">
        <v>26.0</v>
      </c>
      <c r="S33" s="365">
        <v>-18.35</v>
      </c>
      <c r="T33" s="323">
        <f t="shared" si="3"/>
        <v>46229</v>
      </c>
      <c r="U33" s="64"/>
      <c r="V33" s="23"/>
      <c r="W33" s="64"/>
      <c r="X33" s="303"/>
      <c r="Y33" s="23"/>
      <c r="Z33" s="23"/>
    </row>
    <row r="34" ht="18.75" customHeight="1">
      <c r="A34" s="66" t="s">
        <v>22</v>
      </c>
      <c r="B34" s="67">
        <f>N28+SUM(B29:B33)</f>
        <v>1512.52</v>
      </c>
      <c r="C34" s="66"/>
      <c r="D34" s="67">
        <f>B34+SUM(D29:D33)</f>
        <v>1512.52</v>
      </c>
      <c r="E34" s="66"/>
      <c r="F34" s="67">
        <f>D34+SUM(F29:F33)</f>
        <v>1512.52</v>
      </c>
      <c r="G34" s="66"/>
      <c r="H34" s="67">
        <f>F34+SUM(H29:H33)</f>
        <v>1512.52</v>
      </c>
      <c r="I34" s="66"/>
      <c r="J34" s="67">
        <f>H34+SUM(J29:J33)</f>
        <v>3810.33</v>
      </c>
      <c r="K34" s="66"/>
      <c r="L34" s="67">
        <f>J34+SUM(L29:L33)</f>
        <v>3810.33</v>
      </c>
      <c r="M34" s="66"/>
      <c r="N34" s="67">
        <f>L34+SUM(N29:N33)</f>
        <v>3810.33</v>
      </c>
      <c r="O34" s="68"/>
      <c r="P34" s="319" t="s">
        <v>40</v>
      </c>
      <c r="Q34" s="320"/>
      <c r="R34" s="321">
        <v>12.0</v>
      </c>
      <c r="S34" s="322">
        <v>-102.0</v>
      </c>
      <c r="T34" s="323">
        <f t="shared" si="3"/>
        <v>46215</v>
      </c>
      <c r="U34" s="71"/>
      <c r="V34" s="69"/>
      <c r="W34" s="71"/>
      <c r="X34" s="309"/>
      <c r="Y34" s="69"/>
      <c r="Z34" s="69"/>
    </row>
    <row r="35" ht="18.75" customHeight="1">
      <c r="A35" s="50">
        <f>IF(M29="","",IF(MONTH(M29+1)&lt;&gt;MONTH(M29),"",M29+1))</f>
        <v>46229</v>
      </c>
      <c r="B35" s="51">
        <f>SUMIF($T$11:$T$107,A35,$S$11:$S$68)</f>
        <v>-45.35</v>
      </c>
      <c r="C35" s="50">
        <f>IF(A35="","",IF(MONTH(A35+1)&lt;&gt;MONTH(A35),"",A35+1))</f>
        <v>46230</v>
      </c>
      <c r="D35" s="51">
        <f>SUMIF($T$11:$T$107,C35,$S$11:$S$68)</f>
        <v>0</v>
      </c>
      <c r="E35" s="50">
        <f>IF(C35="","",IF(MONTH(C35+1)&lt;&gt;MONTH(C35),"",C35+1))</f>
        <v>46231</v>
      </c>
      <c r="F35" s="51">
        <f>SUMIF($T$11:$T$107,E35,$S$11:$S$68)</f>
        <v>-1065.6</v>
      </c>
      <c r="G35" s="50">
        <f>IF(E35="","",IF(MONTH(E35+1)&lt;&gt;MONTH(E35),"",E35+1))</f>
        <v>46232</v>
      </c>
      <c r="H35" s="51">
        <f>SUMIF($T$11:$T$107,G35,$S$11:$S$68)</f>
        <v>-10.99</v>
      </c>
      <c r="I35" s="50">
        <f>IF(G35="","",IF(MONTH(G35+1)&lt;&gt;MONTH(G35),"",G35+1))</f>
        <v>46233</v>
      </c>
      <c r="J35" s="51">
        <f>SUMIF($T$11:$T$107,I35,$S$11:$S$68)</f>
        <v>-29.35</v>
      </c>
      <c r="K35" s="50">
        <f>IF(I35="","",IF(MONTH(I35+1)&lt;&gt;MONTH(I35),"",I35+1))</f>
        <v>46234</v>
      </c>
      <c r="L35" s="51">
        <f>SUMIF($T$11:$T$107,K35,$S$11:$S$68)</f>
        <v>0</v>
      </c>
      <c r="M35" s="50" t="str">
        <f>IF(K35="","",IF(MONTH(K35+1)&lt;&gt;MONTH(K35),"",K35+1))</f>
        <v/>
      </c>
      <c r="N35" s="51">
        <f>SUMIF($T$11:$T$107,M35,$S$11:$S$68)</f>
        <v>0</v>
      </c>
      <c r="O35" s="23"/>
      <c r="P35" s="319" t="s">
        <v>34</v>
      </c>
      <c r="Q35" s="320"/>
      <c r="R35" s="321">
        <v>17.0</v>
      </c>
      <c r="S35" s="322">
        <v>-5.99</v>
      </c>
      <c r="T35" s="323">
        <f t="shared" si="3"/>
        <v>46220</v>
      </c>
      <c r="U35" s="64"/>
      <c r="V35" s="23"/>
      <c r="W35" s="64"/>
      <c r="X35" s="303"/>
      <c r="Y35" s="23"/>
      <c r="Z35" s="23"/>
    </row>
    <row r="36" ht="18.75" customHeight="1">
      <c r="A36" s="58" t="s">
        <v>163</v>
      </c>
      <c r="B36" s="57"/>
      <c r="C36" s="55"/>
      <c r="D36" s="56"/>
      <c r="E36" s="55"/>
      <c r="F36" s="56"/>
      <c r="G36" s="55"/>
      <c r="H36" s="56"/>
      <c r="I36" s="55"/>
      <c r="J36" s="56"/>
      <c r="K36" s="55"/>
      <c r="L36" s="56"/>
      <c r="M36" s="55"/>
      <c r="N36" s="56"/>
      <c r="O36" s="23"/>
      <c r="P36" s="319" t="s">
        <v>34</v>
      </c>
      <c r="Q36" s="320"/>
      <c r="R36" s="321">
        <v>24.0</v>
      </c>
      <c r="S36" s="322"/>
      <c r="T36" s="323">
        <f t="shared" si="3"/>
        <v>46227</v>
      </c>
      <c r="U36" s="64"/>
      <c r="V36" s="23"/>
      <c r="W36" s="64"/>
      <c r="X36" s="303"/>
      <c r="Y36" s="23"/>
      <c r="Z36" s="23"/>
    </row>
    <row r="37" ht="18.75" customHeight="1">
      <c r="A37" s="55"/>
      <c r="B37" s="56"/>
      <c r="C37" s="55"/>
      <c r="D37" s="56"/>
      <c r="E37" s="55"/>
      <c r="F37" s="56"/>
      <c r="G37" s="55"/>
      <c r="H37" s="56"/>
      <c r="I37" s="55"/>
      <c r="J37" s="56"/>
      <c r="K37" s="55"/>
      <c r="L37" s="56"/>
      <c r="M37" s="55"/>
      <c r="N37" s="56"/>
      <c r="O37" s="23"/>
      <c r="P37" s="367" t="s">
        <v>51</v>
      </c>
      <c r="Q37" s="368"/>
      <c r="R37" s="405">
        <v>26.0</v>
      </c>
      <c r="S37" s="370">
        <v>-27.0</v>
      </c>
      <c r="T37" s="376">
        <f>IF(ISBLANK(R37),"-",IF(R37&gt;DAY(EOMONTH(DATE($B$2,$E$2,1),0)),EOMONTH(DATE($B$2,$E$2,1),0),DATE($B$2,$E$2,R37)))</f>
        <v>46229</v>
      </c>
      <c r="U37" s="64"/>
      <c r="V37" s="23"/>
      <c r="W37" s="64"/>
      <c r="X37" s="303"/>
      <c r="Y37" s="23"/>
      <c r="Z37" s="23"/>
    </row>
    <row r="38" ht="18.75" customHeight="1">
      <c r="A38" s="55"/>
      <c r="B38" s="56"/>
      <c r="C38" s="55"/>
      <c r="D38" s="56"/>
      <c r="E38" s="55"/>
      <c r="F38" s="56"/>
      <c r="G38" s="55"/>
      <c r="H38" s="56"/>
      <c r="I38" s="55"/>
      <c r="J38" s="56"/>
      <c r="K38" s="55"/>
      <c r="L38" s="56"/>
      <c r="M38" s="55"/>
      <c r="N38" s="56"/>
      <c r="O38" s="23"/>
      <c r="P38" s="367" t="s">
        <v>53</v>
      </c>
      <c r="Q38" s="368"/>
      <c r="R38" s="405">
        <v>29.0</v>
      </c>
      <c r="S38" s="370">
        <v>-10.99</v>
      </c>
      <c r="T38" s="323">
        <f t="shared" ref="T38:T40" si="4">IF(ISBLANK(R38),"-",IF(R38&gt;DAY(EOMONTH(DATE($B$2,$E$2,1),0)),EOMONTH(DATE($B$2,$E$2,1),0),DATE($B$2,$E$2,R38)))</f>
        <v>46232</v>
      </c>
      <c r="U38" s="64"/>
      <c r="V38" s="23"/>
      <c r="W38" s="64"/>
      <c r="X38" s="303"/>
      <c r="Y38" s="23"/>
      <c r="Z38" s="23"/>
    </row>
    <row r="39" ht="18.75" customHeight="1">
      <c r="A39" s="55"/>
      <c r="B39" s="56"/>
      <c r="C39" s="55"/>
      <c r="D39" s="56"/>
      <c r="E39" s="55"/>
      <c r="F39" s="56"/>
      <c r="G39" s="55"/>
      <c r="H39" s="56"/>
      <c r="I39" s="55"/>
      <c r="J39" s="56"/>
      <c r="K39" s="55"/>
      <c r="L39" s="56"/>
      <c r="M39" s="55"/>
      <c r="N39" s="56"/>
      <c r="O39" s="23"/>
      <c r="P39" s="319" t="s">
        <v>27</v>
      </c>
      <c r="Q39" s="320"/>
      <c r="R39" s="321">
        <v>3.0</v>
      </c>
      <c r="S39" s="322">
        <v>-33.0</v>
      </c>
      <c r="T39" s="323">
        <f t="shared" si="4"/>
        <v>46206</v>
      </c>
      <c r="U39" s="64"/>
      <c r="V39" s="23"/>
      <c r="W39" s="64"/>
      <c r="X39" s="303"/>
      <c r="Y39" s="23"/>
      <c r="Z39" s="23"/>
    </row>
    <row r="40" ht="18.75" customHeight="1">
      <c r="A40" s="66" t="s">
        <v>22</v>
      </c>
      <c r="B40" s="67">
        <f>N34+SUM(B35:B39)</f>
        <v>3764.98</v>
      </c>
      <c r="C40" s="66"/>
      <c r="D40" s="67">
        <f>B40+SUM(D35:D39)</f>
        <v>3764.98</v>
      </c>
      <c r="E40" s="66"/>
      <c r="F40" s="67">
        <f>D40+SUM(F35:F39)</f>
        <v>2699.38</v>
      </c>
      <c r="G40" s="66"/>
      <c r="H40" s="67">
        <f>F40+SUM(H35:H39)</f>
        <v>2688.39</v>
      </c>
      <c r="I40" s="66"/>
      <c r="J40" s="67">
        <f>H40+SUM(J35:J39)</f>
        <v>2659.04</v>
      </c>
      <c r="K40" s="66"/>
      <c r="L40" s="67">
        <f>J40+SUM(L35:L39)</f>
        <v>2659.04</v>
      </c>
      <c r="M40" s="66"/>
      <c r="N40" s="67">
        <f>L40+SUM(N35:N39)</f>
        <v>2659.04</v>
      </c>
      <c r="O40" s="68"/>
      <c r="P40" s="406" t="s">
        <v>186</v>
      </c>
      <c r="Q40" s="407"/>
      <c r="R40" s="408">
        <v>4.0</v>
      </c>
      <c r="S40" s="409">
        <v>-50.0</v>
      </c>
      <c r="T40" s="323">
        <f t="shared" si="4"/>
        <v>46207</v>
      </c>
      <c r="U40" s="71"/>
      <c r="V40" s="69"/>
      <c r="W40" s="71"/>
      <c r="X40" s="309"/>
      <c r="Y40" s="69"/>
      <c r="Z40" s="69"/>
    </row>
    <row r="41" ht="18.75" customHeight="1">
      <c r="A41" s="50" t="str">
        <f>IF(M35="","",IF(MONTH(M35+1)&lt;&gt;MONTH(M35),"",M35+1))</f>
        <v/>
      </c>
      <c r="B41" s="51">
        <f>SUMIF($T$11:$T$107,A41,$S$11:$S$68)</f>
        <v>0</v>
      </c>
      <c r="C41" s="50" t="str">
        <f>IF(A41="","",IF(MONTH(A41+1)&lt;&gt;MONTH(A41),"",A41+1))</f>
        <v/>
      </c>
      <c r="D41" s="51">
        <f>SUMIF($T$11:$T$107,C41,$S$11:$S$68)</f>
        <v>0</v>
      </c>
      <c r="E41" s="77"/>
      <c r="F41" s="77" t="s">
        <v>50</v>
      </c>
      <c r="G41" s="77"/>
      <c r="H41" s="77"/>
      <c r="I41" s="77"/>
      <c r="J41" s="77"/>
      <c r="K41" s="77"/>
      <c r="L41" s="77"/>
      <c r="M41" s="77"/>
      <c r="N41" s="77"/>
      <c r="P41" s="367" t="s">
        <v>214</v>
      </c>
      <c r="Q41" s="368"/>
      <c r="R41" s="405">
        <v>7.0</v>
      </c>
      <c r="S41" s="370">
        <v>-21.8</v>
      </c>
      <c r="T41" s="376">
        <f>IF(ISBLANK(R41),"-",IF(R41&gt;DAY(EOMONTH(DATE($B$2,$E$2,1),0)),EOMONTH(DATE($B$2,$E$2,1),0),DATE($B$2,$E$2,R41)))</f>
        <v>46210</v>
      </c>
      <c r="V41" s="313"/>
      <c r="X41" s="314"/>
    </row>
    <row r="42" ht="18.75" customHeight="1">
      <c r="A42" s="55"/>
      <c r="B42" s="56"/>
      <c r="C42" s="55"/>
      <c r="D42" s="56"/>
      <c r="E42" s="77"/>
      <c r="F42" s="77" t="s">
        <v>52</v>
      </c>
      <c r="G42" s="77"/>
      <c r="H42" s="77"/>
      <c r="I42" s="77"/>
      <c r="J42" s="77"/>
      <c r="K42" s="77"/>
      <c r="L42" s="77"/>
      <c r="M42" s="77"/>
      <c r="N42" s="77"/>
      <c r="P42" s="319" t="s">
        <v>38</v>
      </c>
      <c r="Q42" s="320"/>
      <c r="R42" s="321">
        <v>11.0</v>
      </c>
      <c r="S42" s="322">
        <v>-50.0</v>
      </c>
      <c r="T42" s="323">
        <f t="shared" ref="T42:T43" si="5">IF(ISBLANK(R42),"-",IF(R42&gt;DAY(EOMONTH(DATE($B$2,$E$2,1),0)),EOMONTH(DATE($B$2,$E$2,1),0),DATE($B$2,$E$2,R42)))</f>
        <v>46214</v>
      </c>
      <c r="V42" s="313"/>
      <c r="X42" s="314"/>
    </row>
    <row r="43" ht="18.75" customHeight="1">
      <c r="A43" s="55"/>
      <c r="B43" s="56"/>
      <c r="C43" s="55"/>
      <c r="D43" s="56"/>
      <c r="E43" s="77"/>
      <c r="F43" s="77"/>
      <c r="G43" s="77"/>
      <c r="H43" s="77"/>
      <c r="I43" s="77"/>
      <c r="J43" s="77"/>
      <c r="K43" s="77"/>
      <c r="L43" s="77"/>
      <c r="M43" s="77"/>
      <c r="N43" s="77"/>
      <c r="P43" s="319" t="s">
        <v>57</v>
      </c>
      <c r="Q43" s="320"/>
      <c r="R43" s="321">
        <v>28.0</v>
      </c>
      <c r="S43" s="322">
        <v>-370.0</v>
      </c>
      <c r="T43" s="323">
        <f t="shared" si="5"/>
        <v>46231</v>
      </c>
      <c r="V43" s="313"/>
    </row>
    <row r="44" ht="18.75" customHeight="1">
      <c r="A44" s="55"/>
      <c r="B44" s="56"/>
      <c r="C44" s="55"/>
      <c r="D44" s="56"/>
      <c r="E44" s="77"/>
      <c r="F44" s="77"/>
      <c r="G44" s="77"/>
      <c r="H44" s="326">
        <v>22.61</v>
      </c>
      <c r="I44" s="77"/>
      <c r="J44" s="77"/>
      <c r="K44" s="77"/>
      <c r="L44" s="77"/>
      <c r="M44" s="77"/>
      <c r="N44" s="77"/>
      <c r="P44" s="613" t="s">
        <v>24</v>
      </c>
      <c r="Q44" s="368"/>
      <c r="R44" s="614">
        <v>1.0</v>
      </c>
      <c r="S44" s="615">
        <v>-63.0</v>
      </c>
      <c r="T44" s="376">
        <f>IF(ISBLANK(R44),"-",IF(R44&gt;DAY(EOMONTH(DATE($B$2,$E$2,1),0)),EOMONTH(DATE($B$2,$E$2,1),0),DATE($B$2,$E$2,R44)))</f>
        <v>46204</v>
      </c>
      <c r="V44" s="313"/>
      <c r="X44" s="314"/>
    </row>
    <row r="45" ht="18.75" customHeight="1">
      <c r="A45" s="55"/>
      <c r="B45" s="56"/>
      <c r="C45" s="55"/>
      <c r="D45" s="56"/>
      <c r="E45" s="77"/>
      <c r="F45" s="77"/>
      <c r="G45" s="77"/>
      <c r="H45" s="326">
        <v>16.2</v>
      </c>
      <c r="I45" s="77"/>
      <c r="J45" s="77"/>
      <c r="K45" s="77"/>
      <c r="L45" s="77"/>
      <c r="M45" s="77"/>
      <c r="N45" s="77"/>
      <c r="P45" s="319"/>
      <c r="Q45" s="320"/>
      <c r="R45" s="321"/>
      <c r="S45" s="322"/>
      <c r="T45" s="323" t="str">
        <f t="shared" ref="T45:T48" si="6">IF(ISBLANK(R45),"-",IF(R45&gt;DAY(EOMONTH(DATE($B$2,$E$2,1),0)),EOMONTH(DATE($B$2,$E$2,1),0),DATE($B$2,$E$2,R45)))</f>
        <v>-</v>
      </c>
    </row>
    <row r="46" ht="18.75" customHeight="1">
      <c r="A46" s="66" t="s">
        <v>22</v>
      </c>
      <c r="B46" s="67">
        <f>N40+SUM(B41:B45)</f>
        <v>2659.04</v>
      </c>
      <c r="C46" s="66"/>
      <c r="D46" s="67">
        <f>B46+SUM(D41:D45)</f>
        <v>2659.04</v>
      </c>
      <c r="E46" s="77"/>
      <c r="F46" s="77"/>
      <c r="G46" s="77"/>
      <c r="H46" s="326">
        <v>20.9</v>
      </c>
      <c r="I46" s="77"/>
      <c r="J46" s="77"/>
      <c r="K46" s="77"/>
      <c r="L46" s="326"/>
      <c r="M46" s="77"/>
      <c r="N46" s="77"/>
      <c r="P46" s="319"/>
      <c r="Q46" s="320"/>
      <c r="R46" s="321"/>
      <c r="S46" s="322"/>
      <c r="T46" s="323" t="str">
        <f t="shared" si="6"/>
        <v>-</v>
      </c>
    </row>
    <row r="47" ht="12.75" customHeight="1">
      <c r="H47" s="108">
        <v>60.0</v>
      </c>
      <c r="P47" s="367"/>
      <c r="Q47" s="407"/>
      <c r="R47" s="405"/>
      <c r="S47" s="370"/>
      <c r="T47" s="323" t="str">
        <f t="shared" si="6"/>
        <v>-</v>
      </c>
    </row>
    <row r="48" ht="12.75" customHeight="1">
      <c r="P48" s="367"/>
      <c r="Q48" s="407"/>
      <c r="R48" s="405"/>
      <c r="S48" s="370"/>
      <c r="T48" s="323" t="str">
        <f t="shared" si="6"/>
        <v>-</v>
      </c>
    </row>
    <row r="49" ht="12.75" customHeight="1">
      <c r="P49" s="367"/>
      <c r="Q49" s="407"/>
      <c r="R49" s="405"/>
      <c r="S49" s="555"/>
      <c r="T49" s="376" t="str">
        <f t="shared" ref="T49:T56" si="7">IF(ISBLANK(R49),"-",IF(R49&gt;DAY(EOMONTH(DATE($B$2,$E$2,1),0)),EOMONTH(DATE($B$2,$E$2,1),0),DATE($B$2,$E$2,$R$47)))</f>
        <v>-</v>
      </c>
    </row>
    <row r="50" ht="12.75" customHeight="1">
      <c r="P50" s="542"/>
      <c r="Q50" s="407"/>
      <c r="R50" s="543"/>
      <c r="S50" s="544"/>
      <c r="T50" s="376" t="str">
        <f t="shared" si="7"/>
        <v>-</v>
      </c>
    </row>
    <row r="51" ht="12.75" customHeight="1">
      <c r="P51" s="542"/>
      <c r="Q51" s="407"/>
      <c r="R51" s="543"/>
      <c r="S51" s="544"/>
      <c r="T51" s="376" t="str">
        <f t="shared" si="7"/>
        <v>-</v>
      </c>
    </row>
    <row r="52" ht="12.75" customHeight="1">
      <c r="P52" s="542"/>
      <c r="Q52" s="407"/>
      <c r="R52" s="543"/>
      <c r="S52" s="544"/>
      <c r="T52" s="376" t="str">
        <f t="shared" si="7"/>
        <v>-</v>
      </c>
    </row>
    <row r="53" ht="12.75" customHeight="1">
      <c r="P53" s="542"/>
      <c r="Q53" s="407"/>
      <c r="R53" s="543"/>
      <c r="S53" s="544"/>
      <c r="T53" s="376" t="str">
        <f t="shared" si="7"/>
        <v>-</v>
      </c>
    </row>
    <row r="54" ht="12.75" customHeight="1">
      <c r="P54" s="542"/>
      <c r="Q54" s="407"/>
      <c r="R54" s="543"/>
      <c r="S54" s="544"/>
      <c r="T54" s="376" t="str">
        <f t="shared" si="7"/>
        <v>-</v>
      </c>
    </row>
    <row r="55" ht="12.75" customHeight="1">
      <c r="P55" s="542"/>
      <c r="Q55" s="407"/>
      <c r="R55" s="543"/>
      <c r="S55" s="544"/>
      <c r="T55" s="376" t="str">
        <f t="shared" si="7"/>
        <v>-</v>
      </c>
    </row>
    <row r="56" ht="12.75" customHeight="1">
      <c r="P56" s="542"/>
      <c r="Q56" s="407"/>
      <c r="R56" s="543"/>
      <c r="S56" s="544"/>
      <c r="T56" s="376" t="str">
        <f t="shared" si="7"/>
        <v>-</v>
      </c>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row>
    <row r="912" ht="12.75" customHeight="1">
      <c r="R912" s="336"/>
    </row>
    <row r="913" ht="12.75" customHeight="1">
      <c r="R913" s="336"/>
    </row>
    <row r="914" ht="12.75" customHeight="1">
      <c r="R914" s="336"/>
    </row>
  </sheetData>
  <mergeCells count="11">
    <mergeCell ref="G9:H9"/>
    <mergeCell ref="I9:J9"/>
    <mergeCell ref="K9:L9"/>
    <mergeCell ref="M9:N9"/>
    <mergeCell ref="M5:N5"/>
    <mergeCell ref="S5:T5"/>
    <mergeCell ref="M6:N6"/>
    <mergeCell ref="S6:T6"/>
    <mergeCell ref="A9:B9"/>
    <mergeCell ref="C9:D9"/>
    <mergeCell ref="E9:F9"/>
  </mergeCells>
  <conditionalFormatting sqref="S48">
    <cfRule type="cellIs" dxfId="5" priority="1" operator="lessThan">
      <formula>0</formula>
    </cfRule>
  </conditionalFormatting>
  <conditionalFormatting sqref="S1:S47 S49:S914">
    <cfRule type="cellIs" dxfId="5" priority="2" operator="lessThan">
      <formula>0</formula>
    </cfRule>
  </conditionalFormatting>
  <dataValidations>
    <dataValidation type="list" allowBlank="1" showErrorMessage="1" sqref="Q12:Q56">
      <formula1>"✔"</formula1>
    </dataValidation>
    <dataValidation type="custom" allowBlank="1" showDropDown="1" sqref="T12:T56">
      <formula1>OR(NOT(ISERROR(DATEVALUE(T12))), AND(ISNUMBER(T12), LEFT(CELL("format", T12))="D"))</formula1>
    </dataValidation>
  </dataValidations>
  <hyperlinks>
    <hyperlink r:id="rId1" ref="T3"/>
  </hyperlinks>
  <drawing r:id="rId2"/>
  <tableParts count="1">
    <tablePart r:id="rId4"/>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10.38"/>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6.25"/>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2026.0</v>
      </c>
      <c r="C2" s="3"/>
      <c r="D2" s="9" t="s">
        <v>2</v>
      </c>
      <c r="E2" s="10">
        <v>8.0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AUGUST 2026</v>
      </c>
      <c r="B5" s="22"/>
      <c r="C5" s="22"/>
      <c r="D5" s="22"/>
      <c r="E5" s="22"/>
      <c r="F5" s="22"/>
      <c r="G5" s="22"/>
      <c r="H5" s="23"/>
      <c r="I5" s="23"/>
      <c r="J5" s="23"/>
      <c r="K5" s="22"/>
      <c r="L5" s="24" t="s">
        <v>7</v>
      </c>
      <c r="M5" s="25">
        <f>'July 2026'!M6</f>
        <v>2659.04</v>
      </c>
      <c r="N5" s="26"/>
      <c r="O5" s="23"/>
      <c r="P5" s="27"/>
      <c r="Q5" s="27"/>
      <c r="R5" s="287" t="s">
        <v>8</v>
      </c>
      <c r="S5" s="288">
        <f>SUMIF(A18:N21,"&gt;0")+SUMIF(A24:N27,"&gt;0")+SUMIF(A30:N33,"&gt;0")+SUMIF(A36:N39,"&gt;0")+SUMIF(A42:D45,"&gt;0")+SUMIF(S12:S46,"&gt;0")+SUMIF(A12:N15,"&gt;0")</f>
        <v>6117.6</v>
      </c>
      <c r="U5" s="23"/>
      <c r="V5" s="289">
        <f>sum(S5+S6)</f>
        <v>399.98</v>
      </c>
      <c r="W5" s="23"/>
      <c r="X5" s="23"/>
      <c r="Y5" s="23"/>
      <c r="Z5" s="23"/>
    </row>
    <row r="6" ht="25.5" customHeight="1">
      <c r="A6" s="31"/>
      <c r="B6" s="31"/>
      <c r="C6" s="31"/>
      <c r="D6" s="31"/>
      <c r="E6" s="31"/>
      <c r="F6" s="32"/>
      <c r="G6" s="33"/>
      <c r="H6" s="34"/>
      <c r="I6" s="34"/>
      <c r="J6" s="34"/>
      <c r="K6" s="31"/>
      <c r="L6" s="24" t="s">
        <v>9</v>
      </c>
      <c r="M6" s="35">
        <f>D46</f>
        <v>3059.02</v>
      </c>
      <c r="O6" s="34"/>
      <c r="P6" s="36"/>
      <c r="Q6" s="36"/>
      <c r="R6" s="287" t="s">
        <v>10</v>
      </c>
      <c r="S6" s="288">
        <f>SUMIF(A18:N21,"&lt;0")+SUMIF(A24:N27,"&lt;0")+SUMIF(A30:N33,"&lt;0")+SUMIF(A36:N39,"&lt;0")+SUMIF(A42:D45,"&lt;0")+SUMIF(S12:S203,"&lt;0")+SUMIF(A12:N15,"&lt;0")</f>
        <v>-5717.62</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46235</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46236</v>
      </c>
      <c r="B9" s="40"/>
      <c r="C9" s="39">
        <f>C17</f>
        <v>46237</v>
      </c>
      <c r="D9" s="40"/>
      <c r="E9" s="39">
        <f>E17</f>
        <v>46238</v>
      </c>
      <c r="F9" s="40"/>
      <c r="G9" s="39">
        <f>G17</f>
        <v>46239</v>
      </c>
      <c r="H9" s="40"/>
      <c r="I9" s="39">
        <f>I17</f>
        <v>46240</v>
      </c>
      <c r="J9" s="40"/>
      <c r="K9" s="39">
        <f>K17</f>
        <v>46241</v>
      </c>
      <c r="L9" s="40"/>
      <c r="M9" s="39">
        <f>M17</f>
        <v>46242</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SUMIF($T$11:$T$130,A11,$S$11:$S$91)</f>
        <v>0</v>
      </c>
      <c r="C11" s="50" t="str">
        <f>IF(A11="",IF(WEEKDAY($B$8,1)=MOD($H$2,7)+1,$B$8,""),A11+1)</f>
        <v/>
      </c>
      <c r="D11" s="51">
        <f>SUMIF($T$11:$T$130,C11,$S$11:$S$91)</f>
        <v>0</v>
      </c>
      <c r="E11" s="50" t="str">
        <f>IF(C11="",IF(WEEKDAY($B$8,1)=MOD($H$2+1,7)+1,$B$8,""),C11+1)</f>
        <v/>
      </c>
      <c r="F11" s="51">
        <f>SUMIF($T$11:$T$130,E11,$S$11:$S$91)</f>
        <v>0</v>
      </c>
      <c r="G11" s="50" t="str">
        <f>IF(E11="",IF(WEEKDAY($B$8,1)=MOD($H$2+2,7)+1,$B$8,""),E11+1)</f>
        <v/>
      </c>
      <c r="H11" s="51">
        <f>SUMIF($T$11:$T$130,G11,$S$11:$S$91)</f>
        <v>0</v>
      </c>
      <c r="I11" s="50" t="str">
        <f>IF(G11="",IF(WEEKDAY($B$8,1)=MOD($H$2+3,7)+1,$B$8,""),G11+1)</f>
        <v/>
      </c>
      <c r="J11" s="51">
        <f>SUMIF($T$11:$T$130,I11,$S$11:$S$91)</f>
        <v>0</v>
      </c>
      <c r="K11" s="50" t="str">
        <f>IF(I11="",IF(WEEKDAY($B$8,1)=MOD($H$2+4,7)+1,$B$8,""),I11+1)</f>
        <v/>
      </c>
      <c r="L11" s="51">
        <f>SUMIF($T$11:$T$130,K11,$S$11:$S$91)</f>
        <v>0</v>
      </c>
      <c r="M11" s="50">
        <f>IF(K11="",IF(WEEKDAY($B$8,1)=MOD($H$2+5,7)+1,$B$8,""),K11+1)</f>
        <v>46235</v>
      </c>
      <c r="N11" s="51">
        <f>SUMIF($T$11:$T$130,M11,$S$11:$S$91)</f>
        <v>-30.13</v>
      </c>
      <c r="O11" s="23"/>
      <c r="P11" s="52" t="s">
        <v>13</v>
      </c>
      <c r="Q11" s="53" t="s">
        <v>14</v>
      </c>
      <c r="R11" s="53" t="s">
        <v>15</v>
      </c>
      <c r="S11" s="96" t="s">
        <v>16</v>
      </c>
      <c r="T11" s="53" t="s">
        <v>17</v>
      </c>
      <c r="U11" s="23"/>
      <c r="V11" s="23"/>
      <c r="W11" s="23"/>
      <c r="X11" s="23"/>
      <c r="Y11" s="23"/>
      <c r="Z11" s="23"/>
    </row>
    <row r="12" ht="18.75" customHeight="1">
      <c r="A12" s="55"/>
      <c r="B12" s="56"/>
      <c r="C12" s="55"/>
      <c r="D12" s="56"/>
      <c r="E12" s="55"/>
      <c r="F12" s="56"/>
      <c r="G12" s="55"/>
      <c r="H12" s="56"/>
      <c r="I12" s="58"/>
      <c r="J12" s="57"/>
      <c r="K12" s="58"/>
      <c r="L12" s="57"/>
      <c r="M12" s="55"/>
      <c r="N12" s="56"/>
      <c r="O12" s="23"/>
      <c r="P12" s="551" t="s">
        <v>25</v>
      </c>
      <c r="Q12" s="552"/>
      <c r="R12" s="553">
        <v>3.0</v>
      </c>
      <c r="S12" s="549">
        <f t="array" ref="S12">-INDEX(PaymentSchedule!$E$21:$AG937,MATCH(PaymentSchedule!$B$40,PaymentSchedule!$B$21:$B$100),MATCH($P12,PaymentSchedule!$E$19:$AG$19,0))</f>
        <v>0</v>
      </c>
      <c r="T12" s="550">
        <f t="shared" ref="T12:T16" si="1">IF(ISBLANK(R12),"-",IF(R12&gt;DAY(EOMONTH(DATE($B$2,$E$2,1),0)),EOMONTH(DATE($B$2,$E$2,1),0),DATE($B$2,$E$2,R12)))</f>
        <v>46237</v>
      </c>
      <c r="U12" s="64"/>
      <c r="V12" s="23"/>
      <c r="W12" s="64"/>
      <c r="X12" s="303"/>
      <c r="Y12" s="23"/>
      <c r="Z12" s="23"/>
    </row>
    <row r="13" ht="18.75" customHeight="1">
      <c r="A13" s="55"/>
      <c r="B13" s="56"/>
      <c r="C13" s="55"/>
      <c r="D13" s="56"/>
      <c r="E13" s="55"/>
      <c r="F13" s="56"/>
      <c r="G13" s="55"/>
      <c r="H13" s="56"/>
      <c r="I13" s="55"/>
      <c r="J13" s="57"/>
      <c r="K13" s="58"/>
      <c r="L13" s="57"/>
      <c r="M13" s="55"/>
      <c r="N13" s="56"/>
      <c r="O13" s="23"/>
      <c r="P13" s="551" t="s">
        <v>89</v>
      </c>
      <c r="Q13" s="552"/>
      <c r="R13" s="553">
        <v>7.0</v>
      </c>
      <c r="S13" s="549">
        <f t="array" ref="S13">-INDEX(PaymentSchedule!$E$21:$AG937,MATCH(PaymentSchedule!$B$40,PaymentSchedule!$B$21:$B$100),MATCH($P13,PaymentSchedule!$E$19:$AG$19,0))</f>
        <v>-175</v>
      </c>
      <c r="T13" s="550">
        <f t="shared" si="1"/>
        <v>46241</v>
      </c>
      <c r="U13" s="64"/>
      <c r="V13" s="23"/>
      <c r="W13" s="64"/>
      <c r="X13" s="303"/>
      <c r="Y13" s="23"/>
      <c r="Z13" s="23"/>
    </row>
    <row r="14" ht="18.75" customHeight="1">
      <c r="A14" s="55"/>
      <c r="B14" s="56"/>
      <c r="C14" s="55"/>
      <c r="D14" s="56"/>
      <c r="E14" s="55"/>
      <c r="F14" s="56"/>
      <c r="G14" s="55"/>
      <c r="H14" s="56"/>
      <c r="I14" s="58"/>
      <c r="J14" s="57"/>
      <c r="K14" s="58"/>
      <c r="L14" s="57"/>
      <c r="M14" s="55"/>
      <c r="N14" s="56"/>
      <c r="O14" s="23"/>
      <c r="P14" s="551" t="s">
        <v>85</v>
      </c>
      <c r="Q14" s="552"/>
      <c r="R14" s="553">
        <v>18.0</v>
      </c>
      <c r="S14" s="549">
        <f t="array" ref="S14">-INDEX(PaymentSchedule!$E$21:$AG937,MATCH(PaymentSchedule!$B$40,PaymentSchedule!$B$21:$B$100),MATCH($P14,PaymentSchedule!$E$19:$AG$19,0))</f>
        <v>-151</v>
      </c>
      <c r="T14" s="550">
        <f t="shared" si="1"/>
        <v>46252</v>
      </c>
      <c r="U14" s="64"/>
      <c r="V14" s="23"/>
      <c r="W14" s="64"/>
      <c r="X14" s="303"/>
      <c r="Y14" s="23"/>
      <c r="Z14" s="23"/>
    </row>
    <row r="15" ht="18.75" customHeight="1">
      <c r="A15" s="55"/>
      <c r="B15" s="56"/>
      <c r="C15" s="55"/>
      <c r="D15" s="56"/>
      <c r="E15" s="55"/>
      <c r="F15" s="56"/>
      <c r="G15" s="55"/>
      <c r="H15" s="56"/>
      <c r="I15" s="55"/>
      <c r="J15" s="56"/>
      <c r="K15" s="55"/>
      <c r="L15" s="56"/>
      <c r="M15" s="55"/>
      <c r="N15" s="56"/>
      <c r="O15" s="23"/>
      <c r="P15" s="551" t="s">
        <v>86</v>
      </c>
      <c r="Q15" s="552"/>
      <c r="R15" s="553">
        <v>5.0</v>
      </c>
      <c r="S15" s="549">
        <f t="array" ref="S15">-INDEX(PaymentSchedule!$E$21:$AG937,MATCH(PaymentSchedule!$B$40,PaymentSchedule!$B$21:$B$100),MATCH($P15,PaymentSchedule!$E$19:$AG$19,0))</f>
        <v>-791.16</v>
      </c>
      <c r="T15" s="550">
        <f t="shared" si="1"/>
        <v>46239</v>
      </c>
      <c r="U15" s="64"/>
      <c r="V15" s="23"/>
      <c r="W15" s="64"/>
      <c r="X15" s="303"/>
      <c r="Y15" s="23"/>
      <c r="Z15" s="23"/>
    </row>
    <row r="16" ht="18.75" customHeight="1">
      <c r="A16" s="66" t="s">
        <v>22</v>
      </c>
      <c r="B16" s="67">
        <f>$M$5+SUM(B11:B15)</f>
        <v>2659.04</v>
      </c>
      <c r="C16" s="66"/>
      <c r="D16" s="67">
        <f>B16+SUM(D11:D15)</f>
        <v>2659.04</v>
      </c>
      <c r="E16" s="66"/>
      <c r="F16" s="67">
        <f>D16+SUM(F11:F15)</f>
        <v>2659.04</v>
      </c>
      <c r="G16" s="66"/>
      <c r="H16" s="67">
        <f>F16+SUM(H11:H15)</f>
        <v>2659.04</v>
      </c>
      <c r="I16" s="66"/>
      <c r="J16" s="67">
        <f>H16+SUM(J11:J15)</f>
        <v>2659.04</v>
      </c>
      <c r="K16" s="66"/>
      <c r="L16" s="67">
        <f>J16+SUM(L11:L15)</f>
        <v>2659.04</v>
      </c>
      <c r="M16" s="66"/>
      <c r="N16" s="67">
        <f>L16+SUM(N11:N15)</f>
        <v>2628.91</v>
      </c>
      <c r="O16" s="68"/>
      <c r="P16" s="551" t="s">
        <v>20</v>
      </c>
      <c r="Q16" s="552"/>
      <c r="R16" s="553">
        <v>1.0</v>
      </c>
      <c r="S16" s="549">
        <f t="array" ref="S16">-INDEX(PaymentSchedule!$E$21:$AG937,MATCH(PaymentSchedule!$B$40,PaymentSchedule!$B$21:$B$100),MATCH($P16,PaymentSchedule!$E$19:$AG$19,0))</f>
        <v>-1467.13</v>
      </c>
      <c r="T16" s="550">
        <f t="shared" si="1"/>
        <v>46235</v>
      </c>
      <c r="U16" s="71"/>
      <c r="V16" s="69"/>
      <c r="W16" s="71"/>
      <c r="X16" s="309"/>
      <c r="Y16" s="69"/>
      <c r="Z16" s="69"/>
    </row>
    <row r="17" ht="18.75" customHeight="1">
      <c r="A17" s="50">
        <f>IF(M11="","",IF(MONTH(M11+1)&lt;&gt;MONTH(M11),"",M11+1))</f>
        <v>46236</v>
      </c>
      <c r="B17" s="51">
        <f>SUMIF($T$11:$T$130,A17,$S$11:$S$91)</f>
        <v>0</v>
      </c>
      <c r="C17" s="50">
        <f>IF(A17="","",IF(MONTH(A17+1)&lt;&gt;MONTH(A17),"",A17+1))</f>
        <v>46237</v>
      </c>
      <c r="D17" s="51">
        <f>SUMIF($T$11:$T$130,C17,$S$11:$S$91)</f>
        <v>-183</v>
      </c>
      <c r="E17" s="50">
        <f>IF(C17="","",IF(MONTH(C17+1)&lt;&gt;MONTH(C17),"",C17+1))</f>
        <v>46238</v>
      </c>
      <c r="F17" s="51">
        <f>SUMIF($T$11:$T$130,E17,$S$11:$S$91)</f>
        <v>-50</v>
      </c>
      <c r="G17" s="50">
        <f>IF(E17="","",IF(MONTH(E17+1)&lt;&gt;MONTH(E17),"",E17+1))</f>
        <v>46239</v>
      </c>
      <c r="H17" s="51">
        <f>SUMIF($T$11:$T$130,G17,$S$11:$S$91)</f>
        <v>-807.35</v>
      </c>
      <c r="I17" s="50">
        <f>IF(G17="","",IF(MONTH(G17+1)&lt;&gt;MONTH(G17),"",G17+1))</f>
        <v>46240</v>
      </c>
      <c r="J17" s="51">
        <f>SUMIF($T$11:$T$130,I17,$S$11:$S$91)</f>
        <v>-301</v>
      </c>
      <c r="K17" s="50">
        <f>IF(I17="","",IF(MONTH(I17+1)&lt;&gt;MONTH(I17),"",I17+1))</f>
        <v>46241</v>
      </c>
      <c r="L17" s="51">
        <f>SUMIF($T$11:$T$130,K17,$S$11:$S$91)</f>
        <v>2112</v>
      </c>
      <c r="M17" s="50">
        <f>IF(K17="","",IF(MONTH(K17+1)&lt;&gt;MONTH(K17),"",K17+1))</f>
        <v>46242</v>
      </c>
      <c r="N17" s="51">
        <f>SUMIF($T$11:$T$130,M17,$S$11:$S$91)</f>
        <v>0</v>
      </c>
      <c r="O17" s="23"/>
      <c r="P17" s="546" t="s">
        <v>87</v>
      </c>
      <c r="Q17" s="547"/>
      <c r="R17" s="607">
        <v>28.0</v>
      </c>
      <c r="S17" s="598">
        <f t="array" ref="S17">-INDEX(PaymentSchedule!$E$21:$AG937,MATCH(PaymentSchedule!$B$31,PaymentSchedule!$B$21:$B$100),MATCH($P17,PaymentSchedule!$E$19:$AG$19,0))</f>
        <v>-695.6</v>
      </c>
      <c r="T17" s="599">
        <f>IF(ISBLANK(R17),"-",IF(R17&gt;DAY(EOMONTH(DATE($B$2,$E$2,1),0)),EOMONTH(DATE($B$2,$E$2,1),0),DATE($B$2,$E$2,R17)))</f>
        <v>46262</v>
      </c>
      <c r="U17" s="64"/>
      <c r="V17" s="23"/>
      <c r="W17" s="64"/>
      <c r="X17" s="303"/>
      <c r="Y17" s="23"/>
      <c r="Z17" s="23"/>
    </row>
    <row r="18" ht="18.75" customHeight="1">
      <c r="A18" s="55"/>
      <c r="B18" s="56"/>
      <c r="C18" s="58"/>
      <c r="D18" s="57"/>
      <c r="E18" s="55"/>
      <c r="F18" s="56"/>
      <c r="G18" s="58"/>
      <c r="H18" s="57"/>
      <c r="I18" s="55"/>
      <c r="J18" s="56"/>
      <c r="K18" s="55"/>
      <c r="L18" s="57"/>
      <c r="M18" s="55"/>
      <c r="N18" s="56"/>
      <c r="O18" s="23"/>
      <c r="P18" s="551" t="s">
        <v>37</v>
      </c>
      <c r="Q18" s="552"/>
      <c r="R18" s="553">
        <v>12.0</v>
      </c>
      <c r="S18" s="549">
        <f t="array" ref="S18">-INDEX(PaymentSchedule!$E$21:$AG937,MATCH(PaymentSchedule!$B$40,PaymentSchedule!$B$21:$B$100),MATCH($P18,PaymentSchedule!$E$19:$AG$19,0))</f>
        <v>-80</v>
      </c>
      <c r="T18" s="550">
        <f t="shared" ref="T18:T28" si="2">IF(ISBLANK(R18),"-",IF(R18&gt;DAY(EOMONTH(DATE($B$2,$E$2,1),0)),EOMONTH(DATE($B$2,$E$2,1),0),DATE($B$2,$E$2,R18)))</f>
        <v>46246</v>
      </c>
      <c r="U18" s="64"/>
      <c r="V18" s="23"/>
      <c r="Y18" s="23"/>
      <c r="Z18" s="23"/>
    </row>
    <row r="19" ht="18.75" customHeight="1">
      <c r="A19" s="55"/>
      <c r="B19" s="56"/>
      <c r="C19" s="55"/>
      <c r="D19" s="56"/>
      <c r="E19" s="55"/>
      <c r="F19" s="56"/>
      <c r="G19" s="55"/>
      <c r="H19" s="56"/>
      <c r="I19" s="55"/>
      <c r="J19" s="56"/>
      <c r="K19" s="55"/>
      <c r="L19" s="56"/>
      <c r="M19" s="55"/>
      <c r="N19" s="56"/>
      <c r="O19" s="23"/>
      <c r="P19" s="551" t="s">
        <v>36</v>
      </c>
      <c r="Q19" s="552"/>
      <c r="R19" s="553">
        <v>9.0</v>
      </c>
      <c r="S19" s="549">
        <f t="array" ref="S19">-INDEX(PaymentSchedule!$E$21:$AG937,MATCH(PaymentSchedule!$B$40,PaymentSchedule!$B$21:$B$100),MATCH($P19,PaymentSchedule!$E$19:$AG$19,0))</f>
        <v>-450.08</v>
      </c>
      <c r="T19" s="550">
        <f t="shared" si="2"/>
        <v>46243</v>
      </c>
      <c r="U19" s="64"/>
      <c r="V19" s="23"/>
      <c r="W19" s="64"/>
      <c r="X19" s="303"/>
      <c r="Y19" s="23"/>
      <c r="Z19" s="23"/>
    </row>
    <row r="20" ht="18.75" customHeight="1">
      <c r="A20" s="55"/>
      <c r="B20" s="56"/>
      <c r="C20" s="55"/>
      <c r="D20" s="56"/>
      <c r="E20" s="55"/>
      <c r="F20" s="56"/>
      <c r="G20" s="55"/>
      <c r="H20" s="56"/>
      <c r="I20" s="55"/>
      <c r="J20" s="56"/>
      <c r="K20" s="55"/>
      <c r="L20" s="56"/>
      <c r="M20" s="55"/>
      <c r="N20" s="56"/>
      <c r="O20" s="23"/>
      <c r="P20" s="538" t="s">
        <v>55</v>
      </c>
      <c r="Q20" s="539"/>
      <c r="R20" s="540">
        <v>30.0</v>
      </c>
      <c r="S20" s="365">
        <v>-18.35</v>
      </c>
      <c r="T20" s="323">
        <f t="shared" si="2"/>
        <v>46264</v>
      </c>
      <c r="U20" s="64"/>
      <c r="V20" s="23"/>
      <c r="W20" s="64"/>
      <c r="X20" s="303"/>
      <c r="Y20" s="23"/>
      <c r="Z20" s="23"/>
    </row>
    <row r="21" ht="18.75" customHeight="1">
      <c r="A21" s="55"/>
      <c r="B21" s="56"/>
      <c r="C21" s="55"/>
      <c r="D21" s="56"/>
      <c r="E21" s="55"/>
      <c r="F21" s="56"/>
      <c r="G21" s="55"/>
      <c r="H21" s="56"/>
      <c r="I21" s="55"/>
      <c r="J21" s="56"/>
      <c r="K21" s="55"/>
      <c r="L21" s="56"/>
      <c r="M21" s="55"/>
      <c r="N21" s="56"/>
      <c r="O21" s="23"/>
      <c r="P21" s="319" t="s">
        <v>29</v>
      </c>
      <c r="Q21" s="320"/>
      <c r="R21" s="321">
        <v>5.0</v>
      </c>
      <c r="S21" s="322">
        <v>-16.19</v>
      </c>
      <c r="T21" s="323">
        <f t="shared" si="2"/>
        <v>46239</v>
      </c>
      <c r="U21" s="64"/>
      <c r="V21" s="303"/>
      <c r="W21" s="64"/>
      <c r="X21" s="303"/>
      <c r="Y21" s="23"/>
      <c r="Z21" s="23"/>
    </row>
    <row r="22" ht="18.75" customHeight="1">
      <c r="A22" s="66" t="s">
        <v>22</v>
      </c>
      <c r="B22" s="67">
        <f>N16+SUM(B17:B21)</f>
        <v>2628.91</v>
      </c>
      <c r="C22" s="66"/>
      <c r="D22" s="67">
        <f>B22+SUM(D17:D21)</f>
        <v>2445.91</v>
      </c>
      <c r="E22" s="66"/>
      <c r="F22" s="67">
        <f>D22+SUM(F17:F21)</f>
        <v>2395.91</v>
      </c>
      <c r="G22" s="66"/>
      <c r="H22" s="67">
        <f>F22+SUM(H17:H21)</f>
        <v>1588.56</v>
      </c>
      <c r="I22" s="66"/>
      <c r="J22" s="67">
        <f>H22+SUM(J17:J21)</f>
        <v>1287.56</v>
      </c>
      <c r="K22" s="66"/>
      <c r="L22" s="67">
        <f>J22+SUM(L17:L21)</f>
        <v>3399.56</v>
      </c>
      <c r="M22" s="66"/>
      <c r="N22" s="67">
        <f>L22+SUM(N17:N21)</f>
        <v>3399.56</v>
      </c>
      <c r="O22" s="68"/>
      <c r="P22" s="319" t="s">
        <v>43</v>
      </c>
      <c r="Q22" s="320"/>
      <c r="R22" s="321">
        <v>17.0</v>
      </c>
      <c r="S22" s="322">
        <v>-9.99</v>
      </c>
      <c r="T22" s="323">
        <f t="shared" si="2"/>
        <v>46251</v>
      </c>
      <c r="W22" s="71"/>
      <c r="X22" s="309"/>
      <c r="Y22" s="69"/>
      <c r="Z22" s="69"/>
    </row>
    <row r="23" ht="18.75" customHeight="1">
      <c r="A23" s="50">
        <f>IF(M17="","",IF(MONTH(M17+1)&lt;&gt;MONTH(M17),"",M17+1))</f>
        <v>46243</v>
      </c>
      <c r="B23" s="51">
        <f>SUMIF($T$11:$T$130,A23,$S$11:$S$91)</f>
        <v>-450.08</v>
      </c>
      <c r="C23" s="50">
        <f>IF(A23="","",IF(MONTH(A23+1)&lt;&gt;MONTH(A23),"",A23+1))</f>
        <v>46244</v>
      </c>
      <c r="D23" s="51">
        <f>SUMIF($T$11:$T$130,C23,$S$11:$S$91)</f>
        <v>-150</v>
      </c>
      <c r="E23" s="50">
        <f>IF(C23="","",IF(MONTH(C23+1)&lt;&gt;MONTH(C23),"",C23+1))</f>
        <v>46245</v>
      </c>
      <c r="F23" s="51">
        <f>SUMIF($T$11:$T$130,E23,$S$11:$S$91)</f>
        <v>-50</v>
      </c>
      <c r="G23" s="50">
        <f>IF(E23="","",IF(MONTH(E23+1)&lt;&gt;MONTH(E23),"",E23+1))</f>
        <v>46246</v>
      </c>
      <c r="H23" s="51">
        <f>SUMIF($T$11:$T$130,G23,$S$11:$S$91)</f>
        <v>-182</v>
      </c>
      <c r="I23" s="50">
        <f>IF(G23="","",IF(MONTH(G23+1)&lt;&gt;MONTH(G23),"",G23+1))</f>
        <v>46247</v>
      </c>
      <c r="J23" s="51">
        <f>SUMIF($T$11:$T$130,I23,$S$11:$S$91)</f>
        <v>0</v>
      </c>
      <c r="K23" s="50">
        <f>IF(I23="","",IF(MONTH(I23+1)&lt;&gt;MONTH(I23),"",I23+1))</f>
        <v>46248</v>
      </c>
      <c r="L23" s="51">
        <f>SUMIF($T$11:$T$130,K23,$S$11:$S$91)</f>
        <v>0</v>
      </c>
      <c r="M23" s="50">
        <f>IF(K23="","",IF(MONTH(K23+1)&lt;&gt;MONTH(K23),"",K23+1))</f>
        <v>46249</v>
      </c>
      <c r="N23" s="51">
        <f>SUMIF($T$11:$T$130,M23,$S$11:$S$91)</f>
        <v>0</v>
      </c>
      <c r="O23" s="23"/>
      <c r="P23" s="319" t="s">
        <v>54</v>
      </c>
      <c r="Q23" s="320"/>
      <c r="R23" s="321">
        <v>30.0</v>
      </c>
      <c r="S23" s="322">
        <v>-11.0</v>
      </c>
      <c r="T23" s="323">
        <f t="shared" si="2"/>
        <v>46264</v>
      </c>
      <c r="U23" s="64"/>
      <c r="V23" s="23"/>
      <c r="W23" s="64"/>
      <c r="X23" s="303"/>
      <c r="Y23" s="23"/>
      <c r="Z23" s="23"/>
    </row>
    <row r="24" ht="18.75" customHeight="1">
      <c r="A24" s="55"/>
      <c r="B24" s="57"/>
      <c r="C24" s="55"/>
      <c r="D24" s="57"/>
      <c r="E24" s="58" t="s">
        <v>230</v>
      </c>
      <c r="F24" s="57">
        <v>-38.0</v>
      </c>
      <c r="G24" s="413"/>
      <c r="H24" s="535"/>
      <c r="I24" s="55"/>
      <c r="J24" s="56"/>
      <c r="K24" s="58"/>
      <c r="L24" s="57"/>
      <c r="M24" s="55"/>
      <c r="N24" s="56"/>
      <c r="O24" s="23"/>
      <c r="P24" s="319" t="s">
        <v>30</v>
      </c>
      <c r="Q24" s="320"/>
      <c r="R24" s="321">
        <v>6.0</v>
      </c>
      <c r="S24" s="322">
        <v>-301.0</v>
      </c>
      <c r="T24" s="323">
        <f t="shared" si="2"/>
        <v>46240</v>
      </c>
      <c r="U24" s="64"/>
      <c r="V24" s="23"/>
      <c r="W24" s="64"/>
      <c r="X24" s="303"/>
      <c r="Y24" s="23"/>
      <c r="Z24" s="23"/>
    </row>
    <row r="25" ht="18.75" customHeight="1">
      <c r="A25" s="55"/>
      <c r="B25" s="56"/>
      <c r="C25" s="55"/>
      <c r="D25" s="56"/>
      <c r="E25" s="55"/>
      <c r="F25" s="56"/>
      <c r="G25" s="55"/>
      <c r="H25" s="56"/>
      <c r="I25" s="55"/>
      <c r="J25" s="56"/>
      <c r="K25" s="55"/>
      <c r="L25" s="56"/>
      <c r="M25" s="55"/>
      <c r="N25" s="56"/>
      <c r="O25" s="23"/>
      <c r="P25" s="319" t="s">
        <v>47</v>
      </c>
      <c r="Q25" s="320"/>
      <c r="R25" s="321">
        <v>1.0</v>
      </c>
      <c r="S25" s="608">
        <v>1500.0</v>
      </c>
      <c r="T25" s="323">
        <f t="shared" si="2"/>
        <v>46235</v>
      </c>
      <c r="U25" s="64"/>
      <c r="V25" s="23"/>
      <c r="W25" s="64"/>
      <c r="X25" s="303"/>
      <c r="Y25" s="23"/>
      <c r="Z25" s="23"/>
    </row>
    <row r="26" ht="18.75" customHeight="1">
      <c r="A26" s="55"/>
      <c r="B26" s="56"/>
      <c r="C26" s="55"/>
      <c r="D26" s="56"/>
      <c r="E26" s="55"/>
      <c r="F26" s="56"/>
      <c r="G26" s="55"/>
      <c r="H26" s="56"/>
      <c r="I26" s="55"/>
      <c r="J26" s="56"/>
      <c r="K26" s="55"/>
      <c r="L26" s="56"/>
      <c r="M26" s="55"/>
      <c r="N26" s="56"/>
      <c r="O26" s="23"/>
      <c r="P26" s="319" t="s">
        <v>19</v>
      </c>
      <c r="Q26" s="320"/>
      <c r="R26" s="321">
        <v>7.0</v>
      </c>
      <c r="S26" s="322">
        <v>2308.8</v>
      </c>
      <c r="T26" s="323">
        <f t="shared" si="2"/>
        <v>46241</v>
      </c>
      <c r="U26" s="64"/>
      <c r="V26" s="23"/>
      <c r="W26" s="64"/>
      <c r="X26" s="303"/>
      <c r="Y26" s="23"/>
      <c r="Z26" s="23"/>
    </row>
    <row r="27" ht="18.75" customHeight="1">
      <c r="A27" s="55"/>
      <c r="B27" s="56"/>
      <c r="C27" s="55"/>
      <c r="D27" s="56"/>
      <c r="E27" s="55"/>
      <c r="F27" s="56"/>
      <c r="G27" s="55"/>
      <c r="H27" s="56"/>
      <c r="I27" s="55"/>
      <c r="J27" s="56"/>
      <c r="K27" s="55"/>
      <c r="L27" s="56"/>
      <c r="M27" s="55"/>
      <c r="N27" s="56"/>
      <c r="O27" s="23"/>
      <c r="P27" s="319" t="s">
        <v>151</v>
      </c>
      <c r="Q27" s="320"/>
      <c r="R27" s="321">
        <v>21.0</v>
      </c>
      <c r="S27" s="322">
        <v>2308.8</v>
      </c>
      <c r="T27" s="323">
        <f t="shared" si="2"/>
        <v>46255</v>
      </c>
      <c r="U27" s="64"/>
      <c r="V27" s="23"/>
      <c r="W27" s="64"/>
      <c r="X27" s="303"/>
      <c r="Y27" s="23"/>
      <c r="Z27" s="23"/>
    </row>
    <row r="28" ht="18.75" customHeight="1">
      <c r="A28" s="66" t="s">
        <v>22</v>
      </c>
      <c r="B28" s="67">
        <f>N22+SUM(B23:B27)</f>
        <v>2949.48</v>
      </c>
      <c r="C28" s="66"/>
      <c r="D28" s="67">
        <f>B28+SUM(D23:D27)</f>
        <v>2799.48</v>
      </c>
      <c r="E28" s="66"/>
      <c r="F28" s="67">
        <f>D28+SUM(F23:F27)</f>
        <v>2711.48</v>
      </c>
      <c r="G28" s="66"/>
      <c r="H28" s="67">
        <f>F28+SUM(H23:H27)</f>
        <v>2529.48</v>
      </c>
      <c r="I28" s="66"/>
      <c r="J28" s="67">
        <f>H28+SUM(J23:J27)</f>
        <v>2529.48</v>
      </c>
      <c r="K28" s="66"/>
      <c r="L28" s="67">
        <f>J28+SUM(L23:L27)</f>
        <v>2529.48</v>
      </c>
      <c r="M28" s="66"/>
      <c r="N28" s="67">
        <f>L28+SUM(N23:N27)</f>
        <v>2529.48</v>
      </c>
      <c r="O28" s="68"/>
      <c r="P28" s="406" t="s">
        <v>142</v>
      </c>
      <c r="Q28" s="407"/>
      <c r="R28" s="408">
        <v>1.0</v>
      </c>
      <c r="S28" s="409"/>
      <c r="T28" s="323">
        <f t="shared" si="2"/>
        <v>46235</v>
      </c>
      <c r="U28" s="71"/>
      <c r="V28" s="69"/>
      <c r="W28" s="71"/>
      <c r="X28" s="309"/>
      <c r="Y28" s="69"/>
      <c r="Z28" s="69"/>
    </row>
    <row r="29" ht="18.75" customHeight="1">
      <c r="A29" s="50">
        <f>IF(M23="","",IF(MONTH(M23+1)&lt;&gt;MONTH(M23),"",M23+1))</f>
        <v>46250</v>
      </c>
      <c r="B29" s="51">
        <f>SUMIF($T$11:$T$130,A29,$S$11:$S$91)</f>
        <v>0</v>
      </c>
      <c r="C29" s="50">
        <f>IF(A29="","",IF(MONTH(A29+1)&lt;&gt;MONTH(A29),"",A29+1))</f>
        <v>46251</v>
      </c>
      <c r="D29" s="51">
        <f>SUMIF($T$11:$T$130,C29,$S$11:$S$91)</f>
        <v>-165.98</v>
      </c>
      <c r="E29" s="50">
        <f>IF(C29="","",IF(MONTH(C29+1)&lt;&gt;MONTH(C29),"",C29+1))</f>
        <v>46252</v>
      </c>
      <c r="F29" s="51">
        <f>SUMIF($T$11:$T$130,E29,$S$11:$S$91)</f>
        <v>-151</v>
      </c>
      <c r="G29" s="50">
        <f>IF(E29="","",IF(MONTH(E29+1)&lt;&gt;MONTH(E29),"",E29+1))</f>
        <v>46253</v>
      </c>
      <c r="H29" s="51">
        <f>SUMIF($T$11:$T$130,G29,$S$11:$S$91)</f>
        <v>0</v>
      </c>
      <c r="I29" s="50">
        <f>IF(G29="","",IF(MONTH(G29+1)&lt;&gt;MONTH(G29),"",G29+1))</f>
        <v>46254</v>
      </c>
      <c r="J29" s="51">
        <f>SUMIF($T$11:$T$130,I29,$S$11:$S$91)</f>
        <v>0</v>
      </c>
      <c r="K29" s="50">
        <f>IF(I29="","",IF(MONTH(I29+1)&lt;&gt;MONTH(I29),"",I29+1))</f>
        <v>46255</v>
      </c>
      <c r="L29" s="51">
        <f>SUMIF($T$11:$T$130,K29,$S$11:$S$91)</f>
        <v>2308.8</v>
      </c>
      <c r="M29" s="50">
        <f>IF(K29="","",IF(MONTH(K29+1)&lt;&gt;MONTH(K29),"",K29+1))</f>
        <v>46256</v>
      </c>
      <c r="N29" s="51">
        <f>SUMIF($T$11:$T$130,M29,$S$11:$S$91)</f>
        <v>0</v>
      </c>
      <c r="O29" s="23"/>
      <c r="P29" s="367"/>
      <c r="Q29" s="368"/>
      <c r="R29" s="405"/>
      <c r="S29" s="370"/>
      <c r="T29" s="376" t="str">
        <f>IF(ISBLANK(R29),"-",IF(R29&gt;DAY(EOMONTH(DATE($B$2,$E$2,1),0)),EOMONTH(DATE($B$2,$E$2,1),0),DATE($B$2,$E$2,R29)))</f>
        <v>-</v>
      </c>
      <c r="U29" s="64"/>
      <c r="V29" s="23"/>
      <c r="W29" s="64"/>
      <c r="X29" s="303"/>
      <c r="Y29" s="23"/>
      <c r="Z29" s="23"/>
    </row>
    <row r="30" ht="18.75" customHeight="1">
      <c r="A30" s="55"/>
      <c r="B30" s="56"/>
      <c r="C30" s="58"/>
      <c r="D30" s="57"/>
      <c r="E30" s="55"/>
      <c r="F30" s="56"/>
      <c r="G30" s="55"/>
      <c r="H30" s="56"/>
      <c r="I30" s="485" t="s">
        <v>202</v>
      </c>
      <c r="J30" s="486"/>
      <c r="K30" s="58"/>
      <c r="L30" s="57"/>
      <c r="M30" s="55"/>
      <c r="N30" s="56"/>
      <c r="O30" s="23"/>
      <c r="P30" s="319" t="s">
        <v>46</v>
      </c>
      <c r="Q30" s="320"/>
      <c r="R30" s="321">
        <v>23.0</v>
      </c>
      <c r="S30" s="322">
        <v>-10.99</v>
      </c>
      <c r="T30" s="323">
        <f t="shared" ref="T30:T34" si="3">IF(ISBLANK(R30),"-",IF(R30&gt;DAY(EOMONTH(DATE($B$2,$E$2,1),0)),EOMONTH(DATE($B$2,$E$2,1),0),DATE($B$2,$E$2,R30)))</f>
        <v>46257</v>
      </c>
      <c r="U30" s="64"/>
      <c r="V30" s="23"/>
      <c r="W30" s="64"/>
      <c r="X30" s="303"/>
      <c r="Y30" s="23"/>
      <c r="Z30" s="23"/>
    </row>
    <row r="31" ht="18.75" customHeight="1">
      <c r="A31" s="55"/>
      <c r="B31" s="56"/>
      <c r="C31" s="58"/>
      <c r="D31" s="57"/>
      <c r="E31" s="55"/>
      <c r="F31" s="56"/>
      <c r="G31" s="55"/>
      <c r="H31" s="56"/>
      <c r="I31" s="55"/>
      <c r="J31" s="56"/>
      <c r="K31" s="55"/>
      <c r="L31" s="56"/>
      <c r="M31" s="55"/>
      <c r="N31" s="56"/>
      <c r="O31" s="23"/>
      <c r="P31" s="538" t="s">
        <v>44</v>
      </c>
      <c r="Q31" s="539"/>
      <c r="R31" s="540">
        <v>26.0</v>
      </c>
      <c r="S31" s="365">
        <v>-18.35</v>
      </c>
      <c r="T31" s="323">
        <f t="shared" si="3"/>
        <v>46260</v>
      </c>
      <c r="U31" s="64"/>
      <c r="V31" s="23"/>
      <c r="W31" s="64"/>
      <c r="X31" s="303"/>
      <c r="Y31" s="23"/>
      <c r="Z31" s="23"/>
    </row>
    <row r="32" ht="18.75" customHeight="1">
      <c r="A32" s="55"/>
      <c r="B32" s="56"/>
      <c r="C32" s="55"/>
      <c r="D32" s="56"/>
      <c r="E32" s="55"/>
      <c r="F32" s="56"/>
      <c r="G32" s="55"/>
      <c r="H32" s="56"/>
      <c r="I32" s="55"/>
      <c r="J32" s="56"/>
      <c r="K32" s="55"/>
      <c r="L32" s="56"/>
      <c r="M32" s="55"/>
      <c r="N32" s="56"/>
      <c r="O32" s="23"/>
      <c r="P32" s="319" t="s">
        <v>40</v>
      </c>
      <c r="Q32" s="320"/>
      <c r="R32" s="321">
        <v>12.0</v>
      </c>
      <c r="S32" s="322">
        <v>-102.0</v>
      </c>
      <c r="T32" s="323">
        <f t="shared" si="3"/>
        <v>46246</v>
      </c>
      <c r="U32" s="64"/>
      <c r="V32" s="23"/>
      <c r="W32" s="64"/>
      <c r="X32" s="303"/>
      <c r="Y32" s="23"/>
      <c r="Z32" s="23"/>
    </row>
    <row r="33" ht="18.75" customHeight="1">
      <c r="A33" s="55"/>
      <c r="B33" s="56"/>
      <c r="C33" s="55"/>
      <c r="D33" s="56"/>
      <c r="E33" s="55"/>
      <c r="F33" s="56"/>
      <c r="G33" s="55"/>
      <c r="H33" s="56"/>
      <c r="I33" s="55"/>
      <c r="J33" s="56"/>
      <c r="K33" s="55"/>
      <c r="L33" s="56"/>
      <c r="M33" s="55"/>
      <c r="N33" s="56"/>
      <c r="O33" s="23"/>
      <c r="P33" s="319" t="s">
        <v>34</v>
      </c>
      <c r="Q33" s="320"/>
      <c r="R33" s="321">
        <v>17.0</v>
      </c>
      <c r="S33" s="322">
        <v>-5.99</v>
      </c>
      <c r="T33" s="323">
        <f t="shared" si="3"/>
        <v>46251</v>
      </c>
      <c r="U33" s="64"/>
      <c r="V33" s="23"/>
      <c r="W33" s="64"/>
      <c r="X33" s="303"/>
      <c r="Y33" s="23"/>
      <c r="Z33" s="23"/>
    </row>
    <row r="34" ht="18.75" customHeight="1">
      <c r="A34" s="66" t="s">
        <v>22</v>
      </c>
      <c r="B34" s="67">
        <f>N28+SUM(B29:B33)</f>
        <v>2529.48</v>
      </c>
      <c r="C34" s="66"/>
      <c r="D34" s="67">
        <f>B34+SUM(D29:D33)</f>
        <v>2363.5</v>
      </c>
      <c r="E34" s="66"/>
      <c r="F34" s="67">
        <f>D34+SUM(F29:F33)</f>
        <v>2212.5</v>
      </c>
      <c r="G34" s="66"/>
      <c r="H34" s="67">
        <f>F34+SUM(H29:H33)</f>
        <v>2212.5</v>
      </c>
      <c r="I34" s="66"/>
      <c r="J34" s="67">
        <f>H34+SUM(J29:J33)</f>
        <v>2212.5</v>
      </c>
      <c r="K34" s="66"/>
      <c r="L34" s="67">
        <f>J34+SUM(L29:L33)</f>
        <v>4521.3</v>
      </c>
      <c r="M34" s="66"/>
      <c r="N34" s="67">
        <f>L34+SUM(N29:N33)</f>
        <v>4521.3</v>
      </c>
      <c r="O34" s="68"/>
      <c r="P34" s="319" t="s">
        <v>34</v>
      </c>
      <c r="Q34" s="320"/>
      <c r="R34" s="321">
        <v>24.0</v>
      </c>
      <c r="S34" s="322"/>
      <c r="T34" s="323">
        <f t="shared" si="3"/>
        <v>46258</v>
      </c>
      <c r="U34" s="71"/>
      <c r="V34" s="69"/>
      <c r="W34" s="71"/>
      <c r="X34" s="309"/>
      <c r="Y34" s="69"/>
      <c r="Z34" s="69"/>
    </row>
    <row r="35" ht="18.75" customHeight="1">
      <c r="A35" s="50">
        <f>IF(M29="","",IF(MONTH(M29+1)&lt;&gt;MONTH(M29),"",M29+1))</f>
        <v>46257</v>
      </c>
      <c r="B35" s="51">
        <f>SUMIF($T$11:$T$130,A35,$S$11:$S$91)</f>
        <v>-10.99</v>
      </c>
      <c r="C35" s="50">
        <f>IF(A35="","",IF(MONTH(A35+1)&lt;&gt;MONTH(A35),"",A35+1))</f>
        <v>46258</v>
      </c>
      <c r="D35" s="51">
        <f>SUMIF($T$11:$T$130,C35,$S$11:$S$91)</f>
        <v>-150</v>
      </c>
      <c r="E35" s="50">
        <f>IF(C35="","",IF(MONTH(C35+1)&lt;&gt;MONTH(C35),"",C35+1))</f>
        <v>46259</v>
      </c>
      <c r="F35" s="51">
        <f>SUMIF($T$11:$T$130,E35,$S$11:$S$91)</f>
        <v>0</v>
      </c>
      <c r="G35" s="50">
        <f>IF(E35="","",IF(MONTH(E35+1)&lt;&gt;MONTH(E35),"",E35+1))</f>
        <v>46260</v>
      </c>
      <c r="H35" s="51">
        <f>SUMIF($T$11:$T$130,G35,$S$11:$S$91)</f>
        <v>-45.35</v>
      </c>
      <c r="I35" s="50">
        <f>IF(G35="","",IF(MONTH(G35+1)&lt;&gt;MONTH(G35),"",G35+1))</f>
        <v>46261</v>
      </c>
      <c r="J35" s="51">
        <f>SUMIF($T$11:$T$130,I35,$S$11:$S$91)</f>
        <v>0</v>
      </c>
      <c r="K35" s="50">
        <f>IF(I35="","",IF(MONTH(I35+1)&lt;&gt;MONTH(I35),"",I35+1))</f>
        <v>46262</v>
      </c>
      <c r="L35" s="51">
        <f>SUMIF($T$11:$T$130,K35,$S$11:$S$91)</f>
        <v>-1065.6</v>
      </c>
      <c r="M35" s="50">
        <f>IF(K35="","",IF(MONTH(K35+1)&lt;&gt;MONTH(K35),"",K35+1))</f>
        <v>46263</v>
      </c>
      <c r="N35" s="51">
        <f>SUMIF($T$11:$T$130,M35,$S$11:$S$91)</f>
        <v>-10.99</v>
      </c>
      <c r="O35" s="23"/>
      <c r="P35" s="367" t="s">
        <v>51</v>
      </c>
      <c r="Q35" s="368"/>
      <c r="R35" s="405">
        <v>26.0</v>
      </c>
      <c r="S35" s="370">
        <v>-27.0</v>
      </c>
      <c r="T35" s="376">
        <f>IF(ISBLANK(R35),"-",IF(R35&gt;DAY(EOMONTH(DATE($B$2,$E$2,1),0)),EOMONTH(DATE($B$2,$E$2,1),0),DATE($B$2,$E$2,R35)))</f>
        <v>46260</v>
      </c>
      <c r="U35" s="64"/>
      <c r="V35" s="23"/>
      <c r="W35" s="64"/>
      <c r="X35" s="303"/>
      <c r="Y35" s="23"/>
      <c r="Z35" s="23"/>
    </row>
    <row r="36" ht="18.75" customHeight="1">
      <c r="A36" s="58" t="s">
        <v>160</v>
      </c>
      <c r="B36" s="57"/>
      <c r="C36" s="55"/>
      <c r="D36" s="56"/>
      <c r="E36" s="55"/>
      <c r="F36" s="56"/>
      <c r="G36" s="55"/>
      <c r="H36" s="56"/>
      <c r="I36" s="55"/>
      <c r="J36" s="56"/>
      <c r="K36" s="55"/>
      <c r="L36" s="57"/>
      <c r="M36" s="55"/>
      <c r="N36" s="56"/>
      <c r="O36" s="23"/>
      <c r="P36" s="367" t="s">
        <v>53</v>
      </c>
      <c r="Q36" s="368"/>
      <c r="R36" s="405">
        <v>29.0</v>
      </c>
      <c r="S36" s="370">
        <v>-10.99</v>
      </c>
      <c r="T36" s="323">
        <f t="shared" ref="T36:T38" si="4">IF(ISBLANK(R36),"-",IF(R36&gt;DAY(EOMONTH(DATE($B$2,$E$2,1),0)),EOMONTH(DATE($B$2,$E$2,1),0),DATE($B$2,$E$2,R36)))</f>
        <v>46263</v>
      </c>
      <c r="U36" s="64"/>
      <c r="V36" s="23"/>
      <c r="W36" s="64"/>
      <c r="X36" s="303"/>
      <c r="Y36" s="23"/>
      <c r="Z36" s="23"/>
    </row>
    <row r="37" ht="18.75" customHeight="1">
      <c r="A37" s="58" t="s">
        <v>161</v>
      </c>
      <c r="B37" s="57"/>
      <c r="C37" s="55"/>
      <c r="D37" s="56"/>
      <c r="E37" s="55"/>
      <c r="F37" s="56"/>
      <c r="G37" s="55"/>
      <c r="H37" s="56"/>
      <c r="I37" s="55"/>
      <c r="J37" s="56"/>
      <c r="K37" s="55"/>
      <c r="L37" s="56"/>
      <c r="M37" s="55"/>
      <c r="N37" s="56"/>
      <c r="O37" s="23"/>
      <c r="P37" s="319" t="s">
        <v>27</v>
      </c>
      <c r="Q37" s="320"/>
      <c r="R37" s="321">
        <v>3.0</v>
      </c>
      <c r="S37" s="322">
        <v>-33.0</v>
      </c>
      <c r="T37" s="323">
        <f t="shared" si="4"/>
        <v>46237</v>
      </c>
      <c r="U37" s="64"/>
      <c r="V37" s="23"/>
      <c r="W37" s="64"/>
      <c r="X37" s="303"/>
      <c r="Y37" s="23"/>
      <c r="Z37" s="23"/>
    </row>
    <row r="38" ht="18.75" customHeight="1">
      <c r="A38" s="55"/>
      <c r="B38" s="56"/>
      <c r="C38" s="55"/>
      <c r="D38" s="56"/>
      <c r="E38" s="55"/>
      <c r="F38" s="56"/>
      <c r="G38" s="55"/>
      <c r="H38" s="56"/>
      <c r="I38" s="55"/>
      <c r="J38" s="56"/>
      <c r="K38" s="55"/>
      <c r="L38" s="56"/>
      <c r="M38" s="55"/>
      <c r="N38" s="56"/>
      <c r="O38" s="23"/>
      <c r="P38" s="406" t="s">
        <v>186</v>
      </c>
      <c r="Q38" s="407"/>
      <c r="R38" s="408">
        <v>4.0</v>
      </c>
      <c r="S38" s="409">
        <v>-50.0</v>
      </c>
      <c r="T38" s="323">
        <f t="shared" si="4"/>
        <v>46238</v>
      </c>
      <c r="U38" s="64"/>
      <c r="V38" s="23"/>
      <c r="W38" s="64"/>
      <c r="X38" s="303"/>
      <c r="Y38" s="23"/>
      <c r="Z38" s="23"/>
    </row>
    <row r="39" ht="18.75" customHeight="1">
      <c r="A39" s="55"/>
      <c r="B39" s="56"/>
      <c r="C39" s="55"/>
      <c r="D39" s="56"/>
      <c r="E39" s="55"/>
      <c r="F39" s="56"/>
      <c r="G39" s="55"/>
      <c r="H39" s="56"/>
      <c r="I39" s="55"/>
      <c r="J39" s="56"/>
      <c r="K39" s="55"/>
      <c r="L39" s="56"/>
      <c r="M39" s="55"/>
      <c r="N39" s="56"/>
      <c r="O39" s="23"/>
      <c r="P39" s="367" t="s">
        <v>214</v>
      </c>
      <c r="Q39" s="368"/>
      <c r="R39" s="405">
        <v>7.0</v>
      </c>
      <c r="S39" s="370">
        <v>-21.8</v>
      </c>
      <c r="T39" s="376">
        <f>IF(ISBLANK(R39),"-",IF(R39&gt;DAY(EOMONTH(DATE($B$2,$E$2,1),0)),EOMONTH(DATE($B$2,$E$2,1),0),DATE($B$2,$E$2,R39)))</f>
        <v>46241</v>
      </c>
      <c r="U39" s="64"/>
      <c r="V39" s="23"/>
      <c r="W39" s="64"/>
      <c r="X39" s="303"/>
      <c r="Y39" s="23"/>
      <c r="Z39" s="23"/>
    </row>
    <row r="40" ht="18.75" customHeight="1">
      <c r="A40" s="66" t="s">
        <v>22</v>
      </c>
      <c r="B40" s="67">
        <f>N34+SUM(B35:B39)</f>
        <v>4510.31</v>
      </c>
      <c r="C40" s="66"/>
      <c r="D40" s="67">
        <f>B40+SUM(D35:D39)</f>
        <v>4360.31</v>
      </c>
      <c r="E40" s="66"/>
      <c r="F40" s="67">
        <f>D40+SUM(F35:F39)</f>
        <v>4360.31</v>
      </c>
      <c r="G40" s="66"/>
      <c r="H40" s="67">
        <f>F40+SUM(H35:H39)</f>
        <v>4314.96</v>
      </c>
      <c r="I40" s="66"/>
      <c r="J40" s="67">
        <f>H40+SUM(J35:J39)</f>
        <v>4314.96</v>
      </c>
      <c r="K40" s="66"/>
      <c r="L40" s="67">
        <f>J40+SUM(L35:L39)</f>
        <v>3249.36</v>
      </c>
      <c r="M40" s="66"/>
      <c r="N40" s="67">
        <f>L40+SUM(N35:N39)</f>
        <v>3238.37</v>
      </c>
      <c r="O40" s="68"/>
      <c r="P40" s="319" t="s">
        <v>38</v>
      </c>
      <c r="Q40" s="320"/>
      <c r="R40" s="321">
        <v>11.0</v>
      </c>
      <c r="S40" s="322">
        <v>-50.0</v>
      </c>
      <c r="T40" s="323">
        <f t="shared" ref="T40:T41" si="5">IF(ISBLANK(R40),"-",IF(R40&gt;DAY(EOMONTH(DATE($B$2,$E$2,1),0)),EOMONTH(DATE($B$2,$E$2,1),0),DATE($B$2,$E$2,R40)))</f>
        <v>46245</v>
      </c>
      <c r="U40" s="71"/>
      <c r="V40" s="69"/>
      <c r="W40" s="71"/>
      <c r="X40" s="309"/>
      <c r="Y40" s="69"/>
      <c r="Z40" s="69"/>
    </row>
    <row r="41" ht="18.75" customHeight="1">
      <c r="A41" s="50">
        <f>IF(M35="","",IF(MONTH(M35+1)&lt;&gt;MONTH(M35),"",M35+1))</f>
        <v>46264</v>
      </c>
      <c r="B41" s="51">
        <f>SUMIF($T$11:$T$130,A41,$S$11:$S$91)</f>
        <v>-29.35</v>
      </c>
      <c r="C41" s="50">
        <f>IF(A41="","",IF(MONTH(A41+1)&lt;&gt;MONTH(A41),"",A41+1))</f>
        <v>46265</v>
      </c>
      <c r="D41" s="51">
        <f>SUMIF($T$11:$T$130,C41,$S$11:$S$91)</f>
        <v>-150</v>
      </c>
      <c r="E41" s="77"/>
      <c r="F41" s="77" t="s">
        <v>50</v>
      </c>
      <c r="G41" s="77"/>
      <c r="H41" s="77"/>
      <c r="I41" s="77"/>
      <c r="J41" s="77"/>
      <c r="K41" s="77"/>
      <c r="L41" s="77"/>
      <c r="M41" s="77"/>
      <c r="N41" s="77"/>
      <c r="P41" s="319" t="s">
        <v>57</v>
      </c>
      <c r="Q41" s="320"/>
      <c r="R41" s="321">
        <v>28.0</v>
      </c>
      <c r="S41" s="322">
        <v>-370.0</v>
      </c>
      <c r="T41" s="323">
        <f t="shared" si="5"/>
        <v>46262</v>
      </c>
      <c r="V41" s="313"/>
      <c r="X41" s="314"/>
    </row>
    <row r="42" ht="18.75" customHeight="1">
      <c r="A42" s="55"/>
      <c r="B42" s="56"/>
      <c r="C42" s="55"/>
      <c r="D42" s="56"/>
      <c r="E42" s="77"/>
      <c r="F42" s="77" t="s">
        <v>52</v>
      </c>
      <c r="G42" s="77"/>
      <c r="H42" s="77"/>
      <c r="I42" s="77"/>
      <c r="J42" s="77"/>
      <c r="K42" s="77"/>
      <c r="L42" s="77"/>
      <c r="M42" s="77"/>
      <c r="N42" s="77"/>
      <c r="P42" s="613" t="s">
        <v>24</v>
      </c>
      <c r="Q42" s="368"/>
      <c r="R42" s="614">
        <v>1.0</v>
      </c>
      <c r="S42" s="615">
        <v>-63.0</v>
      </c>
      <c r="T42" s="376">
        <f>IF(ISBLANK(R42),"-",IF(R42&gt;DAY(EOMONTH(DATE($B$2,$E$2,1),0)),EOMONTH(DATE($B$2,$E$2,1),0),DATE($B$2,$E$2,R42)))</f>
        <v>46235</v>
      </c>
      <c r="V42" s="313"/>
      <c r="X42" s="314"/>
    </row>
    <row r="43" ht="18.75" customHeight="1">
      <c r="A43" s="55"/>
      <c r="B43" s="56"/>
      <c r="C43" s="55"/>
      <c r="D43" s="56"/>
      <c r="E43" s="77"/>
      <c r="F43" s="77"/>
      <c r="G43" s="77"/>
      <c r="H43" s="77"/>
      <c r="I43" s="77"/>
      <c r="J43" s="77"/>
      <c r="K43" s="77"/>
      <c r="L43" s="77"/>
      <c r="M43" s="77"/>
      <c r="N43" s="77"/>
      <c r="P43" s="319" t="s">
        <v>26</v>
      </c>
      <c r="Q43" s="320"/>
      <c r="R43" s="321">
        <v>3.0</v>
      </c>
      <c r="S43" s="322">
        <v>-150.0</v>
      </c>
      <c r="T43" s="323">
        <f t="shared" ref="T43:T48" si="6">IF(ISBLANK(R43),"-",IF(R43&gt;DAY(EOMONTH(DATE($B$2,$E$2,1),0)),EOMONTH(DATE($B$2,$E$2,1),0),DATE($B$2,$E$2,R43)))</f>
        <v>46237</v>
      </c>
      <c r="V43" s="313"/>
    </row>
    <row r="44" ht="18.75" customHeight="1">
      <c r="A44" s="55"/>
      <c r="B44" s="56"/>
      <c r="C44" s="55"/>
      <c r="D44" s="56"/>
      <c r="E44" s="77"/>
      <c r="F44" s="77"/>
      <c r="G44" s="77"/>
      <c r="H44" s="77"/>
      <c r="I44" s="77"/>
      <c r="J44" s="77"/>
      <c r="K44" s="77"/>
      <c r="L44" s="77"/>
      <c r="M44" s="77"/>
      <c r="N44" s="77"/>
      <c r="P44" s="319" t="s">
        <v>26</v>
      </c>
      <c r="Q44" s="320"/>
      <c r="R44" s="321">
        <v>10.0</v>
      </c>
      <c r="S44" s="322">
        <v>-150.0</v>
      </c>
      <c r="T44" s="323">
        <f t="shared" si="6"/>
        <v>46244</v>
      </c>
      <c r="V44" s="313"/>
      <c r="X44" s="314"/>
    </row>
    <row r="45" ht="18.75" customHeight="1">
      <c r="A45" s="55"/>
      <c r="B45" s="56"/>
      <c r="C45" s="55"/>
      <c r="D45" s="56"/>
      <c r="E45" s="77"/>
      <c r="F45" s="77"/>
      <c r="G45" s="77"/>
      <c r="H45" s="77"/>
      <c r="I45" s="77"/>
      <c r="J45" s="77"/>
      <c r="K45" s="77"/>
      <c r="L45" s="77"/>
      <c r="M45" s="77"/>
      <c r="N45" s="77"/>
      <c r="P45" s="319" t="s">
        <v>26</v>
      </c>
      <c r="Q45" s="320"/>
      <c r="R45" s="321">
        <v>17.0</v>
      </c>
      <c r="S45" s="322">
        <v>-150.0</v>
      </c>
      <c r="T45" s="323">
        <f t="shared" si="6"/>
        <v>46251</v>
      </c>
    </row>
    <row r="46" ht="18.75" customHeight="1">
      <c r="A46" s="66" t="s">
        <v>22</v>
      </c>
      <c r="B46" s="67">
        <f>N40+SUM(B41:B45)</f>
        <v>3209.02</v>
      </c>
      <c r="C46" s="66"/>
      <c r="D46" s="67">
        <f>B46+SUM(D41:D45)</f>
        <v>3059.02</v>
      </c>
      <c r="E46" s="77"/>
      <c r="F46" s="77"/>
      <c r="G46" s="77"/>
      <c r="H46" s="77"/>
      <c r="I46" s="326">
        <v>22.61</v>
      </c>
      <c r="J46" s="77"/>
      <c r="K46" s="77"/>
      <c r="L46" s="77"/>
      <c r="M46" s="77"/>
      <c r="N46" s="77"/>
      <c r="P46" s="319" t="s">
        <v>26</v>
      </c>
      <c r="Q46" s="320"/>
      <c r="R46" s="321">
        <v>24.0</v>
      </c>
      <c r="S46" s="322">
        <v>-150.0</v>
      </c>
      <c r="T46" s="323">
        <f t="shared" si="6"/>
        <v>46258</v>
      </c>
    </row>
    <row r="47" ht="12.75" customHeight="1">
      <c r="I47" s="108">
        <v>16.2</v>
      </c>
      <c r="P47" s="319" t="s">
        <v>26</v>
      </c>
      <c r="Q47" s="320"/>
      <c r="R47" s="321">
        <v>31.0</v>
      </c>
      <c r="S47" s="322">
        <v>-150.0</v>
      </c>
      <c r="T47" s="323">
        <f t="shared" si="6"/>
        <v>46265</v>
      </c>
    </row>
    <row r="48" ht="12.75" customHeight="1">
      <c r="I48" s="108">
        <v>20.9</v>
      </c>
      <c r="P48" s="319"/>
      <c r="Q48" s="320"/>
      <c r="R48" s="321"/>
      <c r="S48" s="322"/>
      <c r="T48" s="323" t="str">
        <f t="shared" si="6"/>
        <v>-</v>
      </c>
    </row>
    <row r="49" ht="12.75" customHeight="1">
      <c r="P49" s="367"/>
      <c r="Q49" s="368"/>
      <c r="R49" s="405"/>
      <c r="S49" s="370"/>
      <c r="T49" s="376"/>
    </row>
    <row r="50" ht="12.75" customHeight="1">
      <c r="P50" s="367"/>
      <c r="Q50" s="407"/>
      <c r="R50" s="405"/>
      <c r="S50" s="555"/>
      <c r="T50" s="376" t="str">
        <f t="shared" ref="T50:T58" si="7">IF(ISBLANK(R50),"-",IF(R50&gt;DAY(EOMONTH(DATE($B$2,$E$2,1),0)),EOMONTH(DATE($B$2,$E$2,1),0),DATE($B$2,$E$2,$R$47)))</f>
        <v>-</v>
      </c>
    </row>
    <row r="51" ht="12.75" customHeight="1">
      <c r="P51" s="367"/>
      <c r="Q51" s="407"/>
      <c r="R51" s="405"/>
      <c r="S51" s="555"/>
      <c r="T51" s="376" t="str">
        <f t="shared" si="7"/>
        <v>-</v>
      </c>
    </row>
    <row r="52" ht="12.75" customHeight="1">
      <c r="P52" s="542"/>
      <c r="Q52" s="407"/>
      <c r="R52" s="543"/>
      <c r="S52" s="544"/>
      <c r="T52" s="376" t="str">
        <f t="shared" si="7"/>
        <v>-</v>
      </c>
    </row>
    <row r="53" ht="12.75" customHeight="1">
      <c r="P53" s="542"/>
      <c r="Q53" s="407"/>
      <c r="R53" s="543"/>
      <c r="S53" s="544"/>
      <c r="T53" s="376" t="str">
        <f t="shared" si="7"/>
        <v>-</v>
      </c>
    </row>
    <row r="54" ht="12.75" customHeight="1">
      <c r="P54" s="542"/>
      <c r="Q54" s="407"/>
      <c r="R54" s="543"/>
      <c r="S54" s="544"/>
      <c r="T54" s="376" t="str">
        <f t="shared" si="7"/>
        <v>-</v>
      </c>
    </row>
    <row r="55" ht="12.75" customHeight="1">
      <c r="P55" s="542"/>
      <c r="Q55" s="407"/>
      <c r="R55" s="543"/>
      <c r="S55" s="544"/>
      <c r="T55" s="376" t="str">
        <f t="shared" si="7"/>
        <v>-</v>
      </c>
    </row>
    <row r="56" ht="12.75" customHeight="1">
      <c r="P56" s="542"/>
      <c r="Q56" s="407"/>
      <c r="R56" s="543"/>
      <c r="S56" s="544"/>
      <c r="T56" s="376" t="str">
        <f t="shared" si="7"/>
        <v>-</v>
      </c>
    </row>
    <row r="57" ht="12.75" customHeight="1">
      <c r="P57" s="542"/>
      <c r="Q57" s="407"/>
      <c r="R57" s="543"/>
      <c r="S57" s="544"/>
      <c r="T57" s="376" t="str">
        <f t="shared" si="7"/>
        <v>-</v>
      </c>
    </row>
    <row r="58" ht="12.75" customHeight="1">
      <c r="P58" s="542"/>
      <c r="Q58" s="407"/>
      <c r="R58" s="543"/>
      <c r="S58" s="544"/>
      <c r="T58" s="376" t="str">
        <f t="shared" si="7"/>
        <v>-</v>
      </c>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c r="S927" s="337"/>
    </row>
    <row r="928" ht="12.75" customHeight="1">
      <c r="R928" s="336"/>
      <c r="S928" s="337"/>
    </row>
    <row r="929" ht="12.75" customHeight="1">
      <c r="R929" s="336"/>
      <c r="S929" s="337"/>
    </row>
    <row r="930" ht="12.75" customHeight="1">
      <c r="R930" s="336"/>
      <c r="S930" s="337"/>
    </row>
    <row r="931" ht="12.75" customHeight="1">
      <c r="R931" s="336"/>
      <c r="S931" s="337"/>
    </row>
    <row r="932" ht="12.75" customHeight="1">
      <c r="R932" s="336"/>
      <c r="S932" s="337"/>
    </row>
    <row r="933" ht="12.75" customHeight="1">
      <c r="R933" s="336"/>
      <c r="S933" s="337"/>
    </row>
    <row r="934" ht="12.75" customHeight="1">
      <c r="R934" s="336"/>
    </row>
    <row r="935" ht="12.75" customHeight="1">
      <c r="R935" s="336"/>
    </row>
    <row r="936" ht="12.75" customHeight="1">
      <c r="R936" s="336"/>
    </row>
    <row r="937" ht="12.75" customHeight="1">
      <c r="R937"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7">
    <cfRule type="cellIs" dxfId="5" priority="1" operator="lessThan">
      <formula>0</formula>
    </cfRule>
  </conditionalFormatting>
  <dataValidations>
    <dataValidation type="list" allowBlank="1" showErrorMessage="1" sqref="Q12:Q58">
      <formula1>"✔"</formula1>
    </dataValidation>
    <dataValidation type="custom" allowBlank="1" showDropDown="1" sqref="T12:T58">
      <formula1>OR(NOT(ISERROR(DATEVALUE(T12))), AND(ISNUMBER(T12), LEFT(CELL("format", T12))="D"))</formula1>
    </dataValidation>
  </dataValidations>
  <hyperlinks>
    <hyperlink r:id="rId1" ref="T3"/>
  </hyperlinks>
  <drawing r:id="rId2"/>
  <tableParts count="1">
    <tablePart r:id="rId4"/>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6.75"/>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2026.0</v>
      </c>
      <c r="C2" s="3"/>
      <c r="D2" s="9" t="s">
        <v>2</v>
      </c>
      <c r="E2" s="10">
        <v>9.0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SEPTEMBER 2026</v>
      </c>
      <c r="B5" s="22"/>
      <c r="C5" s="22"/>
      <c r="D5" s="22"/>
      <c r="E5" s="22"/>
      <c r="F5" s="22"/>
      <c r="G5" s="22"/>
      <c r="H5" s="23"/>
      <c r="I5" s="23"/>
      <c r="J5" s="23"/>
      <c r="K5" s="22"/>
      <c r="L5" s="24" t="s">
        <v>7</v>
      </c>
      <c r="M5" s="25">
        <f>'August 2026'!M6</f>
        <v>3059.02</v>
      </c>
      <c r="N5" s="26"/>
      <c r="O5" s="23"/>
      <c r="P5" s="27"/>
      <c r="Q5" s="27"/>
      <c r="R5" s="287" t="s">
        <v>8</v>
      </c>
      <c r="S5" s="288">
        <f>SUMIF(A18:N21,"&gt;0")+SUMIF(A24:N27,"&gt;0")+SUMIF(A30:N33,"&gt;0")+SUMIF(A36:N39,"&gt;0")+SUMIF(A42:D45,"&gt;0")+SUMIF(S12:S46,"&gt;0")+SUMIF(A12:N15,"&gt;0")</f>
        <v>6117.6</v>
      </c>
      <c r="U5" s="23"/>
      <c r="V5" s="289">
        <f>sum(S5+S6)</f>
        <v>547.98</v>
      </c>
      <c r="W5" s="23"/>
      <c r="X5" s="23"/>
      <c r="Y5" s="23"/>
      <c r="Z5" s="23"/>
    </row>
    <row r="6" ht="25.5" customHeight="1">
      <c r="A6" s="31"/>
      <c r="B6" s="31"/>
      <c r="C6" s="31"/>
      <c r="D6" s="31"/>
      <c r="E6" s="31"/>
      <c r="F6" s="32"/>
      <c r="G6" s="33"/>
      <c r="H6" s="34"/>
      <c r="I6" s="34"/>
      <c r="J6" s="34"/>
      <c r="K6" s="31"/>
      <c r="L6" s="24" t="s">
        <v>9</v>
      </c>
      <c r="M6" s="35">
        <f>D46</f>
        <v>3607</v>
      </c>
      <c r="O6" s="34"/>
      <c r="P6" s="36"/>
      <c r="Q6" s="36"/>
      <c r="R6" s="287" t="s">
        <v>10</v>
      </c>
      <c r="S6" s="288">
        <f>SUMIF(A18:N21,"&lt;0")+SUMIF(A24:N27,"&lt;0")+SUMIF(A30:N33,"&lt;0")+SUMIF(A36:N39,"&lt;0")+SUMIF(A42:D45,"&lt;0")+SUMIF(S12:S196,"&lt;0")+SUMIF(A12:N15,"&lt;0")</f>
        <v>-5569.62</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46266</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46271</v>
      </c>
      <c r="B9" s="40"/>
      <c r="C9" s="39">
        <f>C17</f>
        <v>46272</v>
      </c>
      <c r="D9" s="40"/>
      <c r="E9" s="39">
        <f>E17</f>
        <v>46273</v>
      </c>
      <c r="F9" s="40"/>
      <c r="G9" s="39">
        <f>G17</f>
        <v>46274</v>
      </c>
      <c r="H9" s="40"/>
      <c r="I9" s="39">
        <f>I17</f>
        <v>46275</v>
      </c>
      <c r="J9" s="40"/>
      <c r="K9" s="39">
        <f>K17</f>
        <v>46276</v>
      </c>
      <c r="L9" s="40"/>
      <c r="M9" s="39">
        <f>M17</f>
        <v>46277</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SUMIF($T$11:$T$123,A11,$S$11:$S$84)</f>
        <v>0</v>
      </c>
      <c r="C11" s="50" t="str">
        <f>IF(A11="",IF(WEEKDAY($B$8,1)=MOD($H$2,7)+1,$B$8,""),A11+1)</f>
        <v/>
      </c>
      <c r="D11" s="51">
        <f>SUMIF($T$11:$T$123,C11,$S$11:$S$84)</f>
        <v>0</v>
      </c>
      <c r="E11" s="50">
        <f>IF(C11="",IF(WEEKDAY($B$8,1)=MOD($H$2+1,7)+1,$B$8,""),C11+1)</f>
        <v>46266</v>
      </c>
      <c r="F11" s="51">
        <f>SUMIF($T$11:$T$123,E11,$S$11:$S$84)</f>
        <v>-30.13</v>
      </c>
      <c r="G11" s="50">
        <f>IF(E11="",IF(WEEKDAY($B$8,1)=MOD($H$2+2,7)+1,$B$8,""),E11+1)</f>
        <v>46267</v>
      </c>
      <c r="H11" s="51">
        <f>SUMIF($T$11:$T$123,G11,$S$11:$S$84)</f>
        <v>0</v>
      </c>
      <c r="I11" s="50">
        <f>IF(G11="",IF(WEEKDAY($B$8,1)=MOD($H$2+3,7)+1,$B$8,""),G11+1)</f>
        <v>46268</v>
      </c>
      <c r="J11" s="51">
        <f>SUMIF($T$11:$T$123,I11,$S$11:$S$84)</f>
        <v>-33</v>
      </c>
      <c r="K11" s="50">
        <f>IF(I11="",IF(WEEKDAY($B$8,1)=MOD($H$2+4,7)+1,$B$8,""),I11+1)</f>
        <v>46269</v>
      </c>
      <c r="L11" s="51">
        <f>SUMIF($T$11:$T$123,K11,$S$11:$S$84)</f>
        <v>2258.8</v>
      </c>
      <c r="M11" s="50">
        <f>IF(K11="",IF(WEEKDAY($B$8,1)=MOD($H$2+5,7)+1,$B$8,""),K11+1)</f>
        <v>46270</v>
      </c>
      <c r="N11" s="51">
        <f>SUMIF($T$11:$T$123,M11,$S$11:$S$84)</f>
        <v>-957.35</v>
      </c>
      <c r="O11" s="23"/>
      <c r="P11" s="52" t="s">
        <v>13</v>
      </c>
      <c r="Q11" s="53" t="s">
        <v>14</v>
      </c>
      <c r="R11" s="53" t="s">
        <v>15</v>
      </c>
      <c r="S11" s="96" t="s">
        <v>16</v>
      </c>
      <c r="T11" s="53" t="s">
        <v>17</v>
      </c>
      <c r="U11" s="23"/>
      <c r="V11" s="23"/>
      <c r="W11" s="23"/>
      <c r="X11" s="23"/>
      <c r="Y11" s="23"/>
    </row>
    <row r="12" ht="18.75" customHeight="1">
      <c r="A12" s="55"/>
      <c r="B12" s="56"/>
      <c r="C12" s="55"/>
      <c r="D12" s="56"/>
      <c r="E12" s="55"/>
      <c r="F12" s="56"/>
      <c r="G12" s="55"/>
      <c r="H12" s="56"/>
      <c r="I12" s="58"/>
      <c r="J12" s="57"/>
      <c r="K12" s="55"/>
      <c r="L12" s="56"/>
      <c r="M12" s="55"/>
      <c r="N12" s="56"/>
      <c r="O12" s="23"/>
      <c r="P12" s="551" t="s">
        <v>25</v>
      </c>
      <c r="Q12" s="552"/>
      <c r="R12" s="553">
        <v>8.0</v>
      </c>
      <c r="S12" s="549">
        <f t="array" ref="S12">-INDEX(PaymentSchedule!$E$21:$AG930,MATCH(PaymentSchedule!$B$41,PaymentSchedule!$B$21:$B$100),MATCH($P12,PaymentSchedule!$E$19:$AG$19,0))</f>
        <v>0</v>
      </c>
      <c r="T12" s="550">
        <f t="shared" ref="T12:T16" si="1">IF(ISBLANK(R12),"-",IF(R12&gt;DAY(EOMONTH(DATE($B$2,$E$2,1),0)),EOMONTH(DATE($B$2,$E$2,1),0),DATE($B$2,$E$2,R12)))</f>
        <v>46273</v>
      </c>
      <c r="U12" s="23"/>
      <c r="V12" s="64"/>
      <c r="W12" s="303"/>
      <c r="X12" s="23"/>
      <c r="Y12" s="23"/>
    </row>
    <row r="13" ht="18.75" customHeight="1">
      <c r="A13" s="55"/>
      <c r="B13" s="56"/>
      <c r="C13" s="55"/>
      <c r="D13" s="56"/>
      <c r="E13" s="55"/>
      <c r="F13" s="56"/>
      <c r="G13" s="55"/>
      <c r="H13" s="56"/>
      <c r="I13" s="55"/>
      <c r="J13" s="57"/>
      <c r="K13" s="55"/>
      <c r="L13" s="56"/>
      <c r="M13" s="55"/>
      <c r="N13" s="56"/>
      <c r="O13" s="23"/>
      <c r="P13" s="551" t="s">
        <v>89</v>
      </c>
      <c r="Q13" s="552"/>
      <c r="R13" s="553">
        <v>7.0</v>
      </c>
      <c r="S13" s="549">
        <f t="array" ref="S13">-INDEX(PaymentSchedule!$E$21:$AG930,MATCH(PaymentSchedule!$B$41,PaymentSchedule!$B$21:$B$100),MATCH($P13,PaymentSchedule!$E$19:$AG$19,0))</f>
        <v>-175</v>
      </c>
      <c r="T13" s="550">
        <f t="shared" si="1"/>
        <v>46272</v>
      </c>
      <c r="U13" s="23"/>
      <c r="V13" s="64"/>
      <c r="W13" s="303"/>
      <c r="X13" s="23"/>
      <c r="Y13" s="23"/>
    </row>
    <row r="14" ht="18.75" customHeight="1">
      <c r="A14" s="55"/>
      <c r="B14" s="56"/>
      <c r="C14" s="55"/>
      <c r="D14" s="56"/>
      <c r="E14" s="55"/>
      <c r="F14" s="56"/>
      <c r="G14" s="55"/>
      <c r="H14" s="56"/>
      <c r="I14" s="58"/>
      <c r="J14" s="57"/>
      <c r="K14" s="55"/>
      <c r="L14" s="56"/>
      <c r="M14" s="55"/>
      <c r="N14" s="56"/>
      <c r="O14" s="23"/>
      <c r="P14" s="551" t="s">
        <v>85</v>
      </c>
      <c r="Q14" s="552"/>
      <c r="R14" s="553">
        <v>18.0</v>
      </c>
      <c r="S14" s="549">
        <f t="array" ref="S14">-INDEX(PaymentSchedule!$E$21:$AG930,MATCH(PaymentSchedule!$B$41,PaymentSchedule!$B$21:$B$100),MATCH($P14,PaymentSchedule!$E$19:$AG$19,0))</f>
        <v>-151</v>
      </c>
      <c r="T14" s="550">
        <f t="shared" si="1"/>
        <v>46283</v>
      </c>
      <c r="U14" s="23"/>
      <c r="V14" s="64"/>
      <c r="W14" s="303"/>
      <c r="X14" s="23"/>
      <c r="Y14" s="23"/>
    </row>
    <row r="15" ht="18.75" customHeight="1">
      <c r="A15" s="55"/>
      <c r="B15" s="56"/>
      <c r="C15" s="55"/>
      <c r="D15" s="56"/>
      <c r="E15" s="55"/>
      <c r="F15" s="56"/>
      <c r="G15" s="55"/>
      <c r="H15" s="56"/>
      <c r="I15" s="55"/>
      <c r="J15" s="56"/>
      <c r="K15" s="55"/>
      <c r="L15" s="56"/>
      <c r="M15" s="55"/>
      <c r="N15" s="56"/>
      <c r="O15" s="23"/>
      <c r="P15" s="551" t="s">
        <v>86</v>
      </c>
      <c r="Q15" s="552"/>
      <c r="R15" s="553">
        <v>5.0</v>
      </c>
      <c r="S15" s="549">
        <f t="array" ref="S15">-INDEX(PaymentSchedule!$E$21:$AG930,MATCH(PaymentSchedule!$B$41,PaymentSchedule!$B$21:$B$100),MATCH($P15,PaymentSchedule!$E$19:$AG$19,0))</f>
        <v>-791.16</v>
      </c>
      <c r="T15" s="550">
        <f t="shared" si="1"/>
        <v>46270</v>
      </c>
      <c r="U15" s="23"/>
      <c r="V15" s="64"/>
      <c r="W15" s="303"/>
      <c r="X15" s="23"/>
      <c r="Y15" s="23"/>
    </row>
    <row r="16" ht="18.75" customHeight="1">
      <c r="A16" s="66" t="s">
        <v>22</v>
      </c>
      <c r="B16" s="67">
        <f>$M$5+SUM(B11:B15)</f>
        <v>3059.02</v>
      </c>
      <c r="C16" s="66"/>
      <c r="D16" s="67">
        <f>B16+SUM(D11:D15)</f>
        <v>3059.02</v>
      </c>
      <c r="E16" s="66"/>
      <c r="F16" s="67">
        <f>D16+SUM(F11:F15)</f>
        <v>3028.89</v>
      </c>
      <c r="G16" s="66"/>
      <c r="H16" s="67">
        <f>F16+SUM(H11:H15)</f>
        <v>3028.89</v>
      </c>
      <c r="I16" s="66"/>
      <c r="J16" s="67">
        <f>H16+SUM(J11:J15)</f>
        <v>2995.89</v>
      </c>
      <c r="K16" s="66"/>
      <c r="L16" s="67">
        <f>J16+SUM(L11:L15)</f>
        <v>5254.69</v>
      </c>
      <c r="M16" s="66"/>
      <c r="N16" s="67">
        <f>L16+SUM(N11:N15)</f>
        <v>4297.34</v>
      </c>
      <c r="O16" s="68"/>
      <c r="P16" s="551" t="s">
        <v>20</v>
      </c>
      <c r="Q16" s="552"/>
      <c r="R16" s="553">
        <v>1.0</v>
      </c>
      <c r="S16" s="549">
        <f t="array" ref="S16">-INDEX(PaymentSchedule!$E$21:$AG930,MATCH(PaymentSchedule!$B$41,PaymentSchedule!$B$21:$B$100),MATCH($P16,PaymentSchedule!$E$19:$AG$19,0))</f>
        <v>-1467.13</v>
      </c>
      <c r="T16" s="550">
        <f t="shared" si="1"/>
        <v>46266</v>
      </c>
      <c r="U16" s="69"/>
      <c r="V16" s="71"/>
      <c r="W16" s="309"/>
      <c r="X16" s="69"/>
      <c r="Y16" s="69"/>
    </row>
    <row r="17" ht="18.75" customHeight="1">
      <c r="A17" s="50">
        <f>IF(M11="","",IF(MONTH(M11+1)&lt;&gt;MONTH(M11),"",M11+1))</f>
        <v>46271</v>
      </c>
      <c r="B17" s="51">
        <f>SUMIF($T$11:$T$123,A17,$S$11:$S$84)</f>
        <v>-301</v>
      </c>
      <c r="C17" s="50">
        <f>IF(A17="","",IF(MONTH(A17+1)&lt;&gt;MONTH(A17),"",A17+1))</f>
        <v>46272</v>
      </c>
      <c r="D17" s="51">
        <f>SUMIF($T$11:$T$123,C17,$S$11:$S$84)</f>
        <v>-196.8</v>
      </c>
      <c r="E17" s="50">
        <f>IF(C17="","",IF(MONTH(C17+1)&lt;&gt;MONTH(C17),"",C17+1))</f>
        <v>46273</v>
      </c>
      <c r="F17" s="51">
        <f>SUMIF($T$11:$T$123,E17,$S$11:$S$84)</f>
        <v>0</v>
      </c>
      <c r="G17" s="50">
        <f>IF(E17="","",IF(MONTH(E17+1)&lt;&gt;MONTH(E17),"",E17+1))</f>
        <v>46274</v>
      </c>
      <c r="H17" s="51">
        <f>SUMIF($T$11:$T$123,G17,$S$11:$S$84)</f>
        <v>-450.08</v>
      </c>
      <c r="I17" s="50">
        <f>IF(G17="","",IF(MONTH(G17+1)&lt;&gt;MONTH(G17),"",G17+1))</f>
        <v>46275</v>
      </c>
      <c r="J17" s="51">
        <f>SUMIF($T$11:$T$123,I17,$S$11:$S$84)</f>
        <v>0</v>
      </c>
      <c r="K17" s="50">
        <f>IF(I17="","",IF(MONTH(I17+1)&lt;&gt;MONTH(I17),"",I17+1))</f>
        <v>46276</v>
      </c>
      <c r="L17" s="51">
        <f>SUMIF($T$11:$T$123,K17,$S$11:$S$84)</f>
        <v>-50</v>
      </c>
      <c r="M17" s="50">
        <f>IF(K17="","",IF(MONTH(K17+1)&lt;&gt;MONTH(K17),"",K17+1))</f>
        <v>46277</v>
      </c>
      <c r="N17" s="51">
        <f>SUMIF($T$11:$T$123,M17,$S$11:$S$84)</f>
        <v>-334</v>
      </c>
      <c r="O17" s="23"/>
      <c r="P17" s="546" t="s">
        <v>87</v>
      </c>
      <c r="Q17" s="547"/>
      <c r="R17" s="607">
        <v>28.0</v>
      </c>
      <c r="S17" s="598">
        <f t="array" ref="S17">-INDEX(PaymentSchedule!$E$21:$AG930,MATCH(PaymentSchedule!$B$31,PaymentSchedule!$B$21:$B$100),MATCH($P17,PaymentSchedule!$E$19:$AG$19,0))</f>
        <v>-695.6</v>
      </c>
      <c r="T17" s="599">
        <f>IF(ISBLANK(R17),"-",IF(R17&gt;DAY(EOMONTH(DATE($B$2,$E$2,1),0)),EOMONTH(DATE($B$2,$E$2,1),0),DATE($B$2,$E$2,R17)))</f>
        <v>46293</v>
      </c>
      <c r="U17" s="23"/>
      <c r="V17" s="64"/>
      <c r="W17" s="303"/>
      <c r="X17" s="23"/>
      <c r="Y17" s="23"/>
    </row>
    <row r="18" ht="18.75" customHeight="1">
      <c r="A18" s="55"/>
      <c r="B18" s="56"/>
      <c r="C18" s="55"/>
      <c r="D18" s="56"/>
      <c r="E18" s="55"/>
      <c r="F18" s="56"/>
      <c r="G18" s="55"/>
      <c r="H18" s="56"/>
      <c r="I18" s="55"/>
      <c r="J18" s="56"/>
      <c r="K18" s="58" t="s">
        <v>230</v>
      </c>
      <c r="L18" s="57">
        <v>-38.0</v>
      </c>
      <c r="M18" s="55"/>
      <c r="N18" s="56"/>
      <c r="O18" s="23"/>
      <c r="P18" s="551" t="s">
        <v>37</v>
      </c>
      <c r="Q18" s="552"/>
      <c r="R18" s="553">
        <v>12.0</v>
      </c>
      <c r="S18" s="549">
        <f t="array" ref="S18">-INDEX(PaymentSchedule!$E$21:$AG930,MATCH(PaymentSchedule!$B$41,PaymentSchedule!$B$21:$B$100),MATCH($P18,PaymentSchedule!$E$19:$AG$19,0))</f>
        <v>-82</v>
      </c>
      <c r="T18" s="550">
        <f t="shared" ref="T18:T30" si="2">IF(ISBLANK(R18),"-",IF(R18&gt;DAY(EOMONTH(DATE($B$2,$E$2,1),0)),EOMONTH(DATE($B$2,$E$2,1),0),DATE($B$2,$E$2,R18)))</f>
        <v>46277</v>
      </c>
      <c r="U18" s="23"/>
      <c r="X18" s="23"/>
      <c r="Y18" s="23"/>
    </row>
    <row r="19" ht="18.75" customHeight="1">
      <c r="A19" s="55"/>
      <c r="B19" s="56"/>
      <c r="C19" s="55"/>
      <c r="D19" s="56"/>
      <c r="E19" s="55"/>
      <c r="F19" s="56"/>
      <c r="G19" s="55"/>
      <c r="H19" s="56"/>
      <c r="I19" s="55"/>
      <c r="J19" s="56"/>
      <c r="K19" s="55"/>
      <c r="L19" s="56"/>
      <c r="M19" s="55"/>
      <c r="N19" s="56"/>
      <c r="O19" s="23"/>
      <c r="P19" s="551" t="s">
        <v>36</v>
      </c>
      <c r="Q19" s="552"/>
      <c r="R19" s="553">
        <v>9.0</v>
      </c>
      <c r="S19" s="549">
        <f t="array" ref="S19">-INDEX(PaymentSchedule!$E$21:$AG930,MATCH(PaymentSchedule!$B$41,PaymentSchedule!$B$21:$B$100),MATCH($P19,PaymentSchedule!$E$19:$AG$19,0))</f>
        <v>-450.08</v>
      </c>
      <c r="T19" s="550">
        <f t="shared" si="2"/>
        <v>46274</v>
      </c>
      <c r="U19" s="23"/>
      <c r="V19" s="64"/>
      <c r="W19" s="303"/>
      <c r="X19" s="23"/>
      <c r="Y19" s="23"/>
    </row>
    <row r="20" ht="18.75" customHeight="1">
      <c r="A20" s="55"/>
      <c r="B20" s="56"/>
      <c r="C20" s="55"/>
      <c r="D20" s="56"/>
      <c r="E20" s="55"/>
      <c r="F20" s="56"/>
      <c r="G20" s="55"/>
      <c r="H20" s="56"/>
      <c r="I20" s="55"/>
      <c r="J20" s="56"/>
      <c r="K20" s="55"/>
      <c r="L20" s="56"/>
      <c r="M20" s="55"/>
      <c r="N20" s="56"/>
      <c r="O20" s="23"/>
      <c r="P20" s="538" t="s">
        <v>55</v>
      </c>
      <c r="Q20" s="539"/>
      <c r="R20" s="540">
        <v>30.0</v>
      </c>
      <c r="S20" s="365">
        <v>-18.35</v>
      </c>
      <c r="T20" s="323">
        <f t="shared" si="2"/>
        <v>46295</v>
      </c>
      <c r="U20" s="23"/>
      <c r="V20" s="64"/>
      <c r="W20" s="303"/>
      <c r="X20" s="23"/>
      <c r="Y20" s="23"/>
    </row>
    <row r="21" ht="18.75" customHeight="1">
      <c r="A21" s="55"/>
      <c r="B21" s="56"/>
      <c r="C21" s="55"/>
      <c r="D21" s="56"/>
      <c r="E21" s="55"/>
      <c r="F21" s="56"/>
      <c r="G21" s="55"/>
      <c r="H21" s="56"/>
      <c r="I21" s="55"/>
      <c r="J21" s="56"/>
      <c r="K21" s="55"/>
      <c r="L21" s="56"/>
      <c r="M21" s="55"/>
      <c r="N21" s="56"/>
      <c r="O21" s="23"/>
      <c r="P21" s="319" t="s">
        <v>29</v>
      </c>
      <c r="Q21" s="320"/>
      <c r="R21" s="321">
        <v>5.0</v>
      </c>
      <c r="S21" s="322">
        <v>-16.19</v>
      </c>
      <c r="T21" s="323">
        <f t="shared" si="2"/>
        <v>46270</v>
      </c>
      <c r="U21" s="303"/>
      <c r="V21" s="64"/>
      <c r="W21" s="303"/>
      <c r="X21" s="23"/>
      <c r="Y21" s="23"/>
    </row>
    <row r="22" ht="18.75" customHeight="1">
      <c r="A22" s="66" t="s">
        <v>22</v>
      </c>
      <c r="B22" s="67">
        <f>N16+SUM(B17:B21)</f>
        <v>3996.34</v>
      </c>
      <c r="C22" s="66"/>
      <c r="D22" s="67">
        <f>B22+SUM(D17:D21)</f>
        <v>3799.54</v>
      </c>
      <c r="E22" s="66"/>
      <c r="F22" s="67">
        <f>D22+SUM(F17:F21)</f>
        <v>3799.54</v>
      </c>
      <c r="G22" s="66"/>
      <c r="H22" s="67">
        <f>F22+SUM(H17:H21)</f>
        <v>3349.46</v>
      </c>
      <c r="I22" s="66"/>
      <c r="J22" s="67">
        <f>H22+SUM(J17:J21)</f>
        <v>3349.46</v>
      </c>
      <c r="K22" s="66"/>
      <c r="L22" s="67">
        <f>J22+SUM(L17:L21)</f>
        <v>3261.46</v>
      </c>
      <c r="M22" s="66"/>
      <c r="N22" s="67">
        <f>L22+SUM(N17:N21)</f>
        <v>2927.46</v>
      </c>
      <c r="O22" s="68"/>
      <c r="P22" s="319" t="s">
        <v>43</v>
      </c>
      <c r="Q22" s="320"/>
      <c r="R22" s="321">
        <v>17.0</v>
      </c>
      <c r="S22" s="322">
        <v>-9.99</v>
      </c>
      <c r="T22" s="323">
        <f t="shared" si="2"/>
        <v>46282</v>
      </c>
      <c r="V22" s="71"/>
      <c r="W22" s="309"/>
      <c r="X22" s="69"/>
      <c r="Y22" s="69"/>
    </row>
    <row r="23" ht="18.75" customHeight="1">
      <c r="A23" s="50">
        <f>IF(M17="","",IF(MONTH(M17+1)&lt;&gt;MONTH(M17),"",M17+1))</f>
        <v>46278</v>
      </c>
      <c r="B23" s="51">
        <f>SUMIF($T$11:$T$123,A23,$S$11:$S$84)</f>
        <v>0</v>
      </c>
      <c r="C23" s="50">
        <f>IF(A23="","",IF(MONTH(A23+1)&lt;&gt;MONTH(A23),"",A23+1))</f>
        <v>46279</v>
      </c>
      <c r="D23" s="51">
        <f>SUMIF($T$11:$T$123,C23,$S$11:$S$84)</f>
        <v>0</v>
      </c>
      <c r="E23" s="50">
        <f>IF(C23="","",IF(MONTH(C23+1)&lt;&gt;MONTH(C23),"",C23+1))</f>
        <v>46280</v>
      </c>
      <c r="F23" s="51">
        <f>SUMIF($T$11:$T$123,E23,$S$11:$S$84)</f>
        <v>0</v>
      </c>
      <c r="G23" s="50">
        <f>IF(E23="","",IF(MONTH(E23+1)&lt;&gt;MONTH(E23),"",E23+1))</f>
        <v>46281</v>
      </c>
      <c r="H23" s="51">
        <f>SUMIF($T$11:$T$123,G23,$S$11:$S$84)</f>
        <v>0</v>
      </c>
      <c r="I23" s="50">
        <f>IF(G23="","",IF(MONTH(G23+1)&lt;&gt;MONTH(G23),"",G23+1))</f>
        <v>46282</v>
      </c>
      <c r="J23" s="51">
        <f>SUMIF($T$11:$T$123,I23,$S$11:$S$84)</f>
        <v>-15.98</v>
      </c>
      <c r="K23" s="50">
        <f>IF(I23="","",IF(MONTH(I23+1)&lt;&gt;MONTH(I23),"",I23+1))</f>
        <v>46283</v>
      </c>
      <c r="L23" s="51">
        <f>SUMIF($T$11:$T$123,K23,$S$11:$S$84)</f>
        <v>2157.8</v>
      </c>
      <c r="M23" s="50">
        <f>IF(K23="","",IF(MONTH(K23+1)&lt;&gt;MONTH(K23),"",K23+1))</f>
        <v>46284</v>
      </c>
      <c r="N23" s="51">
        <f>SUMIF($T$11:$T$123,M23,$S$11:$S$84)</f>
        <v>-150</v>
      </c>
      <c r="O23" s="23"/>
      <c r="P23" s="319" t="s">
        <v>54</v>
      </c>
      <c r="Q23" s="320"/>
      <c r="R23" s="321">
        <v>30.0</v>
      </c>
      <c r="S23" s="322">
        <v>-11.0</v>
      </c>
      <c r="T23" s="323">
        <f t="shared" si="2"/>
        <v>46295</v>
      </c>
      <c r="U23" s="23"/>
      <c r="V23" s="64"/>
      <c r="W23" s="303"/>
      <c r="X23" s="23"/>
      <c r="Y23" s="23"/>
    </row>
    <row r="24" ht="18.75" customHeight="1">
      <c r="A24" s="55"/>
      <c r="B24" s="57"/>
      <c r="C24" s="58"/>
      <c r="D24" s="57"/>
      <c r="E24" s="55"/>
      <c r="F24" s="586"/>
      <c r="G24" s="413"/>
      <c r="H24" s="535"/>
      <c r="I24" s="55"/>
      <c r="J24" s="56"/>
      <c r="K24" s="58"/>
      <c r="L24" s="57"/>
      <c r="M24" s="55"/>
      <c r="N24" s="56"/>
      <c r="O24" s="23"/>
      <c r="P24" s="319" t="s">
        <v>30</v>
      </c>
      <c r="Q24" s="320"/>
      <c r="R24" s="321">
        <v>6.0</v>
      </c>
      <c r="S24" s="322">
        <v>-301.0</v>
      </c>
      <c r="T24" s="323">
        <f t="shared" si="2"/>
        <v>46271</v>
      </c>
      <c r="U24" s="23"/>
      <c r="V24" s="64"/>
      <c r="W24" s="303"/>
      <c r="X24" s="23"/>
      <c r="Y24" s="23"/>
    </row>
    <row r="25" ht="18.75" customHeight="1">
      <c r="A25" s="55"/>
      <c r="B25" s="56"/>
      <c r="C25" s="55"/>
      <c r="D25" s="56"/>
      <c r="E25" s="55"/>
      <c r="F25" s="56"/>
      <c r="G25" s="55"/>
      <c r="H25" s="56"/>
      <c r="I25" s="55"/>
      <c r="J25" s="56"/>
      <c r="K25" s="58"/>
      <c r="L25" s="57"/>
      <c r="M25" s="55"/>
      <c r="N25" s="56"/>
      <c r="O25" s="23"/>
      <c r="P25" s="319" t="s">
        <v>47</v>
      </c>
      <c r="Q25" s="320"/>
      <c r="R25" s="321">
        <v>1.0</v>
      </c>
      <c r="S25" s="608">
        <v>1500.0</v>
      </c>
      <c r="T25" s="323">
        <f t="shared" si="2"/>
        <v>46266</v>
      </c>
      <c r="U25" s="23"/>
      <c r="V25" s="64"/>
      <c r="W25" s="303"/>
      <c r="X25" s="23"/>
      <c r="Y25" s="23"/>
    </row>
    <row r="26" ht="18.75" customHeight="1">
      <c r="A26" s="55"/>
      <c r="B26" s="56"/>
      <c r="C26" s="55"/>
      <c r="D26" s="56"/>
      <c r="E26" s="55"/>
      <c r="F26" s="56"/>
      <c r="G26" s="55"/>
      <c r="H26" s="56"/>
      <c r="I26" s="55"/>
      <c r="J26" s="56"/>
      <c r="K26" s="58"/>
      <c r="L26" s="57"/>
      <c r="M26" s="55"/>
      <c r="N26" s="56"/>
      <c r="O26" s="23"/>
      <c r="P26" s="319" t="s">
        <v>19</v>
      </c>
      <c r="Q26" s="320"/>
      <c r="R26" s="321">
        <v>4.0</v>
      </c>
      <c r="S26" s="322">
        <v>2308.8</v>
      </c>
      <c r="T26" s="323">
        <f t="shared" si="2"/>
        <v>46269</v>
      </c>
      <c r="U26" s="23"/>
      <c r="V26" s="64"/>
      <c r="W26" s="303"/>
      <c r="X26" s="23"/>
      <c r="Y26" s="23"/>
    </row>
    <row r="27" ht="18.75" customHeight="1">
      <c r="A27" s="55"/>
      <c r="B27" s="56"/>
      <c r="C27" s="55"/>
      <c r="D27" s="56"/>
      <c r="E27" s="55"/>
      <c r="F27" s="56"/>
      <c r="G27" s="55"/>
      <c r="H27" s="56"/>
      <c r="I27" s="55"/>
      <c r="J27" s="56"/>
      <c r="K27" s="55"/>
      <c r="L27" s="56"/>
      <c r="M27" s="55"/>
      <c r="N27" s="56"/>
      <c r="O27" s="23"/>
      <c r="P27" s="319" t="s">
        <v>151</v>
      </c>
      <c r="Q27" s="320"/>
      <c r="R27" s="321">
        <v>18.0</v>
      </c>
      <c r="S27" s="322">
        <v>2308.8</v>
      </c>
      <c r="T27" s="323">
        <f t="shared" si="2"/>
        <v>46283</v>
      </c>
      <c r="U27" s="23"/>
      <c r="V27" s="64"/>
      <c r="W27" s="303"/>
      <c r="X27" s="23"/>
      <c r="Y27" s="23"/>
    </row>
    <row r="28" ht="18.75" customHeight="1">
      <c r="A28" s="66" t="s">
        <v>22</v>
      </c>
      <c r="B28" s="588">
        <f>N22+SUM(B23:B27)</f>
        <v>2927.46</v>
      </c>
      <c r="C28" s="589"/>
      <c r="D28" s="588">
        <f>B28+SUM(D23:D27)</f>
        <v>2927.46</v>
      </c>
      <c r="E28" s="66"/>
      <c r="F28" s="67">
        <f>D28+SUM(F23:F27)</f>
        <v>2927.46</v>
      </c>
      <c r="G28" s="66"/>
      <c r="H28" s="67">
        <f>F28+SUM(H23:H27)</f>
        <v>2927.46</v>
      </c>
      <c r="I28" s="66"/>
      <c r="J28" s="67">
        <f>H28+SUM(J23:J27)</f>
        <v>2911.48</v>
      </c>
      <c r="K28" s="66"/>
      <c r="L28" s="67">
        <f>J28+SUM(L23:L27)</f>
        <v>5069.28</v>
      </c>
      <c r="M28" s="66"/>
      <c r="N28" s="67">
        <f>L28+SUM(N23:N27)</f>
        <v>4919.28</v>
      </c>
      <c r="O28" s="68"/>
      <c r="P28" s="406" t="s">
        <v>173</v>
      </c>
      <c r="Q28" s="407"/>
      <c r="R28" s="408">
        <v>1.0</v>
      </c>
      <c r="S28" s="409"/>
      <c r="T28" s="323">
        <f t="shared" si="2"/>
        <v>46266</v>
      </c>
      <c r="U28" s="69"/>
      <c r="V28" s="71"/>
      <c r="W28" s="309"/>
      <c r="X28" s="69"/>
      <c r="Y28" s="69"/>
    </row>
    <row r="29" ht="18.75" customHeight="1">
      <c r="A29" s="50">
        <f>IF(M23="","",IF(MONTH(M23+1)&lt;&gt;MONTH(M23),"",M23+1))</f>
        <v>46285</v>
      </c>
      <c r="B29" s="51">
        <f>SUMIF($T$11:$T$123,A29,$S$11:$S$84)</f>
        <v>0</v>
      </c>
      <c r="C29" s="50">
        <f>IF(A29="","",IF(MONTH(A29+1)&lt;&gt;MONTH(A29),"",A29+1))</f>
        <v>46286</v>
      </c>
      <c r="D29" s="51">
        <f>SUMIF($T$11:$T$123,C29,$S$11:$S$84)</f>
        <v>0</v>
      </c>
      <c r="E29" s="50">
        <f>IF(C29="","",IF(MONTH(C29+1)&lt;&gt;MONTH(C29),"",C29+1))</f>
        <v>46287</v>
      </c>
      <c r="F29" s="51">
        <f>SUMIF($T$11:$T$123,E29,$S$11:$S$84)</f>
        <v>0</v>
      </c>
      <c r="G29" s="50">
        <f>IF(E29="","",IF(MONTH(E29+1)&lt;&gt;MONTH(E29),"",E29+1))</f>
        <v>46288</v>
      </c>
      <c r="H29" s="51">
        <f>SUMIF($T$11:$T$123,G29,$S$11:$S$84)</f>
        <v>-10.99</v>
      </c>
      <c r="I29" s="50">
        <f>IF(G29="","",IF(MONTH(G29+1)&lt;&gt;MONTH(G29),"",G29+1))</f>
        <v>46289</v>
      </c>
      <c r="J29" s="51">
        <f>SUMIF($T$11:$T$123,I29,$S$11:$S$84)</f>
        <v>0</v>
      </c>
      <c r="K29" s="50">
        <f>IF(I29="","",IF(MONTH(I29+1)&lt;&gt;MONTH(I29),"",I29+1))</f>
        <v>46290</v>
      </c>
      <c r="L29" s="51">
        <f>SUMIF($T$11:$T$123,K29,$S$11:$S$84)</f>
        <v>0</v>
      </c>
      <c r="M29" s="50">
        <f>IF(K29="","",IF(MONTH(K29+1)&lt;&gt;MONTH(K29),"",K29+1))</f>
        <v>46291</v>
      </c>
      <c r="N29" s="51">
        <f>SUMIF($T$11:$T$123,M29,$S$11:$S$84)</f>
        <v>-195.35</v>
      </c>
      <c r="O29" s="23"/>
      <c r="P29" s="406" t="s">
        <v>142</v>
      </c>
      <c r="Q29" s="407"/>
      <c r="R29" s="408">
        <v>1.0</v>
      </c>
      <c r="S29" s="409"/>
      <c r="T29" s="323">
        <f t="shared" si="2"/>
        <v>46266</v>
      </c>
      <c r="U29" s="23"/>
      <c r="V29" s="64"/>
      <c r="W29" s="303"/>
      <c r="X29" s="23"/>
      <c r="Y29" s="23"/>
    </row>
    <row r="30" ht="18.75" customHeight="1">
      <c r="A30" s="58" t="s">
        <v>160</v>
      </c>
      <c r="B30" s="57"/>
      <c r="C30" s="55"/>
      <c r="D30" s="56"/>
      <c r="E30" s="55"/>
      <c r="F30" s="56"/>
      <c r="G30" s="55"/>
      <c r="H30" s="56"/>
      <c r="I30" s="55"/>
      <c r="J30" s="56"/>
      <c r="K30" s="55"/>
      <c r="L30" s="56"/>
      <c r="M30" s="55"/>
      <c r="N30" s="56"/>
      <c r="O30" s="23"/>
      <c r="P30" s="319" t="s">
        <v>142</v>
      </c>
      <c r="Q30" s="320"/>
      <c r="R30" s="321"/>
      <c r="S30" s="322"/>
      <c r="T30" s="323" t="str">
        <f t="shared" si="2"/>
        <v>-</v>
      </c>
      <c r="U30" s="23"/>
      <c r="V30" s="64"/>
      <c r="W30" s="303"/>
      <c r="X30" s="23"/>
      <c r="Y30" s="23"/>
    </row>
    <row r="31" ht="18.75" customHeight="1">
      <c r="A31" s="58" t="s">
        <v>161</v>
      </c>
      <c r="B31" s="57"/>
      <c r="C31" s="55"/>
      <c r="D31" s="56"/>
      <c r="E31" s="55"/>
      <c r="F31" s="56"/>
      <c r="G31" s="55"/>
      <c r="H31" s="56"/>
      <c r="I31" s="55"/>
      <c r="J31" s="56"/>
      <c r="K31" s="55"/>
      <c r="L31" s="56"/>
      <c r="M31" s="55"/>
      <c r="N31" s="56"/>
      <c r="O31" s="23"/>
      <c r="P31" s="367"/>
      <c r="Q31" s="368"/>
      <c r="R31" s="405"/>
      <c r="S31" s="370"/>
      <c r="T31" s="376" t="str">
        <f>IF(ISBLANK(R31),"-",IF(R31&gt;DAY(EOMONTH(DATE($B$2,$E$2,1),0)),EOMONTH(DATE($B$2,$E$2,1),0),DATE($B$2,$E$2,R31)))</f>
        <v>-</v>
      </c>
      <c r="U31" s="23"/>
      <c r="V31" s="64"/>
      <c r="W31" s="303"/>
      <c r="X31" s="23"/>
      <c r="Y31" s="23"/>
    </row>
    <row r="32" ht="18.75" customHeight="1">
      <c r="A32" s="55"/>
      <c r="B32" s="56"/>
      <c r="C32" s="55"/>
      <c r="D32" s="56"/>
      <c r="E32" s="55"/>
      <c r="F32" s="56"/>
      <c r="G32" s="55"/>
      <c r="H32" s="56"/>
      <c r="I32" s="55"/>
      <c r="J32" s="56"/>
      <c r="K32" s="55"/>
      <c r="L32" s="56"/>
      <c r="M32" s="55"/>
      <c r="N32" s="56"/>
      <c r="O32" s="23"/>
      <c r="P32" s="319" t="s">
        <v>46</v>
      </c>
      <c r="Q32" s="320"/>
      <c r="R32" s="321">
        <v>23.0</v>
      </c>
      <c r="S32" s="322">
        <v>-10.99</v>
      </c>
      <c r="T32" s="323">
        <f t="shared" ref="T32:T36" si="3">IF(ISBLANK(R32),"-",IF(R32&gt;DAY(EOMONTH(DATE($B$2,$E$2,1),0)),EOMONTH(DATE($B$2,$E$2,1),0),DATE($B$2,$E$2,R32)))</f>
        <v>46288</v>
      </c>
      <c r="U32" s="23"/>
      <c r="V32" s="64"/>
      <c r="W32" s="303"/>
      <c r="X32" s="23"/>
      <c r="Y32" s="23"/>
    </row>
    <row r="33" ht="18.75" customHeight="1">
      <c r="A33" s="55"/>
      <c r="B33" s="56"/>
      <c r="C33" s="55"/>
      <c r="D33" s="56"/>
      <c r="E33" s="55"/>
      <c r="F33" s="56"/>
      <c r="G33" s="55"/>
      <c r="H33" s="56"/>
      <c r="I33" s="55"/>
      <c r="J33" s="56"/>
      <c r="K33" s="55"/>
      <c r="L33" s="56"/>
      <c r="M33" s="55"/>
      <c r="N33" s="56"/>
      <c r="O33" s="23"/>
      <c r="P33" s="538" t="s">
        <v>44</v>
      </c>
      <c r="Q33" s="539"/>
      <c r="R33" s="540">
        <v>26.0</v>
      </c>
      <c r="S33" s="365">
        <v>-18.35</v>
      </c>
      <c r="T33" s="323">
        <f t="shared" si="3"/>
        <v>46291</v>
      </c>
      <c r="U33" s="23"/>
      <c r="V33" s="64"/>
      <c r="W33" s="303"/>
      <c r="X33" s="23"/>
      <c r="Y33" s="23"/>
    </row>
    <row r="34" ht="18.75" customHeight="1">
      <c r="A34" s="66" t="s">
        <v>22</v>
      </c>
      <c r="B34" s="67">
        <f>N28+SUM(B29:B33)</f>
        <v>4919.28</v>
      </c>
      <c r="C34" s="66"/>
      <c r="D34" s="67">
        <f>B34+SUM(D29:D33)</f>
        <v>4919.28</v>
      </c>
      <c r="E34" s="66"/>
      <c r="F34" s="67">
        <f>D34+SUM(F29:F33)</f>
        <v>4919.28</v>
      </c>
      <c r="G34" s="66"/>
      <c r="H34" s="67">
        <f>F34+SUM(H29:H33)</f>
        <v>4908.29</v>
      </c>
      <c r="I34" s="66"/>
      <c r="J34" s="67">
        <f>H34+SUM(J29:J33)</f>
        <v>4908.29</v>
      </c>
      <c r="K34" s="66"/>
      <c r="L34" s="67">
        <f>J34+SUM(L29:L33)</f>
        <v>4908.29</v>
      </c>
      <c r="M34" s="66"/>
      <c r="N34" s="67">
        <f>L34+SUM(N29:N33)</f>
        <v>4712.94</v>
      </c>
      <c r="O34" s="68"/>
      <c r="P34" s="319" t="s">
        <v>40</v>
      </c>
      <c r="Q34" s="320"/>
      <c r="R34" s="321">
        <v>12.0</v>
      </c>
      <c r="S34" s="322">
        <v>-102.0</v>
      </c>
      <c r="T34" s="323">
        <f t="shared" si="3"/>
        <v>46277</v>
      </c>
      <c r="U34" s="69"/>
      <c r="V34" s="71"/>
      <c r="W34" s="309"/>
      <c r="X34" s="69"/>
      <c r="Y34" s="69"/>
    </row>
    <row r="35" ht="18.75" customHeight="1">
      <c r="A35" s="50">
        <f>IF(M29="","",IF(MONTH(M29+1)&lt;&gt;MONTH(M29),"",M29+1))</f>
        <v>46292</v>
      </c>
      <c r="B35" s="51">
        <f>SUMIF($T$11:$T$123,A35,$S$11:$S$84)</f>
        <v>0</v>
      </c>
      <c r="C35" s="50">
        <f>IF(A35="","",IF(MONTH(A35+1)&lt;&gt;MONTH(A35),"",A35+1))</f>
        <v>46293</v>
      </c>
      <c r="D35" s="51">
        <f>SUMIF($T$11:$T$123,C35,$S$11:$S$84)</f>
        <v>-1065.6</v>
      </c>
      <c r="E35" s="50">
        <f>IF(C35="","",IF(MONTH(C35+1)&lt;&gt;MONTH(C35),"",C35+1))</f>
        <v>46294</v>
      </c>
      <c r="F35" s="51">
        <f>SUMIF($T$11:$T$123,E35,$S$11:$S$84)</f>
        <v>-10.99</v>
      </c>
      <c r="G35" s="50">
        <f>IF(E35="","",IF(MONTH(E35+1)&lt;&gt;MONTH(E35),"",E35+1))</f>
        <v>46295</v>
      </c>
      <c r="H35" s="51">
        <f>SUMIF($T$11:$T$123,G35,$S$11:$S$84)</f>
        <v>-29.35</v>
      </c>
      <c r="I35" s="50" t="str">
        <f>IF(G35="","",IF(MONTH(G35+1)&lt;&gt;MONTH(G35),"",G35+1))</f>
        <v/>
      </c>
      <c r="J35" s="51">
        <f>SUMIF($T$11:$T$123,I35,$S$11:$S$84)</f>
        <v>0</v>
      </c>
      <c r="K35" s="50" t="str">
        <f>IF(I35="","",IF(MONTH(I35+1)&lt;&gt;MONTH(I35),"",I35+1))</f>
        <v/>
      </c>
      <c r="L35" s="51">
        <f>SUMIF($T$11:$T$123,K35,$S$11:$S$84)</f>
        <v>0</v>
      </c>
      <c r="M35" s="50" t="str">
        <f>IF(K35="","",IF(MONTH(K35+1)&lt;&gt;MONTH(K35),"",K35+1))</f>
        <v/>
      </c>
      <c r="N35" s="51">
        <f>SUMIF($T$11:$T$123,M35,$S$11:$S$84)</f>
        <v>0</v>
      </c>
      <c r="O35" s="23"/>
      <c r="P35" s="319" t="s">
        <v>34</v>
      </c>
      <c r="Q35" s="320"/>
      <c r="R35" s="321">
        <v>17.0</v>
      </c>
      <c r="S35" s="322">
        <v>-5.99</v>
      </c>
      <c r="T35" s="323">
        <f t="shared" si="3"/>
        <v>46282</v>
      </c>
      <c r="U35" s="23"/>
      <c r="V35" s="64"/>
      <c r="W35" s="303"/>
      <c r="X35" s="23"/>
      <c r="Y35" s="23"/>
    </row>
    <row r="36" ht="18.75" customHeight="1">
      <c r="A36" s="485" t="s">
        <v>202</v>
      </c>
      <c r="B36" s="486"/>
      <c r="C36" s="55"/>
      <c r="D36" s="56"/>
      <c r="E36" s="55"/>
      <c r="F36" s="56"/>
      <c r="G36" s="55"/>
      <c r="H36" s="56"/>
      <c r="I36" s="55"/>
      <c r="J36" s="56"/>
      <c r="K36" s="55"/>
      <c r="L36" s="57"/>
      <c r="M36" s="55"/>
      <c r="N36" s="56"/>
      <c r="O36" s="23"/>
      <c r="P36" s="319" t="s">
        <v>34</v>
      </c>
      <c r="Q36" s="320"/>
      <c r="R36" s="321">
        <v>24.0</v>
      </c>
      <c r="S36" s="322"/>
      <c r="T36" s="323">
        <f t="shared" si="3"/>
        <v>46289</v>
      </c>
      <c r="U36" s="23"/>
      <c r="V36" s="64"/>
      <c r="W36" s="303"/>
      <c r="X36" s="23"/>
      <c r="Y36" s="23"/>
    </row>
    <row r="37" ht="18.75" customHeight="1">
      <c r="A37" s="55"/>
      <c r="B37" s="56"/>
      <c r="C37" s="55"/>
      <c r="D37" s="56"/>
      <c r="E37" s="55"/>
      <c r="F37" s="56"/>
      <c r="G37" s="55"/>
      <c r="H37" s="56"/>
      <c r="I37" s="55"/>
      <c r="J37" s="56"/>
      <c r="K37" s="55"/>
      <c r="L37" s="56"/>
      <c r="M37" s="55"/>
      <c r="N37" s="56"/>
      <c r="O37" s="23"/>
      <c r="P37" s="367" t="s">
        <v>51</v>
      </c>
      <c r="Q37" s="368"/>
      <c r="R37" s="405">
        <v>26.0</v>
      </c>
      <c r="S37" s="370">
        <v>-27.0</v>
      </c>
      <c r="T37" s="376">
        <f>IF(ISBLANK(R37),"-",IF(R37&gt;DAY(EOMONTH(DATE($B$2,$E$2,1),0)),EOMONTH(DATE($B$2,$E$2,1),0),DATE($B$2,$E$2,R37)))</f>
        <v>46291</v>
      </c>
      <c r="U37" s="23"/>
      <c r="V37" s="64"/>
      <c r="W37" s="303"/>
      <c r="X37" s="23"/>
      <c r="Y37" s="23"/>
    </row>
    <row r="38" ht="18.75" customHeight="1">
      <c r="A38" s="55"/>
      <c r="B38" s="56"/>
      <c r="C38" s="55"/>
      <c r="D38" s="56"/>
      <c r="E38" s="55"/>
      <c r="F38" s="56"/>
      <c r="G38" s="55"/>
      <c r="H38" s="56"/>
      <c r="I38" s="55"/>
      <c r="J38" s="56"/>
      <c r="K38" s="55"/>
      <c r="L38" s="56"/>
      <c r="M38" s="55"/>
      <c r="N38" s="56"/>
      <c r="O38" s="23"/>
      <c r="P38" s="367" t="s">
        <v>53</v>
      </c>
      <c r="Q38" s="368"/>
      <c r="R38" s="405">
        <v>29.0</v>
      </c>
      <c r="S38" s="370">
        <v>-10.99</v>
      </c>
      <c r="T38" s="323">
        <f t="shared" ref="T38:T40" si="4">IF(ISBLANK(R38),"-",IF(R38&gt;DAY(EOMONTH(DATE($B$2,$E$2,1),0)),EOMONTH(DATE($B$2,$E$2,1),0),DATE($B$2,$E$2,R38)))</f>
        <v>46294</v>
      </c>
      <c r="U38" s="23"/>
      <c r="V38" s="64"/>
      <c r="W38" s="303"/>
      <c r="X38" s="23"/>
      <c r="Y38" s="23"/>
    </row>
    <row r="39" ht="18.75" customHeight="1">
      <c r="A39" s="55"/>
      <c r="B39" s="56"/>
      <c r="C39" s="55"/>
      <c r="D39" s="56"/>
      <c r="E39" s="55"/>
      <c r="F39" s="56"/>
      <c r="G39" s="55"/>
      <c r="H39" s="56"/>
      <c r="I39" s="55"/>
      <c r="J39" s="56"/>
      <c r="K39" s="55"/>
      <c r="L39" s="56"/>
      <c r="M39" s="55"/>
      <c r="N39" s="56"/>
      <c r="O39" s="23"/>
      <c r="P39" s="319" t="s">
        <v>27</v>
      </c>
      <c r="Q39" s="320"/>
      <c r="R39" s="321">
        <v>3.0</v>
      </c>
      <c r="S39" s="322">
        <v>-33.0</v>
      </c>
      <c r="T39" s="323">
        <f t="shared" si="4"/>
        <v>46268</v>
      </c>
      <c r="U39" s="23"/>
      <c r="V39" s="64"/>
      <c r="W39" s="303"/>
      <c r="X39" s="23"/>
      <c r="Y39" s="23"/>
    </row>
    <row r="40" ht="18.75" customHeight="1">
      <c r="A40" s="66" t="s">
        <v>22</v>
      </c>
      <c r="B40" s="67">
        <f>N34+SUM(B35:B39)</f>
        <v>4712.94</v>
      </c>
      <c r="C40" s="66"/>
      <c r="D40" s="67">
        <f>B40+SUM(D35:D39)</f>
        <v>3647.34</v>
      </c>
      <c r="E40" s="66"/>
      <c r="F40" s="67">
        <f>D40+SUM(F35:F39)</f>
        <v>3636.35</v>
      </c>
      <c r="G40" s="66"/>
      <c r="H40" s="67">
        <f>F40+SUM(H35:H39)</f>
        <v>3607</v>
      </c>
      <c r="I40" s="66"/>
      <c r="J40" s="67">
        <f>H40+SUM(J35:J39)</f>
        <v>3607</v>
      </c>
      <c r="K40" s="66"/>
      <c r="L40" s="67">
        <f>J40+SUM(L35:L39)</f>
        <v>3607</v>
      </c>
      <c r="M40" s="66"/>
      <c r="N40" s="67">
        <f>L40+SUM(N35:N39)</f>
        <v>3607</v>
      </c>
      <c r="O40" s="68"/>
      <c r="P40" s="406" t="s">
        <v>186</v>
      </c>
      <c r="Q40" s="407"/>
      <c r="R40" s="408">
        <v>4.0</v>
      </c>
      <c r="S40" s="409">
        <v>-50.0</v>
      </c>
      <c r="T40" s="323">
        <f t="shared" si="4"/>
        <v>46269</v>
      </c>
      <c r="U40" s="69"/>
      <c r="V40" s="71"/>
      <c r="W40" s="309"/>
      <c r="X40" s="69"/>
      <c r="Y40" s="69"/>
    </row>
    <row r="41" ht="18.75" customHeight="1">
      <c r="A41" s="50" t="str">
        <f>IF(M35="","",IF(MONTH(M35+1)&lt;&gt;MONTH(M35),"",M35+1))</f>
        <v/>
      </c>
      <c r="B41" s="51">
        <f>SUMIF($T$11:$T$123,A41,$S$11:$S$84)</f>
        <v>0</v>
      </c>
      <c r="C41" s="50" t="str">
        <f>IF(A41="","",IF(MONTH(A41+1)&lt;&gt;MONTH(A41),"",A41+1))</f>
        <v/>
      </c>
      <c r="D41" s="51">
        <f>SUMIF($T$11:$T$123,C41,$S$11:$S$84)</f>
        <v>0</v>
      </c>
      <c r="E41" s="77"/>
      <c r="F41" s="77" t="s">
        <v>50</v>
      </c>
      <c r="G41" s="77"/>
      <c r="H41" s="77"/>
      <c r="I41" s="77"/>
      <c r="J41" s="77"/>
      <c r="K41" s="77"/>
      <c r="L41" s="77"/>
      <c r="M41" s="77"/>
      <c r="N41" s="77"/>
      <c r="P41" s="367" t="s">
        <v>214</v>
      </c>
      <c r="Q41" s="368"/>
      <c r="R41" s="405">
        <v>7.0</v>
      </c>
      <c r="S41" s="370">
        <v>-21.8</v>
      </c>
      <c r="T41" s="376">
        <f>IF(ISBLANK(R41),"-",IF(R41&gt;DAY(EOMONTH(DATE($B$2,$E$2,1),0)),EOMONTH(DATE($B$2,$E$2,1),0),DATE($B$2,$E$2,R41)))</f>
        <v>46272</v>
      </c>
      <c r="U41" s="313"/>
      <c r="W41" s="314"/>
    </row>
    <row r="42" ht="18.75" customHeight="1">
      <c r="A42" s="55"/>
      <c r="B42" s="56"/>
      <c r="C42" s="55"/>
      <c r="D42" s="56"/>
      <c r="E42" s="77"/>
      <c r="F42" s="77" t="s">
        <v>52</v>
      </c>
      <c r="G42" s="77"/>
      <c r="H42" s="77"/>
      <c r="I42" s="77"/>
      <c r="J42" s="77"/>
      <c r="K42" s="77"/>
      <c r="L42" s="77"/>
      <c r="M42" s="77"/>
      <c r="N42" s="77"/>
      <c r="P42" s="319" t="s">
        <v>38</v>
      </c>
      <c r="Q42" s="320"/>
      <c r="R42" s="321">
        <v>11.0</v>
      </c>
      <c r="S42" s="322">
        <v>-50.0</v>
      </c>
      <c r="T42" s="323">
        <f t="shared" ref="T42:T43" si="5">IF(ISBLANK(R42),"-",IF(R42&gt;DAY(EOMONTH(DATE($B$2,$E$2,1),0)),EOMONTH(DATE($B$2,$E$2,1),0),DATE($B$2,$E$2,R42)))</f>
        <v>46276</v>
      </c>
      <c r="U42" s="313"/>
      <c r="W42" s="314"/>
    </row>
    <row r="43" ht="18.75" customHeight="1">
      <c r="A43" s="55"/>
      <c r="B43" s="56"/>
      <c r="C43" s="55"/>
      <c r="D43" s="56"/>
      <c r="E43" s="77"/>
      <c r="F43" s="77"/>
      <c r="G43" s="77"/>
      <c r="H43" s="77"/>
      <c r="I43" s="77"/>
      <c r="J43" s="77"/>
      <c r="K43" s="77"/>
      <c r="L43" s="77"/>
      <c r="M43" s="77"/>
      <c r="N43" s="77"/>
      <c r="P43" s="319" t="s">
        <v>57</v>
      </c>
      <c r="Q43" s="320"/>
      <c r="R43" s="321">
        <v>28.0</v>
      </c>
      <c r="S43" s="322">
        <v>-370.0</v>
      </c>
      <c r="T43" s="323">
        <f t="shared" si="5"/>
        <v>46293</v>
      </c>
      <c r="U43" s="313"/>
    </row>
    <row r="44" ht="18.75" customHeight="1">
      <c r="A44" s="55"/>
      <c r="B44" s="56"/>
      <c r="C44" s="55"/>
      <c r="D44" s="56"/>
      <c r="E44" s="77"/>
      <c r="F44" s="77"/>
      <c r="G44" s="77"/>
      <c r="H44" s="77"/>
      <c r="I44" s="77"/>
      <c r="J44" s="77"/>
      <c r="K44" s="77"/>
      <c r="L44" s="77"/>
      <c r="M44" s="77"/>
      <c r="N44" s="77"/>
      <c r="P44" s="613" t="s">
        <v>24</v>
      </c>
      <c r="Q44" s="368"/>
      <c r="R44" s="614">
        <v>1.0</v>
      </c>
      <c r="S44" s="615">
        <v>-63.0</v>
      </c>
      <c r="T44" s="376">
        <f>IF(ISBLANK(R44),"-",IF(R44&gt;DAY(EOMONTH(DATE($B$2,$E$2,1),0)),EOMONTH(DATE($B$2,$E$2,1),0),DATE($B$2,$E$2,R44)))</f>
        <v>46266</v>
      </c>
      <c r="U44" s="313"/>
      <c r="W44" s="314"/>
    </row>
    <row r="45" ht="18.75" customHeight="1">
      <c r="A45" s="55"/>
      <c r="B45" s="56"/>
      <c r="C45" s="55"/>
      <c r="D45" s="56"/>
      <c r="E45" s="77"/>
      <c r="F45" s="77"/>
      <c r="G45" s="77"/>
      <c r="H45" s="326">
        <v>16.2</v>
      </c>
      <c r="I45" s="77"/>
      <c r="J45" s="77"/>
      <c r="K45" s="77"/>
      <c r="L45" s="77"/>
      <c r="M45" s="77"/>
      <c r="N45" s="77"/>
      <c r="P45" s="319" t="s">
        <v>26</v>
      </c>
      <c r="Q45" s="320"/>
      <c r="R45" s="321">
        <v>5.0</v>
      </c>
      <c r="S45" s="322">
        <v>-150.0</v>
      </c>
      <c r="T45" s="323">
        <f t="shared" ref="T45:T49" si="6">IF(ISBLANK(R45),"-",IF(R45&gt;DAY(EOMONTH(DATE($B$2,$E$2,1),0)),EOMONTH(DATE($B$2,$E$2,1),0),DATE($B$2,$E$2,R45)))</f>
        <v>46270</v>
      </c>
    </row>
    <row r="46" ht="18.75" customHeight="1">
      <c r="A46" s="66" t="s">
        <v>22</v>
      </c>
      <c r="B46" s="67">
        <f>N40+SUM(B41:B45)</f>
        <v>3607</v>
      </c>
      <c r="C46" s="66"/>
      <c r="D46" s="67">
        <f>B46+SUM(D41:D45)</f>
        <v>3607</v>
      </c>
      <c r="E46" s="77"/>
      <c r="F46" s="77"/>
      <c r="G46" s="77"/>
      <c r="H46" s="326">
        <v>20.9</v>
      </c>
      <c r="I46" s="77"/>
      <c r="J46" s="77"/>
      <c r="K46" s="77"/>
      <c r="L46" s="77"/>
      <c r="M46" s="77"/>
      <c r="N46" s="77"/>
      <c r="P46" s="319" t="s">
        <v>26</v>
      </c>
      <c r="Q46" s="320"/>
      <c r="R46" s="321">
        <v>12.0</v>
      </c>
      <c r="S46" s="322">
        <v>-150.0</v>
      </c>
      <c r="T46" s="323">
        <f t="shared" si="6"/>
        <v>46277</v>
      </c>
    </row>
    <row r="47" ht="12.75" customHeight="1">
      <c r="H47" s="108">
        <v>22.61</v>
      </c>
      <c r="P47" s="319" t="s">
        <v>26</v>
      </c>
      <c r="Q47" s="320"/>
      <c r="R47" s="321">
        <v>19.0</v>
      </c>
      <c r="S47" s="322">
        <v>-150.0</v>
      </c>
      <c r="T47" s="323">
        <f t="shared" si="6"/>
        <v>46284</v>
      </c>
    </row>
    <row r="48" ht="12.75" customHeight="1">
      <c r="P48" s="319" t="s">
        <v>26</v>
      </c>
      <c r="Q48" s="320"/>
      <c r="R48" s="321">
        <v>26.0</v>
      </c>
      <c r="S48" s="322">
        <v>-150.0</v>
      </c>
      <c r="T48" s="323">
        <f t="shared" si="6"/>
        <v>46291</v>
      </c>
    </row>
    <row r="49" ht="12.75" customHeight="1">
      <c r="P49" s="367"/>
      <c r="Q49" s="407"/>
      <c r="R49" s="405"/>
      <c r="S49" s="370"/>
      <c r="T49" s="323" t="str">
        <f t="shared" si="6"/>
        <v>-</v>
      </c>
    </row>
    <row r="50" ht="12.75" customHeight="1">
      <c r="P50" s="542"/>
      <c r="Q50" s="407"/>
      <c r="R50" s="543"/>
      <c r="S50" s="544"/>
      <c r="T50" s="376" t="str">
        <f t="shared" ref="T50:T56" si="7">IF(ISBLANK(R50),"-",IF(R50&gt;DAY(EOMONTH(DATE($B$2,$E$2,1),0)),EOMONTH(DATE($B$2,$E$2,1),0),DATE($B$2,$E$2,$R$47)))</f>
        <v>-</v>
      </c>
    </row>
    <row r="51" ht="12.75" customHeight="1">
      <c r="P51" s="542"/>
      <c r="Q51" s="407"/>
      <c r="R51" s="543"/>
      <c r="S51" s="544"/>
      <c r="T51" s="376" t="str">
        <f t="shared" si="7"/>
        <v>-</v>
      </c>
    </row>
    <row r="52" ht="12.75" customHeight="1">
      <c r="P52" s="542"/>
      <c r="Q52" s="407"/>
      <c r="R52" s="543"/>
      <c r="S52" s="544"/>
      <c r="T52" s="376" t="str">
        <f t="shared" si="7"/>
        <v>-</v>
      </c>
    </row>
    <row r="53" ht="12.75" customHeight="1">
      <c r="P53" s="542"/>
      <c r="Q53" s="407"/>
      <c r="R53" s="543"/>
      <c r="S53" s="544"/>
      <c r="T53" s="376" t="str">
        <f t="shared" si="7"/>
        <v>-</v>
      </c>
    </row>
    <row r="54" ht="12.75" customHeight="1">
      <c r="P54" s="542"/>
      <c r="Q54" s="407"/>
      <c r="R54" s="543"/>
      <c r="S54" s="544"/>
      <c r="T54" s="376" t="str">
        <f t="shared" si="7"/>
        <v>-</v>
      </c>
    </row>
    <row r="55" ht="12.75" customHeight="1">
      <c r="P55" s="542"/>
      <c r="Q55" s="407"/>
      <c r="R55" s="543"/>
      <c r="S55" s="544"/>
      <c r="T55" s="376" t="str">
        <f t="shared" si="7"/>
        <v>-</v>
      </c>
    </row>
    <row r="56" ht="12.75" customHeight="1">
      <c r="P56" s="542"/>
      <c r="Q56" s="407"/>
      <c r="R56" s="543"/>
      <c r="S56" s="544"/>
      <c r="T56" s="376" t="str">
        <f t="shared" si="7"/>
        <v>-</v>
      </c>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row>
    <row r="928" ht="12.75" customHeight="1">
      <c r="R928" s="336"/>
    </row>
    <row r="929" ht="12.75" customHeight="1">
      <c r="R929" s="336"/>
    </row>
    <row r="930" ht="12.75" customHeight="1">
      <c r="R930"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0">
    <cfRule type="cellIs" dxfId="5" priority="1" operator="lessThan">
      <formula>0</formula>
    </cfRule>
  </conditionalFormatting>
  <dataValidations>
    <dataValidation type="list" allowBlank="1" showErrorMessage="1" sqref="Q12:Q56">
      <formula1>"✔"</formula1>
    </dataValidation>
    <dataValidation type="custom" allowBlank="1" showDropDown="1" sqref="T12:T56">
      <formula1>OR(NOT(ISERROR(DATEVALUE(T12))), AND(ISNUMBER(T12), LEFT(CELL("format", T12))="D"))</formula1>
    </dataValidation>
  </dataValidations>
  <hyperlinks>
    <hyperlink r:id="rId1" ref="T3"/>
  </hyperlinks>
  <drawing r:id="rId2"/>
  <tableParts count="1">
    <tablePart r:id="rId4"/>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6.63"/>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2026.0</v>
      </c>
      <c r="C2" s="3"/>
      <c r="D2" s="9" t="s">
        <v>2</v>
      </c>
      <c r="E2" s="10">
        <v>10.0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OCTOBER 2026</v>
      </c>
      <c r="B5" s="22"/>
      <c r="C5" s="22"/>
      <c r="D5" s="22"/>
      <c r="E5" s="22"/>
      <c r="F5" s="22"/>
      <c r="G5" s="22"/>
      <c r="H5" s="23"/>
      <c r="I5" s="23"/>
      <c r="J5" s="23"/>
      <c r="K5" s="22"/>
      <c r="L5" s="24" t="s">
        <v>7</v>
      </c>
      <c r="M5" s="25">
        <f>'September 2026'!D46</f>
        <v>3607</v>
      </c>
      <c r="N5" s="26"/>
      <c r="O5" s="23"/>
      <c r="P5" s="27"/>
      <c r="Q5" s="27"/>
      <c r="R5" s="287" t="s">
        <v>8</v>
      </c>
      <c r="S5" s="288">
        <f>SUMIF(A18:N21,"&gt;0")+SUMIF(A24:N27,"&gt;0")+SUMIF(A30:N33,"&gt;0")+SUMIF(A36:N39,"&gt;0")+SUMIF(A42:D45,"&gt;0")+SUMIF(S12:S46,"&gt;0")+SUMIF(A12:N15,"&gt;0")</f>
        <v>8426.4</v>
      </c>
      <c r="U5" s="23"/>
      <c r="V5" s="289">
        <f>sum(S5+S6)</f>
        <v>2658.78</v>
      </c>
      <c r="W5" s="23"/>
      <c r="X5" s="23"/>
      <c r="Y5" s="23"/>
      <c r="Z5" s="23"/>
    </row>
    <row r="6" ht="25.5" customHeight="1">
      <c r="A6" s="31"/>
      <c r="B6" s="31"/>
      <c r="C6" s="31"/>
      <c r="D6" s="31"/>
      <c r="E6" s="31"/>
      <c r="F6" s="32"/>
      <c r="G6" s="33"/>
      <c r="H6" s="34"/>
      <c r="I6" s="34"/>
      <c r="J6" s="34"/>
      <c r="K6" s="31"/>
      <c r="L6" s="24" t="s">
        <v>9</v>
      </c>
      <c r="M6" s="35">
        <f>D46</f>
        <v>6265.78</v>
      </c>
      <c r="O6" s="34"/>
      <c r="P6" s="36"/>
      <c r="Q6" s="36"/>
      <c r="R6" s="287" t="s">
        <v>10</v>
      </c>
      <c r="S6" s="288">
        <f>SUMIF(A18:N21,"&lt;0")+SUMIF(A24:N27,"&lt;0")+SUMIF(A30:N33,"&lt;0")+SUMIF(A36:N39,"&lt;0")+SUMIF(A42:D45,"&lt;0")+SUMIF(S12:S203,"&lt;0")+SUMIF(A12:N15,"&lt;0")</f>
        <v>-5767.62</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46296</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46299</v>
      </c>
      <c r="B9" s="40"/>
      <c r="C9" s="39">
        <f>C17</f>
        <v>46300</v>
      </c>
      <c r="D9" s="40"/>
      <c r="E9" s="39">
        <f>E17</f>
        <v>46301</v>
      </c>
      <c r="F9" s="40"/>
      <c r="G9" s="39">
        <f>G17</f>
        <v>46302</v>
      </c>
      <c r="H9" s="40"/>
      <c r="I9" s="39">
        <f>I17</f>
        <v>46303</v>
      </c>
      <c r="J9" s="40"/>
      <c r="K9" s="39">
        <f>K17</f>
        <v>46304</v>
      </c>
      <c r="L9" s="40"/>
      <c r="M9" s="39">
        <f>M17</f>
        <v>46305</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616">
        <v>0.0</v>
      </c>
      <c r="C11" s="50" t="str">
        <f>IF(A11="",IF(WEEKDAY($B$8,1)=MOD($H$2,7)+1,$B$8,""),A11+1)</f>
        <v/>
      </c>
      <c r="D11" s="616">
        <v>0.0</v>
      </c>
      <c r="E11" s="50" t="str">
        <f>IF(C11="",IF(WEEKDAY($B$8,1)=MOD($H$2+1,7)+1,$B$8,""),C11+1)</f>
        <v/>
      </c>
      <c r="F11" s="616">
        <v>0.0</v>
      </c>
      <c r="G11" s="50" t="str">
        <f>IF(E11="",IF(WEEKDAY($B$8,1)=MOD($H$2+2,7)+1,$B$8,""),E11+1)</f>
        <v/>
      </c>
      <c r="H11" s="616">
        <v>0.0</v>
      </c>
      <c r="I11" s="50">
        <f>IF(G11="",IF(WEEKDAY($B$8,1)=MOD($H$2+3,7)+1,$B$8,""),G11+1)</f>
        <v>46296</v>
      </c>
      <c r="J11" s="51">
        <f>SUMIF($T$11:$T$130,I11,$S$11:$S$91)</f>
        <v>-30.13</v>
      </c>
      <c r="K11" s="50">
        <f>IF(I11="",IF(WEEKDAY($B$8,1)=MOD($H$2+4,7)+1,$B$8,""),I11+1)</f>
        <v>46297</v>
      </c>
      <c r="L11" s="51">
        <f>SUMIF($T$11:$T$130,K11,$S$11:$S$91)</f>
        <v>2308.8</v>
      </c>
      <c r="M11" s="50">
        <f>IF(K11="",IF(WEEKDAY($B$8,1)=MOD($H$2+5,7)+1,$B$8,""),K11+1)</f>
        <v>46298</v>
      </c>
      <c r="N11" s="51">
        <f>SUMIF($T$11:$T$130,M11,$S$11:$S$91)</f>
        <v>-33</v>
      </c>
      <c r="O11" s="23"/>
      <c r="P11" s="52" t="s">
        <v>13</v>
      </c>
      <c r="Q11" s="53" t="s">
        <v>14</v>
      </c>
      <c r="R11" s="53" t="s">
        <v>15</v>
      </c>
      <c r="S11" s="96" t="s">
        <v>16</v>
      </c>
      <c r="T11" s="53" t="s">
        <v>17</v>
      </c>
      <c r="U11" s="23"/>
      <c r="V11" s="23"/>
      <c r="W11" s="23"/>
      <c r="X11" s="23"/>
      <c r="Y11" s="23"/>
      <c r="Z11" s="23"/>
    </row>
    <row r="12" ht="18.75" customHeight="1">
      <c r="A12" s="55"/>
      <c r="B12" s="56"/>
      <c r="C12" s="55"/>
      <c r="D12" s="56"/>
      <c r="E12" s="55"/>
      <c r="F12" s="56"/>
      <c r="G12" s="55"/>
      <c r="H12" s="56"/>
      <c r="I12" s="58"/>
      <c r="J12" s="57"/>
      <c r="K12" s="55"/>
      <c r="L12" s="57"/>
      <c r="M12" s="55"/>
      <c r="N12" s="56"/>
      <c r="O12" s="23"/>
      <c r="P12" s="551" t="s">
        <v>89</v>
      </c>
      <c r="Q12" s="552"/>
      <c r="R12" s="553">
        <v>7.0</v>
      </c>
      <c r="S12" s="549">
        <f t="array" ref="S12">-INDEX(PaymentSchedule!$E$21:$AG937,MATCH(PaymentSchedule!$B$42,PaymentSchedule!$B$21:$B$100),MATCH($P12,PaymentSchedule!$E$19:$AG$19,0))</f>
        <v>-175</v>
      </c>
      <c r="T12" s="550">
        <f t="shared" ref="T12:T15" si="1">IF(ISBLANK(R12),"-",IF(R12&gt;DAY(EOMONTH(DATE($B$2,$E$2,1),0)),EOMONTH(DATE($B$2,$E$2,1),0),DATE($B$2,$E$2,R12)))</f>
        <v>46302</v>
      </c>
      <c r="U12" s="64"/>
      <c r="V12" s="23"/>
      <c r="W12" s="64"/>
      <c r="X12" s="303"/>
      <c r="Y12" s="23"/>
      <c r="Z12" s="23"/>
    </row>
    <row r="13" ht="18.75" customHeight="1">
      <c r="A13" s="55"/>
      <c r="B13" s="56"/>
      <c r="C13" s="55"/>
      <c r="D13" s="56"/>
      <c r="E13" s="55"/>
      <c r="F13" s="56"/>
      <c r="G13" s="55"/>
      <c r="H13" s="56"/>
      <c r="I13" s="55"/>
      <c r="J13" s="57"/>
      <c r="K13" s="55"/>
      <c r="L13" s="56"/>
      <c r="M13" s="55"/>
      <c r="N13" s="56"/>
      <c r="O13" s="23"/>
      <c r="P13" s="551" t="s">
        <v>85</v>
      </c>
      <c r="Q13" s="552"/>
      <c r="R13" s="553">
        <v>18.0</v>
      </c>
      <c r="S13" s="549">
        <f t="array" ref="S13">-INDEX(PaymentSchedule!$E$21:$AG937,MATCH(PaymentSchedule!$B$42,PaymentSchedule!$B$21:$B$100),MATCH($P13,PaymentSchedule!$E$19:$AG$19,0))</f>
        <v>-151</v>
      </c>
      <c r="T13" s="550">
        <f t="shared" si="1"/>
        <v>46313</v>
      </c>
      <c r="U13" s="64"/>
      <c r="V13" s="23"/>
      <c r="W13" s="64"/>
      <c r="X13" s="303"/>
      <c r="Y13" s="23"/>
      <c r="Z13" s="23"/>
    </row>
    <row r="14" ht="18.75" customHeight="1">
      <c r="A14" s="55"/>
      <c r="B14" s="56"/>
      <c r="C14" s="55"/>
      <c r="D14" s="56"/>
      <c r="E14" s="55"/>
      <c r="F14" s="56"/>
      <c r="G14" s="55"/>
      <c r="H14" s="56"/>
      <c r="I14" s="58"/>
      <c r="J14" s="57"/>
      <c r="K14" s="55"/>
      <c r="L14" s="56"/>
      <c r="M14" s="55"/>
      <c r="N14" s="56"/>
      <c r="O14" s="23"/>
      <c r="P14" s="551" t="s">
        <v>86</v>
      </c>
      <c r="Q14" s="552"/>
      <c r="R14" s="553">
        <v>5.0</v>
      </c>
      <c r="S14" s="549">
        <f t="array" ref="S14">-INDEX(PaymentSchedule!$E$21:$AG937,MATCH(PaymentSchedule!$B$42,PaymentSchedule!$B$21:$B$100),MATCH($P14,PaymentSchedule!$E$19:$AG$19,0))</f>
        <v>-791.16</v>
      </c>
      <c r="T14" s="550">
        <f t="shared" si="1"/>
        <v>46300</v>
      </c>
      <c r="U14" s="64"/>
      <c r="V14" s="23"/>
      <c r="W14" s="64"/>
      <c r="X14" s="303"/>
      <c r="Y14" s="23"/>
      <c r="Z14" s="23"/>
    </row>
    <row r="15" ht="18.75" customHeight="1">
      <c r="A15" s="55"/>
      <c r="B15" s="56"/>
      <c r="C15" s="55"/>
      <c r="D15" s="56"/>
      <c r="E15" s="55"/>
      <c r="F15" s="56"/>
      <c r="G15" s="55"/>
      <c r="H15" s="56"/>
      <c r="I15" s="55"/>
      <c r="J15" s="56"/>
      <c r="K15" s="55"/>
      <c r="L15" s="56"/>
      <c r="M15" s="55"/>
      <c r="N15" s="56"/>
      <c r="O15" s="23"/>
      <c r="P15" s="551" t="s">
        <v>20</v>
      </c>
      <c r="Q15" s="552"/>
      <c r="R15" s="553">
        <v>1.0</v>
      </c>
      <c r="S15" s="549">
        <f t="array" ref="S15">-INDEX(PaymentSchedule!$E$21:$AG937,MATCH(PaymentSchedule!$B$42,PaymentSchedule!$B$21:$B$100),MATCH($P15,PaymentSchedule!$E$19:$AG$19,0))</f>
        <v>-1467.13</v>
      </c>
      <c r="T15" s="550">
        <f t="shared" si="1"/>
        <v>46296</v>
      </c>
      <c r="U15" s="64"/>
      <c r="V15" s="23"/>
      <c r="W15" s="64"/>
      <c r="X15" s="303"/>
      <c r="Y15" s="23"/>
      <c r="Z15" s="23"/>
    </row>
    <row r="16" ht="18.75" customHeight="1">
      <c r="A16" s="66" t="s">
        <v>22</v>
      </c>
      <c r="B16" s="67">
        <f>$M$5+SUM(B11:B15)</f>
        <v>3607</v>
      </c>
      <c r="C16" s="66"/>
      <c r="D16" s="67">
        <f>B16+SUM(D11:D15)</f>
        <v>3607</v>
      </c>
      <c r="E16" s="66"/>
      <c r="F16" s="67">
        <f>D16+SUM(F11:F15)</f>
        <v>3607</v>
      </c>
      <c r="G16" s="66"/>
      <c r="H16" s="67">
        <f>F16+SUM(H11:H15)</f>
        <v>3607</v>
      </c>
      <c r="I16" s="66"/>
      <c r="J16" s="67">
        <f>H16+SUM(J11:J15)</f>
        <v>3576.87</v>
      </c>
      <c r="K16" s="66"/>
      <c r="L16" s="67">
        <f>J16+SUM(L11:L15)</f>
        <v>5885.67</v>
      </c>
      <c r="M16" s="66"/>
      <c r="N16" s="67">
        <f>L16+SUM(N11:N15)</f>
        <v>5852.67</v>
      </c>
      <c r="O16" s="68"/>
      <c r="P16" s="546" t="s">
        <v>87</v>
      </c>
      <c r="Q16" s="547"/>
      <c r="R16" s="607">
        <v>28.0</v>
      </c>
      <c r="S16" s="598">
        <f t="array" ref="S16">-INDEX(PaymentSchedule!$E$21:$AG937,MATCH(PaymentSchedule!$B$31,PaymentSchedule!$B$21:$B$100),MATCH($P16,PaymentSchedule!$E$19:$AG$19,0))</f>
        <v>-695.6</v>
      </c>
      <c r="T16" s="599">
        <f>IF(ISBLANK(R16),"-",IF(R16&gt;DAY(EOMONTH(DATE($B$2,$E$2,1),0)),EOMONTH(DATE($B$2,$E$2,1),0),DATE($B$2,$E$2,R16)))</f>
        <v>46323</v>
      </c>
      <c r="U16" s="71"/>
      <c r="V16" s="69"/>
      <c r="W16" s="71"/>
      <c r="X16" s="309"/>
      <c r="Y16" s="69"/>
      <c r="Z16" s="69"/>
    </row>
    <row r="17" ht="18.75" customHeight="1">
      <c r="A17" s="50">
        <f>IF(M11="","",IF(MONTH(M11+1)&lt;&gt;MONTH(M11),"",M11+1))</f>
        <v>46299</v>
      </c>
      <c r="B17" s="51">
        <f>SUMIF($T$11:$T$130,A17,$S$11:$S$91)</f>
        <v>-50</v>
      </c>
      <c r="C17" s="50">
        <f>IF(A17="","",IF(MONTH(A17+1)&lt;&gt;MONTH(A17),"",A17+1))</f>
        <v>46300</v>
      </c>
      <c r="D17" s="51">
        <f>SUMIF($T$11:$T$130,C17,$S$11:$S$91)</f>
        <v>-957.35</v>
      </c>
      <c r="E17" s="50">
        <f>IF(C17="","",IF(MONTH(C17+1)&lt;&gt;MONTH(C17),"",C17+1))</f>
        <v>46301</v>
      </c>
      <c r="F17" s="51">
        <f>SUMIF($T$11:$T$130,E17,$S$11:$S$91)</f>
        <v>-301</v>
      </c>
      <c r="G17" s="50">
        <f>IF(E17="","",IF(MONTH(E17+1)&lt;&gt;MONTH(E17),"",E17+1))</f>
        <v>46302</v>
      </c>
      <c r="H17" s="51">
        <f>SUMIF($T$11:$T$130,G17,$S$11:$S$91)</f>
        <v>-196.8</v>
      </c>
      <c r="I17" s="50">
        <f>IF(G17="","",IF(MONTH(G17+1)&lt;&gt;MONTH(G17),"",G17+1))</f>
        <v>46303</v>
      </c>
      <c r="J17" s="51">
        <f>SUMIF($T$11:$T$130,I17,$S$11:$S$91)</f>
        <v>0</v>
      </c>
      <c r="K17" s="50">
        <f>IF(I17="","",IF(MONTH(I17+1)&lt;&gt;MONTH(I17),"",I17+1))</f>
        <v>46304</v>
      </c>
      <c r="L17" s="51">
        <f>SUMIF($T$11:$T$130,K17,$S$11:$S$91)</f>
        <v>0</v>
      </c>
      <c r="M17" s="50">
        <f>IF(K17="","",IF(MONTH(K17+1)&lt;&gt;MONTH(K17),"",K17+1))</f>
        <v>46305</v>
      </c>
      <c r="N17" s="51">
        <f>SUMIF($T$11:$T$130,M17,$S$11:$S$91)</f>
        <v>0</v>
      </c>
      <c r="O17" s="23"/>
      <c r="P17" s="551" t="s">
        <v>37</v>
      </c>
      <c r="Q17" s="552"/>
      <c r="R17" s="553">
        <v>12.0</v>
      </c>
      <c r="S17" s="549">
        <f t="array" ref="S17">-INDEX(PaymentSchedule!$E$21:$AG937,MATCH(PaymentSchedule!$B$42,PaymentSchedule!$B$21:$B$100),MATCH($P17,PaymentSchedule!$E$19:$AG$19,0))</f>
        <v>-82</v>
      </c>
      <c r="T17" s="550">
        <f t="shared" ref="T17:T30" si="2">IF(ISBLANK(R17),"-",IF(R17&gt;DAY(EOMONTH(DATE($B$2,$E$2,1),0)),EOMONTH(DATE($B$2,$E$2,1),0),DATE($B$2,$E$2,R17)))</f>
        <v>46307</v>
      </c>
      <c r="U17" s="64"/>
      <c r="V17" s="23"/>
      <c r="W17" s="64"/>
      <c r="X17" s="303"/>
      <c r="Y17" s="23"/>
      <c r="Z17" s="23"/>
    </row>
    <row r="18" ht="18.75" customHeight="1">
      <c r="A18" s="55"/>
      <c r="B18" s="56"/>
      <c r="C18" s="55"/>
      <c r="D18" s="56"/>
      <c r="E18" s="58" t="s">
        <v>139</v>
      </c>
      <c r="F18" s="57">
        <v>-99.0</v>
      </c>
      <c r="G18" s="55"/>
      <c r="H18" s="56"/>
      <c r="I18" s="55"/>
      <c r="J18" s="56"/>
      <c r="K18" s="58"/>
      <c r="L18" s="57"/>
      <c r="M18" s="55"/>
      <c r="N18" s="56"/>
      <c r="O18" s="23"/>
      <c r="P18" s="551" t="s">
        <v>36</v>
      </c>
      <c r="Q18" s="552"/>
      <c r="R18" s="553">
        <v>12.0</v>
      </c>
      <c r="S18" s="549">
        <f t="array" ref="S18">-INDEX(PaymentSchedule!$E$21:$AG937,MATCH(PaymentSchedule!$B$42,PaymentSchedule!$B$21:$B$100),MATCH($P18,PaymentSchedule!$E$19:$AG$19,0))</f>
        <v>-450.08</v>
      </c>
      <c r="T18" s="550">
        <f t="shared" si="2"/>
        <v>46307</v>
      </c>
      <c r="U18" s="64"/>
      <c r="V18" s="23"/>
      <c r="Y18" s="23"/>
      <c r="Z18" s="23"/>
    </row>
    <row r="19" ht="18.75" customHeight="1">
      <c r="A19" s="55"/>
      <c r="B19" s="56"/>
      <c r="C19" s="55"/>
      <c r="D19" s="56"/>
      <c r="E19" s="55"/>
      <c r="F19" s="56"/>
      <c r="G19" s="55"/>
      <c r="H19" s="56"/>
      <c r="I19" s="55"/>
      <c r="J19" s="56"/>
      <c r="K19" s="58"/>
      <c r="L19" s="57"/>
      <c r="M19" s="55"/>
      <c r="N19" s="56"/>
      <c r="O19" s="23"/>
      <c r="P19" s="538" t="s">
        <v>55</v>
      </c>
      <c r="Q19" s="539"/>
      <c r="R19" s="540">
        <v>30.0</v>
      </c>
      <c r="S19" s="365">
        <v>-18.35</v>
      </c>
      <c r="T19" s="323">
        <f t="shared" si="2"/>
        <v>46325</v>
      </c>
      <c r="U19" s="64"/>
      <c r="V19" s="23"/>
      <c r="W19" s="64"/>
      <c r="X19" s="303"/>
      <c r="Y19" s="23"/>
      <c r="Z19" s="23"/>
    </row>
    <row r="20" ht="18.75" customHeight="1">
      <c r="A20" s="55"/>
      <c r="B20" s="56"/>
      <c r="C20" s="55"/>
      <c r="D20" s="56"/>
      <c r="E20" s="55"/>
      <c r="F20" s="56"/>
      <c r="G20" s="55"/>
      <c r="H20" s="56"/>
      <c r="I20" s="55"/>
      <c r="J20" s="56"/>
      <c r="K20" s="58"/>
      <c r="L20" s="57"/>
      <c r="M20" s="55"/>
      <c r="N20" s="56"/>
      <c r="O20" s="23"/>
      <c r="P20" s="319" t="s">
        <v>29</v>
      </c>
      <c r="Q20" s="320"/>
      <c r="R20" s="321">
        <v>5.0</v>
      </c>
      <c r="S20" s="322">
        <v>-16.19</v>
      </c>
      <c r="T20" s="323">
        <f t="shared" si="2"/>
        <v>46300</v>
      </c>
      <c r="U20" s="64"/>
      <c r="V20" s="23"/>
      <c r="W20" s="64"/>
      <c r="X20" s="303"/>
      <c r="Y20" s="23"/>
      <c r="Z20" s="23"/>
    </row>
    <row r="21" ht="18.75" customHeight="1">
      <c r="A21" s="55"/>
      <c r="B21" s="56"/>
      <c r="C21" s="55"/>
      <c r="D21" s="56"/>
      <c r="E21" s="55"/>
      <c r="F21" s="56"/>
      <c r="G21" s="55"/>
      <c r="H21" s="56"/>
      <c r="I21" s="55"/>
      <c r="J21" s="56"/>
      <c r="K21" s="58"/>
      <c r="L21" s="57"/>
      <c r="M21" s="55"/>
      <c r="N21" s="56"/>
      <c r="O21" s="23"/>
      <c r="P21" s="319" t="s">
        <v>43</v>
      </c>
      <c r="Q21" s="320"/>
      <c r="R21" s="321">
        <v>17.0</v>
      </c>
      <c r="S21" s="322">
        <v>-9.99</v>
      </c>
      <c r="T21" s="323">
        <f t="shared" si="2"/>
        <v>46312</v>
      </c>
      <c r="U21" s="64"/>
      <c r="V21" s="303"/>
      <c r="W21" s="64"/>
      <c r="X21" s="303"/>
      <c r="Y21" s="23"/>
      <c r="Z21" s="23"/>
    </row>
    <row r="22" ht="18.75" customHeight="1">
      <c r="A22" s="66" t="s">
        <v>22</v>
      </c>
      <c r="B22" s="67">
        <f>N16+SUM(B17:B21)</f>
        <v>5802.67</v>
      </c>
      <c r="C22" s="66"/>
      <c r="D22" s="67">
        <f>B22+SUM(D17:D21)</f>
        <v>4845.32</v>
      </c>
      <c r="E22" s="66"/>
      <c r="F22" s="67">
        <f>D22+SUM(F17:F21)</f>
        <v>4445.32</v>
      </c>
      <c r="G22" s="66"/>
      <c r="H22" s="67">
        <f>F22+SUM(H17:H21)</f>
        <v>4248.52</v>
      </c>
      <c r="I22" s="66"/>
      <c r="J22" s="67">
        <f>H22+SUM(J17:J21)</f>
        <v>4248.52</v>
      </c>
      <c r="K22" s="66"/>
      <c r="L22" s="67">
        <f>J22+SUM(L17:L21)</f>
        <v>4248.52</v>
      </c>
      <c r="M22" s="66"/>
      <c r="N22" s="67">
        <f>L22+SUM(N17:N21)</f>
        <v>4248.52</v>
      </c>
      <c r="O22" s="68"/>
      <c r="P22" s="319" t="s">
        <v>54</v>
      </c>
      <c r="Q22" s="320"/>
      <c r="R22" s="321">
        <v>30.0</v>
      </c>
      <c r="S22" s="322">
        <v>-11.0</v>
      </c>
      <c r="T22" s="323">
        <f t="shared" si="2"/>
        <v>46325</v>
      </c>
      <c r="W22" s="71"/>
      <c r="X22" s="309"/>
      <c r="Y22" s="69"/>
      <c r="Z22" s="69"/>
    </row>
    <row r="23" ht="18.75" customHeight="1">
      <c r="A23" s="50">
        <f>IF(M17="","",IF(MONTH(M17+1)&lt;&gt;MONTH(M17),"",M17+1))</f>
        <v>46306</v>
      </c>
      <c r="B23" s="51">
        <f>SUMIF($T$11:$T$130,A23,$S$11:$S$91)</f>
        <v>-50</v>
      </c>
      <c r="C23" s="50">
        <f>IF(A23="","",IF(MONTH(A23+1)&lt;&gt;MONTH(A23),"",A23+1))</f>
        <v>46307</v>
      </c>
      <c r="D23" s="51">
        <f>SUMIF($T$11:$T$130,C23,$S$11:$S$91)</f>
        <v>-784.08</v>
      </c>
      <c r="E23" s="50">
        <f>IF(C23="","",IF(MONTH(C23+1)&lt;&gt;MONTH(C23),"",C23+1))</f>
        <v>46308</v>
      </c>
      <c r="F23" s="51">
        <f>SUMIF($T$11:$T$130,E23,$S$11:$S$91)</f>
        <v>0</v>
      </c>
      <c r="G23" s="50">
        <f>IF(E23="","",IF(MONTH(E23+1)&lt;&gt;MONTH(E23),"",E23+1))</f>
        <v>46309</v>
      </c>
      <c r="H23" s="51">
        <f>SUMIF($T$11:$T$130,G23,$S$11:$S$91)</f>
        <v>0</v>
      </c>
      <c r="I23" s="50">
        <f>IF(G23="","",IF(MONTH(G23+1)&lt;&gt;MONTH(G23),"",G23+1))</f>
        <v>46310</v>
      </c>
      <c r="J23" s="51">
        <f>SUMIF($T$11:$T$130,I23,$S$11:$S$91)</f>
        <v>0</v>
      </c>
      <c r="K23" s="50">
        <f>IF(I23="","",IF(MONTH(I23+1)&lt;&gt;MONTH(I23),"",I23+1))</f>
        <v>46311</v>
      </c>
      <c r="L23" s="51">
        <f>SUMIF($T$11:$T$130,K23,$S$11:$S$91)</f>
        <v>2308.8</v>
      </c>
      <c r="M23" s="50">
        <f>IF(K23="","",IF(MONTH(K23+1)&lt;&gt;MONTH(K23),"",K23+1))</f>
        <v>46312</v>
      </c>
      <c r="N23" s="51">
        <f>SUMIF($T$11:$T$130,M23,$S$11:$S$91)</f>
        <v>-15.98</v>
      </c>
      <c r="O23" s="23"/>
      <c r="P23" s="319" t="s">
        <v>30</v>
      </c>
      <c r="Q23" s="320"/>
      <c r="R23" s="321">
        <v>6.0</v>
      </c>
      <c r="S23" s="322">
        <v>-301.0</v>
      </c>
      <c r="T23" s="323">
        <f t="shared" si="2"/>
        <v>46301</v>
      </c>
      <c r="U23" s="64"/>
      <c r="V23" s="23"/>
      <c r="W23" s="64"/>
      <c r="X23" s="303"/>
      <c r="Y23" s="23"/>
      <c r="Z23" s="23"/>
    </row>
    <row r="24" ht="18.75" customHeight="1">
      <c r="A24" s="55"/>
      <c r="B24" s="56"/>
      <c r="C24" s="58" t="s">
        <v>230</v>
      </c>
      <c r="D24" s="57">
        <v>-38.0</v>
      </c>
      <c r="E24" s="55"/>
      <c r="F24" s="56"/>
      <c r="G24" s="413"/>
      <c r="H24" s="535"/>
      <c r="I24" s="55"/>
      <c r="J24" s="56"/>
      <c r="K24" s="58"/>
      <c r="L24" s="57"/>
      <c r="M24" s="55"/>
      <c r="N24" s="56"/>
      <c r="O24" s="23"/>
      <c r="P24" s="319" t="s">
        <v>47</v>
      </c>
      <c r="Q24" s="320"/>
      <c r="R24" s="321">
        <v>1.0</v>
      </c>
      <c r="S24" s="608">
        <v>1500.0</v>
      </c>
      <c r="T24" s="323">
        <f t="shared" si="2"/>
        <v>46296</v>
      </c>
      <c r="U24" s="64"/>
      <c r="V24" s="23"/>
      <c r="W24" s="64"/>
      <c r="X24" s="303"/>
      <c r="Y24" s="23"/>
      <c r="Z24" s="23"/>
    </row>
    <row r="25" ht="18.75" customHeight="1">
      <c r="A25" s="55"/>
      <c r="B25" s="56"/>
      <c r="C25" s="55"/>
      <c r="D25" s="56"/>
      <c r="E25" s="55"/>
      <c r="F25" s="56"/>
      <c r="G25" s="55"/>
      <c r="H25" s="56"/>
      <c r="I25" s="55"/>
      <c r="J25" s="56"/>
      <c r="K25" s="55"/>
      <c r="L25" s="56"/>
      <c r="M25" s="55"/>
      <c r="N25" s="56"/>
      <c r="O25" s="23"/>
      <c r="P25" s="319" t="s">
        <v>19</v>
      </c>
      <c r="Q25" s="320"/>
      <c r="R25" s="321">
        <v>2.0</v>
      </c>
      <c r="S25" s="322">
        <v>2308.8</v>
      </c>
      <c r="T25" s="323">
        <f t="shared" si="2"/>
        <v>46297</v>
      </c>
      <c r="U25" s="64"/>
      <c r="V25" s="23"/>
      <c r="W25" s="64"/>
      <c r="X25" s="303"/>
      <c r="Y25" s="23"/>
      <c r="Z25" s="23"/>
    </row>
    <row r="26" ht="18.75" customHeight="1">
      <c r="A26" s="55"/>
      <c r="B26" s="56"/>
      <c r="C26" s="55"/>
      <c r="D26" s="56"/>
      <c r="E26" s="55"/>
      <c r="F26" s="56"/>
      <c r="G26" s="55"/>
      <c r="H26" s="56"/>
      <c r="I26" s="55"/>
      <c r="J26" s="56"/>
      <c r="K26" s="55"/>
      <c r="L26" s="56"/>
      <c r="M26" s="55"/>
      <c r="N26" s="56"/>
      <c r="O26" s="23"/>
      <c r="P26" s="319" t="s">
        <v>19</v>
      </c>
      <c r="Q26" s="320"/>
      <c r="R26" s="321">
        <v>16.0</v>
      </c>
      <c r="S26" s="322">
        <v>2308.8</v>
      </c>
      <c r="T26" s="323">
        <f t="shared" si="2"/>
        <v>46311</v>
      </c>
      <c r="U26" s="64"/>
      <c r="V26" s="23"/>
      <c r="W26" s="64"/>
      <c r="X26" s="303"/>
      <c r="Y26" s="23"/>
      <c r="Z26" s="23"/>
    </row>
    <row r="27" ht="18.75" customHeight="1">
      <c r="A27" s="55"/>
      <c r="B27" s="56"/>
      <c r="C27" s="55"/>
      <c r="D27" s="56"/>
      <c r="E27" s="55"/>
      <c r="F27" s="56"/>
      <c r="G27" s="55"/>
      <c r="H27" s="56"/>
      <c r="I27" s="55"/>
      <c r="J27" s="56"/>
      <c r="K27" s="55"/>
      <c r="L27" s="56"/>
      <c r="M27" s="55"/>
      <c r="N27" s="56"/>
      <c r="O27" s="23"/>
      <c r="P27" s="319" t="s">
        <v>151</v>
      </c>
      <c r="Q27" s="320"/>
      <c r="R27" s="321">
        <v>30.0</v>
      </c>
      <c r="S27" s="322">
        <v>2308.8</v>
      </c>
      <c r="T27" s="323">
        <f t="shared" si="2"/>
        <v>46325</v>
      </c>
      <c r="U27" s="64"/>
      <c r="V27" s="23"/>
      <c r="W27" s="64"/>
      <c r="X27" s="303"/>
      <c r="Y27" s="23"/>
      <c r="Z27" s="23"/>
    </row>
    <row r="28" ht="18.75" customHeight="1">
      <c r="A28" s="66" t="s">
        <v>22</v>
      </c>
      <c r="B28" s="67">
        <f>N22+SUM(B23:B27)</f>
        <v>4198.52</v>
      </c>
      <c r="C28" s="66"/>
      <c r="D28" s="67">
        <f>B28+SUM(D23:D27)</f>
        <v>3376.44</v>
      </c>
      <c r="E28" s="66"/>
      <c r="F28" s="67">
        <f>D28+SUM(F23:F27)</f>
        <v>3376.44</v>
      </c>
      <c r="G28" s="66"/>
      <c r="H28" s="67">
        <f>F28+SUM(H23:H27)</f>
        <v>3376.44</v>
      </c>
      <c r="I28" s="66"/>
      <c r="J28" s="67">
        <f>H28+SUM(J23:J27)</f>
        <v>3376.44</v>
      </c>
      <c r="K28" s="66"/>
      <c r="L28" s="67">
        <f>J28+SUM(L23:L27)</f>
        <v>5685.24</v>
      </c>
      <c r="M28" s="66"/>
      <c r="N28" s="67">
        <f>L28+SUM(N23:N27)</f>
        <v>5669.26</v>
      </c>
      <c r="O28" s="68"/>
      <c r="P28" s="406" t="s">
        <v>142</v>
      </c>
      <c r="Q28" s="407"/>
      <c r="R28" s="408">
        <v>1.0</v>
      </c>
      <c r="S28" s="409"/>
      <c r="T28" s="323">
        <f t="shared" si="2"/>
        <v>46296</v>
      </c>
      <c r="U28" s="71"/>
      <c r="V28" s="69"/>
      <c r="W28" s="71"/>
      <c r="X28" s="309"/>
      <c r="Y28" s="69"/>
      <c r="Z28" s="69"/>
    </row>
    <row r="29" ht="18.75" customHeight="1">
      <c r="A29" s="50">
        <f>IF(M23="","",IF(MONTH(M23+1)&lt;&gt;MONTH(M23),"",M23+1))</f>
        <v>46313</v>
      </c>
      <c r="B29" s="51">
        <f>SUMIF($T$11:$T$130,A29,$S$11:$S$91)</f>
        <v>-151</v>
      </c>
      <c r="C29" s="50">
        <f>IF(A29="","",IF(MONTH(A29+1)&lt;&gt;MONTH(A29),"",A29+1))</f>
        <v>46314</v>
      </c>
      <c r="D29" s="51">
        <f>SUMIF($T$11:$T$130,C29,$S$11:$S$91)</f>
        <v>-150</v>
      </c>
      <c r="E29" s="50">
        <f>IF(C29="","",IF(MONTH(C29+1)&lt;&gt;MONTH(C29),"",C29+1))</f>
        <v>46315</v>
      </c>
      <c r="F29" s="51">
        <f>SUMIF($T$11:$T$130,E29,$S$11:$S$91)</f>
        <v>0</v>
      </c>
      <c r="G29" s="50">
        <f>IF(E29="","",IF(MONTH(E29+1)&lt;&gt;MONTH(E29),"",E29+1))</f>
        <v>46316</v>
      </c>
      <c r="H29" s="51">
        <f>SUMIF($T$11:$T$130,G29,$S$11:$S$91)</f>
        <v>0</v>
      </c>
      <c r="I29" s="50">
        <f>IF(G29="","",IF(MONTH(G29+1)&lt;&gt;MONTH(G29),"",G29+1))</f>
        <v>46317</v>
      </c>
      <c r="J29" s="51">
        <f>SUMIF($T$11:$T$130,I29,$S$11:$S$91)</f>
        <v>0</v>
      </c>
      <c r="K29" s="50">
        <f>IF(I29="","",IF(MONTH(I29+1)&lt;&gt;MONTH(I29),"",I29+1))</f>
        <v>46318</v>
      </c>
      <c r="L29" s="51">
        <f>SUMIF($T$11:$T$130,K29,$S$11:$S$91)</f>
        <v>-10.99</v>
      </c>
      <c r="M29" s="50">
        <f>IF(K29="","",IF(MONTH(K29+1)&lt;&gt;MONTH(K29),"",K29+1))</f>
        <v>46319</v>
      </c>
      <c r="N29" s="51">
        <f>SUMIF($T$11:$T$130,M29,$S$11:$S$91)</f>
        <v>0</v>
      </c>
      <c r="O29" s="23"/>
      <c r="P29" s="406" t="s">
        <v>142</v>
      </c>
      <c r="Q29" s="407"/>
      <c r="R29" s="408">
        <v>24.0</v>
      </c>
      <c r="S29" s="409"/>
      <c r="T29" s="323">
        <f t="shared" si="2"/>
        <v>46319</v>
      </c>
      <c r="U29" s="64"/>
      <c r="V29" s="23"/>
      <c r="W29" s="64"/>
      <c r="X29" s="303"/>
      <c r="Y29" s="23"/>
      <c r="Z29" s="23"/>
    </row>
    <row r="30" ht="18.75" customHeight="1">
      <c r="A30" s="55"/>
      <c r="B30" s="56"/>
      <c r="C30" s="55"/>
      <c r="D30" s="56"/>
      <c r="E30" s="485" t="s">
        <v>202</v>
      </c>
      <c r="F30" s="486"/>
      <c r="G30" s="58" t="s">
        <v>139</v>
      </c>
      <c r="H30" s="57">
        <v>-99.0</v>
      </c>
      <c r="I30" s="55"/>
      <c r="J30" s="56"/>
      <c r="K30" s="55"/>
      <c r="L30" s="57"/>
      <c r="M30" s="55"/>
      <c r="N30" s="56"/>
      <c r="O30" s="23"/>
      <c r="P30" s="319" t="s">
        <v>142</v>
      </c>
      <c r="Q30" s="320"/>
      <c r="R30" s="321"/>
      <c r="S30" s="322"/>
      <c r="T30" s="323" t="str">
        <f t="shared" si="2"/>
        <v>-</v>
      </c>
      <c r="U30" s="64"/>
      <c r="V30" s="23"/>
      <c r="W30" s="64"/>
      <c r="X30" s="303"/>
      <c r="Y30" s="23"/>
      <c r="Z30" s="23"/>
    </row>
    <row r="31" ht="18.75" customHeight="1">
      <c r="A31" s="55"/>
      <c r="B31" s="56"/>
      <c r="C31" s="55"/>
      <c r="D31" s="56"/>
      <c r="E31" s="55"/>
      <c r="F31" s="56"/>
      <c r="G31" s="55"/>
      <c r="H31" s="56"/>
      <c r="I31" s="55"/>
      <c r="J31" s="56"/>
      <c r="K31" s="58" t="s">
        <v>160</v>
      </c>
      <c r="L31" s="57"/>
      <c r="M31" s="55"/>
      <c r="N31" s="56"/>
      <c r="O31" s="23"/>
      <c r="P31" s="367"/>
      <c r="Q31" s="368"/>
      <c r="R31" s="405"/>
      <c r="S31" s="370"/>
      <c r="T31" s="376" t="str">
        <f>IF(ISBLANK(R31),"-",IF(R31&gt;DAY(EOMONTH(DATE($B$2,$E$2,1),0)),EOMONTH(DATE($B$2,$E$2,1),0),DATE($B$2,$E$2,R31)))</f>
        <v>-</v>
      </c>
      <c r="U31" s="64"/>
      <c r="V31" s="23"/>
      <c r="W31" s="64"/>
      <c r="X31" s="303"/>
      <c r="Y31" s="23"/>
      <c r="Z31" s="23"/>
    </row>
    <row r="32" ht="18.75" customHeight="1">
      <c r="A32" s="55"/>
      <c r="B32" s="56"/>
      <c r="C32" s="55"/>
      <c r="D32" s="56"/>
      <c r="E32" s="55"/>
      <c r="F32" s="56"/>
      <c r="G32" s="55"/>
      <c r="H32" s="56"/>
      <c r="I32" s="55"/>
      <c r="J32" s="56"/>
      <c r="K32" s="58" t="s">
        <v>161</v>
      </c>
      <c r="L32" s="57"/>
      <c r="M32" s="55"/>
      <c r="N32" s="56"/>
      <c r="O32" s="23"/>
      <c r="P32" s="319" t="s">
        <v>46</v>
      </c>
      <c r="Q32" s="320"/>
      <c r="R32" s="321">
        <v>23.0</v>
      </c>
      <c r="S32" s="322">
        <v>-10.99</v>
      </c>
      <c r="T32" s="323">
        <f t="shared" ref="T32:T36" si="3">IF(ISBLANK(R32),"-",IF(R32&gt;DAY(EOMONTH(DATE($B$2,$E$2,1),0)),EOMONTH(DATE($B$2,$E$2,1),0),DATE($B$2,$E$2,R32)))</f>
        <v>46318</v>
      </c>
      <c r="U32" s="64"/>
      <c r="V32" s="23"/>
      <c r="W32" s="64"/>
      <c r="X32" s="303"/>
      <c r="Y32" s="23"/>
      <c r="Z32" s="23"/>
    </row>
    <row r="33" ht="18.75" customHeight="1">
      <c r="A33" s="55"/>
      <c r="B33" s="56"/>
      <c r="C33" s="55"/>
      <c r="D33" s="56"/>
      <c r="E33" s="55"/>
      <c r="F33" s="56"/>
      <c r="G33" s="55"/>
      <c r="H33" s="56"/>
      <c r="I33" s="55"/>
      <c r="J33" s="56"/>
      <c r="K33" s="55"/>
      <c r="L33" s="56"/>
      <c r="M33" s="55"/>
      <c r="N33" s="56"/>
      <c r="O33" s="23"/>
      <c r="P33" s="538" t="s">
        <v>44</v>
      </c>
      <c r="Q33" s="539"/>
      <c r="R33" s="540">
        <v>26.0</v>
      </c>
      <c r="S33" s="365">
        <v>-18.35</v>
      </c>
      <c r="T33" s="323">
        <f t="shared" si="3"/>
        <v>46321</v>
      </c>
      <c r="U33" s="64"/>
      <c r="V33" s="23"/>
      <c r="W33" s="64"/>
      <c r="X33" s="303"/>
      <c r="Y33" s="23"/>
      <c r="Z33" s="23"/>
    </row>
    <row r="34" ht="18.75" customHeight="1">
      <c r="A34" s="66" t="s">
        <v>22</v>
      </c>
      <c r="B34" s="67">
        <f>N28+SUM(B29:B33)</f>
        <v>5518.26</v>
      </c>
      <c r="C34" s="66"/>
      <c r="D34" s="67">
        <f>B34+SUM(D29:D33)</f>
        <v>5368.26</v>
      </c>
      <c r="E34" s="66"/>
      <c r="F34" s="67">
        <f>D34+SUM(F29:F33)</f>
        <v>5368.26</v>
      </c>
      <c r="G34" s="66"/>
      <c r="H34" s="67">
        <f>F34+SUM(H29:H33)</f>
        <v>5269.26</v>
      </c>
      <c r="I34" s="66"/>
      <c r="J34" s="67">
        <f>H34+SUM(J29:J33)</f>
        <v>5269.26</v>
      </c>
      <c r="K34" s="66"/>
      <c r="L34" s="67">
        <f>J34+SUM(L29:L33)</f>
        <v>5258.27</v>
      </c>
      <c r="M34" s="66"/>
      <c r="N34" s="67">
        <f>L34+SUM(N29:N33)</f>
        <v>5258.27</v>
      </c>
      <c r="O34" s="68"/>
      <c r="P34" s="319" t="s">
        <v>40</v>
      </c>
      <c r="Q34" s="320"/>
      <c r="R34" s="321">
        <v>12.0</v>
      </c>
      <c r="S34" s="322">
        <v>-102.0</v>
      </c>
      <c r="T34" s="323">
        <f t="shared" si="3"/>
        <v>46307</v>
      </c>
      <c r="U34" s="71"/>
      <c r="V34" s="69"/>
      <c r="W34" s="71"/>
      <c r="X34" s="309"/>
      <c r="Y34" s="69"/>
      <c r="Z34" s="69"/>
    </row>
    <row r="35" ht="18.75" customHeight="1">
      <c r="A35" s="50">
        <f>IF(M29="","",IF(MONTH(M29+1)&lt;&gt;MONTH(M29),"",M29+1))</f>
        <v>46320</v>
      </c>
      <c r="B35" s="51">
        <f>SUMIF($T$11:$T$130,A35,$S$11:$S$91)</f>
        <v>0</v>
      </c>
      <c r="C35" s="50">
        <f>IF(A35="","",IF(MONTH(A35+1)&lt;&gt;MONTH(A35),"",A35+1))</f>
        <v>46321</v>
      </c>
      <c r="D35" s="51">
        <f>SUMIF($T$11:$T$130,C35,$S$11:$S$91)</f>
        <v>-195.35</v>
      </c>
      <c r="E35" s="50">
        <f>IF(C35="","",IF(MONTH(C35+1)&lt;&gt;MONTH(C35),"",C35+1))</f>
        <v>46322</v>
      </c>
      <c r="F35" s="51">
        <f>SUMIF($T$11:$T$130,E35,$S$11:$S$91)</f>
        <v>0</v>
      </c>
      <c r="G35" s="50">
        <f>IF(E35="","",IF(MONTH(E35+1)&lt;&gt;MONTH(E35),"",E35+1))</f>
        <v>46323</v>
      </c>
      <c r="H35" s="51">
        <f>SUMIF($T$11:$T$130,G35,$S$11:$S$91)</f>
        <v>-1065.6</v>
      </c>
      <c r="I35" s="50">
        <f>IF(G35="","",IF(MONTH(G35+1)&lt;&gt;MONTH(G35),"",G35+1))</f>
        <v>46324</v>
      </c>
      <c r="J35" s="51">
        <f>SUMIF($T$11:$T$130,I35,$S$11:$S$91)</f>
        <v>-10.99</v>
      </c>
      <c r="K35" s="50">
        <f>IF(I35="","",IF(MONTH(I35+1)&lt;&gt;MONTH(I35),"",I35+1))</f>
        <v>46325</v>
      </c>
      <c r="L35" s="51">
        <f>SUMIF($T$11:$T$130,K35,$S$11:$S$91)</f>
        <v>2279.45</v>
      </c>
      <c r="M35" s="50">
        <f>IF(K35="","",IF(MONTH(K35+1)&lt;&gt;MONTH(K35),"",K35+1))</f>
        <v>46326</v>
      </c>
      <c r="N35" s="51">
        <f>SUMIF($T$11:$T$130,M35,$S$11:$S$91)</f>
        <v>0</v>
      </c>
      <c r="O35" s="23"/>
      <c r="P35" s="319" t="s">
        <v>34</v>
      </c>
      <c r="Q35" s="320"/>
      <c r="R35" s="321">
        <v>17.0</v>
      </c>
      <c r="S35" s="322">
        <v>-5.99</v>
      </c>
      <c r="T35" s="323">
        <f t="shared" si="3"/>
        <v>46312</v>
      </c>
      <c r="U35" s="64"/>
      <c r="V35" s="23"/>
      <c r="W35" s="64"/>
      <c r="X35" s="303"/>
      <c r="Y35" s="23"/>
      <c r="Z35" s="23"/>
    </row>
    <row r="36" ht="18.75" customHeight="1">
      <c r="A36" s="55"/>
      <c r="B36" s="56"/>
      <c r="C36" s="55"/>
      <c r="D36" s="56"/>
      <c r="E36" s="55"/>
      <c r="F36" s="56"/>
      <c r="G36" s="55"/>
      <c r="H36" s="57"/>
      <c r="I36" s="55"/>
      <c r="J36" s="56"/>
      <c r="K36" s="55"/>
      <c r="L36" s="56"/>
      <c r="M36" s="55"/>
      <c r="N36" s="56"/>
      <c r="O36" s="23"/>
      <c r="P36" s="319" t="s">
        <v>34</v>
      </c>
      <c r="Q36" s="320"/>
      <c r="R36" s="321">
        <v>24.0</v>
      </c>
      <c r="S36" s="322"/>
      <c r="T36" s="323">
        <f t="shared" si="3"/>
        <v>46319</v>
      </c>
      <c r="U36" s="64"/>
      <c r="V36" s="23"/>
      <c r="W36" s="64"/>
      <c r="X36" s="303"/>
      <c r="Y36" s="23"/>
      <c r="Z36" s="23"/>
    </row>
    <row r="37" ht="18.75" customHeight="1">
      <c r="A37" s="55"/>
      <c r="B37" s="56"/>
      <c r="C37" s="55"/>
      <c r="D37" s="56"/>
      <c r="E37" s="55"/>
      <c r="F37" s="56"/>
      <c r="G37" s="55"/>
      <c r="H37" s="56"/>
      <c r="I37" s="55"/>
      <c r="J37" s="56"/>
      <c r="K37" s="55"/>
      <c r="L37" s="56"/>
      <c r="M37" s="55"/>
      <c r="N37" s="56"/>
      <c r="O37" s="23"/>
      <c r="P37" s="367" t="s">
        <v>51</v>
      </c>
      <c r="Q37" s="368"/>
      <c r="R37" s="405">
        <v>26.0</v>
      </c>
      <c r="S37" s="370">
        <v>-27.0</v>
      </c>
      <c r="T37" s="376">
        <f>IF(ISBLANK(R37),"-",IF(R37&gt;DAY(EOMONTH(DATE($B$2,$E$2,1),0)),EOMONTH(DATE($B$2,$E$2,1),0),DATE($B$2,$E$2,R37)))</f>
        <v>46321</v>
      </c>
      <c r="U37" s="64"/>
      <c r="V37" s="23"/>
      <c r="W37" s="64"/>
      <c r="X37" s="303"/>
      <c r="Y37" s="23"/>
      <c r="Z37" s="23"/>
    </row>
    <row r="38" ht="18.75" customHeight="1">
      <c r="A38" s="55"/>
      <c r="B38" s="56"/>
      <c r="C38" s="55"/>
      <c r="D38" s="56"/>
      <c r="E38" s="55"/>
      <c r="F38" s="56"/>
      <c r="G38" s="55"/>
      <c r="H38" s="56"/>
      <c r="I38" s="55"/>
      <c r="J38" s="56"/>
      <c r="K38" s="55"/>
      <c r="L38" s="56"/>
      <c r="M38" s="55"/>
      <c r="N38" s="56"/>
      <c r="O38" s="23"/>
      <c r="P38" s="367" t="s">
        <v>53</v>
      </c>
      <c r="Q38" s="368"/>
      <c r="R38" s="405">
        <v>29.0</v>
      </c>
      <c r="S38" s="370">
        <v>-10.99</v>
      </c>
      <c r="T38" s="323">
        <f t="shared" ref="T38:T40" si="4">IF(ISBLANK(R38),"-",IF(R38&gt;DAY(EOMONTH(DATE($B$2,$E$2,1),0)),EOMONTH(DATE($B$2,$E$2,1),0),DATE($B$2,$E$2,R38)))</f>
        <v>46324</v>
      </c>
      <c r="U38" s="64"/>
      <c r="V38" s="23"/>
      <c r="W38" s="64"/>
      <c r="X38" s="303"/>
      <c r="Y38" s="23"/>
      <c r="Z38" s="23"/>
    </row>
    <row r="39" ht="18.75" customHeight="1">
      <c r="A39" s="55"/>
      <c r="B39" s="56"/>
      <c r="C39" s="55"/>
      <c r="D39" s="56"/>
      <c r="E39" s="55"/>
      <c r="F39" s="56"/>
      <c r="G39" s="55"/>
      <c r="H39" s="56"/>
      <c r="I39" s="55"/>
      <c r="J39" s="56"/>
      <c r="K39" s="55"/>
      <c r="L39" s="56"/>
      <c r="M39" s="55"/>
      <c r="N39" s="56"/>
      <c r="O39" s="23"/>
      <c r="P39" s="319" t="s">
        <v>27</v>
      </c>
      <c r="Q39" s="320"/>
      <c r="R39" s="321">
        <v>3.0</v>
      </c>
      <c r="S39" s="322">
        <v>-33.0</v>
      </c>
      <c r="T39" s="323">
        <f t="shared" si="4"/>
        <v>46298</v>
      </c>
      <c r="U39" s="64"/>
      <c r="V39" s="23"/>
      <c r="W39" s="64"/>
      <c r="X39" s="303"/>
      <c r="Y39" s="23"/>
      <c r="Z39" s="23"/>
    </row>
    <row r="40" ht="18.75" customHeight="1">
      <c r="A40" s="66" t="s">
        <v>22</v>
      </c>
      <c r="B40" s="67">
        <f>N34+SUM(B35:B39)</f>
        <v>5258.27</v>
      </c>
      <c r="C40" s="66"/>
      <c r="D40" s="67">
        <f>B40+SUM(D35:D39)</f>
        <v>5062.92</v>
      </c>
      <c r="E40" s="66"/>
      <c r="F40" s="67">
        <f>D40+SUM(F35:F39)</f>
        <v>5062.92</v>
      </c>
      <c r="G40" s="66"/>
      <c r="H40" s="67">
        <f>F40+SUM(H35:H39)</f>
        <v>3997.32</v>
      </c>
      <c r="I40" s="66"/>
      <c r="J40" s="67">
        <f>H40+SUM(J35:J39)</f>
        <v>3986.33</v>
      </c>
      <c r="K40" s="66"/>
      <c r="L40" s="67">
        <f>J40+SUM(L35:L39)</f>
        <v>6265.78</v>
      </c>
      <c r="M40" s="66"/>
      <c r="N40" s="67">
        <f>L40+SUM(N35:N39)</f>
        <v>6265.78</v>
      </c>
      <c r="O40" s="68"/>
      <c r="P40" s="406" t="s">
        <v>186</v>
      </c>
      <c r="Q40" s="407"/>
      <c r="R40" s="408">
        <v>4.0</v>
      </c>
      <c r="S40" s="409">
        <v>-50.0</v>
      </c>
      <c r="T40" s="323">
        <f t="shared" si="4"/>
        <v>46299</v>
      </c>
      <c r="U40" s="71"/>
      <c r="V40" s="69"/>
      <c r="W40" s="71"/>
      <c r="X40" s="309"/>
      <c r="Y40" s="69"/>
      <c r="Z40" s="69"/>
    </row>
    <row r="41" ht="18.75" customHeight="1">
      <c r="A41" s="50" t="str">
        <f>IF(M35="","",IF(MONTH(M35+1)&lt;&gt;MONTH(M35),"",M35+1))</f>
        <v/>
      </c>
      <c r="B41" s="616">
        <v>0.0</v>
      </c>
      <c r="C41" s="50" t="str">
        <f>IF(A41="","",IF(MONTH(A41+1)&lt;&gt;MONTH(A41),"",A41+1))</f>
        <v/>
      </c>
      <c r="D41" s="616">
        <v>0.0</v>
      </c>
      <c r="E41" s="77"/>
      <c r="F41" s="77" t="s">
        <v>50</v>
      </c>
      <c r="G41" s="77"/>
      <c r="H41" s="77"/>
      <c r="I41" s="77"/>
      <c r="J41" s="77"/>
      <c r="K41" s="77"/>
      <c r="L41" s="77"/>
      <c r="M41" s="77"/>
      <c r="N41" s="77"/>
      <c r="P41" s="367" t="s">
        <v>214</v>
      </c>
      <c r="Q41" s="368"/>
      <c r="R41" s="405">
        <v>7.0</v>
      </c>
      <c r="S41" s="370">
        <v>-21.8</v>
      </c>
      <c r="T41" s="376">
        <f>IF(ISBLANK(R41),"-",IF(R41&gt;DAY(EOMONTH(DATE($B$2,$E$2,1),0)),EOMONTH(DATE($B$2,$E$2,1),0),DATE($B$2,$E$2,R41)))</f>
        <v>46302</v>
      </c>
      <c r="V41" s="313"/>
      <c r="X41" s="314"/>
    </row>
    <row r="42" ht="18.75" customHeight="1">
      <c r="A42" s="55"/>
      <c r="B42" s="56"/>
      <c r="C42" s="55"/>
      <c r="D42" s="56"/>
      <c r="E42" s="77"/>
      <c r="F42" s="77" t="s">
        <v>52</v>
      </c>
      <c r="G42" s="77"/>
      <c r="H42" s="77"/>
      <c r="I42" s="77"/>
      <c r="J42" s="77"/>
      <c r="K42" s="77"/>
      <c r="L42" s="77"/>
      <c r="M42" s="77"/>
      <c r="N42" s="77"/>
      <c r="P42" s="319" t="s">
        <v>38</v>
      </c>
      <c r="Q42" s="320"/>
      <c r="R42" s="321">
        <v>11.0</v>
      </c>
      <c r="S42" s="322">
        <v>-50.0</v>
      </c>
      <c r="T42" s="323">
        <f t="shared" ref="T42:T43" si="5">IF(ISBLANK(R42),"-",IF(R42&gt;DAY(EOMONTH(DATE($B$2,$E$2,1),0)),EOMONTH(DATE($B$2,$E$2,1),0),DATE($B$2,$E$2,R42)))</f>
        <v>46306</v>
      </c>
      <c r="V42" s="313"/>
      <c r="X42" s="314"/>
    </row>
    <row r="43" ht="18.75" customHeight="1">
      <c r="A43" s="55"/>
      <c r="B43" s="56"/>
      <c r="C43" s="55"/>
      <c r="D43" s="56"/>
      <c r="E43" s="77"/>
      <c r="F43" s="77"/>
      <c r="G43" s="77"/>
      <c r="H43" s="77"/>
      <c r="I43" s="77"/>
      <c r="J43" s="77"/>
      <c r="K43" s="77"/>
      <c r="L43" s="77"/>
      <c r="M43" s="77"/>
      <c r="N43" s="77"/>
      <c r="P43" s="319" t="s">
        <v>57</v>
      </c>
      <c r="Q43" s="320"/>
      <c r="R43" s="321">
        <v>28.0</v>
      </c>
      <c r="S43" s="322">
        <v>-370.0</v>
      </c>
      <c r="T43" s="323">
        <f t="shared" si="5"/>
        <v>46323</v>
      </c>
      <c r="V43" s="313"/>
    </row>
    <row r="44" ht="18.75" customHeight="1">
      <c r="A44" s="55"/>
      <c r="B44" s="56"/>
      <c r="C44" s="55"/>
      <c r="D44" s="56"/>
      <c r="E44" s="77"/>
      <c r="F44" s="77"/>
      <c r="G44" s="77"/>
      <c r="H44" s="108">
        <v>22.61</v>
      </c>
      <c r="I44" s="77"/>
      <c r="J44" s="77"/>
      <c r="K44" s="77"/>
      <c r="L44" s="77"/>
      <c r="M44" s="77"/>
      <c r="N44" s="77"/>
      <c r="P44" s="613" t="s">
        <v>24</v>
      </c>
      <c r="Q44" s="368"/>
      <c r="R44" s="614">
        <v>1.0</v>
      </c>
      <c r="S44" s="615">
        <v>-63.0</v>
      </c>
      <c r="T44" s="376">
        <f>IF(ISBLANK(R44),"-",IF(R44&gt;DAY(EOMONTH(DATE($B$2,$E$2,1),0)),EOMONTH(DATE($B$2,$E$2,1),0),DATE($B$2,$E$2,R44)))</f>
        <v>46296</v>
      </c>
      <c r="V44" s="313"/>
      <c r="X44" s="314"/>
    </row>
    <row r="45" ht="18.75" customHeight="1">
      <c r="A45" s="55"/>
      <c r="B45" s="56"/>
      <c r="C45" s="55"/>
      <c r="D45" s="56"/>
      <c r="E45" s="77"/>
      <c r="F45" s="77"/>
      <c r="G45" s="77"/>
      <c r="H45" s="326">
        <v>16.2</v>
      </c>
      <c r="I45" s="77"/>
      <c r="J45" s="77"/>
      <c r="K45" s="77"/>
      <c r="L45" s="77"/>
      <c r="M45" s="77"/>
      <c r="N45" s="77"/>
      <c r="P45" s="319" t="s">
        <v>26</v>
      </c>
      <c r="Q45" s="320"/>
      <c r="R45" s="321">
        <v>5.0</v>
      </c>
      <c r="S45" s="322">
        <v>-150.0</v>
      </c>
      <c r="T45" s="323">
        <f t="shared" ref="T45:T49" si="6">IF(ISBLANK(R45),"-",IF(R45&gt;DAY(EOMONTH(DATE($B$2,$E$2,1),0)),EOMONTH(DATE($B$2,$E$2,1),0),DATE($B$2,$E$2,R45)))</f>
        <v>46300</v>
      </c>
    </row>
    <row r="46" ht="18.75" customHeight="1">
      <c r="A46" s="66" t="s">
        <v>22</v>
      </c>
      <c r="B46" s="67">
        <f>N40+SUM(B41:B45)</f>
        <v>6265.78</v>
      </c>
      <c r="C46" s="66"/>
      <c r="D46" s="67">
        <f>B46+SUM(D41:D45)</f>
        <v>6265.78</v>
      </c>
      <c r="E46" s="77"/>
      <c r="F46" s="77"/>
      <c r="G46" s="77"/>
      <c r="H46" s="326">
        <v>20.9</v>
      </c>
      <c r="I46" s="77"/>
      <c r="J46" s="77"/>
      <c r="K46" s="77"/>
      <c r="L46" s="77"/>
      <c r="M46" s="77"/>
      <c r="N46" s="77"/>
      <c r="P46" s="319" t="s">
        <v>26</v>
      </c>
      <c r="Q46" s="320"/>
      <c r="R46" s="321">
        <v>12.0</v>
      </c>
      <c r="S46" s="322">
        <v>-150.0</v>
      </c>
      <c r="T46" s="323">
        <f t="shared" si="6"/>
        <v>46307</v>
      </c>
    </row>
    <row r="47" ht="12.75" customHeight="1">
      <c r="P47" s="319" t="s">
        <v>26</v>
      </c>
      <c r="Q47" s="320"/>
      <c r="R47" s="321">
        <v>19.0</v>
      </c>
      <c r="S47" s="322">
        <v>-150.0</v>
      </c>
      <c r="T47" s="323">
        <f t="shared" si="6"/>
        <v>46314</v>
      </c>
    </row>
    <row r="48" ht="12.75" customHeight="1">
      <c r="P48" s="319" t="s">
        <v>26</v>
      </c>
      <c r="Q48" s="320"/>
      <c r="R48" s="321">
        <v>26.0</v>
      </c>
      <c r="S48" s="322">
        <v>-150.0</v>
      </c>
      <c r="T48" s="323">
        <f t="shared" si="6"/>
        <v>46321</v>
      </c>
    </row>
    <row r="49" ht="12.75" customHeight="1">
      <c r="P49" s="367"/>
      <c r="Q49" s="407"/>
      <c r="R49" s="405"/>
      <c r="S49" s="370"/>
      <c r="T49" s="323" t="str">
        <f t="shared" si="6"/>
        <v>-</v>
      </c>
    </row>
    <row r="50" ht="12.75" customHeight="1">
      <c r="P50" s="542"/>
      <c r="Q50" s="407"/>
      <c r="R50" s="543"/>
      <c r="S50" s="544"/>
      <c r="T50" s="376" t="str">
        <f t="shared" ref="T50:T56" si="7">IF(ISBLANK(R50),"-",IF(R50&gt;DAY(EOMONTH(DATE($B$2,$E$2,1),0)),EOMONTH(DATE($B$2,$E$2,1),0),DATE($B$2,$E$2,$R$47)))</f>
        <v>-</v>
      </c>
    </row>
    <row r="51" ht="12.75" customHeight="1">
      <c r="P51" s="542"/>
      <c r="Q51" s="407"/>
      <c r="R51" s="543"/>
      <c r="S51" s="544"/>
      <c r="T51" s="376" t="str">
        <f t="shared" si="7"/>
        <v>-</v>
      </c>
    </row>
    <row r="52" ht="12.75" customHeight="1">
      <c r="P52" s="542"/>
      <c r="Q52" s="407"/>
      <c r="R52" s="543"/>
      <c r="S52" s="544"/>
      <c r="T52" s="376" t="str">
        <f t="shared" si="7"/>
        <v>-</v>
      </c>
    </row>
    <row r="53" ht="12.75" customHeight="1">
      <c r="P53" s="542"/>
      <c r="Q53" s="407"/>
      <c r="R53" s="543"/>
      <c r="S53" s="544"/>
      <c r="T53" s="376" t="str">
        <f t="shared" si="7"/>
        <v>-</v>
      </c>
    </row>
    <row r="54" ht="12.75" customHeight="1">
      <c r="P54" s="542"/>
      <c r="Q54" s="407"/>
      <c r="R54" s="543"/>
      <c r="S54" s="544"/>
      <c r="T54" s="376" t="str">
        <f t="shared" si="7"/>
        <v>-</v>
      </c>
    </row>
    <row r="55" ht="12.75" customHeight="1">
      <c r="P55" s="542"/>
      <c r="Q55" s="407"/>
      <c r="R55" s="543"/>
      <c r="S55" s="544"/>
      <c r="T55" s="376" t="str">
        <f t="shared" si="7"/>
        <v>-</v>
      </c>
    </row>
    <row r="56" ht="12.75" customHeight="1">
      <c r="P56" s="542"/>
      <c r="Q56" s="407"/>
      <c r="R56" s="543"/>
      <c r="S56" s="544"/>
      <c r="T56" s="376" t="str">
        <f t="shared" si="7"/>
        <v>-</v>
      </c>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c r="S927" s="337"/>
    </row>
    <row r="928" ht="12.75" customHeight="1">
      <c r="R928" s="336"/>
      <c r="S928" s="337"/>
    </row>
    <row r="929" ht="12.75" customHeight="1">
      <c r="R929" s="336"/>
      <c r="S929" s="337"/>
    </row>
    <row r="930" ht="12.75" customHeight="1">
      <c r="R930" s="336"/>
      <c r="S930" s="337"/>
    </row>
    <row r="931" ht="12.75" customHeight="1">
      <c r="R931" s="336"/>
      <c r="S931" s="337"/>
    </row>
    <row r="932" ht="12.75" customHeight="1">
      <c r="R932" s="336"/>
      <c r="S932" s="337"/>
    </row>
    <row r="933" ht="12.75" customHeight="1">
      <c r="R933" s="336"/>
      <c r="S933" s="337"/>
    </row>
    <row r="934" ht="12.75" customHeight="1">
      <c r="R934" s="336"/>
    </row>
    <row r="935" ht="12.75" customHeight="1">
      <c r="R935" s="336"/>
    </row>
    <row r="936" ht="12.75" customHeight="1">
      <c r="R936" s="336"/>
    </row>
    <row r="937" ht="12.75" customHeight="1">
      <c r="R937"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7">
    <cfRule type="cellIs" dxfId="5" priority="1" operator="lessThan">
      <formula>0</formula>
    </cfRule>
  </conditionalFormatting>
  <dataValidations>
    <dataValidation type="list" allowBlank="1" showErrorMessage="1" sqref="Q12:Q56">
      <formula1>"✔"</formula1>
    </dataValidation>
    <dataValidation type="custom" allowBlank="1" showDropDown="1" sqref="T12:T56">
      <formula1>OR(NOT(ISERROR(DATEVALUE(T12))), AND(ISNUMBER(T12), LEFT(CELL("format", T12))="D"))</formula1>
    </dataValidation>
  </dataValidations>
  <hyperlinks>
    <hyperlink r:id="rId1" ref="T3"/>
  </hyperlinks>
  <drawing r:id="rId2"/>
  <tableParts count="1">
    <tablePart r:id="rId4"/>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6.75"/>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2026.0</v>
      </c>
      <c r="C2" s="3"/>
      <c r="D2" s="9" t="s">
        <v>2</v>
      </c>
      <c r="E2" s="10">
        <v>11.0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NOVEMBER 2026</v>
      </c>
      <c r="B5" s="22"/>
      <c r="C5" s="22"/>
      <c r="D5" s="22"/>
      <c r="E5" s="22"/>
      <c r="F5" s="22"/>
      <c r="G5" s="22"/>
      <c r="H5" s="23"/>
      <c r="I5" s="23"/>
      <c r="J5" s="23"/>
      <c r="K5" s="22"/>
      <c r="L5" s="24" t="s">
        <v>7</v>
      </c>
      <c r="M5" s="25">
        <f>'October 2026'!M6</f>
        <v>6265.78</v>
      </c>
      <c r="N5" s="26"/>
      <c r="O5" s="23"/>
      <c r="P5" s="27"/>
      <c r="Q5" s="27"/>
      <c r="R5" s="287" t="s">
        <v>8</v>
      </c>
      <c r="S5" s="288">
        <f>SUMIF(A18:N21,"&gt;0")+SUMIF(A24:N27,"&gt;0")+SUMIF(A30:N33,"&gt;0")+SUMIF(A36:N39,"&gt;0")+SUMIF(A42:D45,"&gt;0")+SUMIF(S12:S46,"&gt;0")+SUMIF(A12:N15,"&gt;0")</f>
        <v>6117.6</v>
      </c>
      <c r="U5" s="23"/>
      <c r="V5" s="289">
        <f>sum(S5+S6)</f>
        <v>-2452.02</v>
      </c>
      <c r="W5" s="23"/>
      <c r="X5" s="23"/>
      <c r="Y5" s="23"/>
      <c r="Z5" s="23"/>
    </row>
    <row r="6" ht="25.5" customHeight="1">
      <c r="A6" s="31"/>
      <c r="B6" s="31"/>
      <c r="C6" s="31"/>
      <c r="D6" s="31"/>
      <c r="E6" s="31"/>
      <c r="F6" s="32"/>
      <c r="G6" s="33"/>
      <c r="H6" s="34"/>
      <c r="I6" s="34"/>
      <c r="J6" s="34"/>
      <c r="K6" s="31"/>
      <c r="L6" s="24" t="s">
        <v>9</v>
      </c>
      <c r="M6" s="35">
        <f>D46</f>
        <v>3813.76</v>
      </c>
      <c r="O6" s="34"/>
      <c r="P6" s="36"/>
      <c r="Q6" s="36"/>
      <c r="R6" s="287" t="s">
        <v>10</v>
      </c>
      <c r="S6" s="288">
        <f>SUMIF(A18:N21,"&lt;0")+SUMIF(A24:N27,"&lt;0")+SUMIF(A30:N33,"&lt;0")+SUMIF(A36:N39,"&lt;0")+SUMIF(A42:D45,"&lt;0")+SUMIF(S12:S196,"&lt;0")+SUMIF(A12:N15,"&lt;0")</f>
        <v>-8569.62</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46327</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46334</v>
      </c>
      <c r="B9" s="40"/>
      <c r="C9" s="39">
        <f>C17</f>
        <v>46335</v>
      </c>
      <c r="D9" s="40"/>
      <c r="E9" s="39">
        <f>E17</f>
        <v>46336</v>
      </c>
      <c r="F9" s="40"/>
      <c r="G9" s="39">
        <f>G17</f>
        <v>46337</v>
      </c>
      <c r="H9" s="40"/>
      <c r="I9" s="39">
        <f>I17</f>
        <v>46338</v>
      </c>
      <c r="J9" s="40"/>
      <c r="K9" s="39">
        <f>K17</f>
        <v>46339</v>
      </c>
      <c r="L9" s="40"/>
      <c r="M9" s="39">
        <f>M17</f>
        <v>46340</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f>IF(WEEKDAY($B$8,1)=$H$2,$B$8,"")</f>
        <v>46327</v>
      </c>
      <c r="B11" s="51">
        <f>SUMIF($T$11:$T$123,A11,$S$11:$S$84)</f>
        <v>-3030.13</v>
      </c>
      <c r="C11" s="50">
        <f>IF(A11="",IF(WEEKDAY($B$8,1)=MOD($H$2,7)+1,$B$8,""),A11+1)</f>
        <v>46328</v>
      </c>
      <c r="D11" s="51">
        <f>SUMIF($T$11:$T$123,C11,$S$11:$S$84)</f>
        <v>0</v>
      </c>
      <c r="E11" s="50">
        <f>IF(C11="",IF(WEEKDAY($B$8,1)=MOD($H$2+1,7)+1,$B$8,""),C11+1)</f>
        <v>46329</v>
      </c>
      <c r="F11" s="51">
        <f>SUMIF($T$11:$T$123,E11,$S$11:$S$84)</f>
        <v>-33</v>
      </c>
      <c r="G11" s="50">
        <f>IF(E11="",IF(WEEKDAY($B$8,1)=MOD($H$2+2,7)+1,$B$8,""),E11+1)</f>
        <v>46330</v>
      </c>
      <c r="H11" s="51">
        <f>SUMIF($T$11:$T$123,G11,$S$11:$S$84)</f>
        <v>-50</v>
      </c>
      <c r="I11" s="50">
        <f>IF(G11="",IF(WEEKDAY($B$8,1)=MOD($H$2+3,7)+1,$B$8,""),G11+1)</f>
        <v>46331</v>
      </c>
      <c r="J11" s="51">
        <f>SUMIF($T$11:$T$123,I11,$S$11:$S$84)</f>
        <v>-957.35</v>
      </c>
      <c r="K11" s="50">
        <f>IF(I11="",IF(WEEKDAY($B$8,1)=MOD($H$2+4,7)+1,$B$8,""),I11+1)</f>
        <v>46332</v>
      </c>
      <c r="L11" s="51">
        <f>SUMIF($T$11:$T$123,K11,$S$11:$S$84)</f>
        <v>-301</v>
      </c>
      <c r="M11" s="50">
        <f>IF(K11="",IF(WEEKDAY($B$8,1)=MOD($H$2+5,7)+1,$B$8,""),K11+1)</f>
        <v>46333</v>
      </c>
      <c r="N11" s="51">
        <f>SUMIF($T$11:$T$123,M11,$S$11:$S$84)</f>
        <v>-196.8</v>
      </c>
      <c r="O11" s="23"/>
      <c r="P11" s="52" t="s">
        <v>13</v>
      </c>
      <c r="Q11" s="53" t="s">
        <v>14</v>
      </c>
      <c r="R11" s="53" t="s">
        <v>15</v>
      </c>
      <c r="S11" s="96" t="s">
        <v>16</v>
      </c>
      <c r="T11" s="53" t="s">
        <v>17</v>
      </c>
      <c r="U11" s="23"/>
      <c r="V11" s="23"/>
      <c r="W11" s="23"/>
      <c r="X11" s="23"/>
      <c r="Y11" s="23"/>
    </row>
    <row r="12" ht="18.75" customHeight="1">
      <c r="A12" s="55"/>
      <c r="B12" s="56"/>
      <c r="C12" s="55"/>
      <c r="D12" s="56"/>
      <c r="E12" s="55"/>
      <c r="F12" s="56"/>
      <c r="G12" s="55"/>
      <c r="H12" s="56"/>
      <c r="I12" s="58"/>
      <c r="J12" s="57"/>
      <c r="K12" s="55"/>
      <c r="L12" s="56"/>
      <c r="M12" s="55"/>
      <c r="N12" s="56"/>
      <c r="O12" s="23"/>
      <c r="P12" s="551" t="s">
        <v>25</v>
      </c>
      <c r="Q12" s="552"/>
      <c r="R12" s="553">
        <v>8.0</v>
      </c>
      <c r="S12" s="549">
        <f t="array" ref="S12">-INDEX(PaymentSchedule!$E$21:$AG930,MATCH(PaymentSchedule!$B$43,PaymentSchedule!$B$21:$B$100),MATCH($P12,PaymentSchedule!$E$19:$AG$19,0))</f>
        <v>0</v>
      </c>
      <c r="T12" s="599">
        <f t="shared" ref="T12:T49" si="1">IF(ISBLANK(R12),"-",IF(R12&gt;DAY(EOMONTH(DATE($B$2,$E$2,1),0)),EOMONTH(DATE($B$2,$E$2,1),0),DATE($B$2,$E$2,R12)))</f>
        <v>46334</v>
      </c>
      <c r="U12" s="23"/>
      <c r="V12" s="64"/>
      <c r="W12" s="303"/>
      <c r="X12" s="23"/>
      <c r="Y12" s="23"/>
    </row>
    <row r="13" ht="18.75" customHeight="1">
      <c r="A13" s="55"/>
      <c r="B13" s="56"/>
      <c r="C13" s="55"/>
      <c r="D13" s="56"/>
      <c r="E13" s="55"/>
      <c r="F13" s="56"/>
      <c r="G13" s="55"/>
      <c r="H13" s="56"/>
      <c r="I13" s="55"/>
      <c r="J13" s="57"/>
      <c r="K13" s="55"/>
      <c r="L13" s="56"/>
      <c r="M13" s="55"/>
      <c r="N13" s="56"/>
      <c r="O13" s="23"/>
      <c r="P13" s="551" t="s">
        <v>89</v>
      </c>
      <c r="Q13" s="552"/>
      <c r="R13" s="553">
        <v>7.0</v>
      </c>
      <c r="S13" s="549">
        <f t="array" ref="S13">-INDEX(PaymentSchedule!$E$21:$AG930,MATCH(PaymentSchedule!$B$43,PaymentSchedule!$B$21:$B$100),MATCH($P13,PaymentSchedule!$E$19:$AG$19,0))</f>
        <v>-175</v>
      </c>
      <c r="T13" s="599">
        <f t="shared" si="1"/>
        <v>46333</v>
      </c>
      <c r="U13" s="23"/>
      <c r="V13" s="64"/>
      <c r="W13" s="303"/>
      <c r="X13" s="23"/>
      <c r="Y13" s="23"/>
    </row>
    <row r="14" ht="18.75" customHeight="1">
      <c r="A14" s="55"/>
      <c r="B14" s="56"/>
      <c r="C14" s="55"/>
      <c r="D14" s="56"/>
      <c r="E14" s="55"/>
      <c r="F14" s="56"/>
      <c r="G14" s="55"/>
      <c r="H14" s="56"/>
      <c r="I14" s="58"/>
      <c r="J14" s="57"/>
      <c r="K14" s="55"/>
      <c r="L14" s="56"/>
      <c r="M14" s="55"/>
      <c r="N14" s="56"/>
      <c r="O14" s="23"/>
      <c r="P14" s="551" t="s">
        <v>85</v>
      </c>
      <c r="Q14" s="552"/>
      <c r="R14" s="553">
        <v>18.0</v>
      </c>
      <c r="S14" s="549">
        <f t="array" ref="S14">-INDEX(PaymentSchedule!$E$21:$AG930,MATCH(PaymentSchedule!$B$43,PaymentSchedule!$B$21:$B$100),MATCH($P14,PaymentSchedule!$E$19:$AG$19,0))</f>
        <v>-151</v>
      </c>
      <c r="T14" s="599">
        <f t="shared" si="1"/>
        <v>46344</v>
      </c>
      <c r="U14" s="23"/>
      <c r="V14" s="64"/>
      <c r="W14" s="303"/>
      <c r="X14" s="23"/>
      <c r="Y14" s="23"/>
    </row>
    <row r="15" ht="18.75" customHeight="1">
      <c r="A15" s="55"/>
      <c r="B15" s="56"/>
      <c r="C15" s="55"/>
      <c r="D15" s="56"/>
      <c r="E15" s="55"/>
      <c r="F15" s="56"/>
      <c r="G15" s="55"/>
      <c r="H15" s="56"/>
      <c r="I15" s="55"/>
      <c r="J15" s="56"/>
      <c r="K15" s="55"/>
      <c r="L15" s="56"/>
      <c r="M15" s="55"/>
      <c r="N15" s="56"/>
      <c r="O15" s="23"/>
      <c r="P15" s="551" t="s">
        <v>86</v>
      </c>
      <c r="Q15" s="552"/>
      <c r="R15" s="553">
        <v>5.0</v>
      </c>
      <c r="S15" s="549">
        <f t="array" ref="S15">-INDEX(PaymentSchedule!$E$21:$AG930,MATCH(PaymentSchedule!$B$43,PaymentSchedule!$B$21:$B$100),MATCH($P15,PaymentSchedule!$E$19:$AG$19,0))</f>
        <v>-791.16</v>
      </c>
      <c r="T15" s="599">
        <f t="shared" si="1"/>
        <v>46331</v>
      </c>
      <c r="U15" s="23"/>
      <c r="V15" s="64"/>
      <c r="W15" s="303"/>
      <c r="X15" s="23"/>
      <c r="Y15" s="23"/>
    </row>
    <row r="16" ht="18.75" customHeight="1">
      <c r="A16" s="66" t="s">
        <v>22</v>
      </c>
      <c r="B16" s="67">
        <f>$M$5+SUM(B11:B15)</f>
        <v>3235.65</v>
      </c>
      <c r="C16" s="66"/>
      <c r="D16" s="67">
        <f>B16+SUM(D11:D15)</f>
        <v>3235.65</v>
      </c>
      <c r="E16" s="66"/>
      <c r="F16" s="67">
        <f>D16+SUM(F11:F15)</f>
        <v>3202.65</v>
      </c>
      <c r="G16" s="66"/>
      <c r="H16" s="67">
        <f>F16+SUM(H11:H15)</f>
        <v>3152.65</v>
      </c>
      <c r="I16" s="66"/>
      <c r="J16" s="67">
        <f>H16+SUM(J11:J15)</f>
        <v>2195.3</v>
      </c>
      <c r="K16" s="66"/>
      <c r="L16" s="67">
        <f>J16+SUM(L11:L15)</f>
        <v>1894.3</v>
      </c>
      <c r="M16" s="66"/>
      <c r="N16" s="67">
        <f>L16+SUM(N11:N15)</f>
        <v>1697.5</v>
      </c>
      <c r="O16" s="68"/>
      <c r="P16" s="551" t="s">
        <v>20</v>
      </c>
      <c r="Q16" s="552"/>
      <c r="R16" s="553">
        <v>1.0</v>
      </c>
      <c r="S16" s="549">
        <f t="array" ref="S16">-INDEX(PaymentSchedule!$E$21:$AG930,MATCH(PaymentSchedule!$B$43,PaymentSchedule!$B$21:$B$100),MATCH($P16,PaymentSchedule!$E$19:$AG$19,0))</f>
        <v>-1467.13</v>
      </c>
      <c r="T16" s="599">
        <f t="shared" si="1"/>
        <v>46327</v>
      </c>
      <c r="U16" s="69"/>
      <c r="V16" s="71"/>
      <c r="W16" s="309"/>
      <c r="X16" s="69"/>
      <c r="Y16" s="69"/>
    </row>
    <row r="17" ht="18.75" customHeight="1">
      <c r="A17" s="50">
        <f>IF(M11="","",IF(MONTH(M11+1)&lt;&gt;MONTH(M11),"",M11+1))</f>
        <v>46334</v>
      </c>
      <c r="B17" s="51">
        <f>SUMIF($T$11:$T$123,A17,$S$11:$S$84)</f>
        <v>0</v>
      </c>
      <c r="C17" s="50">
        <f>IF(A17="","",IF(MONTH(A17+1)&lt;&gt;MONTH(A17),"",A17+1))</f>
        <v>46335</v>
      </c>
      <c r="D17" s="51">
        <f>SUMIF($T$11:$T$123,C17,$S$11:$S$84)</f>
        <v>-450.08</v>
      </c>
      <c r="E17" s="50">
        <f>IF(C17="","",IF(MONTH(C17+1)&lt;&gt;MONTH(C17),"",C17+1))</f>
        <v>46336</v>
      </c>
      <c r="F17" s="51">
        <f>SUMIF($T$11:$T$123,E17,$S$11:$S$84)</f>
        <v>0</v>
      </c>
      <c r="G17" s="50">
        <f>IF(E17="","",IF(MONTH(E17+1)&lt;&gt;MONTH(E17),"",E17+1))</f>
        <v>46337</v>
      </c>
      <c r="H17" s="51">
        <f>SUMIF($T$11:$T$123,G17,$S$11:$S$84)</f>
        <v>-50</v>
      </c>
      <c r="I17" s="50">
        <f>IF(G17="","",IF(MONTH(G17+1)&lt;&gt;MONTH(G17),"",G17+1))</f>
        <v>46338</v>
      </c>
      <c r="J17" s="51">
        <f>SUMIF($T$11:$T$123,I17,$S$11:$S$84)</f>
        <v>-334</v>
      </c>
      <c r="K17" s="50">
        <f>IF(I17="","",IF(MONTH(I17+1)&lt;&gt;MONTH(I17),"",I17+1))</f>
        <v>46339</v>
      </c>
      <c r="L17" s="51">
        <f>SUMIF($T$11:$T$123,K17,$S$11:$S$84)</f>
        <v>2308.8</v>
      </c>
      <c r="M17" s="50">
        <f>IF(K17="","",IF(MONTH(K17+1)&lt;&gt;MONTH(K17),"",K17+1))</f>
        <v>46340</v>
      </c>
      <c r="N17" s="51">
        <f>SUMIF($T$11:$T$123,M17,$S$11:$S$84)</f>
        <v>0</v>
      </c>
      <c r="O17" s="23"/>
      <c r="P17" s="546" t="s">
        <v>87</v>
      </c>
      <c r="Q17" s="547"/>
      <c r="R17" s="607">
        <v>28.0</v>
      </c>
      <c r="S17" s="598">
        <f t="array" ref="S17">-INDEX(PaymentSchedule!$E$21:$AG930,MATCH(PaymentSchedule!$B$31,PaymentSchedule!$B$21:$B$100),MATCH($P17,PaymentSchedule!$E$19:$AG$19,0))</f>
        <v>-695.6</v>
      </c>
      <c r="T17" s="599">
        <f t="shared" si="1"/>
        <v>46354</v>
      </c>
      <c r="U17" s="23"/>
      <c r="V17" s="64"/>
      <c r="W17" s="303"/>
      <c r="X17" s="23"/>
      <c r="Y17" s="23"/>
    </row>
    <row r="18" ht="18.75" customHeight="1">
      <c r="A18" s="55"/>
      <c r="B18" s="56"/>
      <c r="C18" s="55"/>
      <c r="D18" s="56"/>
      <c r="E18" s="55"/>
      <c r="F18" s="56"/>
      <c r="G18" s="58" t="s">
        <v>230</v>
      </c>
      <c r="H18" s="57">
        <v>-38.0</v>
      </c>
      <c r="I18" s="55"/>
      <c r="J18" s="56"/>
      <c r="K18" s="55"/>
      <c r="L18" s="56"/>
      <c r="M18" s="55"/>
      <c r="N18" s="56"/>
      <c r="O18" s="23"/>
      <c r="P18" s="551" t="s">
        <v>37</v>
      </c>
      <c r="Q18" s="552"/>
      <c r="R18" s="553">
        <v>12.0</v>
      </c>
      <c r="S18" s="549">
        <f t="array" ref="S18">-INDEX(PaymentSchedule!$E$21:$AG930,MATCH(PaymentSchedule!$B$43,PaymentSchedule!$B$21:$B$100),MATCH($P18,PaymentSchedule!$E$19:$AG$19,0))</f>
        <v>-82</v>
      </c>
      <c r="T18" s="599">
        <f t="shared" si="1"/>
        <v>46338</v>
      </c>
      <c r="U18" s="23"/>
      <c r="X18" s="23"/>
      <c r="Y18" s="23"/>
    </row>
    <row r="19" ht="18.75" customHeight="1">
      <c r="A19" s="55"/>
      <c r="B19" s="56"/>
      <c r="C19" s="55"/>
      <c r="D19" s="56"/>
      <c r="E19" s="55"/>
      <c r="F19" s="56"/>
      <c r="G19" s="55"/>
      <c r="H19" s="56"/>
      <c r="I19" s="55"/>
      <c r="J19" s="56"/>
      <c r="K19" s="55"/>
      <c r="L19" s="56"/>
      <c r="M19" s="55"/>
      <c r="N19" s="56"/>
      <c r="O19" s="23"/>
      <c r="P19" s="551" t="s">
        <v>36</v>
      </c>
      <c r="Q19" s="552"/>
      <c r="R19" s="553">
        <v>9.0</v>
      </c>
      <c r="S19" s="549">
        <f t="array" ref="S19">-INDEX(PaymentSchedule!$E$21:$AG930,MATCH(PaymentSchedule!$B$43,PaymentSchedule!$B$21:$B$100),MATCH($P19,PaymentSchedule!$E$19:$AG$19,0))</f>
        <v>-450.08</v>
      </c>
      <c r="T19" s="599">
        <f t="shared" si="1"/>
        <v>46335</v>
      </c>
      <c r="U19" s="23"/>
      <c r="V19" s="64"/>
      <c r="W19" s="303"/>
      <c r="X19" s="23"/>
      <c r="Y19" s="23"/>
    </row>
    <row r="20" ht="18.75" customHeight="1">
      <c r="A20" s="55"/>
      <c r="B20" s="56"/>
      <c r="C20" s="55"/>
      <c r="D20" s="56"/>
      <c r="E20" s="55"/>
      <c r="F20" s="56"/>
      <c r="G20" s="55"/>
      <c r="H20" s="56"/>
      <c r="I20" s="55"/>
      <c r="J20" s="56"/>
      <c r="K20" s="55"/>
      <c r="L20" s="56"/>
      <c r="M20" s="55"/>
      <c r="N20" s="56"/>
      <c r="O20" s="23"/>
      <c r="P20" s="538" t="s">
        <v>55</v>
      </c>
      <c r="Q20" s="539"/>
      <c r="R20" s="540">
        <v>30.0</v>
      </c>
      <c r="S20" s="365">
        <v>-18.35</v>
      </c>
      <c r="T20" s="376">
        <f t="shared" si="1"/>
        <v>46356</v>
      </c>
      <c r="U20" s="23"/>
      <c r="V20" s="64"/>
      <c r="W20" s="303"/>
      <c r="X20" s="23"/>
      <c r="Y20" s="23"/>
    </row>
    <row r="21" ht="18.75" customHeight="1">
      <c r="A21" s="55"/>
      <c r="B21" s="56"/>
      <c r="C21" s="55"/>
      <c r="D21" s="56"/>
      <c r="E21" s="55"/>
      <c r="F21" s="56"/>
      <c r="G21" s="55"/>
      <c r="H21" s="56"/>
      <c r="I21" s="55"/>
      <c r="J21" s="56"/>
      <c r="K21" s="55"/>
      <c r="L21" s="56"/>
      <c r="M21" s="55"/>
      <c r="N21" s="56"/>
      <c r="O21" s="23"/>
      <c r="P21" s="319" t="s">
        <v>29</v>
      </c>
      <c r="Q21" s="320"/>
      <c r="R21" s="321">
        <v>5.0</v>
      </c>
      <c r="S21" s="322">
        <v>-16.19</v>
      </c>
      <c r="T21" s="376">
        <f t="shared" si="1"/>
        <v>46331</v>
      </c>
      <c r="U21" s="303"/>
      <c r="V21" s="64"/>
      <c r="W21" s="303"/>
      <c r="X21" s="23"/>
      <c r="Y21" s="23"/>
    </row>
    <row r="22" ht="18.75" customHeight="1">
      <c r="A22" s="66" t="s">
        <v>22</v>
      </c>
      <c r="B22" s="67">
        <f>N16+SUM(B17:B21)</f>
        <v>1697.5</v>
      </c>
      <c r="C22" s="66"/>
      <c r="D22" s="67">
        <f>B22+SUM(D17:D21)</f>
        <v>1247.42</v>
      </c>
      <c r="E22" s="66"/>
      <c r="F22" s="67">
        <f>D22+SUM(F17:F21)</f>
        <v>1247.42</v>
      </c>
      <c r="G22" s="66"/>
      <c r="H22" s="67">
        <f>F22+SUM(H17:H21)</f>
        <v>1159.42</v>
      </c>
      <c r="I22" s="66"/>
      <c r="J22" s="67">
        <f>H22+SUM(J17:J21)</f>
        <v>825.42</v>
      </c>
      <c r="K22" s="66"/>
      <c r="L22" s="67">
        <f>J22+SUM(L17:L21)</f>
        <v>3134.22</v>
      </c>
      <c r="M22" s="66"/>
      <c r="N22" s="67">
        <f>L22+SUM(N17:N21)</f>
        <v>3134.22</v>
      </c>
      <c r="O22" s="68"/>
      <c r="P22" s="319" t="s">
        <v>43</v>
      </c>
      <c r="Q22" s="320"/>
      <c r="R22" s="321">
        <v>17.0</v>
      </c>
      <c r="S22" s="322">
        <v>-9.99</v>
      </c>
      <c r="T22" s="376">
        <f t="shared" si="1"/>
        <v>46343</v>
      </c>
      <c r="V22" s="71"/>
      <c r="W22" s="309"/>
      <c r="X22" s="69"/>
      <c r="Y22" s="69"/>
    </row>
    <row r="23" ht="18.75" customHeight="1">
      <c r="A23" s="50">
        <f>IF(M17="","",IF(MONTH(M17+1)&lt;&gt;MONTH(M17),"",M17+1))</f>
        <v>46341</v>
      </c>
      <c r="B23" s="51">
        <f>SUMIF($T$11:$T$123,A23,$S$11:$S$84)</f>
        <v>0</v>
      </c>
      <c r="C23" s="50">
        <f>IF(A23="","",IF(MONTH(A23+1)&lt;&gt;MONTH(A23),"",A23+1))</f>
        <v>46342</v>
      </c>
      <c r="D23" s="51">
        <f>SUMIF($T$11:$T$123,C23,$S$11:$S$84)</f>
        <v>0</v>
      </c>
      <c r="E23" s="50">
        <f>IF(C23="","",IF(MONTH(C23+1)&lt;&gt;MONTH(C23),"",C23+1))</f>
        <v>46343</v>
      </c>
      <c r="F23" s="51">
        <f>SUMIF($T$11:$T$123,E23,$S$11:$S$84)</f>
        <v>-15.98</v>
      </c>
      <c r="G23" s="50">
        <f>IF(E23="","",IF(MONTH(E23+1)&lt;&gt;MONTH(E23),"",E23+1))</f>
        <v>46344</v>
      </c>
      <c r="H23" s="51">
        <f>SUMIF($T$11:$T$123,G23,$S$11:$S$84)</f>
        <v>-151</v>
      </c>
      <c r="I23" s="50">
        <f>IF(G23="","",IF(MONTH(G23+1)&lt;&gt;MONTH(G23),"",G23+1))</f>
        <v>46345</v>
      </c>
      <c r="J23" s="51">
        <f>SUMIF($T$11:$T$123,I23,$S$11:$S$84)</f>
        <v>-150</v>
      </c>
      <c r="K23" s="50">
        <f>IF(I23="","",IF(MONTH(I23+1)&lt;&gt;MONTH(I23),"",I23+1))</f>
        <v>46346</v>
      </c>
      <c r="L23" s="51">
        <f>SUMIF($T$11:$T$123,K23,$S$11:$S$84)</f>
        <v>0</v>
      </c>
      <c r="M23" s="50">
        <f>IF(K23="","",IF(MONTH(K23+1)&lt;&gt;MONTH(K23),"",K23+1))</f>
        <v>46347</v>
      </c>
      <c r="N23" s="51">
        <f>SUMIF($T$11:$T$123,M23,$S$11:$S$84)</f>
        <v>0</v>
      </c>
      <c r="O23" s="23"/>
      <c r="P23" s="319" t="s">
        <v>54</v>
      </c>
      <c r="Q23" s="320"/>
      <c r="R23" s="321">
        <v>30.0</v>
      </c>
      <c r="S23" s="322">
        <v>-11.0</v>
      </c>
      <c r="T23" s="376">
        <f t="shared" si="1"/>
        <v>46356</v>
      </c>
      <c r="U23" s="23"/>
      <c r="V23" s="64"/>
      <c r="W23" s="303"/>
      <c r="X23" s="23"/>
      <c r="Y23" s="23"/>
    </row>
    <row r="24" ht="18.75" customHeight="1">
      <c r="A24" s="55"/>
      <c r="B24" s="57"/>
      <c r="C24" s="58"/>
      <c r="D24" s="57"/>
      <c r="E24" s="55"/>
      <c r="F24" s="586"/>
      <c r="G24" s="413"/>
      <c r="H24" s="535"/>
      <c r="I24" s="55"/>
      <c r="J24" s="56"/>
      <c r="K24" s="58"/>
      <c r="L24" s="57"/>
      <c r="M24" s="55"/>
      <c r="N24" s="56"/>
      <c r="O24" s="23"/>
      <c r="P24" s="319" t="s">
        <v>30</v>
      </c>
      <c r="Q24" s="320"/>
      <c r="R24" s="321">
        <v>6.0</v>
      </c>
      <c r="S24" s="322">
        <v>-301.0</v>
      </c>
      <c r="T24" s="376">
        <f t="shared" si="1"/>
        <v>46332</v>
      </c>
      <c r="U24" s="23"/>
      <c r="V24" s="64"/>
      <c r="W24" s="303"/>
      <c r="X24" s="23"/>
      <c r="Y24" s="23"/>
    </row>
    <row r="25" ht="18.75" customHeight="1">
      <c r="A25" s="55"/>
      <c r="B25" s="56"/>
      <c r="C25" s="55"/>
      <c r="D25" s="56"/>
      <c r="E25" s="55"/>
      <c r="F25" s="56"/>
      <c r="G25" s="55"/>
      <c r="H25" s="56"/>
      <c r="I25" s="55"/>
      <c r="J25" s="56"/>
      <c r="K25" s="58"/>
      <c r="L25" s="57"/>
      <c r="M25" s="55"/>
      <c r="N25" s="56"/>
      <c r="O25" s="23"/>
      <c r="P25" s="319" t="s">
        <v>47</v>
      </c>
      <c r="Q25" s="320"/>
      <c r="R25" s="321">
        <v>1.0</v>
      </c>
      <c r="S25" s="608">
        <v>1500.0</v>
      </c>
      <c r="T25" s="376">
        <f t="shared" si="1"/>
        <v>46327</v>
      </c>
      <c r="U25" s="23"/>
      <c r="V25" s="64"/>
      <c r="W25" s="303"/>
      <c r="X25" s="23"/>
      <c r="Y25" s="23"/>
    </row>
    <row r="26" ht="18.75" customHeight="1">
      <c r="A26" s="55"/>
      <c r="B26" s="56"/>
      <c r="C26" s="55"/>
      <c r="D26" s="56"/>
      <c r="E26" s="55"/>
      <c r="F26" s="56"/>
      <c r="G26" s="55"/>
      <c r="H26" s="56"/>
      <c r="I26" s="55"/>
      <c r="J26" s="56"/>
      <c r="K26" s="58"/>
      <c r="L26" s="57"/>
      <c r="M26" s="55"/>
      <c r="N26" s="56"/>
      <c r="O26" s="23"/>
      <c r="P26" s="319" t="s">
        <v>19</v>
      </c>
      <c r="Q26" s="320"/>
      <c r="R26" s="321">
        <v>13.0</v>
      </c>
      <c r="S26" s="322">
        <v>2308.8</v>
      </c>
      <c r="T26" s="376">
        <f t="shared" si="1"/>
        <v>46339</v>
      </c>
      <c r="U26" s="23"/>
      <c r="V26" s="64"/>
      <c r="W26" s="303"/>
      <c r="X26" s="23"/>
      <c r="Y26" s="23"/>
    </row>
    <row r="27" ht="18.75" customHeight="1">
      <c r="A27" s="55"/>
      <c r="B27" s="56"/>
      <c r="C27" s="55"/>
      <c r="D27" s="56"/>
      <c r="E27" s="55"/>
      <c r="F27" s="56"/>
      <c r="G27" s="55"/>
      <c r="H27" s="56"/>
      <c r="I27" s="55"/>
      <c r="J27" s="56"/>
      <c r="K27" s="55"/>
      <c r="L27" s="56"/>
      <c r="M27" s="55"/>
      <c r="N27" s="56"/>
      <c r="O27" s="23"/>
      <c r="P27" s="319" t="s">
        <v>151</v>
      </c>
      <c r="Q27" s="320"/>
      <c r="R27" s="321">
        <v>27.0</v>
      </c>
      <c r="S27" s="322">
        <v>2308.8</v>
      </c>
      <c r="T27" s="376">
        <f t="shared" si="1"/>
        <v>46353</v>
      </c>
      <c r="U27" s="23"/>
      <c r="V27" s="64"/>
      <c r="W27" s="303"/>
      <c r="X27" s="23"/>
      <c r="Y27" s="23"/>
    </row>
    <row r="28" ht="18.75" customHeight="1">
      <c r="A28" s="66" t="s">
        <v>22</v>
      </c>
      <c r="B28" s="588">
        <f>N22+SUM(B23:B27)</f>
        <v>3134.22</v>
      </c>
      <c r="C28" s="589"/>
      <c r="D28" s="588">
        <f>B28+SUM(D23:D27)</f>
        <v>3134.22</v>
      </c>
      <c r="E28" s="66"/>
      <c r="F28" s="67">
        <f>D28+SUM(F23:F27)</f>
        <v>3118.24</v>
      </c>
      <c r="G28" s="66"/>
      <c r="H28" s="67">
        <f>F28+SUM(H23:H27)</f>
        <v>2967.24</v>
      </c>
      <c r="I28" s="66"/>
      <c r="J28" s="67">
        <f>H28+SUM(J23:J27)</f>
        <v>2817.24</v>
      </c>
      <c r="K28" s="66"/>
      <c r="L28" s="67">
        <f>J28+SUM(L23:L27)</f>
        <v>2817.24</v>
      </c>
      <c r="M28" s="66"/>
      <c r="N28" s="67">
        <f>L28+SUM(N23:N27)</f>
        <v>2817.24</v>
      </c>
      <c r="O28" s="68"/>
      <c r="P28" s="596" t="s">
        <v>173</v>
      </c>
      <c r="Q28" s="597"/>
      <c r="R28" s="364">
        <v>1.0</v>
      </c>
      <c r="S28" s="373">
        <v>-3000.0</v>
      </c>
      <c r="T28" s="376">
        <f t="shared" si="1"/>
        <v>46327</v>
      </c>
      <c r="U28" s="69"/>
      <c r="V28" s="71"/>
      <c r="W28" s="309"/>
      <c r="X28" s="69"/>
      <c r="Y28" s="69"/>
    </row>
    <row r="29" ht="18.75" customHeight="1">
      <c r="A29" s="50">
        <f>IF(M23="","",IF(MONTH(M23+1)&lt;&gt;MONTH(M23),"",M23+1))</f>
        <v>46348</v>
      </c>
      <c r="B29" s="51">
        <f>SUMIF($T$11:$T$123,A29,$S$11:$S$84)</f>
        <v>0</v>
      </c>
      <c r="C29" s="50">
        <f>IF(A29="","",IF(MONTH(A29+1)&lt;&gt;MONTH(A29),"",A29+1))</f>
        <v>46349</v>
      </c>
      <c r="D29" s="51">
        <f>SUMIF($T$11:$T$123,C29,$S$11:$S$84)</f>
        <v>-10.99</v>
      </c>
      <c r="E29" s="50">
        <f>IF(C29="","",IF(MONTH(C29+1)&lt;&gt;MONTH(C29),"",C29+1))</f>
        <v>46350</v>
      </c>
      <c r="F29" s="51">
        <f>SUMIF($T$11:$T$123,E29,$S$11:$S$84)</f>
        <v>0</v>
      </c>
      <c r="G29" s="50">
        <f>IF(E29="","",IF(MONTH(E29+1)&lt;&gt;MONTH(E29),"",E29+1))</f>
        <v>46351</v>
      </c>
      <c r="H29" s="51">
        <f>SUMIF($T$11:$T$123,G29,$S$11:$S$84)</f>
        <v>0</v>
      </c>
      <c r="I29" s="50">
        <f>IF(G29="","",IF(MONTH(G29+1)&lt;&gt;MONTH(G29),"",G29+1))</f>
        <v>46352</v>
      </c>
      <c r="J29" s="51">
        <f>SUMIF($T$11:$T$123,I29,$S$11:$S$84)</f>
        <v>-195.35</v>
      </c>
      <c r="K29" s="50">
        <f>IF(I29="","",IF(MONTH(I29+1)&lt;&gt;MONTH(I29),"",I29+1))</f>
        <v>46353</v>
      </c>
      <c r="L29" s="51">
        <f>SUMIF($T$11:$T$123,K29,$S$11:$S$84)</f>
        <v>2308.8</v>
      </c>
      <c r="M29" s="50">
        <f>IF(K29="","",IF(MONTH(K29+1)&lt;&gt;MONTH(K29),"",K29+1))</f>
        <v>46354</v>
      </c>
      <c r="N29" s="51">
        <f>SUMIF($T$11:$T$123,M29,$S$11:$S$84)</f>
        <v>-1065.6</v>
      </c>
      <c r="O29" s="23"/>
      <c r="P29" s="596" t="s">
        <v>142</v>
      </c>
      <c r="Q29" s="597"/>
      <c r="R29" s="364">
        <v>1.0</v>
      </c>
      <c r="S29" s="373"/>
      <c r="T29" s="376">
        <f t="shared" si="1"/>
        <v>46327</v>
      </c>
      <c r="U29" s="23"/>
      <c r="V29" s="64"/>
      <c r="W29" s="303"/>
      <c r="X29" s="23"/>
      <c r="Y29" s="23"/>
    </row>
    <row r="30" ht="18.75" customHeight="1">
      <c r="A30" s="58" t="s">
        <v>160</v>
      </c>
      <c r="B30" s="57"/>
      <c r="C30" s="55"/>
      <c r="D30" s="56"/>
      <c r="E30" s="55"/>
      <c r="F30" s="56"/>
      <c r="G30" s="55"/>
      <c r="H30" s="56"/>
      <c r="I30" s="55"/>
      <c r="J30" s="56"/>
      <c r="K30" s="55"/>
      <c r="L30" s="56"/>
      <c r="M30" s="55"/>
      <c r="N30" s="56"/>
      <c r="O30" s="23"/>
      <c r="P30" s="406" t="s">
        <v>142</v>
      </c>
      <c r="Q30" s="407"/>
      <c r="R30" s="408">
        <v>24.0</v>
      </c>
      <c r="S30" s="409"/>
      <c r="T30" s="376">
        <f t="shared" si="1"/>
        <v>46350</v>
      </c>
      <c r="U30" s="23"/>
      <c r="V30" s="64"/>
      <c r="W30" s="303"/>
      <c r="X30" s="23"/>
      <c r="Y30" s="23"/>
    </row>
    <row r="31" ht="18.75" customHeight="1">
      <c r="A31" s="58" t="s">
        <v>161</v>
      </c>
      <c r="B31" s="57"/>
      <c r="C31" s="55"/>
      <c r="D31" s="56"/>
      <c r="E31" s="55"/>
      <c r="F31" s="56"/>
      <c r="G31" s="55"/>
      <c r="H31" s="56"/>
      <c r="I31" s="55"/>
      <c r="J31" s="56"/>
      <c r="K31" s="55"/>
      <c r="L31" s="56"/>
      <c r="M31" s="55"/>
      <c r="N31" s="56"/>
      <c r="O31" s="23"/>
      <c r="P31" s="319" t="s">
        <v>142</v>
      </c>
      <c r="Q31" s="320"/>
      <c r="R31" s="321"/>
      <c r="S31" s="322"/>
      <c r="T31" s="376" t="str">
        <f t="shared" si="1"/>
        <v>-</v>
      </c>
      <c r="U31" s="23"/>
      <c r="V31" s="64"/>
      <c r="W31" s="303"/>
      <c r="X31" s="23"/>
      <c r="Y31" s="23"/>
    </row>
    <row r="32" ht="18.75" customHeight="1">
      <c r="A32" s="55"/>
      <c r="B32" s="56"/>
      <c r="C32" s="55"/>
      <c r="D32" s="56"/>
      <c r="E32" s="55"/>
      <c r="F32" s="56"/>
      <c r="G32" s="55"/>
      <c r="H32" s="56"/>
      <c r="I32" s="55"/>
      <c r="J32" s="56"/>
      <c r="K32" s="55"/>
      <c r="L32" s="56"/>
      <c r="M32" s="55"/>
      <c r="N32" s="56"/>
      <c r="O32" s="23"/>
      <c r="P32" s="367"/>
      <c r="Q32" s="368"/>
      <c r="R32" s="405"/>
      <c r="S32" s="370"/>
      <c r="T32" s="376" t="str">
        <f t="shared" si="1"/>
        <v>-</v>
      </c>
      <c r="U32" s="23"/>
      <c r="V32" s="64"/>
      <c r="W32" s="303"/>
      <c r="X32" s="23"/>
      <c r="Y32" s="23"/>
    </row>
    <row r="33" ht="18.75" customHeight="1">
      <c r="A33" s="55"/>
      <c r="B33" s="56"/>
      <c r="C33" s="55"/>
      <c r="D33" s="56"/>
      <c r="E33" s="55"/>
      <c r="F33" s="56"/>
      <c r="G33" s="55"/>
      <c r="H33" s="56"/>
      <c r="I33" s="55"/>
      <c r="J33" s="56"/>
      <c r="K33" s="55"/>
      <c r="L33" s="56"/>
      <c r="M33" s="55"/>
      <c r="N33" s="56"/>
      <c r="O33" s="23"/>
      <c r="P33" s="319" t="s">
        <v>46</v>
      </c>
      <c r="Q33" s="320"/>
      <c r="R33" s="321">
        <v>23.0</v>
      </c>
      <c r="S33" s="322">
        <v>-10.99</v>
      </c>
      <c r="T33" s="376">
        <f t="shared" si="1"/>
        <v>46349</v>
      </c>
      <c r="U33" s="23"/>
      <c r="V33" s="64"/>
      <c r="W33" s="303"/>
      <c r="X33" s="23"/>
      <c r="Y33" s="23"/>
    </row>
    <row r="34" ht="18.75" customHeight="1">
      <c r="A34" s="66" t="s">
        <v>22</v>
      </c>
      <c r="B34" s="67">
        <f>N28+SUM(B29:B33)</f>
        <v>2817.24</v>
      </c>
      <c r="C34" s="66"/>
      <c r="D34" s="67">
        <f>B34+SUM(D29:D33)</f>
        <v>2806.25</v>
      </c>
      <c r="E34" s="66"/>
      <c r="F34" s="67">
        <f>D34+SUM(F29:F33)</f>
        <v>2806.25</v>
      </c>
      <c r="G34" s="66"/>
      <c r="H34" s="67">
        <f>F34+SUM(H29:H33)</f>
        <v>2806.25</v>
      </c>
      <c r="I34" s="66"/>
      <c r="J34" s="67">
        <f>H34+SUM(J29:J33)</f>
        <v>2610.9</v>
      </c>
      <c r="K34" s="66"/>
      <c r="L34" s="67">
        <f>J34+SUM(L29:L33)</f>
        <v>4919.7</v>
      </c>
      <c r="M34" s="66"/>
      <c r="N34" s="67">
        <f>L34+SUM(N29:N33)</f>
        <v>3854.1</v>
      </c>
      <c r="O34" s="68"/>
      <c r="P34" s="538" t="s">
        <v>44</v>
      </c>
      <c r="Q34" s="539"/>
      <c r="R34" s="540">
        <v>26.0</v>
      </c>
      <c r="S34" s="365">
        <v>-18.35</v>
      </c>
      <c r="T34" s="376">
        <f t="shared" si="1"/>
        <v>46352</v>
      </c>
      <c r="U34" s="69"/>
      <c r="V34" s="71"/>
      <c r="W34" s="309"/>
      <c r="X34" s="69"/>
      <c r="Y34" s="69"/>
    </row>
    <row r="35" ht="18.75" customHeight="1">
      <c r="A35" s="50">
        <f>IF(M29="","",IF(MONTH(M29+1)&lt;&gt;MONTH(M29),"",M29+1))</f>
        <v>46355</v>
      </c>
      <c r="B35" s="51">
        <f>SUMIF($T$11:$T$123,A35,$S$11:$S$84)</f>
        <v>-10.99</v>
      </c>
      <c r="C35" s="50">
        <f>IF(A35="","",IF(MONTH(A35+1)&lt;&gt;MONTH(A35),"",A35+1))</f>
        <v>46356</v>
      </c>
      <c r="D35" s="51">
        <f>SUMIF($T$11:$T$123,C35,$S$11:$S$84)</f>
        <v>-29.35</v>
      </c>
      <c r="E35" s="50" t="str">
        <f>IF(C35="","",IF(MONTH(C35+1)&lt;&gt;MONTH(C35),"",C35+1))</f>
        <v/>
      </c>
      <c r="F35" s="51">
        <f>SUMIF($T$11:$T$123,E35,$S$11:$S$84)</f>
        <v>0</v>
      </c>
      <c r="G35" s="50" t="str">
        <f>IF(E35="","",IF(MONTH(E35+1)&lt;&gt;MONTH(E35),"",E35+1))</f>
        <v/>
      </c>
      <c r="H35" s="51">
        <f>SUMIF($T$11:$T$123,G35,$S$11:$S$84)</f>
        <v>0</v>
      </c>
      <c r="I35" s="50" t="str">
        <f>IF(G35="","",IF(MONTH(G35+1)&lt;&gt;MONTH(G35),"",G35+1))</f>
        <v/>
      </c>
      <c r="J35" s="51">
        <f>SUMIF($T$11:$T$123,I35,$S$11:$S$84)</f>
        <v>0</v>
      </c>
      <c r="K35" s="50" t="str">
        <f>IF(I35="","",IF(MONTH(I35+1)&lt;&gt;MONTH(I35),"",I35+1))</f>
        <v/>
      </c>
      <c r="L35" s="51">
        <f>SUMIF($T$11:$T$123,K35,$S$11:$S$84)</f>
        <v>0</v>
      </c>
      <c r="M35" s="50" t="str">
        <f>IF(K35="","",IF(MONTH(K35+1)&lt;&gt;MONTH(K35),"",K35+1))</f>
        <v/>
      </c>
      <c r="N35" s="51">
        <f>SUMIF($T$11:$T$123,M35,$S$11:$S$84)</f>
        <v>0</v>
      </c>
      <c r="O35" s="23"/>
      <c r="P35" s="319" t="s">
        <v>40</v>
      </c>
      <c r="Q35" s="320"/>
      <c r="R35" s="321">
        <v>12.0</v>
      </c>
      <c r="S35" s="322">
        <v>-102.0</v>
      </c>
      <c r="T35" s="376">
        <f t="shared" si="1"/>
        <v>46338</v>
      </c>
      <c r="U35" s="23"/>
      <c r="V35" s="64"/>
      <c r="W35" s="303"/>
      <c r="X35" s="23"/>
      <c r="Y35" s="23"/>
    </row>
    <row r="36" ht="18.75" customHeight="1">
      <c r="A36" s="485" t="s">
        <v>202</v>
      </c>
      <c r="B36" s="486"/>
      <c r="C36" s="55"/>
      <c r="D36" s="56"/>
      <c r="E36" s="55"/>
      <c r="F36" s="56"/>
      <c r="G36" s="55"/>
      <c r="H36" s="56"/>
      <c r="I36" s="55"/>
      <c r="J36" s="56"/>
      <c r="K36" s="55"/>
      <c r="L36" s="57"/>
      <c r="M36" s="55"/>
      <c r="N36" s="56"/>
      <c r="O36" s="23"/>
      <c r="P36" s="319" t="s">
        <v>34</v>
      </c>
      <c r="Q36" s="320"/>
      <c r="R36" s="321">
        <v>17.0</v>
      </c>
      <c r="S36" s="322">
        <v>-5.99</v>
      </c>
      <c r="T36" s="376">
        <f t="shared" si="1"/>
        <v>46343</v>
      </c>
      <c r="U36" s="23"/>
      <c r="V36" s="64"/>
      <c r="W36" s="303"/>
      <c r="X36" s="23"/>
      <c r="Y36" s="23"/>
    </row>
    <row r="37" ht="18.75" customHeight="1">
      <c r="A37" s="55"/>
      <c r="B37" s="56"/>
      <c r="C37" s="55"/>
      <c r="D37" s="56"/>
      <c r="E37" s="55"/>
      <c r="F37" s="56"/>
      <c r="G37" s="55"/>
      <c r="H37" s="56"/>
      <c r="I37" s="55"/>
      <c r="J37" s="56"/>
      <c r="K37" s="55"/>
      <c r="L37" s="56"/>
      <c r="M37" s="55"/>
      <c r="N37" s="56"/>
      <c r="O37" s="23"/>
      <c r="P37" s="319" t="s">
        <v>34</v>
      </c>
      <c r="Q37" s="320"/>
      <c r="R37" s="321">
        <v>24.0</v>
      </c>
      <c r="S37" s="322"/>
      <c r="T37" s="376">
        <f t="shared" si="1"/>
        <v>46350</v>
      </c>
      <c r="U37" s="23"/>
      <c r="V37" s="64"/>
      <c r="W37" s="303"/>
      <c r="X37" s="23"/>
      <c r="Y37" s="23"/>
    </row>
    <row r="38" ht="18.75" customHeight="1">
      <c r="A38" s="55"/>
      <c r="B38" s="56"/>
      <c r="C38" s="55"/>
      <c r="D38" s="56"/>
      <c r="E38" s="55"/>
      <c r="F38" s="56"/>
      <c r="G38" s="55"/>
      <c r="H38" s="56"/>
      <c r="I38" s="55"/>
      <c r="J38" s="56"/>
      <c r="K38" s="55"/>
      <c r="L38" s="56"/>
      <c r="M38" s="55"/>
      <c r="N38" s="56"/>
      <c r="O38" s="23"/>
      <c r="P38" s="367" t="s">
        <v>51</v>
      </c>
      <c r="Q38" s="368"/>
      <c r="R38" s="405">
        <v>26.0</v>
      </c>
      <c r="S38" s="370">
        <v>-27.0</v>
      </c>
      <c r="T38" s="376">
        <f t="shared" si="1"/>
        <v>46352</v>
      </c>
      <c r="U38" s="23"/>
      <c r="V38" s="64"/>
      <c r="W38" s="303"/>
      <c r="X38" s="23"/>
      <c r="Y38" s="23"/>
    </row>
    <row r="39" ht="18.75" customHeight="1">
      <c r="A39" s="55"/>
      <c r="B39" s="56"/>
      <c r="C39" s="55"/>
      <c r="D39" s="56"/>
      <c r="E39" s="55"/>
      <c r="F39" s="56"/>
      <c r="G39" s="55"/>
      <c r="H39" s="56"/>
      <c r="I39" s="55"/>
      <c r="J39" s="56"/>
      <c r="K39" s="55"/>
      <c r="L39" s="56"/>
      <c r="M39" s="55"/>
      <c r="N39" s="56"/>
      <c r="O39" s="23"/>
      <c r="P39" s="367" t="s">
        <v>53</v>
      </c>
      <c r="Q39" s="368"/>
      <c r="R39" s="405">
        <v>29.0</v>
      </c>
      <c r="S39" s="370">
        <v>-10.99</v>
      </c>
      <c r="T39" s="376">
        <f t="shared" si="1"/>
        <v>46355</v>
      </c>
      <c r="U39" s="23"/>
      <c r="V39" s="64"/>
      <c r="W39" s="303"/>
      <c r="X39" s="23"/>
      <c r="Y39" s="23"/>
    </row>
    <row r="40" ht="18.75" customHeight="1">
      <c r="A40" s="66" t="s">
        <v>22</v>
      </c>
      <c r="B40" s="67">
        <f>N34+SUM(B35:B39)</f>
        <v>3843.11</v>
      </c>
      <c r="C40" s="66"/>
      <c r="D40" s="67">
        <f>B40+SUM(D35:D39)</f>
        <v>3813.76</v>
      </c>
      <c r="E40" s="66"/>
      <c r="F40" s="67">
        <f>D40+SUM(F35:F39)</f>
        <v>3813.76</v>
      </c>
      <c r="G40" s="66"/>
      <c r="H40" s="67">
        <f>F40+SUM(H35:H39)</f>
        <v>3813.76</v>
      </c>
      <c r="I40" s="66"/>
      <c r="J40" s="67">
        <f>H40+SUM(J35:J39)</f>
        <v>3813.76</v>
      </c>
      <c r="K40" s="66"/>
      <c r="L40" s="67">
        <f>J40+SUM(L35:L39)</f>
        <v>3813.76</v>
      </c>
      <c r="M40" s="66"/>
      <c r="N40" s="67">
        <f>L40+SUM(N35:N39)</f>
        <v>3813.76</v>
      </c>
      <c r="O40" s="68"/>
      <c r="P40" s="319" t="s">
        <v>27</v>
      </c>
      <c r="Q40" s="320"/>
      <c r="R40" s="321">
        <v>3.0</v>
      </c>
      <c r="S40" s="322">
        <v>-33.0</v>
      </c>
      <c r="T40" s="376">
        <f t="shared" si="1"/>
        <v>46329</v>
      </c>
      <c r="U40" s="69"/>
      <c r="V40" s="71"/>
      <c r="W40" s="309"/>
      <c r="X40" s="69"/>
      <c r="Y40" s="69"/>
    </row>
    <row r="41" ht="18.75" customHeight="1">
      <c r="A41" s="50" t="str">
        <f>IF(M35="","",IF(MONTH(M35+1)&lt;&gt;MONTH(M35),"",M35+1))</f>
        <v/>
      </c>
      <c r="B41" s="51">
        <f>SUMIF($T$11:$T$123,A41,$S$11:$S$84)</f>
        <v>0</v>
      </c>
      <c r="C41" s="50" t="str">
        <f>IF(A41="","",IF(MONTH(A41+1)&lt;&gt;MONTH(A41),"",A41+1))</f>
        <v/>
      </c>
      <c r="D41" s="51">
        <f>SUMIF($T$11:$T$123,C41,$S$11:$S$84)</f>
        <v>0</v>
      </c>
      <c r="E41" s="77"/>
      <c r="F41" s="77" t="s">
        <v>50</v>
      </c>
      <c r="G41" s="77"/>
      <c r="H41" s="77"/>
      <c r="I41" s="77"/>
      <c r="J41" s="77"/>
      <c r="K41" s="77"/>
      <c r="L41" s="77"/>
      <c r="M41" s="77"/>
      <c r="N41" s="77"/>
      <c r="P41" s="406" t="s">
        <v>186</v>
      </c>
      <c r="Q41" s="407"/>
      <c r="R41" s="408">
        <v>4.0</v>
      </c>
      <c r="S41" s="409">
        <v>-50.0</v>
      </c>
      <c r="T41" s="376">
        <f t="shared" si="1"/>
        <v>46330</v>
      </c>
      <c r="U41" s="313"/>
      <c r="W41" s="314"/>
    </row>
    <row r="42" ht="18.75" customHeight="1">
      <c r="A42" s="55"/>
      <c r="B42" s="56"/>
      <c r="C42" s="55"/>
      <c r="D42" s="56"/>
      <c r="E42" s="77"/>
      <c r="F42" s="77" t="s">
        <v>52</v>
      </c>
      <c r="G42" s="77"/>
      <c r="H42" s="77"/>
      <c r="I42" s="77"/>
      <c r="J42" s="77"/>
      <c r="K42" s="77"/>
      <c r="L42" s="77"/>
      <c r="M42" s="77"/>
      <c r="N42" s="77"/>
      <c r="P42" s="367" t="s">
        <v>214</v>
      </c>
      <c r="Q42" s="368"/>
      <c r="R42" s="405">
        <v>7.0</v>
      </c>
      <c r="S42" s="370">
        <v>-21.8</v>
      </c>
      <c r="T42" s="376">
        <f t="shared" si="1"/>
        <v>46333</v>
      </c>
      <c r="U42" s="313"/>
      <c r="W42" s="314"/>
    </row>
    <row r="43" ht="18.75" customHeight="1">
      <c r="A43" s="55"/>
      <c r="B43" s="56"/>
      <c r="C43" s="55"/>
      <c r="D43" s="56"/>
      <c r="E43" s="77"/>
      <c r="F43" s="77"/>
      <c r="G43" s="77"/>
      <c r="H43" s="77"/>
      <c r="I43" s="77"/>
      <c r="J43" s="77"/>
      <c r="K43" s="77"/>
      <c r="L43" s="77"/>
      <c r="M43" s="77"/>
      <c r="N43" s="77"/>
      <c r="P43" s="319" t="s">
        <v>38</v>
      </c>
      <c r="Q43" s="320"/>
      <c r="R43" s="321">
        <v>11.0</v>
      </c>
      <c r="S43" s="322">
        <v>-50.0</v>
      </c>
      <c r="T43" s="376">
        <f t="shared" si="1"/>
        <v>46337</v>
      </c>
      <c r="U43" s="313"/>
    </row>
    <row r="44" ht="18.75" customHeight="1">
      <c r="A44" s="55"/>
      <c r="B44" s="56"/>
      <c r="C44" s="55"/>
      <c r="D44" s="56"/>
      <c r="E44" s="77"/>
      <c r="F44" s="77"/>
      <c r="G44" s="77"/>
      <c r="H44" s="77"/>
      <c r="I44" s="77"/>
      <c r="J44" s="77"/>
      <c r="K44" s="77"/>
      <c r="L44" s="77"/>
      <c r="M44" s="77"/>
      <c r="N44" s="77"/>
      <c r="P44" s="319" t="s">
        <v>57</v>
      </c>
      <c r="Q44" s="320"/>
      <c r="R44" s="321">
        <v>28.0</v>
      </c>
      <c r="S44" s="322">
        <v>-370.0</v>
      </c>
      <c r="T44" s="376">
        <f t="shared" si="1"/>
        <v>46354</v>
      </c>
      <c r="U44" s="313"/>
      <c r="W44" s="314"/>
    </row>
    <row r="45" ht="18.75" customHeight="1">
      <c r="A45" s="55"/>
      <c r="B45" s="56"/>
      <c r="C45" s="55"/>
      <c r="D45" s="56"/>
      <c r="E45" s="77"/>
      <c r="F45" s="77"/>
      <c r="G45" s="77"/>
      <c r="H45" s="326">
        <v>16.2</v>
      </c>
      <c r="I45" s="77"/>
      <c r="J45" s="77"/>
      <c r="K45" s="77"/>
      <c r="L45" s="77"/>
      <c r="M45" s="77"/>
      <c r="N45" s="77"/>
      <c r="P45" s="613" t="s">
        <v>24</v>
      </c>
      <c r="Q45" s="368"/>
      <c r="R45" s="614">
        <v>1.0</v>
      </c>
      <c r="S45" s="615">
        <v>-63.0</v>
      </c>
      <c r="T45" s="376">
        <f t="shared" si="1"/>
        <v>46327</v>
      </c>
    </row>
    <row r="46" ht="18.75" customHeight="1">
      <c r="A46" s="66" t="s">
        <v>22</v>
      </c>
      <c r="B46" s="67">
        <f>N40+SUM(B41:B45)</f>
        <v>3813.76</v>
      </c>
      <c r="C46" s="66"/>
      <c r="D46" s="67">
        <f>B46+SUM(D41:D45)</f>
        <v>3813.76</v>
      </c>
      <c r="E46" s="77"/>
      <c r="F46" s="77"/>
      <c r="G46" s="77"/>
      <c r="H46" s="326">
        <v>20.9</v>
      </c>
      <c r="I46" s="77"/>
      <c r="J46" s="77"/>
      <c r="K46" s="77"/>
      <c r="L46" s="77"/>
      <c r="M46" s="77"/>
      <c r="N46" s="77"/>
      <c r="P46" s="319" t="s">
        <v>26</v>
      </c>
      <c r="Q46" s="320"/>
      <c r="R46" s="321">
        <v>5.0</v>
      </c>
      <c r="S46" s="322">
        <v>-150.0</v>
      </c>
      <c r="T46" s="376">
        <f t="shared" si="1"/>
        <v>46331</v>
      </c>
    </row>
    <row r="47" ht="12.75" customHeight="1">
      <c r="H47" s="108">
        <v>22.61</v>
      </c>
      <c r="P47" s="319" t="s">
        <v>26</v>
      </c>
      <c r="Q47" s="320"/>
      <c r="R47" s="321">
        <v>12.0</v>
      </c>
      <c r="S47" s="322">
        <v>-150.0</v>
      </c>
      <c r="T47" s="376">
        <f t="shared" si="1"/>
        <v>46338</v>
      </c>
    </row>
    <row r="48" ht="12.75" customHeight="1">
      <c r="P48" s="319" t="s">
        <v>26</v>
      </c>
      <c r="Q48" s="320"/>
      <c r="R48" s="321">
        <v>19.0</v>
      </c>
      <c r="S48" s="322">
        <v>-150.0</v>
      </c>
      <c r="T48" s="376">
        <f t="shared" si="1"/>
        <v>46345</v>
      </c>
    </row>
    <row r="49" ht="12.75" customHeight="1">
      <c r="P49" s="319" t="s">
        <v>26</v>
      </c>
      <c r="Q49" s="320"/>
      <c r="R49" s="321">
        <v>26.0</v>
      </c>
      <c r="S49" s="322">
        <v>-150.0</v>
      </c>
      <c r="T49" s="376">
        <f t="shared" si="1"/>
        <v>46352</v>
      </c>
    </row>
    <row r="50" ht="12.75" customHeight="1">
      <c r="P50" s="367"/>
      <c r="Q50" s="407"/>
      <c r="R50" s="405"/>
      <c r="S50" s="370"/>
      <c r="T50" s="376" t="str">
        <f t="shared" ref="T50:T56" si="2">IF(ISBLANK(R50),"-",IF(R50&gt;DAY(EOMONTH(DATE($B$2,$E$2,1),0)),EOMONTH(DATE($B$2,$E$2,1),0),DATE($B$2,$E$2,$R$47)))</f>
        <v>-</v>
      </c>
    </row>
    <row r="51" ht="12.75" customHeight="1">
      <c r="P51" s="542"/>
      <c r="Q51" s="407"/>
      <c r="R51" s="543"/>
      <c r="S51" s="544"/>
      <c r="T51" s="376" t="str">
        <f t="shared" si="2"/>
        <v>-</v>
      </c>
    </row>
    <row r="52" ht="12.75" customHeight="1">
      <c r="P52" s="542"/>
      <c r="Q52" s="407"/>
      <c r="R52" s="543"/>
      <c r="S52" s="544"/>
      <c r="T52" s="376" t="str">
        <f t="shared" si="2"/>
        <v>-</v>
      </c>
    </row>
    <row r="53" ht="12.75" customHeight="1">
      <c r="P53" s="542"/>
      <c r="Q53" s="407"/>
      <c r="R53" s="543"/>
      <c r="S53" s="544"/>
      <c r="T53" s="376" t="str">
        <f t="shared" si="2"/>
        <v>-</v>
      </c>
    </row>
    <row r="54" ht="12.75" customHeight="1">
      <c r="P54" s="542"/>
      <c r="Q54" s="407"/>
      <c r="R54" s="543"/>
      <c r="S54" s="544"/>
      <c r="T54" s="376" t="str">
        <f t="shared" si="2"/>
        <v>-</v>
      </c>
    </row>
    <row r="55" ht="12.75" customHeight="1">
      <c r="P55" s="542"/>
      <c r="Q55" s="407"/>
      <c r="R55" s="543"/>
      <c r="S55" s="544"/>
      <c r="T55" s="376" t="str">
        <f t="shared" si="2"/>
        <v>-</v>
      </c>
    </row>
    <row r="56" ht="12.75" customHeight="1">
      <c r="P56" s="542"/>
      <c r="Q56" s="407"/>
      <c r="R56" s="543"/>
      <c r="S56" s="544"/>
      <c r="T56" s="376" t="str">
        <f t="shared" si="2"/>
        <v>-</v>
      </c>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row>
    <row r="928" ht="12.75" customHeight="1">
      <c r="R928" s="336"/>
    </row>
    <row r="929" ht="12.75" customHeight="1">
      <c r="R929" s="336"/>
    </row>
    <row r="930" ht="12.75" customHeight="1">
      <c r="R930"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0">
    <cfRule type="cellIs" dxfId="5" priority="1" operator="lessThan">
      <formula>0</formula>
    </cfRule>
  </conditionalFormatting>
  <dataValidations>
    <dataValidation type="list" allowBlank="1" showErrorMessage="1" sqref="Q12:Q56">
      <formula1>"✔"</formula1>
    </dataValidation>
    <dataValidation type="custom" allowBlank="1" showDropDown="1" sqref="T12:T56">
      <formula1>OR(NOT(ISERROR(DATEVALUE(T12))), AND(ISNUMBER(T12), LEFT(CELL("format", T12))="D"))</formula1>
    </dataValidation>
  </dataValidations>
  <hyperlinks>
    <hyperlink r:id="rId1" ref="T3"/>
  </hyperlinks>
  <drawing r:id="rId2"/>
  <tableParts count="1">
    <tablePart r:id="rId4"/>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6.63"/>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2026.0</v>
      </c>
      <c r="C2" s="3"/>
      <c r="D2" s="9" t="s">
        <v>2</v>
      </c>
      <c r="E2" s="10">
        <v>12.0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DECEMBER 2026</v>
      </c>
      <c r="B5" s="22"/>
      <c r="C5" s="22"/>
      <c r="D5" s="22"/>
      <c r="E5" s="22"/>
      <c r="F5" s="22"/>
      <c r="G5" s="22"/>
      <c r="H5" s="23"/>
      <c r="I5" s="23"/>
      <c r="J5" s="23"/>
      <c r="K5" s="22"/>
      <c r="L5" s="24" t="s">
        <v>7</v>
      </c>
      <c r="M5" s="25">
        <f>'November 2026'!D46</f>
        <v>3813.76</v>
      </c>
      <c r="N5" s="26"/>
      <c r="O5" s="23"/>
      <c r="P5" s="27"/>
      <c r="Q5" s="27"/>
      <c r="R5" s="287" t="s">
        <v>8</v>
      </c>
      <c r="S5" s="288">
        <f>SUMIF(A18:N21,"&gt;0")+SUMIF(A24:N27,"&gt;0")+SUMIF(A30:N33,"&gt;0")+SUMIF(A36:N39,"&gt;0")+SUMIF(A42:D45,"&gt;0")+SUMIF(S12:S46,"&gt;0")+SUMIF(A12:N15,"&gt;0")</f>
        <v>6117.6</v>
      </c>
      <c r="U5" s="23"/>
      <c r="V5" s="289">
        <f>sum(S5+S6)</f>
        <v>238.95</v>
      </c>
      <c r="W5" s="23"/>
      <c r="X5" s="23"/>
      <c r="Y5" s="23"/>
      <c r="Z5" s="23"/>
    </row>
    <row r="6" ht="25.5" customHeight="1">
      <c r="A6" s="31"/>
      <c r="B6" s="31"/>
      <c r="C6" s="31"/>
      <c r="D6" s="31"/>
      <c r="E6" s="31"/>
      <c r="F6" s="32"/>
      <c r="G6" s="33"/>
      <c r="H6" s="34"/>
      <c r="I6" s="34"/>
      <c r="J6" s="34"/>
      <c r="K6" s="31"/>
      <c r="L6" s="24" t="s">
        <v>9</v>
      </c>
      <c r="M6" s="35">
        <f>D46</f>
        <v>4052.71</v>
      </c>
      <c r="O6" s="34"/>
      <c r="P6" s="36"/>
      <c r="Q6" s="36"/>
      <c r="R6" s="287" t="s">
        <v>10</v>
      </c>
      <c r="S6" s="288">
        <f>SUMIF(A18:N21,"&lt;0")+SUMIF(A24:N27,"&lt;0")+SUMIF(A30:N33,"&lt;0")+SUMIF(A36:N39,"&lt;0")+SUMIF(A42:D45,"&lt;0")+SUMIF(S12:S203,"&lt;0")+SUMIF(A12:N15,"&lt;0")</f>
        <v>-5878.65</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46357</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46362</v>
      </c>
      <c r="B9" s="40"/>
      <c r="C9" s="39">
        <f>C17</f>
        <v>46363</v>
      </c>
      <c r="D9" s="40"/>
      <c r="E9" s="39">
        <f>E17</f>
        <v>46364</v>
      </c>
      <c r="F9" s="40"/>
      <c r="G9" s="39">
        <f>G17</f>
        <v>46365</v>
      </c>
      <c r="H9" s="40"/>
      <c r="I9" s="39">
        <f>I17</f>
        <v>46366</v>
      </c>
      <c r="J9" s="40"/>
      <c r="K9" s="39">
        <f>K17</f>
        <v>46367</v>
      </c>
      <c r="L9" s="40"/>
      <c r="M9" s="39">
        <f>M17</f>
        <v>46368</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51">
        <f>SUMIF($T$11:$T$130,A11,$S$11:$S$91)</f>
        <v>0</v>
      </c>
      <c r="C11" s="50" t="str">
        <f>IF(A11="",IF(WEEKDAY($B$8,1)=MOD($H$2,7)+1,$B$8,""),A11+1)</f>
        <v/>
      </c>
      <c r="D11" s="51">
        <f>SUMIF($T$11:$T$130,C11,$S$11:$S$91)</f>
        <v>0</v>
      </c>
      <c r="E11" s="50">
        <f>IF(C11="",IF(WEEKDAY($B$8,1)=MOD($H$2+1,7)+1,$B$8,""),C11+1)</f>
        <v>46357</v>
      </c>
      <c r="F11" s="51">
        <f>SUMIF($T$11:$T$130,E11,$S$11:$S$91)</f>
        <v>-30.13</v>
      </c>
      <c r="G11" s="50">
        <f>IF(E11="",IF(WEEKDAY($B$8,1)=MOD($H$2+2,7)+1,$B$8,""),E11+1)</f>
        <v>46358</v>
      </c>
      <c r="H11" s="51">
        <f>SUMIF($T$11:$T$130,G11,$S$11:$S$91)</f>
        <v>0</v>
      </c>
      <c r="I11" s="50">
        <f>IF(G11="",IF(WEEKDAY($B$8,1)=MOD($H$2+3,7)+1,$B$8,""),G11+1)</f>
        <v>46359</v>
      </c>
      <c r="J11" s="51">
        <f>SUMIF($T$11:$T$130,I11,$S$11:$S$91)</f>
        <v>-33</v>
      </c>
      <c r="K11" s="50">
        <f>IF(I11="",IF(WEEKDAY($B$8,1)=MOD($H$2+4,7)+1,$B$8,""),I11+1)</f>
        <v>46360</v>
      </c>
      <c r="L11" s="51">
        <f>SUMIF($T$11:$T$130,K11,$S$11:$S$91)</f>
        <v>-50</v>
      </c>
      <c r="M11" s="50">
        <f>IF(K11="",IF(WEEKDAY($B$8,1)=MOD($H$2+5,7)+1,$B$8,""),K11+1)</f>
        <v>46361</v>
      </c>
      <c r="N11" s="51">
        <f>SUMIF($T$11:$T$130,M11,$S$11:$S$91)</f>
        <v>-957.35</v>
      </c>
      <c r="O11" s="23"/>
      <c r="P11" s="52" t="s">
        <v>13</v>
      </c>
      <c r="Q11" s="53" t="s">
        <v>14</v>
      </c>
      <c r="R11" s="53" t="s">
        <v>15</v>
      </c>
      <c r="S11" s="96" t="s">
        <v>16</v>
      </c>
      <c r="T11" s="53" t="s">
        <v>17</v>
      </c>
      <c r="U11" s="23"/>
      <c r="V11" s="23"/>
      <c r="W11" s="23"/>
      <c r="X11" s="23"/>
      <c r="Y11" s="23"/>
      <c r="Z11" s="23"/>
    </row>
    <row r="12" ht="18.75" customHeight="1">
      <c r="A12" s="55"/>
      <c r="B12" s="56"/>
      <c r="C12" s="55"/>
      <c r="D12" s="56"/>
      <c r="E12" s="55"/>
      <c r="F12" s="56"/>
      <c r="G12" s="55"/>
      <c r="H12" s="56"/>
      <c r="I12" s="58"/>
      <c r="J12" s="57"/>
      <c r="K12" s="55"/>
      <c r="L12" s="57"/>
      <c r="M12" s="55"/>
      <c r="N12" s="56"/>
      <c r="O12" s="23"/>
      <c r="P12" s="551" t="s">
        <v>89</v>
      </c>
      <c r="Q12" s="552"/>
      <c r="R12" s="553">
        <v>7.0</v>
      </c>
      <c r="S12" s="549">
        <f t="array" ref="S12">-INDEX(PaymentSchedule!$E$21:$AG937,MATCH(PaymentSchedule!$B$44,PaymentSchedule!$B$21:$B$100),MATCH($P12,PaymentSchedule!$E$19:$AG$19,0))</f>
        <v>-324.03</v>
      </c>
      <c r="T12" s="550">
        <f t="shared" ref="T12:T15" si="1">IF(ISBLANK(R12),"-",IF(R12&gt;DAY(EOMONTH(DATE($B$2,$E$2,1),0)),EOMONTH(DATE($B$2,$E$2,1),0),DATE($B$2,$E$2,R12)))</f>
        <v>46363</v>
      </c>
      <c r="U12" s="64"/>
      <c r="V12" s="23"/>
      <c r="W12" s="64"/>
      <c r="X12" s="303"/>
      <c r="Y12" s="23"/>
      <c r="Z12" s="23"/>
    </row>
    <row r="13" ht="18.75" customHeight="1">
      <c r="A13" s="55"/>
      <c r="B13" s="56"/>
      <c r="C13" s="55"/>
      <c r="D13" s="56"/>
      <c r="E13" s="55"/>
      <c r="F13" s="56"/>
      <c r="G13" s="55"/>
      <c r="H13" s="56"/>
      <c r="I13" s="55"/>
      <c r="J13" s="57"/>
      <c r="K13" s="55"/>
      <c r="L13" s="56"/>
      <c r="M13" s="55"/>
      <c r="N13" s="56"/>
      <c r="O13" s="23"/>
      <c r="P13" s="551" t="s">
        <v>85</v>
      </c>
      <c r="Q13" s="552"/>
      <c r="R13" s="553">
        <v>18.0</v>
      </c>
      <c r="S13" s="549">
        <f t="array" ref="S13">-INDEX(PaymentSchedule!$E$21:$AG937,MATCH(PaymentSchedule!$B$44,PaymentSchedule!$B$21:$B$100),MATCH($P13,PaymentSchedule!$E$19:$AG$19,0))</f>
        <v>-151</v>
      </c>
      <c r="T13" s="550">
        <f t="shared" si="1"/>
        <v>46374</v>
      </c>
      <c r="U13" s="64"/>
      <c r="V13" s="23"/>
      <c r="W13" s="64"/>
      <c r="X13" s="303"/>
      <c r="Y13" s="23"/>
      <c r="Z13" s="23"/>
    </row>
    <row r="14" ht="18.75" customHeight="1">
      <c r="A14" s="55"/>
      <c r="B14" s="56"/>
      <c r="C14" s="55"/>
      <c r="D14" s="56"/>
      <c r="E14" s="55"/>
      <c r="F14" s="56"/>
      <c r="G14" s="55"/>
      <c r="H14" s="56"/>
      <c r="I14" s="58"/>
      <c r="J14" s="57"/>
      <c r="K14" s="55"/>
      <c r="L14" s="56"/>
      <c r="M14" s="55"/>
      <c r="N14" s="56"/>
      <c r="O14" s="23"/>
      <c r="P14" s="551" t="s">
        <v>86</v>
      </c>
      <c r="Q14" s="552"/>
      <c r="R14" s="553">
        <v>5.0</v>
      </c>
      <c r="S14" s="549">
        <f t="array" ref="S14">-INDEX(PaymentSchedule!$E$21:$AG937,MATCH(PaymentSchedule!$B$44,PaymentSchedule!$B$21:$B$100),MATCH($P14,PaymentSchedule!$E$19:$AG$19,0))</f>
        <v>-791.16</v>
      </c>
      <c r="T14" s="550">
        <f t="shared" si="1"/>
        <v>46361</v>
      </c>
      <c r="U14" s="64"/>
      <c r="V14" s="23"/>
      <c r="W14" s="64"/>
      <c r="X14" s="303"/>
      <c r="Y14" s="23"/>
      <c r="Z14" s="23"/>
    </row>
    <row r="15" ht="18.75" customHeight="1">
      <c r="A15" s="55"/>
      <c r="B15" s="56"/>
      <c r="C15" s="55"/>
      <c r="D15" s="56"/>
      <c r="E15" s="55"/>
      <c r="F15" s="56"/>
      <c r="G15" s="55"/>
      <c r="H15" s="56"/>
      <c r="I15" s="55"/>
      <c r="J15" s="56"/>
      <c r="K15" s="55"/>
      <c r="L15" s="56"/>
      <c r="M15" s="55"/>
      <c r="N15" s="56"/>
      <c r="O15" s="23"/>
      <c r="P15" s="551" t="s">
        <v>20</v>
      </c>
      <c r="Q15" s="552"/>
      <c r="R15" s="553">
        <v>1.0</v>
      </c>
      <c r="S15" s="549">
        <f t="array" ref="S15">-INDEX(PaymentSchedule!$E$21:$AG937,MATCH(PaymentSchedule!$B$44,PaymentSchedule!$B$21:$B$100),MATCH($P15,PaymentSchedule!$E$19:$AG$19,0))</f>
        <v>-1467.13</v>
      </c>
      <c r="T15" s="550">
        <f t="shared" si="1"/>
        <v>46357</v>
      </c>
      <c r="U15" s="64"/>
      <c r="V15" s="23"/>
      <c r="W15" s="64"/>
      <c r="X15" s="303"/>
      <c r="Y15" s="23"/>
      <c r="Z15" s="23"/>
    </row>
    <row r="16" ht="18.75" customHeight="1">
      <c r="A16" s="66" t="s">
        <v>22</v>
      </c>
      <c r="B16" s="67">
        <f>$M$5+SUM(B11:B15)</f>
        <v>3813.76</v>
      </c>
      <c r="C16" s="66"/>
      <c r="D16" s="67">
        <f>B16+SUM(D11:D15)</f>
        <v>3813.76</v>
      </c>
      <c r="E16" s="66"/>
      <c r="F16" s="67">
        <f>D16+SUM(F11:F15)</f>
        <v>3783.63</v>
      </c>
      <c r="G16" s="66"/>
      <c r="H16" s="67">
        <f>F16+SUM(H11:H15)</f>
        <v>3783.63</v>
      </c>
      <c r="I16" s="66"/>
      <c r="J16" s="67">
        <f>H16+SUM(J11:J15)</f>
        <v>3750.63</v>
      </c>
      <c r="K16" s="66"/>
      <c r="L16" s="67">
        <f>J16+SUM(L11:L15)</f>
        <v>3700.63</v>
      </c>
      <c r="M16" s="66"/>
      <c r="N16" s="67">
        <f>L16+SUM(N11:N15)</f>
        <v>2743.28</v>
      </c>
      <c r="O16" s="68"/>
      <c r="P16" s="546" t="s">
        <v>87</v>
      </c>
      <c r="Q16" s="547"/>
      <c r="R16" s="607">
        <v>28.0</v>
      </c>
      <c r="S16" s="598">
        <f t="array" ref="S16">-INDEX(PaymentSchedule!$E$21:$AG937,MATCH(PaymentSchedule!$B$31,PaymentSchedule!$B$21:$B$100),MATCH($P16,PaymentSchedule!$E$19:$AG$19,0))</f>
        <v>-695.6</v>
      </c>
      <c r="T16" s="599">
        <f>IF(ISBLANK(R16),"-",IF(R16&gt;DAY(EOMONTH(DATE($B$2,$E$2,1),0)),EOMONTH(DATE($B$2,$E$2,1),0),DATE($B$2,$E$2,R16)))</f>
        <v>46384</v>
      </c>
      <c r="U16" s="71"/>
      <c r="V16" s="69"/>
      <c r="W16" s="71"/>
      <c r="X16" s="309"/>
      <c r="Y16" s="69"/>
      <c r="Z16" s="69"/>
    </row>
    <row r="17" ht="18.75" customHeight="1">
      <c r="A17" s="50">
        <f>IF(M11="","",IF(MONTH(M11+1)&lt;&gt;MONTH(M11),"",M11+1))</f>
        <v>46362</v>
      </c>
      <c r="B17" s="51">
        <f>SUMIF($T$11:$T$130,A17,$S$11:$S$91)</f>
        <v>-301</v>
      </c>
      <c r="C17" s="50">
        <f>IF(A17="","",IF(MONTH(A17+1)&lt;&gt;MONTH(A17),"",A17+1))</f>
        <v>46363</v>
      </c>
      <c r="D17" s="51">
        <f>SUMIF($T$11:$T$130,C17,$S$11:$S$91)</f>
        <v>-345.83</v>
      </c>
      <c r="E17" s="50">
        <f>IF(C17="","",IF(MONTH(C17+1)&lt;&gt;MONTH(C17),"",C17+1))</f>
        <v>46364</v>
      </c>
      <c r="F17" s="51">
        <f>SUMIF($T$11:$T$130,E17,$S$11:$S$91)</f>
        <v>0</v>
      </c>
      <c r="G17" s="50">
        <f>IF(E17="","",IF(MONTH(E17+1)&lt;&gt;MONTH(E17),"",E17+1))</f>
        <v>46365</v>
      </c>
      <c r="H17" s="51">
        <f>SUMIF($T$11:$T$130,G17,$S$11:$S$91)</f>
        <v>0</v>
      </c>
      <c r="I17" s="50">
        <f>IF(G17="","",IF(MONTH(G17+1)&lt;&gt;MONTH(G17),"",G17+1))</f>
        <v>46366</v>
      </c>
      <c r="J17" s="51">
        <f>SUMIF($T$11:$T$130,I17,$S$11:$S$91)</f>
        <v>0</v>
      </c>
      <c r="K17" s="50">
        <f>IF(I17="","",IF(MONTH(I17+1)&lt;&gt;MONTH(I17),"",I17+1))</f>
        <v>46367</v>
      </c>
      <c r="L17" s="51">
        <f>SUMIF($T$11:$T$130,K17,$S$11:$S$91)</f>
        <v>2258.8</v>
      </c>
      <c r="M17" s="50">
        <f>IF(K17="","",IF(MONTH(K17+1)&lt;&gt;MONTH(K17),"",K17+1))</f>
        <v>46368</v>
      </c>
      <c r="N17" s="51">
        <f>SUMIF($T$11:$T$130,M17,$S$11:$S$91)</f>
        <v>-784.08</v>
      </c>
      <c r="O17" s="23"/>
      <c r="P17" s="551" t="s">
        <v>37</v>
      </c>
      <c r="Q17" s="552"/>
      <c r="R17" s="553">
        <v>12.0</v>
      </c>
      <c r="S17" s="549">
        <f t="array" ref="S17">-INDEX(PaymentSchedule!$E$21:$AG937,MATCH(PaymentSchedule!$B$44,PaymentSchedule!$B$21:$B$100),MATCH($P17,PaymentSchedule!$E$19:$AG$19,0))</f>
        <v>-82</v>
      </c>
      <c r="T17" s="550">
        <f t="shared" ref="T17:T28" si="2">IF(ISBLANK(R17),"-",IF(R17&gt;DAY(EOMONTH(DATE($B$2,$E$2,1),0)),EOMONTH(DATE($B$2,$E$2,1),0),DATE($B$2,$E$2,R17)))</f>
        <v>46368</v>
      </c>
      <c r="U17" s="64"/>
      <c r="V17" s="23"/>
      <c r="W17" s="64"/>
      <c r="X17" s="303"/>
      <c r="Y17" s="23"/>
      <c r="Z17" s="23"/>
    </row>
    <row r="18" ht="18.75" customHeight="1">
      <c r="A18" s="55"/>
      <c r="B18" s="56"/>
      <c r="C18" s="55"/>
      <c r="D18" s="56"/>
      <c r="E18" s="58" t="s">
        <v>139</v>
      </c>
      <c r="F18" s="57">
        <v>-99.0</v>
      </c>
      <c r="G18" s="55"/>
      <c r="H18" s="56"/>
      <c r="I18" s="55"/>
      <c r="J18" s="56"/>
      <c r="K18" s="58"/>
      <c r="L18" s="57"/>
      <c r="M18" s="55"/>
      <c r="N18" s="56"/>
      <c r="O18" s="23"/>
      <c r="P18" s="551" t="s">
        <v>36</v>
      </c>
      <c r="Q18" s="552"/>
      <c r="R18" s="553">
        <v>12.0</v>
      </c>
      <c r="S18" s="549">
        <f t="array" ref="S18">-INDEX(PaymentSchedule!$E$21:$AG937,MATCH(PaymentSchedule!$B$44,PaymentSchedule!$B$21:$B$100),MATCH($P18,PaymentSchedule!$E$19:$AG$19,0))</f>
        <v>-450.08</v>
      </c>
      <c r="T18" s="550">
        <f t="shared" si="2"/>
        <v>46368</v>
      </c>
      <c r="U18" s="64"/>
      <c r="V18" s="23"/>
      <c r="Y18" s="23"/>
      <c r="Z18" s="23"/>
    </row>
    <row r="19" ht="18.75" customHeight="1">
      <c r="A19" s="55"/>
      <c r="B19" s="56"/>
      <c r="C19" s="55"/>
      <c r="D19" s="56"/>
      <c r="E19" s="55"/>
      <c r="F19" s="56"/>
      <c r="G19" s="55"/>
      <c r="H19" s="56"/>
      <c r="I19" s="55"/>
      <c r="J19" s="56"/>
      <c r="K19" s="58"/>
      <c r="L19" s="57"/>
      <c r="M19" s="55"/>
      <c r="N19" s="56"/>
      <c r="O19" s="23"/>
      <c r="P19" s="538" t="s">
        <v>55</v>
      </c>
      <c r="Q19" s="539"/>
      <c r="R19" s="540">
        <v>30.0</v>
      </c>
      <c r="S19" s="365">
        <v>-18.35</v>
      </c>
      <c r="T19" s="323">
        <f t="shared" si="2"/>
        <v>46386</v>
      </c>
      <c r="U19" s="64"/>
      <c r="V19" s="23"/>
      <c r="W19" s="64"/>
      <c r="X19" s="303"/>
      <c r="Y19" s="23"/>
      <c r="Z19" s="23"/>
    </row>
    <row r="20" ht="18.75" customHeight="1">
      <c r="A20" s="55"/>
      <c r="B20" s="56"/>
      <c r="C20" s="55"/>
      <c r="D20" s="56"/>
      <c r="E20" s="55"/>
      <c r="F20" s="56"/>
      <c r="G20" s="55"/>
      <c r="H20" s="56"/>
      <c r="I20" s="55"/>
      <c r="J20" s="56"/>
      <c r="K20" s="58"/>
      <c r="L20" s="57"/>
      <c r="M20" s="55"/>
      <c r="N20" s="56"/>
      <c r="O20" s="23"/>
      <c r="P20" s="319" t="s">
        <v>29</v>
      </c>
      <c r="Q20" s="320"/>
      <c r="R20" s="321">
        <v>5.0</v>
      </c>
      <c r="S20" s="322">
        <v>-16.19</v>
      </c>
      <c r="T20" s="323">
        <f t="shared" si="2"/>
        <v>46361</v>
      </c>
      <c r="U20" s="64"/>
      <c r="V20" s="23"/>
      <c r="W20" s="64"/>
      <c r="X20" s="303"/>
      <c r="Y20" s="23"/>
      <c r="Z20" s="23"/>
    </row>
    <row r="21" ht="18.75" customHeight="1">
      <c r="A21" s="55"/>
      <c r="B21" s="56"/>
      <c r="C21" s="55"/>
      <c r="D21" s="56"/>
      <c r="E21" s="55"/>
      <c r="F21" s="56"/>
      <c r="G21" s="55"/>
      <c r="H21" s="56"/>
      <c r="I21" s="55"/>
      <c r="J21" s="56"/>
      <c r="K21" s="58"/>
      <c r="L21" s="57"/>
      <c r="M21" s="55"/>
      <c r="N21" s="56"/>
      <c r="O21" s="23"/>
      <c r="P21" s="319" t="s">
        <v>43</v>
      </c>
      <c r="Q21" s="320"/>
      <c r="R21" s="321">
        <v>17.0</v>
      </c>
      <c r="S21" s="322">
        <v>-9.99</v>
      </c>
      <c r="T21" s="323">
        <f t="shared" si="2"/>
        <v>46373</v>
      </c>
      <c r="U21" s="64"/>
      <c r="V21" s="303"/>
      <c r="W21" s="64"/>
      <c r="X21" s="303"/>
      <c r="Y21" s="23"/>
      <c r="Z21" s="23"/>
    </row>
    <row r="22" ht="18.75" customHeight="1">
      <c r="A22" s="66" t="s">
        <v>22</v>
      </c>
      <c r="B22" s="67">
        <f>N16+SUM(B17:B21)</f>
        <v>2442.28</v>
      </c>
      <c r="C22" s="66"/>
      <c r="D22" s="67">
        <f>B22+SUM(D17:D21)</f>
        <v>2096.45</v>
      </c>
      <c r="E22" s="66"/>
      <c r="F22" s="67">
        <f>D22+SUM(F17:F21)</f>
        <v>1997.45</v>
      </c>
      <c r="G22" s="66"/>
      <c r="H22" s="67">
        <f>F22+SUM(H17:H21)</f>
        <v>1997.45</v>
      </c>
      <c r="I22" s="66"/>
      <c r="J22" s="67">
        <f>H22+SUM(J17:J21)</f>
        <v>1997.45</v>
      </c>
      <c r="K22" s="66"/>
      <c r="L22" s="67">
        <f>J22+SUM(L17:L21)</f>
        <v>4256.25</v>
      </c>
      <c r="M22" s="66"/>
      <c r="N22" s="67">
        <f>L22+SUM(N17:N21)</f>
        <v>3472.17</v>
      </c>
      <c r="O22" s="68"/>
      <c r="P22" s="319" t="s">
        <v>54</v>
      </c>
      <c r="Q22" s="320"/>
      <c r="R22" s="321">
        <v>30.0</v>
      </c>
      <c r="S22" s="322">
        <v>-11.0</v>
      </c>
      <c r="T22" s="323">
        <f t="shared" si="2"/>
        <v>46386</v>
      </c>
      <c r="W22" s="71"/>
      <c r="X22" s="309"/>
      <c r="Y22" s="69"/>
      <c r="Z22" s="69"/>
    </row>
    <row r="23" ht="18.75" customHeight="1">
      <c r="A23" s="50">
        <f>IF(M17="","",IF(MONTH(M17+1)&lt;&gt;MONTH(M17),"",M17+1))</f>
        <v>46369</v>
      </c>
      <c r="B23" s="51">
        <f>SUMIF($T$11:$T$130,A23,$S$11:$S$91)</f>
        <v>0</v>
      </c>
      <c r="C23" s="50">
        <f>IF(A23="","",IF(MONTH(A23+1)&lt;&gt;MONTH(A23),"",A23+1))</f>
        <v>46370</v>
      </c>
      <c r="D23" s="51">
        <f>SUMIF($T$11:$T$130,C23,$S$11:$S$91)</f>
        <v>0</v>
      </c>
      <c r="E23" s="50">
        <f>IF(C23="","",IF(MONTH(C23+1)&lt;&gt;MONTH(C23),"",C23+1))</f>
        <v>46371</v>
      </c>
      <c r="F23" s="51">
        <f>SUMIF($T$11:$T$130,E23,$S$11:$S$91)</f>
        <v>0</v>
      </c>
      <c r="G23" s="50">
        <f>IF(E23="","",IF(MONTH(E23+1)&lt;&gt;MONTH(E23),"",E23+1))</f>
        <v>46372</v>
      </c>
      <c r="H23" s="51">
        <f>SUMIF($T$11:$T$130,G23,$S$11:$S$91)</f>
        <v>0</v>
      </c>
      <c r="I23" s="50">
        <f>IF(G23="","",IF(MONTH(G23+1)&lt;&gt;MONTH(G23),"",G23+1))</f>
        <v>46373</v>
      </c>
      <c r="J23" s="51">
        <f>SUMIF($T$11:$T$130,I23,$S$11:$S$91)</f>
        <v>-15.98</v>
      </c>
      <c r="K23" s="50">
        <f>IF(I23="","",IF(MONTH(I23+1)&lt;&gt;MONTH(I23),"",I23+1))</f>
        <v>46374</v>
      </c>
      <c r="L23" s="51">
        <f>SUMIF($T$11:$T$130,K23,$S$11:$S$91)</f>
        <v>-151</v>
      </c>
      <c r="M23" s="50">
        <f>IF(K23="","",IF(MONTH(K23+1)&lt;&gt;MONTH(K23),"",K23+1))</f>
        <v>46375</v>
      </c>
      <c r="N23" s="51">
        <f>SUMIF($T$11:$T$130,M23,$S$11:$S$91)</f>
        <v>-150</v>
      </c>
      <c r="O23" s="23"/>
      <c r="P23" s="319" t="s">
        <v>30</v>
      </c>
      <c r="Q23" s="320"/>
      <c r="R23" s="321">
        <v>6.0</v>
      </c>
      <c r="S23" s="322">
        <v>-301.0</v>
      </c>
      <c r="T23" s="323">
        <f t="shared" si="2"/>
        <v>46362</v>
      </c>
      <c r="U23" s="64"/>
      <c r="V23" s="23"/>
      <c r="W23" s="64"/>
      <c r="X23" s="303"/>
      <c r="Y23" s="23"/>
      <c r="Z23" s="23"/>
    </row>
    <row r="24" ht="18.75" customHeight="1">
      <c r="A24" s="55"/>
      <c r="B24" s="56"/>
      <c r="C24" s="55"/>
      <c r="D24" s="56"/>
      <c r="E24" s="55"/>
      <c r="F24" s="56"/>
      <c r="G24" s="413"/>
      <c r="H24" s="535"/>
      <c r="I24" s="55"/>
      <c r="J24" s="56"/>
      <c r="K24" s="58"/>
      <c r="L24" s="57"/>
      <c r="M24" s="55"/>
      <c r="N24" s="56"/>
      <c r="O24" s="23"/>
      <c r="P24" s="319" t="s">
        <v>232</v>
      </c>
      <c r="Q24" s="320"/>
      <c r="R24" s="321">
        <v>11.0</v>
      </c>
      <c r="S24" s="322">
        <v>2308.8</v>
      </c>
      <c r="T24" s="323">
        <f t="shared" si="2"/>
        <v>46367</v>
      </c>
      <c r="U24" s="64"/>
      <c r="V24" s="23"/>
      <c r="W24" s="64"/>
      <c r="X24" s="303"/>
      <c r="Y24" s="23"/>
      <c r="Z24" s="23"/>
    </row>
    <row r="25" ht="18.75" customHeight="1">
      <c r="A25" s="55"/>
      <c r="B25" s="56"/>
      <c r="C25" s="55"/>
      <c r="D25" s="56"/>
      <c r="E25" s="55"/>
      <c r="F25" s="56"/>
      <c r="G25" s="55"/>
      <c r="H25" s="56"/>
      <c r="I25" s="55"/>
      <c r="J25" s="56"/>
      <c r="K25" s="55"/>
      <c r="L25" s="56"/>
      <c r="M25" s="55"/>
      <c r="N25" s="56"/>
      <c r="O25" s="23"/>
      <c r="P25" s="319" t="s">
        <v>41</v>
      </c>
      <c r="Q25" s="320"/>
      <c r="R25" s="321">
        <v>25.0</v>
      </c>
      <c r="S25" s="322">
        <v>2308.8</v>
      </c>
      <c r="T25" s="323">
        <f t="shared" si="2"/>
        <v>46381</v>
      </c>
      <c r="U25" s="64"/>
      <c r="V25" s="23"/>
      <c r="W25" s="64"/>
      <c r="X25" s="303"/>
      <c r="Y25" s="23"/>
      <c r="Z25" s="23"/>
    </row>
    <row r="26" ht="18.75" customHeight="1">
      <c r="A26" s="55"/>
      <c r="B26" s="56"/>
      <c r="C26" s="55"/>
      <c r="D26" s="56"/>
      <c r="E26" s="55"/>
      <c r="F26" s="56"/>
      <c r="G26" s="55"/>
      <c r="H26" s="56"/>
      <c r="I26" s="55"/>
      <c r="J26" s="56"/>
      <c r="K26" s="55"/>
      <c r="L26" s="56"/>
      <c r="M26" s="55"/>
      <c r="N26" s="56"/>
      <c r="O26" s="23"/>
      <c r="P26" s="319" t="s">
        <v>47</v>
      </c>
      <c r="Q26" s="320"/>
      <c r="R26" s="321">
        <v>1.0</v>
      </c>
      <c r="S26" s="608">
        <v>1500.0</v>
      </c>
      <c r="T26" s="323">
        <f t="shared" si="2"/>
        <v>46357</v>
      </c>
      <c r="U26" s="64"/>
      <c r="V26" s="23"/>
      <c r="W26" s="64"/>
      <c r="X26" s="303"/>
      <c r="Y26" s="23"/>
      <c r="Z26" s="23"/>
    </row>
    <row r="27" ht="18.75" customHeight="1">
      <c r="A27" s="55"/>
      <c r="B27" s="56"/>
      <c r="C27" s="55"/>
      <c r="D27" s="56"/>
      <c r="E27" s="55"/>
      <c r="F27" s="56"/>
      <c r="G27" s="55"/>
      <c r="H27" s="56"/>
      <c r="I27" s="55"/>
      <c r="J27" s="56"/>
      <c r="K27" s="55"/>
      <c r="L27" s="56"/>
      <c r="M27" s="55"/>
      <c r="N27" s="56"/>
      <c r="O27" s="23"/>
      <c r="P27" s="406" t="s">
        <v>142</v>
      </c>
      <c r="Q27" s="407"/>
      <c r="R27" s="408">
        <v>24.0</v>
      </c>
      <c r="S27" s="409"/>
      <c r="T27" s="323">
        <f t="shared" si="2"/>
        <v>46380</v>
      </c>
      <c r="U27" s="64"/>
      <c r="V27" s="23"/>
      <c r="W27" s="64"/>
      <c r="X27" s="303"/>
      <c r="Y27" s="23"/>
      <c r="Z27" s="23"/>
    </row>
    <row r="28" ht="18.75" customHeight="1">
      <c r="A28" s="66" t="s">
        <v>22</v>
      </c>
      <c r="B28" s="67">
        <f>N22+SUM(B23:B27)</f>
        <v>3472.17</v>
      </c>
      <c r="C28" s="66"/>
      <c r="D28" s="67">
        <f>B28+SUM(D23:D27)</f>
        <v>3472.17</v>
      </c>
      <c r="E28" s="66"/>
      <c r="F28" s="67">
        <f>D28+SUM(F23:F27)</f>
        <v>3472.17</v>
      </c>
      <c r="G28" s="66"/>
      <c r="H28" s="67">
        <f>F28+SUM(H23:H27)</f>
        <v>3472.17</v>
      </c>
      <c r="I28" s="66"/>
      <c r="J28" s="67">
        <f>H28+SUM(J23:J27)</f>
        <v>3456.19</v>
      </c>
      <c r="K28" s="66"/>
      <c r="L28" s="67">
        <f>J28+SUM(L23:L27)</f>
        <v>3305.19</v>
      </c>
      <c r="M28" s="66"/>
      <c r="N28" s="67">
        <f>L28+SUM(N23:N27)</f>
        <v>3155.19</v>
      </c>
      <c r="O28" s="68"/>
      <c r="P28" s="319" t="s">
        <v>142</v>
      </c>
      <c r="Q28" s="320"/>
      <c r="R28" s="321"/>
      <c r="S28" s="322"/>
      <c r="T28" s="323" t="str">
        <f t="shared" si="2"/>
        <v>-</v>
      </c>
      <c r="U28" s="71"/>
      <c r="V28" s="69"/>
      <c r="W28" s="71"/>
      <c r="X28" s="309"/>
      <c r="Y28" s="69"/>
      <c r="Z28" s="69"/>
    </row>
    <row r="29" ht="18.75" customHeight="1">
      <c r="A29" s="50">
        <f>IF(M23="","",IF(MONTH(M23+1)&lt;&gt;MONTH(M23),"",M23+1))</f>
        <v>46376</v>
      </c>
      <c r="B29" s="51">
        <f>SUMIF($T$11:$T$130,A29,$S$11:$S$91)</f>
        <v>0</v>
      </c>
      <c r="C29" s="50">
        <f>IF(A29="","",IF(MONTH(A29+1)&lt;&gt;MONTH(A29),"",A29+1))</f>
        <v>46377</v>
      </c>
      <c r="D29" s="51">
        <f>SUMIF($T$11:$T$130,C29,$S$11:$S$91)</f>
        <v>0</v>
      </c>
      <c r="E29" s="50">
        <f>IF(C29="","",IF(MONTH(C29+1)&lt;&gt;MONTH(C29),"",C29+1))</f>
        <v>46378</v>
      </c>
      <c r="F29" s="51">
        <f>SUMIF($T$11:$T$130,E29,$S$11:$S$91)</f>
        <v>0</v>
      </c>
      <c r="G29" s="50">
        <f>IF(E29="","",IF(MONTH(E29+1)&lt;&gt;MONTH(E29),"",E29+1))</f>
        <v>46379</v>
      </c>
      <c r="H29" s="51">
        <f>SUMIF($T$11:$T$130,G29,$S$11:$S$91)</f>
        <v>-10.99</v>
      </c>
      <c r="I29" s="50">
        <f>IF(G29="","",IF(MONTH(G29+1)&lt;&gt;MONTH(G29),"",G29+1))</f>
        <v>46380</v>
      </c>
      <c r="J29" s="51">
        <f>SUMIF($T$11:$T$130,I29,$S$11:$S$91)</f>
        <v>0</v>
      </c>
      <c r="K29" s="50">
        <f>IF(I29="","",IF(MONTH(I29+1)&lt;&gt;MONTH(I29),"",I29+1))</f>
        <v>46381</v>
      </c>
      <c r="L29" s="51">
        <f>SUMIF($T$11:$T$130,K29,$S$11:$S$91)</f>
        <v>2308.8</v>
      </c>
      <c r="M29" s="50">
        <f>IF(K29="","",IF(MONTH(K29+1)&lt;&gt;MONTH(K29),"",K29+1))</f>
        <v>46382</v>
      </c>
      <c r="N29" s="51">
        <f>SUMIF($T$11:$T$130,M29,$S$11:$S$91)</f>
        <v>-195.35</v>
      </c>
      <c r="O29" s="23"/>
      <c r="P29" s="367"/>
      <c r="Q29" s="368"/>
      <c r="R29" s="405"/>
      <c r="S29" s="370"/>
      <c r="T29" s="376" t="str">
        <f>IF(ISBLANK(R29),"-",IF(R29&gt;DAY(EOMONTH(DATE($B$2,$E$2,1),0)),EOMONTH(DATE($B$2,$E$2,1),0),DATE($B$2,$E$2,R29)))</f>
        <v>-</v>
      </c>
      <c r="U29" s="64"/>
      <c r="V29" s="23"/>
      <c r="W29" s="64"/>
      <c r="X29" s="303"/>
      <c r="Y29" s="23"/>
      <c r="Z29" s="23"/>
    </row>
    <row r="30" ht="18.75" customHeight="1">
      <c r="A30" s="55"/>
      <c r="B30" s="56"/>
      <c r="C30" s="55"/>
      <c r="D30" s="56"/>
      <c r="E30" s="485" t="s">
        <v>202</v>
      </c>
      <c r="F30" s="486"/>
      <c r="G30" s="58" t="s">
        <v>139</v>
      </c>
      <c r="H30" s="57">
        <v>-99.0</v>
      </c>
      <c r="I30" s="55"/>
      <c r="J30" s="56"/>
      <c r="K30" s="55"/>
      <c r="L30" s="57"/>
      <c r="M30" s="55"/>
      <c r="N30" s="56"/>
      <c r="O30" s="23"/>
      <c r="P30" s="319" t="s">
        <v>46</v>
      </c>
      <c r="Q30" s="320"/>
      <c r="R30" s="321">
        <v>23.0</v>
      </c>
      <c r="S30" s="322">
        <v>-10.99</v>
      </c>
      <c r="T30" s="323">
        <f t="shared" ref="T30:T34" si="3">IF(ISBLANK(R30),"-",IF(R30&gt;DAY(EOMONTH(DATE($B$2,$E$2,1),0)),EOMONTH(DATE($B$2,$E$2,1),0),DATE($B$2,$E$2,R30)))</f>
        <v>46379</v>
      </c>
      <c r="U30" s="64"/>
      <c r="V30" s="23"/>
      <c r="W30" s="64"/>
      <c r="X30" s="303"/>
      <c r="Y30" s="23"/>
      <c r="Z30" s="23"/>
    </row>
    <row r="31" ht="18.75" customHeight="1">
      <c r="A31" s="55"/>
      <c r="B31" s="56"/>
      <c r="C31" s="55"/>
      <c r="D31" s="56"/>
      <c r="E31" s="55"/>
      <c r="F31" s="56"/>
      <c r="G31" s="55"/>
      <c r="H31" s="56"/>
      <c r="I31" s="55"/>
      <c r="J31" s="56"/>
      <c r="K31" s="58" t="s">
        <v>160</v>
      </c>
      <c r="L31" s="57"/>
      <c r="M31" s="55"/>
      <c r="N31" s="56"/>
      <c r="O31" s="23"/>
      <c r="P31" s="538" t="s">
        <v>44</v>
      </c>
      <c r="Q31" s="539"/>
      <c r="R31" s="540">
        <v>26.0</v>
      </c>
      <c r="S31" s="365">
        <v>-18.35</v>
      </c>
      <c r="T31" s="323">
        <f t="shared" si="3"/>
        <v>46382</v>
      </c>
      <c r="U31" s="64"/>
      <c r="V31" s="23"/>
      <c r="W31" s="64"/>
      <c r="X31" s="303"/>
      <c r="Y31" s="23"/>
      <c r="Z31" s="23"/>
    </row>
    <row r="32" ht="18.75" customHeight="1">
      <c r="A32" s="55"/>
      <c r="B32" s="56"/>
      <c r="C32" s="55"/>
      <c r="D32" s="56"/>
      <c r="E32" s="55"/>
      <c r="F32" s="56"/>
      <c r="G32" s="55"/>
      <c r="H32" s="56"/>
      <c r="I32" s="55"/>
      <c r="J32" s="56"/>
      <c r="K32" s="58" t="s">
        <v>161</v>
      </c>
      <c r="L32" s="57"/>
      <c r="M32" s="55"/>
      <c r="N32" s="56"/>
      <c r="O32" s="23"/>
      <c r="P32" s="319" t="s">
        <v>40</v>
      </c>
      <c r="Q32" s="320"/>
      <c r="R32" s="321">
        <v>12.0</v>
      </c>
      <c r="S32" s="322">
        <v>-102.0</v>
      </c>
      <c r="T32" s="323">
        <f t="shared" si="3"/>
        <v>46368</v>
      </c>
      <c r="U32" s="64"/>
      <c r="V32" s="23"/>
      <c r="W32" s="64"/>
      <c r="X32" s="303"/>
      <c r="Y32" s="23"/>
      <c r="Z32" s="23"/>
    </row>
    <row r="33" ht="18.75" customHeight="1">
      <c r="A33" s="55"/>
      <c r="B33" s="56"/>
      <c r="C33" s="55"/>
      <c r="D33" s="56"/>
      <c r="E33" s="55"/>
      <c r="F33" s="56"/>
      <c r="G33" s="55"/>
      <c r="H33" s="56"/>
      <c r="I33" s="55"/>
      <c r="J33" s="56"/>
      <c r="K33" s="55"/>
      <c r="L33" s="56"/>
      <c r="M33" s="55"/>
      <c r="N33" s="56"/>
      <c r="O33" s="23"/>
      <c r="P33" s="319" t="s">
        <v>34</v>
      </c>
      <c r="Q33" s="320"/>
      <c r="R33" s="321">
        <v>17.0</v>
      </c>
      <c r="S33" s="322">
        <v>-5.99</v>
      </c>
      <c r="T33" s="323">
        <f t="shared" si="3"/>
        <v>46373</v>
      </c>
      <c r="U33" s="64"/>
      <c r="V33" s="23"/>
      <c r="W33" s="64"/>
      <c r="X33" s="303"/>
      <c r="Y33" s="23"/>
      <c r="Z33" s="23"/>
    </row>
    <row r="34" ht="18.75" customHeight="1">
      <c r="A34" s="66" t="s">
        <v>22</v>
      </c>
      <c r="B34" s="67">
        <f>N28+SUM(B29:B33)</f>
        <v>3155.19</v>
      </c>
      <c r="C34" s="66"/>
      <c r="D34" s="67">
        <f>B34+SUM(D29:D33)</f>
        <v>3155.19</v>
      </c>
      <c r="E34" s="66"/>
      <c r="F34" s="67">
        <f>D34+SUM(F29:F33)</f>
        <v>3155.19</v>
      </c>
      <c r="G34" s="66"/>
      <c r="H34" s="67">
        <f>F34+SUM(H29:H33)</f>
        <v>3045.2</v>
      </c>
      <c r="I34" s="66"/>
      <c r="J34" s="67">
        <f>H34+SUM(J29:J33)</f>
        <v>3045.2</v>
      </c>
      <c r="K34" s="66"/>
      <c r="L34" s="67">
        <f>J34+SUM(L29:L33)</f>
        <v>5354</v>
      </c>
      <c r="M34" s="66"/>
      <c r="N34" s="67">
        <f>L34+SUM(N29:N33)</f>
        <v>5158.65</v>
      </c>
      <c r="O34" s="68"/>
      <c r="P34" s="319" t="s">
        <v>34</v>
      </c>
      <c r="Q34" s="320"/>
      <c r="R34" s="321">
        <v>24.0</v>
      </c>
      <c r="S34" s="322"/>
      <c r="T34" s="323">
        <f t="shared" si="3"/>
        <v>46380</v>
      </c>
      <c r="U34" s="71"/>
      <c r="V34" s="69"/>
      <c r="W34" s="71"/>
      <c r="X34" s="309"/>
      <c r="Y34" s="69"/>
      <c r="Z34" s="69"/>
    </row>
    <row r="35" ht="18.75" customHeight="1">
      <c r="A35" s="50">
        <f>IF(M29="","",IF(MONTH(M29+1)&lt;&gt;MONTH(M29),"",M29+1))</f>
        <v>46383</v>
      </c>
      <c r="B35" s="51">
        <f>SUMIF($T$11:$T$130,A35,$S$11:$S$91)</f>
        <v>0</v>
      </c>
      <c r="C35" s="50">
        <f>IF(A35="","",IF(MONTH(A35+1)&lt;&gt;MONTH(A35),"",A35+1))</f>
        <v>46384</v>
      </c>
      <c r="D35" s="51">
        <f>SUMIF($T$11:$T$130,C35,$S$11:$S$91)</f>
        <v>-1065.6</v>
      </c>
      <c r="E35" s="50">
        <f>IF(C35="","",IF(MONTH(C35+1)&lt;&gt;MONTH(C35),"",C35+1))</f>
        <v>46385</v>
      </c>
      <c r="F35" s="51">
        <f>SUMIF($T$11:$T$130,E35,$S$11:$S$91)</f>
        <v>-10.99</v>
      </c>
      <c r="G35" s="50">
        <f>IF(E35="","",IF(MONTH(E35+1)&lt;&gt;MONTH(E35),"",E35+1))</f>
        <v>46386</v>
      </c>
      <c r="H35" s="51">
        <f>SUMIF($T$11:$T$130,G35,$S$11:$S$91)</f>
        <v>-29.35</v>
      </c>
      <c r="I35" s="50">
        <f>IF(G35="","",IF(MONTH(G35+1)&lt;&gt;MONTH(G35),"",G35+1))</f>
        <v>46387</v>
      </c>
      <c r="J35" s="51">
        <f>SUMIF($T$11:$T$130,I35,$S$11:$S$91)</f>
        <v>0</v>
      </c>
      <c r="K35" s="50" t="str">
        <f>IF(I35="","",IF(MONTH(I35+1)&lt;&gt;MONTH(I35),"",I35+1))</f>
        <v/>
      </c>
      <c r="L35" s="51">
        <f>SUMIF($T$11:$T$130,K35,$S$11:$S$91)</f>
        <v>0</v>
      </c>
      <c r="M35" s="50" t="str">
        <f>IF(K35="","",IF(MONTH(K35+1)&lt;&gt;MONTH(K35),"",K35+1))</f>
        <v/>
      </c>
      <c r="N35" s="51">
        <f>SUMIF($T$11:$T$130,M35,$S$11:$S$91)</f>
        <v>0</v>
      </c>
      <c r="O35" s="23"/>
      <c r="P35" s="367" t="s">
        <v>51</v>
      </c>
      <c r="Q35" s="368"/>
      <c r="R35" s="405">
        <v>26.0</v>
      </c>
      <c r="S35" s="370">
        <v>-27.0</v>
      </c>
      <c r="T35" s="376">
        <f>IF(ISBLANK(R35),"-",IF(R35&gt;DAY(EOMONTH(DATE($B$2,$E$2,1),0)),EOMONTH(DATE($B$2,$E$2,1),0),DATE($B$2,$E$2,R35)))</f>
        <v>46382</v>
      </c>
      <c r="U35" s="64"/>
      <c r="V35" s="23"/>
      <c r="W35" s="64"/>
      <c r="X35" s="303"/>
      <c r="Y35" s="23"/>
      <c r="Z35" s="23"/>
    </row>
    <row r="36" ht="18.75" customHeight="1">
      <c r="A36" s="55"/>
      <c r="B36" s="56"/>
      <c r="C36" s="55"/>
      <c r="D36" s="56"/>
      <c r="E36" s="55"/>
      <c r="F36" s="56"/>
      <c r="G36" s="55"/>
      <c r="H36" s="57"/>
      <c r="I36" s="55"/>
      <c r="J36" s="56"/>
      <c r="K36" s="55"/>
      <c r="L36" s="56"/>
      <c r="M36" s="55"/>
      <c r="N36" s="56"/>
      <c r="O36" s="23"/>
      <c r="P36" s="367" t="s">
        <v>53</v>
      </c>
      <c r="Q36" s="368"/>
      <c r="R36" s="405">
        <v>29.0</v>
      </c>
      <c r="S36" s="370">
        <v>-10.99</v>
      </c>
      <c r="T36" s="323">
        <f t="shared" ref="T36:T38" si="4">IF(ISBLANK(R36),"-",IF(R36&gt;DAY(EOMONTH(DATE($B$2,$E$2,1),0)),EOMONTH(DATE($B$2,$E$2,1),0),DATE($B$2,$E$2,R36)))</f>
        <v>46385</v>
      </c>
      <c r="U36" s="64"/>
      <c r="V36" s="23"/>
      <c r="W36" s="64"/>
      <c r="X36" s="303"/>
      <c r="Y36" s="23"/>
      <c r="Z36" s="23"/>
    </row>
    <row r="37" ht="18.75" customHeight="1">
      <c r="A37" s="55"/>
      <c r="B37" s="56"/>
      <c r="C37" s="55"/>
      <c r="D37" s="56"/>
      <c r="E37" s="55"/>
      <c r="F37" s="56"/>
      <c r="G37" s="55"/>
      <c r="H37" s="56"/>
      <c r="I37" s="55"/>
      <c r="J37" s="56"/>
      <c r="K37" s="55"/>
      <c r="L37" s="56"/>
      <c r="M37" s="55"/>
      <c r="N37" s="56"/>
      <c r="O37" s="23"/>
      <c r="P37" s="319" t="s">
        <v>27</v>
      </c>
      <c r="Q37" s="320"/>
      <c r="R37" s="321">
        <v>3.0</v>
      </c>
      <c r="S37" s="322">
        <v>-33.0</v>
      </c>
      <c r="T37" s="323">
        <f t="shared" si="4"/>
        <v>46359</v>
      </c>
      <c r="U37" s="64"/>
      <c r="V37" s="23"/>
      <c r="W37" s="64"/>
      <c r="X37" s="303"/>
      <c r="Y37" s="23"/>
      <c r="Z37" s="23"/>
    </row>
    <row r="38" ht="18.75" customHeight="1">
      <c r="A38" s="55"/>
      <c r="B38" s="56"/>
      <c r="C38" s="55"/>
      <c r="D38" s="56"/>
      <c r="E38" s="55"/>
      <c r="F38" s="56"/>
      <c r="G38" s="55"/>
      <c r="H38" s="56"/>
      <c r="I38" s="55"/>
      <c r="J38" s="56"/>
      <c r="K38" s="55"/>
      <c r="L38" s="56"/>
      <c r="M38" s="55"/>
      <c r="N38" s="56"/>
      <c r="O38" s="23"/>
      <c r="P38" s="406" t="s">
        <v>186</v>
      </c>
      <c r="Q38" s="407"/>
      <c r="R38" s="408">
        <v>4.0</v>
      </c>
      <c r="S38" s="409">
        <v>-50.0</v>
      </c>
      <c r="T38" s="323">
        <f t="shared" si="4"/>
        <v>46360</v>
      </c>
      <c r="U38" s="64"/>
      <c r="V38" s="23"/>
      <c r="W38" s="64"/>
      <c r="X38" s="303"/>
      <c r="Y38" s="23"/>
      <c r="Z38" s="23"/>
    </row>
    <row r="39" ht="18.75" customHeight="1">
      <c r="A39" s="55"/>
      <c r="B39" s="56"/>
      <c r="C39" s="55"/>
      <c r="D39" s="56"/>
      <c r="E39" s="55"/>
      <c r="F39" s="56"/>
      <c r="G39" s="55"/>
      <c r="H39" s="56"/>
      <c r="I39" s="55"/>
      <c r="J39" s="56"/>
      <c r="K39" s="55"/>
      <c r="L39" s="56"/>
      <c r="M39" s="55"/>
      <c r="N39" s="56"/>
      <c r="O39" s="23"/>
      <c r="P39" s="367" t="s">
        <v>214</v>
      </c>
      <c r="Q39" s="368"/>
      <c r="R39" s="405">
        <v>7.0</v>
      </c>
      <c r="S39" s="370">
        <v>-21.8</v>
      </c>
      <c r="T39" s="376">
        <f>IF(ISBLANK(R39),"-",IF(R39&gt;DAY(EOMONTH(DATE($B$2,$E$2,1),0)),EOMONTH(DATE($B$2,$E$2,1),0),DATE($B$2,$E$2,R39)))</f>
        <v>46363</v>
      </c>
      <c r="U39" s="64"/>
      <c r="V39" s="23"/>
      <c r="W39" s="64"/>
      <c r="X39" s="303"/>
      <c r="Y39" s="23"/>
      <c r="Z39" s="23"/>
    </row>
    <row r="40" ht="18.75" customHeight="1">
      <c r="A40" s="66" t="s">
        <v>22</v>
      </c>
      <c r="B40" s="67">
        <f>N34+SUM(B35:B39)</f>
        <v>5158.65</v>
      </c>
      <c r="C40" s="66"/>
      <c r="D40" s="67">
        <f>B40+SUM(D35:D39)</f>
        <v>4093.05</v>
      </c>
      <c r="E40" s="66"/>
      <c r="F40" s="67">
        <f>D40+SUM(F35:F39)</f>
        <v>4082.06</v>
      </c>
      <c r="G40" s="66"/>
      <c r="H40" s="67">
        <f>F40+SUM(H35:H39)</f>
        <v>4052.71</v>
      </c>
      <c r="I40" s="66"/>
      <c r="J40" s="67">
        <f>H40+SUM(J35:J39)</f>
        <v>4052.71</v>
      </c>
      <c r="K40" s="66"/>
      <c r="L40" s="67">
        <f>J40+SUM(L35:L39)</f>
        <v>4052.71</v>
      </c>
      <c r="M40" s="66"/>
      <c r="N40" s="67">
        <f>L40+SUM(N35:N39)</f>
        <v>4052.71</v>
      </c>
      <c r="O40" s="68"/>
      <c r="P40" s="319" t="s">
        <v>38</v>
      </c>
      <c r="Q40" s="320"/>
      <c r="R40" s="321">
        <v>11.0</v>
      </c>
      <c r="S40" s="322">
        <v>-50.0</v>
      </c>
      <c r="T40" s="323">
        <f t="shared" ref="T40:T41" si="5">IF(ISBLANK(R40),"-",IF(R40&gt;DAY(EOMONTH(DATE($B$2,$E$2,1),0)),EOMONTH(DATE($B$2,$E$2,1),0),DATE($B$2,$E$2,R40)))</f>
        <v>46367</v>
      </c>
      <c r="U40" s="71"/>
      <c r="V40" s="69"/>
      <c r="W40" s="71"/>
      <c r="X40" s="309"/>
      <c r="Y40" s="69"/>
      <c r="Z40" s="69"/>
    </row>
    <row r="41" ht="18.75" customHeight="1">
      <c r="A41" s="50" t="str">
        <f>IF(M35="","",IF(MONTH(M35+1)&lt;&gt;MONTH(M35),"",M35+1))</f>
        <v/>
      </c>
      <c r="B41" s="51">
        <f>SUMIF($T$11:$T$130,A41,$S$11:$S$91)</f>
        <v>0</v>
      </c>
      <c r="C41" s="50" t="str">
        <f>IF(A41="","",IF(MONTH(A41+1)&lt;&gt;MONTH(A41),"",A41+1))</f>
        <v/>
      </c>
      <c r="D41" s="51">
        <f>SUMIF($T$11:$T$130,C41,$S$11:$S$91)</f>
        <v>0</v>
      </c>
      <c r="E41" s="77"/>
      <c r="F41" s="77" t="s">
        <v>50</v>
      </c>
      <c r="G41" s="77"/>
      <c r="H41" s="77"/>
      <c r="I41" s="77"/>
      <c r="J41" s="77"/>
      <c r="K41" s="77"/>
      <c r="L41" s="77"/>
      <c r="M41" s="77"/>
      <c r="N41" s="77"/>
      <c r="P41" s="319" t="s">
        <v>57</v>
      </c>
      <c r="Q41" s="320"/>
      <c r="R41" s="321">
        <v>28.0</v>
      </c>
      <c r="S41" s="322">
        <v>-370.0</v>
      </c>
      <c r="T41" s="323">
        <f t="shared" si="5"/>
        <v>46384</v>
      </c>
      <c r="V41" s="313"/>
      <c r="X41" s="314"/>
    </row>
    <row r="42" ht="18.75" customHeight="1">
      <c r="A42" s="55"/>
      <c r="B42" s="56"/>
      <c r="C42" s="55"/>
      <c r="D42" s="56"/>
      <c r="E42" s="77"/>
      <c r="F42" s="77" t="s">
        <v>52</v>
      </c>
      <c r="G42" s="77"/>
      <c r="H42" s="77"/>
      <c r="I42" s="77"/>
      <c r="J42" s="77"/>
      <c r="K42" s="77"/>
      <c r="L42" s="77"/>
      <c r="M42" s="77"/>
      <c r="N42" s="77"/>
      <c r="P42" s="613" t="s">
        <v>24</v>
      </c>
      <c r="Q42" s="368"/>
      <c r="R42" s="614">
        <v>1.0</v>
      </c>
      <c r="S42" s="615">
        <v>-63.0</v>
      </c>
      <c r="T42" s="376">
        <f>IF(ISBLANK(R42),"-",IF(R42&gt;DAY(EOMONTH(DATE($B$2,$E$2,1),0)),EOMONTH(DATE($B$2,$E$2,1),0),DATE($B$2,$E$2,R42)))</f>
        <v>46357</v>
      </c>
      <c r="V42" s="313"/>
      <c r="X42" s="314"/>
    </row>
    <row r="43" ht="18.75" customHeight="1">
      <c r="A43" s="55"/>
      <c r="B43" s="56"/>
      <c r="C43" s="55"/>
      <c r="D43" s="56"/>
      <c r="E43" s="77"/>
      <c r="F43" s="77"/>
      <c r="G43" s="77"/>
      <c r="H43" s="77"/>
      <c r="I43" s="77"/>
      <c r="J43" s="77"/>
      <c r="K43" s="77"/>
      <c r="L43" s="77"/>
      <c r="M43" s="77"/>
      <c r="N43" s="77"/>
      <c r="P43" s="319" t="s">
        <v>26</v>
      </c>
      <c r="Q43" s="320"/>
      <c r="R43" s="321">
        <v>5.0</v>
      </c>
      <c r="S43" s="322">
        <v>-150.0</v>
      </c>
      <c r="T43" s="323">
        <f t="shared" ref="T43:T46" si="6">IF(ISBLANK(R43),"-",IF(R43&gt;DAY(EOMONTH(DATE($B$2,$E$2,1),0)),EOMONTH(DATE($B$2,$E$2,1),0),DATE($B$2,$E$2,R43)))</f>
        <v>46361</v>
      </c>
      <c r="V43" s="313"/>
    </row>
    <row r="44" ht="18.75" customHeight="1">
      <c r="A44" s="55"/>
      <c r="B44" s="56"/>
      <c r="C44" s="55"/>
      <c r="D44" s="56"/>
      <c r="E44" s="77"/>
      <c r="F44" s="77"/>
      <c r="G44" s="77"/>
      <c r="H44" s="108">
        <v>22.61</v>
      </c>
      <c r="I44" s="77"/>
      <c r="J44" s="77"/>
      <c r="K44" s="77"/>
      <c r="L44" s="77"/>
      <c r="M44" s="77"/>
      <c r="N44" s="77"/>
      <c r="P44" s="319" t="s">
        <v>26</v>
      </c>
      <c r="Q44" s="320"/>
      <c r="R44" s="321">
        <v>12.0</v>
      </c>
      <c r="S44" s="322">
        <v>-150.0</v>
      </c>
      <c r="T44" s="323">
        <f t="shared" si="6"/>
        <v>46368</v>
      </c>
      <c r="V44" s="313"/>
      <c r="X44" s="314"/>
    </row>
    <row r="45" ht="18.75" customHeight="1">
      <c r="A45" s="55"/>
      <c r="B45" s="56"/>
      <c r="C45" s="55"/>
      <c r="D45" s="56"/>
      <c r="E45" s="77"/>
      <c r="F45" s="77"/>
      <c r="G45" s="77"/>
      <c r="H45" s="326">
        <v>16.2</v>
      </c>
      <c r="I45" s="77"/>
      <c r="J45" s="77"/>
      <c r="K45" s="77"/>
      <c r="L45" s="77"/>
      <c r="M45" s="77"/>
      <c r="N45" s="77"/>
      <c r="P45" s="319" t="s">
        <v>26</v>
      </c>
      <c r="Q45" s="320"/>
      <c r="R45" s="321">
        <v>19.0</v>
      </c>
      <c r="S45" s="322">
        <v>-150.0</v>
      </c>
      <c r="T45" s="323">
        <f t="shared" si="6"/>
        <v>46375</v>
      </c>
    </row>
    <row r="46" ht="18.75" customHeight="1">
      <c r="A46" s="66" t="s">
        <v>22</v>
      </c>
      <c r="B46" s="67">
        <f>N40+SUM(B41:B45)</f>
        <v>4052.71</v>
      </c>
      <c r="C46" s="66"/>
      <c r="D46" s="67">
        <f>B46+SUM(D41:D45)</f>
        <v>4052.71</v>
      </c>
      <c r="E46" s="77"/>
      <c r="F46" s="77"/>
      <c r="G46" s="77"/>
      <c r="H46" s="326">
        <v>20.9</v>
      </c>
      <c r="I46" s="77"/>
      <c r="J46" s="77"/>
      <c r="K46" s="77"/>
      <c r="L46" s="77"/>
      <c r="M46" s="77"/>
      <c r="N46" s="77"/>
      <c r="P46" s="319" t="s">
        <v>26</v>
      </c>
      <c r="Q46" s="320"/>
      <c r="R46" s="321">
        <v>26.0</v>
      </c>
      <c r="S46" s="322">
        <v>-150.0</v>
      </c>
      <c r="T46" s="323">
        <f t="shared" si="6"/>
        <v>46382</v>
      </c>
    </row>
    <row r="47" ht="12.75" customHeight="1">
      <c r="P47" s="406"/>
      <c r="Q47" s="407"/>
      <c r="R47" s="408"/>
      <c r="S47" s="322"/>
      <c r="T47" s="323"/>
    </row>
    <row r="48" ht="12.75" customHeight="1">
      <c r="P48" s="367"/>
      <c r="Q48" s="407"/>
      <c r="R48" s="405"/>
      <c r="S48" s="370"/>
      <c r="T48" s="323" t="str">
        <f>IF(ISBLANK(R48),"-",IF(R48&gt;DAY(EOMONTH(DATE($B$2,$E$2,1),0)),EOMONTH(DATE($B$2,$E$2,1),0),DATE($B$2,$E$2,R48)))</f>
        <v>-</v>
      </c>
    </row>
    <row r="49" ht="12.75" customHeight="1">
      <c r="P49" s="367"/>
      <c r="Q49" s="407"/>
      <c r="R49" s="405"/>
      <c r="S49" s="555"/>
      <c r="T49" s="376" t="str">
        <f t="shared" ref="T49:T56" si="7">IF(ISBLANK(R49),"-",IF(R49&gt;DAY(EOMONTH(DATE($B$2,$E$2,1),0)),EOMONTH(DATE($B$2,$E$2,1),0),DATE($B$2,$E$2,$R$47)))</f>
        <v>-</v>
      </c>
    </row>
    <row r="50" ht="12.75" customHeight="1">
      <c r="P50" s="542"/>
      <c r="Q50" s="407"/>
      <c r="R50" s="543"/>
      <c r="S50" s="544"/>
      <c r="T50" s="376" t="str">
        <f t="shared" si="7"/>
        <v>-</v>
      </c>
    </row>
    <row r="51" ht="12.75" customHeight="1">
      <c r="P51" s="542"/>
      <c r="Q51" s="407"/>
      <c r="R51" s="543"/>
      <c r="S51" s="544"/>
      <c r="T51" s="376" t="str">
        <f t="shared" si="7"/>
        <v>-</v>
      </c>
    </row>
    <row r="52" ht="12.75" customHeight="1">
      <c r="P52" s="542"/>
      <c r="Q52" s="407"/>
      <c r="R52" s="543"/>
      <c r="S52" s="544"/>
      <c r="T52" s="376" t="str">
        <f t="shared" si="7"/>
        <v>-</v>
      </c>
    </row>
    <row r="53" ht="12.75" customHeight="1">
      <c r="P53" s="542"/>
      <c r="Q53" s="407"/>
      <c r="R53" s="543"/>
      <c r="S53" s="544"/>
      <c r="T53" s="376" t="str">
        <f t="shared" si="7"/>
        <v>-</v>
      </c>
    </row>
    <row r="54" ht="12.75" customHeight="1">
      <c r="P54" s="542"/>
      <c r="Q54" s="407"/>
      <c r="R54" s="543"/>
      <c r="S54" s="544"/>
      <c r="T54" s="376" t="str">
        <f t="shared" si="7"/>
        <v>-</v>
      </c>
    </row>
    <row r="55" ht="12.75" customHeight="1">
      <c r="P55" s="542"/>
      <c r="Q55" s="407"/>
      <c r="R55" s="543"/>
      <c r="S55" s="544"/>
      <c r="T55" s="376" t="str">
        <f t="shared" si="7"/>
        <v>-</v>
      </c>
    </row>
    <row r="56" ht="12.75" customHeight="1">
      <c r="P56" s="542"/>
      <c r="Q56" s="407"/>
      <c r="R56" s="543"/>
      <c r="S56" s="544"/>
      <c r="T56" s="376" t="str">
        <f t="shared" si="7"/>
        <v>-</v>
      </c>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c r="S927" s="337"/>
    </row>
    <row r="928" ht="12.75" customHeight="1">
      <c r="R928" s="336"/>
      <c r="S928" s="337"/>
    </row>
    <row r="929" ht="12.75" customHeight="1">
      <c r="R929" s="336"/>
      <c r="S929" s="337"/>
    </row>
    <row r="930" ht="12.75" customHeight="1">
      <c r="R930" s="336"/>
      <c r="S930" s="337"/>
    </row>
    <row r="931" ht="12.75" customHeight="1">
      <c r="R931" s="336"/>
      <c r="S931" s="337"/>
    </row>
    <row r="932" ht="12.75" customHeight="1">
      <c r="R932" s="336"/>
      <c r="S932" s="337"/>
    </row>
    <row r="933" ht="12.75" customHeight="1">
      <c r="R933" s="336"/>
      <c r="S933" s="337"/>
    </row>
    <row r="934" ht="12.75" customHeight="1">
      <c r="R934" s="336"/>
    </row>
    <row r="935" ht="12.75" customHeight="1">
      <c r="R935" s="336"/>
    </row>
    <row r="936" ht="12.75" customHeight="1">
      <c r="R936" s="336"/>
    </row>
    <row r="937" ht="12.75" customHeight="1">
      <c r="R937"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7">
    <cfRule type="cellIs" dxfId="5" priority="1" operator="lessThan">
      <formula>0</formula>
    </cfRule>
  </conditionalFormatting>
  <dataValidations>
    <dataValidation type="list" allowBlank="1" showErrorMessage="1" sqref="Q12:Q56">
      <formula1>"✔"</formula1>
    </dataValidation>
    <dataValidation type="custom" allowBlank="1" showDropDown="1" sqref="T12:T56">
      <formula1>OR(NOT(ISERROR(DATEVALUE(T12))), AND(ISNUMBER(T12), LEFT(CELL("format", T12))="D"))</formula1>
    </dataValidation>
  </dataValidations>
  <hyperlinks>
    <hyperlink r:id="rId1" ref="T3"/>
  </hyperlinks>
  <drawing r:id="rId2"/>
  <tableParts count="1">
    <tablePart r:id="rId4"/>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6.63"/>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2027.0</v>
      </c>
      <c r="C2" s="3"/>
      <c r="D2" s="9" t="s">
        <v>2</v>
      </c>
      <c r="E2" s="10">
        <v>1.0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JANUARY 2027</v>
      </c>
      <c r="B5" s="22"/>
      <c r="C5" s="22"/>
      <c r="D5" s="22"/>
      <c r="E5" s="22"/>
      <c r="F5" s="22"/>
      <c r="G5" s="22"/>
      <c r="H5" s="23"/>
      <c r="I5" s="23"/>
      <c r="J5" s="23"/>
      <c r="K5" s="22"/>
      <c r="L5" s="24" t="s">
        <v>7</v>
      </c>
      <c r="M5" s="25">
        <f>'December 2026'!M6</f>
        <v>4052.71</v>
      </c>
      <c r="N5" s="26"/>
      <c r="O5" s="23"/>
      <c r="P5" s="27"/>
      <c r="Q5" s="27"/>
      <c r="R5" s="287" t="s">
        <v>8</v>
      </c>
      <c r="S5" s="288">
        <f>SUMIF(A18:N21,"&gt;0")+SUMIF(A24:N27,"&gt;0")+SUMIF(A30:N33,"&gt;0")+SUMIF(A36:N39,"&gt;0")+SUMIF(A42:D45,"&gt;0")+SUMIF(S12:S46,"&gt;0")+SUMIF(A12:N15,"&gt;0")</f>
        <v>6117.6</v>
      </c>
      <c r="U5" s="23"/>
      <c r="V5" s="289">
        <f>sum(S5+S6)</f>
        <v>349.98</v>
      </c>
      <c r="W5" s="23"/>
      <c r="X5" s="23"/>
      <c r="Y5" s="23"/>
      <c r="Z5" s="23"/>
    </row>
    <row r="6" ht="25.5" customHeight="1">
      <c r="A6" s="31"/>
      <c r="B6" s="31"/>
      <c r="C6" s="31"/>
      <c r="D6" s="31"/>
      <c r="E6" s="31"/>
      <c r="F6" s="32"/>
      <c r="G6" s="33"/>
      <c r="H6" s="34"/>
      <c r="I6" s="34"/>
      <c r="J6" s="34"/>
      <c r="K6" s="31"/>
      <c r="L6" s="24" t="s">
        <v>9</v>
      </c>
      <c r="M6" s="35">
        <f>D46</f>
        <v>4402.69</v>
      </c>
      <c r="O6" s="34"/>
      <c r="P6" s="36"/>
      <c r="Q6" s="36"/>
      <c r="R6" s="287" t="s">
        <v>10</v>
      </c>
      <c r="S6" s="288">
        <f>SUMIF(A18:N21,"&lt;0")+SUMIF(A24:N27,"&lt;0")+SUMIF(A30:N33,"&lt;0")+SUMIF(A36:N39,"&lt;0")+SUMIF(A42:D45,"&lt;0")+SUMIF(S12:S203,"&lt;0")+SUMIF(A12:N15,"&lt;0")</f>
        <v>-5767.62</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46388</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46390</v>
      </c>
      <c r="B9" s="40"/>
      <c r="C9" s="39">
        <f>C17</f>
        <v>46391</v>
      </c>
      <c r="D9" s="40"/>
      <c r="E9" s="39">
        <f>E17</f>
        <v>46392</v>
      </c>
      <c r="F9" s="40"/>
      <c r="G9" s="39">
        <f>G17</f>
        <v>46393</v>
      </c>
      <c r="H9" s="40"/>
      <c r="I9" s="39">
        <f>I17</f>
        <v>46394</v>
      </c>
      <c r="J9" s="40"/>
      <c r="K9" s="39">
        <f>K17</f>
        <v>46395</v>
      </c>
      <c r="L9" s="40"/>
      <c r="M9" s="39">
        <f>M17</f>
        <v>46396</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616">
        <v>0.0</v>
      </c>
      <c r="C11" s="50" t="str">
        <f>IF(A11="",IF(WEEKDAY($B$8,1)=MOD($H$2,7)+1,$B$8,""),A11+1)</f>
        <v/>
      </c>
      <c r="D11" s="616">
        <v>0.0</v>
      </c>
      <c r="E11" s="50" t="str">
        <f>IF(C11="",IF(WEEKDAY($B$8,1)=MOD($H$2+1,7)+1,$B$8,""),C11+1)</f>
        <v/>
      </c>
      <c r="F11" s="616">
        <v>0.0</v>
      </c>
      <c r="G11" s="50" t="str">
        <f>IF(E11="",IF(WEEKDAY($B$8,1)=MOD($H$2+2,7)+1,$B$8,""),E11+1)</f>
        <v/>
      </c>
      <c r="H11" s="616">
        <v>0.0</v>
      </c>
      <c r="I11" s="50" t="str">
        <f>IF(G11="",IF(WEEKDAY($B$8,1)=MOD($H$2+3,7)+1,$B$8,""),G11+1)</f>
        <v/>
      </c>
      <c r="J11" s="51">
        <f>SUMIF($T$11:$T$130,I11,$S$11:$S$91)</f>
        <v>0</v>
      </c>
      <c r="K11" s="50">
        <f>IF(I11="",IF(WEEKDAY($B$8,1)=MOD($H$2+4,7)+1,$B$8,""),I11+1)</f>
        <v>46388</v>
      </c>
      <c r="L11" s="51">
        <f>SUMIF($T$11:$T$130,K11,$S$11:$S$91)</f>
        <v>-30.13</v>
      </c>
      <c r="M11" s="50">
        <f>IF(K11="",IF(WEEKDAY($B$8,1)=MOD($H$2+5,7)+1,$B$8,""),K11+1)</f>
        <v>46389</v>
      </c>
      <c r="N11" s="51">
        <f>SUMIF($T$11:$T$130,M11,$S$11:$S$91)</f>
        <v>0</v>
      </c>
      <c r="O11" s="23"/>
      <c r="P11" s="52" t="s">
        <v>13</v>
      </c>
      <c r="Q11" s="53" t="s">
        <v>14</v>
      </c>
      <c r="R11" s="53" t="s">
        <v>15</v>
      </c>
      <c r="S11" s="96" t="s">
        <v>16</v>
      </c>
      <c r="T11" s="53" t="s">
        <v>17</v>
      </c>
      <c r="U11" s="23"/>
      <c r="V11" s="23"/>
      <c r="W11" s="23"/>
      <c r="X11" s="23"/>
      <c r="Y11" s="23"/>
      <c r="Z11" s="23"/>
    </row>
    <row r="12" ht="18.75" customHeight="1">
      <c r="A12" s="55"/>
      <c r="B12" s="56"/>
      <c r="C12" s="55"/>
      <c r="D12" s="56"/>
      <c r="E12" s="55"/>
      <c r="F12" s="56"/>
      <c r="G12" s="55"/>
      <c r="H12" s="56"/>
      <c r="I12" s="58"/>
      <c r="J12" s="57"/>
      <c r="K12" s="55"/>
      <c r="L12" s="57"/>
      <c r="M12" s="55"/>
      <c r="N12" s="56"/>
      <c r="O12" s="23"/>
      <c r="P12" s="551" t="s">
        <v>89</v>
      </c>
      <c r="Q12" s="552"/>
      <c r="R12" s="553">
        <v>7.0</v>
      </c>
      <c r="S12" s="549">
        <f t="array" ref="S12">-INDEX(PaymentSchedule!$E$21:$AG937,MATCH(PaymentSchedule!$B$42,PaymentSchedule!$B$21:$B$100),MATCH($P12,PaymentSchedule!$E$19:$AG$19,0))</f>
        <v>-175</v>
      </c>
      <c r="T12" s="550">
        <f t="shared" ref="T12:T15" si="1">IF(ISBLANK(R12),"-",IF(R12&gt;DAY(EOMONTH(DATE($B$2,$E$2,1),0)),EOMONTH(DATE($B$2,$E$2,1),0),DATE($B$2,$E$2,R12)))</f>
        <v>46394</v>
      </c>
      <c r="U12" s="64"/>
      <c r="V12" s="23"/>
      <c r="W12" s="64"/>
      <c r="X12" s="303"/>
      <c r="Y12" s="23"/>
      <c r="Z12" s="23"/>
    </row>
    <row r="13" ht="18.75" customHeight="1">
      <c r="A13" s="55"/>
      <c r="B13" s="56"/>
      <c r="C13" s="55"/>
      <c r="D13" s="56"/>
      <c r="E13" s="55"/>
      <c r="F13" s="56"/>
      <c r="G13" s="55"/>
      <c r="H13" s="56"/>
      <c r="I13" s="55"/>
      <c r="J13" s="57"/>
      <c r="K13" s="55"/>
      <c r="L13" s="56"/>
      <c r="M13" s="55"/>
      <c r="N13" s="56"/>
      <c r="O13" s="23"/>
      <c r="P13" s="551" t="s">
        <v>85</v>
      </c>
      <c r="Q13" s="552"/>
      <c r="R13" s="553">
        <v>18.0</v>
      </c>
      <c r="S13" s="549">
        <f t="array" ref="S13">-INDEX(PaymentSchedule!$E$21:$AG937,MATCH(PaymentSchedule!$B$42,PaymentSchedule!$B$21:$B$100),MATCH($P13,PaymentSchedule!$E$19:$AG$19,0))</f>
        <v>-151</v>
      </c>
      <c r="T13" s="550">
        <f t="shared" si="1"/>
        <v>46405</v>
      </c>
      <c r="U13" s="64"/>
      <c r="V13" s="23"/>
      <c r="W13" s="64"/>
      <c r="X13" s="303"/>
      <c r="Y13" s="23"/>
      <c r="Z13" s="23"/>
    </row>
    <row r="14" ht="18.75" customHeight="1">
      <c r="A14" s="55"/>
      <c r="B14" s="56"/>
      <c r="C14" s="55"/>
      <c r="D14" s="56"/>
      <c r="E14" s="55"/>
      <c r="F14" s="56"/>
      <c r="G14" s="55"/>
      <c r="H14" s="56"/>
      <c r="I14" s="58"/>
      <c r="J14" s="57"/>
      <c r="K14" s="55"/>
      <c r="L14" s="56"/>
      <c r="M14" s="55"/>
      <c r="N14" s="56"/>
      <c r="O14" s="23"/>
      <c r="P14" s="551" t="s">
        <v>86</v>
      </c>
      <c r="Q14" s="552"/>
      <c r="R14" s="553">
        <v>5.0</v>
      </c>
      <c r="S14" s="549">
        <f t="array" ref="S14">-INDEX(PaymentSchedule!$E$21:$AG937,MATCH(PaymentSchedule!$B$42,PaymentSchedule!$B$21:$B$100),MATCH($P14,PaymentSchedule!$E$19:$AG$19,0))</f>
        <v>-791.16</v>
      </c>
      <c r="T14" s="550">
        <f t="shared" si="1"/>
        <v>46392</v>
      </c>
      <c r="U14" s="64"/>
      <c r="V14" s="23"/>
      <c r="W14" s="64"/>
      <c r="X14" s="303"/>
      <c r="Y14" s="23"/>
      <c r="Z14" s="23"/>
    </row>
    <row r="15" ht="18.75" customHeight="1">
      <c r="A15" s="55"/>
      <c r="B15" s="56"/>
      <c r="C15" s="55"/>
      <c r="D15" s="56"/>
      <c r="E15" s="55"/>
      <c r="F15" s="56"/>
      <c r="G15" s="55"/>
      <c r="H15" s="56"/>
      <c r="I15" s="55"/>
      <c r="J15" s="56"/>
      <c r="K15" s="55"/>
      <c r="L15" s="56"/>
      <c r="M15" s="55"/>
      <c r="N15" s="56"/>
      <c r="O15" s="23"/>
      <c r="P15" s="551" t="s">
        <v>20</v>
      </c>
      <c r="Q15" s="552"/>
      <c r="R15" s="553">
        <v>1.0</v>
      </c>
      <c r="S15" s="549">
        <f t="array" ref="S15">-INDEX(PaymentSchedule!$E$21:$AG937,MATCH(PaymentSchedule!$B$42,PaymentSchedule!$B$21:$B$100),MATCH($P15,PaymentSchedule!$E$19:$AG$19,0))</f>
        <v>-1467.13</v>
      </c>
      <c r="T15" s="550">
        <f t="shared" si="1"/>
        <v>46388</v>
      </c>
      <c r="U15" s="64"/>
      <c r="V15" s="23"/>
      <c r="W15" s="64"/>
      <c r="X15" s="303"/>
      <c r="Y15" s="23"/>
      <c r="Z15" s="23"/>
    </row>
    <row r="16" ht="18.75" customHeight="1">
      <c r="A16" s="66" t="s">
        <v>22</v>
      </c>
      <c r="B16" s="67">
        <f>$M$5+SUM(B11:B15)</f>
        <v>4052.71</v>
      </c>
      <c r="C16" s="66"/>
      <c r="D16" s="67">
        <f>B16+SUM(D11:D15)</f>
        <v>4052.71</v>
      </c>
      <c r="E16" s="66"/>
      <c r="F16" s="67">
        <f>D16+SUM(F11:F15)</f>
        <v>4052.71</v>
      </c>
      <c r="G16" s="66"/>
      <c r="H16" s="67">
        <f>F16+SUM(H11:H15)</f>
        <v>4052.71</v>
      </c>
      <c r="I16" s="66"/>
      <c r="J16" s="67">
        <f>H16+SUM(J11:J15)</f>
        <v>4052.71</v>
      </c>
      <c r="K16" s="66"/>
      <c r="L16" s="67">
        <f>J16+SUM(L11:L15)</f>
        <v>4022.58</v>
      </c>
      <c r="M16" s="66"/>
      <c r="N16" s="67">
        <f>L16+SUM(N11:N15)</f>
        <v>4022.58</v>
      </c>
      <c r="O16" s="68"/>
      <c r="P16" s="546" t="s">
        <v>87</v>
      </c>
      <c r="Q16" s="547"/>
      <c r="R16" s="607">
        <v>28.0</v>
      </c>
      <c r="S16" s="598">
        <f t="array" ref="S16">-INDEX(PaymentSchedule!$E$21:$AG937,MATCH(PaymentSchedule!$B$31,PaymentSchedule!$B$21:$B$100),MATCH($P16,PaymentSchedule!$E$19:$AG$19,0))</f>
        <v>-695.6</v>
      </c>
      <c r="T16" s="599">
        <f>IF(ISBLANK(R16),"-",IF(R16&gt;DAY(EOMONTH(DATE($B$2,$E$2,1),0)),EOMONTH(DATE($B$2,$E$2,1),0),DATE($B$2,$E$2,R16)))</f>
        <v>46415</v>
      </c>
      <c r="U16" s="71"/>
      <c r="V16" s="69"/>
      <c r="W16" s="71"/>
      <c r="X16" s="309"/>
      <c r="Y16" s="69"/>
      <c r="Z16" s="69"/>
    </row>
    <row r="17" ht="18.75" customHeight="1">
      <c r="A17" s="50">
        <f>IF(M11="","",IF(MONTH(M11+1)&lt;&gt;MONTH(M11),"",M11+1))</f>
        <v>46390</v>
      </c>
      <c r="B17" s="51">
        <f>SUMIF($T$11:$T$130,A17,$S$11:$S$91)</f>
        <v>-33</v>
      </c>
      <c r="C17" s="50">
        <f>IF(A17="","",IF(MONTH(A17+1)&lt;&gt;MONTH(A17),"",A17+1))</f>
        <v>46391</v>
      </c>
      <c r="D17" s="51">
        <f>SUMIF($T$11:$T$130,C17,$S$11:$S$91)</f>
        <v>-50</v>
      </c>
      <c r="E17" s="50">
        <f>IF(C17="","",IF(MONTH(C17+1)&lt;&gt;MONTH(C17),"",C17+1))</f>
        <v>46392</v>
      </c>
      <c r="F17" s="51">
        <f>SUMIF($T$11:$T$130,E17,$S$11:$S$91)</f>
        <v>-957.35</v>
      </c>
      <c r="G17" s="50">
        <f>IF(E17="","",IF(MONTH(E17+1)&lt;&gt;MONTH(E17),"",E17+1))</f>
        <v>46393</v>
      </c>
      <c r="H17" s="51">
        <f>SUMIF($T$11:$T$130,G17,$S$11:$S$91)</f>
        <v>-301</v>
      </c>
      <c r="I17" s="50">
        <f>IF(G17="","",IF(MONTH(G17+1)&lt;&gt;MONTH(G17),"",G17+1))</f>
        <v>46394</v>
      </c>
      <c r="J17" s="51">
        <f>SUMIF($T$11:$T$130,I17,$S$11:$S$91)</f>
        <v>-196.8</v>
      </c>
      <c r="K17" s="50">
        <f>IF(I17="","",IF(MONTH(I17+1)&lt;&gt;MONTH(I17),"",I17+1))</f>
        <v>46395</v>
      </c>
      <c r="L17" s="51">
        <f>SUMIF($T$11:$T$130,K17,$S$11:$S$91)</f>
        <v>2308.8</v>
      </c>
      <c r="M17" s="50">
        <f>IF(K17="","",IF(MONTH(K17+1)&lt;&gt;MONTH(K17),"",K17+1))</f>
        <v>46396</v>
      </c>
      <c r="N17" s="51">
        <f>SUMIF($T$11:$T$130,M17,$S$11:$S$91)</f>
        <v>0</v>
      </c>
      <c r="O17" s="23"/>
      <c r="P17" s="551" t="s">
        <v>37</v>
      </c>
      <c r="Q17" s="552"/>
      <c r="R17" s="553">
        <v>12.0</v>
      </c>
      <c r="S17" s="549">
        <f t="array" ref="S17">-INDEX(PaymentSchedule!$E$21:$AG937,MATCH(PaymentSchedule!$B$42,PaymentSchedule!$B$21:$B$100),MATCH($P17,PaymentSchedule!$E$19:$AG$19,0))</f>
        <v>-82</v>
      </c>
      <c r="T17" s="550">
        <f t="shared" ref="T17:T30" si="2">IF(ISBLANK(R17),"-",IF(R17&gt;DAY(EOMONTH(DATE($B$2,$E$2,1),0)),EOMONTH(DATE($B$2,$E$2,1),0),DATE($B$2,$E$2,R17)))</f>
        <v>46399</v>
      </c>
      <c r="U17" s="64"/>
      <c r="V17" s="23"/>
      <c r="W17" s="64"/>
      <c r="X17" s="303"/>
      <c r="Y17" s="23"/>
      <c r="Z17" s="23"/>
    </row>
    <row r="18" ht="18.75" customHeight="1">
      <c r="A18" s="55"/>
      <c r="B18" s="56"/>
      <c r="C18" s="55"/>
      <c r="D18" s="56"/>
      <c r="E18" s="58" t="s">
        <v>139</v>
      </c>
      <c r="F18" s="57">
        <v>-99.0</v>
      </c>
      <c r="G18" s="55"/>
      <c r="H18" s="56"/>
      <c r="I18" s="55"/>
      <c r="J18" s="56"/>
      <c r="K18" s="58"/>
      <c r="L18" s="57"/>
      <c r="M18" s="55"/>
      <c r="N18" s="56"/>
      <c r="O18" s="23"/>
      <c r="P18" s="551" t="s">
        <v>36</v>
      </c>
      <c r="Q18" s="552"/>
      <c r="R18" s="553">
        <v>12.0</v>
      </c>
      <c r="S18" s="549">
        <f t="array" ref="S18">-INDEX(PaymentSchedule!$E$21:$AG937,MATCH(PaymentSchedule!$B$42,PaymentSchedule!$B$21:$B$100),MATCH($P18,PaymentSchedule!$E$19:$AG$19,0))</f>
        <v>-450.08</v>
      </c>
      <c r="T18" s="550">
        <f t="shared" si="2"/>
        <v>46399</v>
      </c>
      <c r="U18" s="64"/>
      <c r="V18" s="23"/>
      <c r="Y18" s="23"/>
      <c r="Z18" s="23"/>
    </row>
    <row r="19" ht="18.75" customHeight="1">
      <c r="A19" s="55"/>
      <c r="B19" s="56"/>
      <c r="C19" s="55"/>
      <c r="D19" s="56"/>
      <c r="E19" s="55"/>
      <c r="F19" s="56"/>
      <c r="G19" s="55"/>
      <c r="H19" s="56"/>
      <c r="I19" s="55"/>
      <c r="J19" s="56"/>
      <c r="K19" s="58"/>
      <c r="L19" s="57"/>
      <c r="M19" s="55"/>
      <c r="N19" s="56"/>
      <c r="O19" s="23"/>
      <c r="P19" s="538" t="s">
        <v>55</v>
      </c>
      <c r="Q19" s="539"/>
      <c r="R19" s="540">
        <v>30.0</v>
      </c>
      <c r="S19" s="365">
        <v>-18.35</v>
      </c>
      <c r="T19" s="323">
        <f t="shared" si="2"/>
        <v>46417</v>
      </c>
      <c r="U19" s="64"/>
      <c r="V19" s="23"/>
      <c r="W19" s="64"/>
      <c r="X19" s="303"/>
      <c r="Y19" s="23"/>
      <c r="Z19" s="23"/>
    </row>
    <row r="20" ht="18.75" customHeight="1">
      <c r="A20" s="55"/>
      <c r="B20" s="56"/>
      <c r="C20" s="55"/>
      <c r="D20" s="56"/>
      <c r="E20" s="55"/>
      <c r="F20" s="56"/>
      <c r="G20" s="55"/>
      <c r="H20" s="56"/>
      <c r="I20" s="55"/>
      <c r="J20" s="56"/>
      <c r="K20" s="58"/>
      <c r="L20" s="57"/>
      <c r="M20" s="55"/>
      <c r="N20" s="56"/>
      <c r="O20" s="23"/>
      <c r="P20" s="319" t="s">
        <v>29</v>
      </c>
      <c r="Q20" s="320"/>
      <c r="R20" s="321">
        <v>5.0</v>
      </c>
      <c r="S20" s="322">
        <v>-16.19</v>
      </c>
      <c r="T20" s="323">
        <f t="shared" si="2"/>
        <v>46392</v>
      </c>
      <c r="U20" s="64"/>
      <c r="V20" s="23"/>
      <c r="W20" s="64"/>
      <c r="X20" s="303"/>
      <c r="Y20" s="23"/>
      <c r="Z20" s="23"/>
    </row>
    <row r="21" ht="18.75" customHeight="1">
      <c r="A21" s="55"/>
      <c r="B21" s="56"/>
      <c r="C21" s="55"/>
      <c r="D21" s="56"/>
      <c r="E21" s="55"/>
      <c r="F21" s="56"/>
      <c r="G21" s="55"/>
      <c r="H21" s="56"/>
      <c r="I21" s="55"/>
      <c r="J21" s="56"/>
      <c r="K21" s="58"/>
      <c r="L21" s="57"/>
      <c r="M21" s="55"/>
      <c r="N21" s="56"/>
      <c r="O21" s="23"/>
      <c r="P21" s="319" t="s">
        <v>43</v>
      </c>
      <c r="Q21" s="320"/>
      <c r="R21" s="321">
        <v>17.0</v>
      </c>
      <c r="S21" s="322">
        <v>-9.99</v>
      </c>
      <c r="T21" s="323">
        <f t="shared" si="2"/>
        <v>46404</v>
      </c>
      <c r="U21" s="64"/>
      <c r="V21" s="303"/>
      <c r="W21" s="64"/>
      <c r="X21" s="303"/>
      <c r="Y21" s="23"/>
      <c r="Z21" s="23"/>
    </row>
    <row r="22" ht="18.75" customHeight="1">
      <c r="A22" s="66" t="s">
        <v>22</v>
      </c>
      <c r="B22" s="67">
        <f>N16+SUM(B17:B21)</f>
        <v>3989.58</v>
      </c>
      <c r="C22" s="66"/>
      <c r="D22" s="67">
        <f>B22+SUM(D17:D21)</f>
        <v>3939.58</v>
      </c>
      <c r="E22" s="66"/>
      <c r="F22" s="67">
        <f>D22+SUM(F17:F21)</f>
        <v>2883.23</v>
      </c>
      <c r="G22" s="66"/>
      <c r="H22" s="67">
        <f>F22+SUM(H17:H21)</f>
        <v>2582.23</v>
      </c>
      <c r="I22" s="66"/>
      <c r="J22" s="67">
        <f>H22+SUM(J17:J21)</f>
        <v>2385.43</v>
      </c>
      <c r="K22" s="66"/>
      <c r="L22" s="67">
        <f>J22+SUM(L17:L21)</f>
        <v>4694.23</v>
      </c>
      <c r="M22" s="66"/>
      <c r="N22" s="67">
        <f>L22+SUM(N17:N21)</f>
        <v>4694.23</v>
      </c>
      <c r="O22" s="68"/>
      <c r="P22" s="319" t="s">
        <v>54</v>
      </c>
      <c r="Q22" s="320"/>
      <c r="R22" s="321">
        <v>30.0</v>
      </c>
      <c r="S22" s="322">
        <v>-11.0</v>
      </c>
      <c r="T22" s="323">
        <f t="shared" si="2"/>
        <v>46417</v>
      </c>
      <c r="W22" s="71"/>
      <c r="X22" s="309"/>
      <c r="Y22" s="69"/>
      <c r="Z22" s="69"/>
    </row>
    <row r="23" ht="18.75" customHeight="1">
      <c r="A23" s="50">
        <f>IF(M17="","",IF(MONTH(M17+1)&lt;&gt;MONTH(M17),"",M17+1))</f>
        <v>46397</v>
      </c>
      <c r="B23" s="51">
        <f>SUMIF($T$11:$T$130,A23,$S$11:$S$91)</f>
        <v>0</v>
      </c>
      <c r="C23" s="50">
        <f>IF(A23="","",IF(MONTH(A23+1)&lt;&gt;MONTH(A23),"",A23+1))</f>
        <v>46398</v>
      </c>
      <c r="D23" s="51">
        <f>SUMIF($T$11:$T$130,C23,$S$11:$S$91)</f>
        <v>-50</v>
      </c>
      <c r="E23" s="50">
        <f>IF(C23="","",IF(MONTH(C23+1)&lt;&gt;MONTH(C23),"",C23+1))</f>
        <v>46399</v>
      </c>
      <c r="F23" s="51">
        <f>SUMIF($T$11:$T$130,E23,$S$11:$S$91)</f>
        <v>-784.08</v>
      </c>
      <c r="G23" s="50">
        <f>IF(E23="","",IF(MONTH(E23+1)&lt;&gt;MONTH(E23),"",E23+1))</f>
        <v>46400</v>
      </c>
      <c r="H23" s="51">
        <f>SUMIF($T$11:$T$130,G23,$S$11:$S$91)</f>
        <v>0</v>
      </c>
      <c r="I23" s="50">
        <f>IF(G23="","",IF(MONTH(G23+1)&lt;&gt;MONTH(G23),"",G23+1))</f>
        <v>46401</v>
      </c>
      <c r="J23" s="51">
        <f>SUMIF($T$11:$T$130,I23,$S$11:$S$91)</f>
        <v>0</v>
      </c>
      <c r="K23" s="50">
        <f>IF(I23="","",IF(MONTH(I23+1)&lt;&gt;MONTH(I23),"",I23+1))</f>
        <v>46402</v>
      </c>
      <c r="L23" s="51">
        <f>SUMIF($T$11:$T$130,K23,$S$11:$S$91)</f>
        <v>0</v>
      </c>
      <c r="M23" s="50">
        <f>IF(K23="","",IF(MONTH(K23+1)&lt;&gt;MONTH(K23),"",K23+1))</f>
        <v>46403</v>
      </c>
      <c r="N23" s="51">
        <f>SUMIF($T$11:$T$130,M23,$S$11:$S$91)</f>
        <v>0</v>
      </c>
      <c r="O23" s="23"/>
      <c r="P23" s="319" t="s">
        <v>30</v>
      </c>
      <c r="Q23" s="320"/>
      <c r="R23" s="321">
        <v>6.0</v>
      </c>
      <c r="S23" s="322">
        <v>-301.0</v>
      </c>
      <c r="T23" s="323">
        <f t="shared" si="2"/>
        <v>46393</v>
      </c>
      <c r="U23" s="64"/>
      <c r="V23" s="23"/>
      <c r="W23" s="64"/>
      <c r="X23" s="303"/>
      <c r="Y23" s="23"/>
      <c r="Z23" s="23"/>
    </row>
    <row r="24" ht="18.75" customHeight="1">
      <c r="A24" s="55"/>
      <c r="B24" s="56"/>
      <c r="C24" s="58" t="s">
        <v>230</v>
      </c>
      <c r="D24" s="57">
        <v>-38.0</v>
      </c>
      <c r="E24" s="55"/>
      <c r="F24" s="56"/>
      <c r="G24" s="413"/>
      <c r="H24" s="535"/>
      <c r="I24" s="55"/>
      <c r="J24" s="56"/>
      <c r="K24" s="58"/>
      <c r="L24" s="57"/>
      <c r="M24" s="55"/>
      <c r="N24" s="56"/>
      <c r="O24" s="23"/>
      <c r="P24" s="319" t="s">
        <v>47</v>
      </c>
      <c r="Q24" s="320"/>
      <c r="R24" s="321">
        <v>1.0</v>
      </c>
      <c r="S24" s="608">
        <v>1500.0</v>
      </c>
      <c r="T24" s="323">
        <f t="shared" si="2"/>
        <v>46388</v>
      </c>
      <c r="U24" s="64"/>
      <c r="V24" s="23"/>
      <c r="W24" s="64"/>
      <c r="X24" s="303"/>
      <c r="Y24" s="23"/>
      <c r="Z24" s="23"/>
    </row>
    <row r="25" ht="18.75" customHeight="1">
      <c r="A25" s="55"/>
      <c r="B25" s="56"/>
      <c r="C25" s="55"/>
      <c r="D25" s="56"/>
      <c r="E25" s="55"/>
      <c r="F25" s="56"/>
      <c r="G25" s="55"/>
      <c r="H25" s="56"/>
      <c r="I25" s="55"/>
      <c r="J25" s="56"/>
      <c r="K25" s="55"/>
      <c r="L25" s="56"/>
      <c r="M25" s="55"/>
      <c r="N25" s="56"/>
      <c r="O25" s="23"/>
      <c r="P25" s="319" t="s">
        <v>19</v>
      </c>
      <c r="Q25" s="320"/>
      <c r="R25" s="321">
        <v>8.0</v>
      </c>
      <c r="S25" s="322">
        <v>2308.8</v>
      </c>
      <c r="T25" s="323">
        <f t="shared" si="2"/>
        <v>46395</v>
      </c>
      <c r="U25" s="64"/>
      <c r="V25" s="23"/>
      <c r="W25" s="64"/>
      <c r="X25" s="303"/>
      <c r="Y25" s="23"/>
      <c r="Z25" s="23"/>
    </row>
    <row r="26" ht="18.75" customHeight="1">
      <c r="A26" s="55"/>
      <c r="B26" s="56"/>
      <c r="C26" s="55"/>
      <c r="D26" s="56"/>
      <c r="E26" s="55"/>
      <c r="F26" s="56"/>
      <c r="G26" s="55"/>
      <c r="H26" s="56"/>
      <c r="I26" s="55"/>
      <c r="J26" s="56"/>
      <c r="K26" s="55"/>
      <c r="L26" s="56"/>
      <c r="M26" s="55"/>
      <c r="N26" s="56"/>
      <c r="O26" s="23"/>
      <c r="P26" s="319" t="s">
        <v>19</v>
      </c>
      <c r="Q26" s="320"/>
      <c r="R26" s="321">
        <v>22.0</v>
      </c>
      <c r="S26" s="322">
        <v>2308.8</v>
      </c>
      <c r="T26" s="323">
        <f t="shared" si="2"/>
        <v>46409</v>
      </c>
      <c r="U26" s="64"/>
      <c r="V26" s="23"/>
      <c r="W26" s="64"/>
      <c r="X26" s="303"/>
      <c r="Y26" s="23"/>
      <c r="Z26" s="23"/>
    </row>
    <row r="27" ht="18.75" customHeight="1">
      <c r="A27" s="55"/>
      <c r="B27" s="56"/>
      <c r="C27" s="55"/>
      <c r="D27" s="56"/>
      <c r="E27" s="55"/>
      <c r="F27" s="56"/>
      <c r="G27" s="55"/>
      <c r="H27" s="56"/>
      <c r="I27" s="55"/>
      <c r="J27" s="56"/>
      <c r="K27" s="55"/>
      <c r="L27" s="56"/>
      <c r="M27" s="55"/>
      <c r="N27" s="56"/>
      <c r="O27" s="23"/>
      <c r="P27" s="319" t="s">
        <v>151</v>
      </c>
      <c r="Q27" s="320"/>
      <c r="R27" s="321"/>
      <c r="S27" s="322"/>
      <c r="T27" s="323" t="str">
        <f t="shared" si="2"/>
        <v>-</v>
      </c>
      <c r="U27" s="64"/>
      <c r="V27" s="23"/>
      <c r="W27" s="64"/>
      <c r="X27" s="303"/>
      <c r="Y27" s="23"/>
      <c r="Z27" s="23"/>
    </row>
    <row r="28" ht="18.75" customHeight="1">
      <c r="A28" s="66" t="s">
        <v>22</v>
      </c>
      <c r="B28" s="67">
        <f>N22+SUM(B23:B27)</f>
        <v>4694.23</v>
      </c>
      <c r="C28" s="66"/>
      <c r="D28" s="67">
        <f>B28+SUM(D23:D27)</f>
        <v>4606.23</v>
      </c>
      <c r="E28" s="66"/>
      <c r="F28" s="67">
        <f>D28+SUM(F23:F27)</f>
        <v>3822.15</v>
      </c>
      <c r="G28" s="66"/>
      <c r="H28" s="67">
        <f>F28+SUM(H23:H27)</f>
        <v>3822.15</v>
      </c>
      <c r="I28" s="66"/>
      <c r="J28" s="67">
        <f>H28+SUM(J23:J27)</f>
        <v>3822.15</v>
      </c>
      <c r="K28" s="66"/>
      <c r="L28" s="67">
        <f>J28+SUM(L23:L27)</f>
        <v>3822.15</v>
      </c>
      <c r="M28" s="66"/>
      <c r="N28" s="67">
        <f>L28+SUM(N23:N27)</f>
        <v>3822.15</v>
      </c>
      <c r="O28" s="68"/>
      <c r="P28" s="406" t="s">
        <v>142</v>
      </c>
      <c r="Q28" s="407"/>
      <c r="R28" s="408">
        <v>1.0</v>
      </c>
      <c r="S28" s="409"/>
      <c r="T28" s="323">
        <f t="shared" si="2"/>
        <v>46388</v>
      </c>
      <c r="U28" s="71"/>
      <c r="V28" s="69"/>
      <c r="W28" s="71"/>
      <c r="X28" s="309"/>
      <c r="Y28" s="69"/>
      <c r="Z28" s="69"/>
    </row>
    <row r="29" ht="18.75" customHeight="1">
      <c r="A29" s="50">
        <f>IF(M23="","",IF(MONTH(M23+1)&lt;&gt;MONTH(M23),"",M23+1))</f>
        <v>46404</v>
      </c>
      <c r="B29" s="51">
        <f>SUMIF($T$11:$T$130,A29,$S$11:$S$91)</f>
        <v>-15.98</v>
      </c>
      <c r="C29" s="50">
        <f>IF(A29="","",IF(MONTH(A29+1)&lt;&gt;MONTH(A29),"",A29+1))</f>
        <v>46405</v>
      </c>
      <c r="D29" s="51">
        <f>SUMIF($T$11:$T$130,C29,$S$11:$S$91)</f>
        <v>-151</v>
      </c>
      <c r="E29" s="50">
        <f>IF(C29="","",IF(MONTH(C29+1)&lt;&gt;MONTH(C29),"",C29+1))</f>
        <v>46406</v>
      </c>
      <c r="F29" s="51">
        <f>SUMIF($T$11:$T$130,E29,$S$11:$S$91)</f>
        <v>-150</v>
      </c>
      <c r="G29" s="50">
        <f>IF(E29="","",IF(MONTH(E29+1)&lt;&gt;MONTH(E29),"",E29+1))</f>
        <v>46407</v>
      </c>
      <c r="H29" s="51">
        <f>SUMIF($T$11:$T$130,G29,$S$11:$S$91)</f>
        <v>0</v>
      </c>
      <c r="I29" s="50">
        <f>IF(G29="","",IF(MONTH(G29+1)&lt;&gt;MONTH(G29),"",G29+1))</f>
        <v>46408</v>
      </c>
      <c r="J29" s="51">
        <f>SUMIF($T$11:$T$130,I29,$S$11:$S$91)</f>
        <v>0</v>
      </c>
      <c r="K29" s="50">
        <f>IF(I29="","",IF(MONTH(I29+1)&lt;&gt;MONTH(I29),"",I29+1))</f>
        <v>46409</v>
      </c>
      <c r="L29" s="51">
        <f>SUMIF($T$11:$T$130,K29,$S$11:$S$91)</f>
        <v>2308.8</v>
      </c>
      <c r="M29" s="50">
        <f>IF(K29="","",IF(MONTH(K29+1)&lt;&gt;MONTH(K29),"",K29+1))</f>
        <v>46410</v>
      </c>
      <c r="N29" s="51">
        <f>SUMIF($T$11:$T$130,M29,$S$11:$S$91)</f>
        <v>-10.99</v>
      </c>
      <c r="O29" s="23"/>
      <c r="P29" s="406" t="s">
        <v>142</v>
      </c>
      <c r="Q29" s="407"/>
      <c r="R29" s="408">
        <v>24.0</v>
      </c>
      <c r="S29" s="409"/>
      <c r="T29" s="323">
        <f t="shared" si="2"/>
        <v>46411</v>
      </c>
      <c r="U29" s="64"/>
      <c r="V29" s="23"/>
      <c r="W29" s="64"/>
      <c r="X29" s="303"/>
      <c r="Y29" s="23"/>
      <c r="Z29" s="23"/>
    </row>
    <row r="30" ht="18.75" customHeight="1">
      <c r="A30" s="55"/>
      <c r="B30" s="56"/>
      <c r="C30" s="55"/>
      <c r="D30" s="56"/>
      <c r="E30" s="485" t="s">
        <v>202</v>
      </c>
      <c r="F30" s="486"/>
      <c r="G30" s="58" t="s">
        <v>139</v>
      </c>
      <c r="H30" s="57">
        <v>-99.0</v>
      </c>
      <c r="I30" s="55"/>
      <c r="J30" s="56"/>
      <c r="K30" s="55"/>
      <c r="L30" s="57"/>
      <c r="M30" s="55"/>
      <c r="N30" s="56"/>
      <c r="O30" s="23"/>
      <c r="P30" s="319" t="s">
        <v>142</v>
      </c>
      <c r="Q30" s="320"/>
      <c r="R30" s="321"/>
      <c r="S30" s="322"/>
      <c r="T30" s="323" t="str">
        <f t="shared" si="2"/>
        <v>-</v>
      </c>
      <c r="U30" s="64"/>
      <c r="V30" s="23"/>
      <c r="W30" s="64"/>
      <c r="X30" s="303"/>
      <c r="Y30" s="23"/>
      <c r="Z30" s="23"/>
    </row>
    <row r="31" ht="18.75" customHeight="1">
      <c r="A31" s="55"/>
      <c r="B31" s="56"/>
      <c r="C31" s="55"/>
      <c r="D31" s="56"/>
      <c r="E31" s="55"/>
      <c r="F31" s="56"/>
      <c r="G31" s="55"/>
      <c r="H31" s="56"/>
      <c r="I31" s="55"/>
      <c r="J31" s="56"/>
      <c r="K31" s="58" t="s">
        <v>160</v>
      </c>
      <c r="L31" s="57"/>
      <c r="M31" s="55"/>
      <c r="N31" s="56"/>
      <c r="O31" s="23"/>
      <c r="P31" s="367"/>
      <c r="Q31" s="368"/>
      <c r="R31" s="405"/>
      <c r="S31" s="370"/>
      <c r="T31" s="376" t="str">
        <f>IF(ISBLANK(R31),"-",IF(R31&gt;DAY(EOMONTH(DATE($B$2,$E$2,1),0)),EOMONTH(DATE($B$2,$E$2,1),0),DATE($B$2,$E$2,R31)))</f>
        <v>-</v>
      </c>
      <c r="U31" s="64"/>
      <c r="V31" s="23"/>
      <c r="W31" s="64"/>
      <c r="X31" s="303"/>
      <c r="Y31" s="23"/>
      <c r="Z31" s="23"/>
    </row>
    <row r="32" ht="18.75" customHeight="1">
      <c r="A32" s="55"/>
      <c r="B32" s="56"/>
      <c r="C32" s="55"/>
      <c r="D32" s="56"/>
      <c r="E32" s="55"/>
      <c r="F32" s="56"/>
      <c r="G32" s="55"/>
      <c r="H32" s="56"/>
      <c r="I32" s="55"/>
      <c r="J32" s="56"/>
      <c r="K32" s="58" t="s">
        <v>161</v>
      </c>
      <c r="L32" s="57"/>
      <c r="M32" s="55"/>
      <c r="N32" s="56"/>
      <c r="O32" s="23"/>
      <c r="P32" s="319" t="s">
        <v>46</v>
      </c>
      <c r="Q32" s="320"/>
      <c r="R32" s="321">
        <v>23.0</v>
      </c>
      <c r="S32" s="322">
        <v>-10.99</v>
      </c>
      <c r="T32" s="323">
        <f t="shared" ref="T32:T36" si="3">IF(ISBLANK(R32),"-",IF(R32&gt;DAY(EOMONTH(DATE($B$2,$E$2,1),0)),EOMONTH(DATE($B$2,$E$2,1),0),DATE($B$2,$E$2,R32)))</f>
        <v>46410</v>
      </c>
      <c r="U32" s="64"/>
      <c r="V32" s="23"/>
      <c r="W32" s="64"/>
      <c r="X32" s="303"/>
      <c r="Y32" s="23"/>
      <c r="Z32" s="23"/>
    </row>
    <row r="33" ht="18.75" customHeight="1">
      <c r="A33" s="55"/>
      <c r="B33" s="56"/>
      <c r="C33" s="55"/>
      <c r="D33" s="56"/>
      <c r="E33" s="55"/>
      <c r="F33" s="56"/>
      <c r="G33" s="55"/>
      <c r="H33" s="56"/>
      <c r="I33" s="55"/>
      <c r="J33" s="56"/>
      <c r="K33" s="55"/>
      <c r="L33" s="56"/>
      <c r="M33" s="55"/>
      <c r="N33" s="56"/>
      <c r="O33" s="23"/>
      <c r="P33" s="538" t="s">
        <v>44</v>
      </c>
      <c r="Q33" s="539"/>
      <c r="R33" s="540">
        <v>26.0</v>
      </c>
      <c r="S33" s="365">
        <v>-18.35</v>
      </c>
      <c r="T33" s="323">
        <f t="shared" si="3"/>
        <v>46413</v>
      </c>
      <c r="U33" s="64"/>
      <c r="V33" s="23"/>
      <c r="W33" s="64"/>
      <c r="X33" s="303"/>
      <c r="Y33" s="23"/>
      <c r="Z33" s="23"/>
    </row>
    <row r="34" ht="18.75" customHeight="1">
      <c r="A34" s="66" t="s">
        <v>22</v>
      </c>
      <c r="B34" s="67">
        <f>N28+SUM(B29:B33)</f>
        <v>3806.17</v>
      </c>
      <c r="C34" s="66"/>
      <c r="D34" s="67">
        <f>B34+SUM(D29:D33)</f>
        <v>3655.17</v>
      </c>
      <c r="E34" s="66"/>
      <c r="F34" s="67">
        <f>D34+SUM(F29:F33)</f>
        <v>3505.17</v>
      </c>
      <c r="G34" s="66"/>
      <c r="H34" s="67">
        <f>F34+SUM(H29:H33)</f>
        <v>3406.17</v>
      </c>
      <c r="I34" s="66"/>
      <c r="J34" s="67">
        <f>H34+SUM(J29:J33)</f>
        <v>3406.17</v>
      </c>
      <c r="K34" s="66"/>
      <c r="L34" s="67">
        <f>J34+SUM(L29:L33)</f>
        <v>5714.97</v>
      </c>
      <c r="M34" s="66"/>
      <c r="N34" s="67">
        <f>L34+SUM(N29:N33)</f>
        <v>5703.98</v>
      </c>
      <c r="O34" s="68"/>
      <c r="P34" s="319" t="s">
        <v>40</v>
      </c>
      <c r="Q34" s="320"/>
      <c r="R34" s="321">
        <v>12.0</v>
      </c>
      <c r="S34" s="322">
        <v>-102.0</v>
      </c>
      <c r="T34" s="323">
        <f t="shared" si="3"/>
        <v>46399</v>
      </c>
      <c r="U34" s="71"/>
      <c r="V34" s="69"/>
      <c r="W34" s="71"/>
      <c r="X34" s="309"/>
      <c r="Y34" s="69"/>
      <c r="Z34" s="69"/>
    </row>
    <row r="35" ht="18.75" customHeight="1">
      <c r="A35" s="50">
        <f>IF(M29="","",IF(MONTH(M29+1)&lt;&gt;MONTH(M29),"",M29+1))</f>
        <v>46411</v>
      </c>
      <c r="B35" s="51">
        <f>SUMIF($T$11:$T$130,A35,$S$11:$S$91)</f>
        <v>0</v>
      </c>
      <c r="C35" s="50">
        <f>IF(A35="","",IF(MONTH(A35+1)&lt;&gt;MONTH(A35),"",A35+1))</f>
        <v>46412</v>
      </c>
      <c r="D35" s="51">
        <f>SUMIF($T$11:$T$130,C35,$S$11:$S$91)</f>
        <v>0</v>
      </c>
      <c r="E35" s="50">
        <f>IF(C35="","",IF(MONTH(C35+1)&lt;&gt;MONTH(C35),"",C35+1))</f>
        <v>46413</v>
      </c>
      <c r="F35" s="51">
        <f>SUMIF($T$11:$T$130,E35,$S$11:$S$91)</f>
        <v>-195.35</v>
      </c>
      <c r="G35" s="50">
        <f>IF(E35="","",IF(MONTH(E35+1)&lt;&gt;MONTH(E35),"",E35+1))</f>
        <v>46414</v>
      </c>
      <c r="H35" s="51">
        <f>SUMIF($T$11:$T$130,G35,$S$11:$S$91)</f>
        <v>0</v>
      </c>
      <c r="I35" s="50">
        <f>IF(G35="","",IF(MONTH(G35+1)&lt;&gt;MONTH(G35),"",G35+1))</f>
        <v>46415</v>
      </c>
      <c r="J35" s="51">
        <f>SUMIF($T$11:$T$130,I35,$S$11:$S$91)</f>
        <v>-1065.6</v>
      </c>
      <c r="K35" s="50">
        <f>IF(I35="","",IF(MONTH(I35+1)&lt;&gt;MONTH(I35),"",I35+1))</f>
        <v>46416</v>
      </c>
      <c r="L35" s="51">
        <f>SUMIF($T$11:$T$130,K35,$S$11:$S$91)</f>
        <v>-10.99</v>
      </c>
      <c r="M35" s="50">
        <f>IF(K35="","",IF(MONTH(K35+1)&lt;&gt;MONTH(K35),"",K35+1))</f>
        <v>46417</v>
      </c>
      <c r="N35" s="51">
        <f>SUMIF($T$11:$T$130,M35,$S$11:$S$91)</f>
        <v>-29.35</v>
      </c>
      <c r="O35" s="23"/>
      <c r="P35" s="319" t="s">
        <v>34</v>
      </c>
      <c r="Q35" s="320"/>
      <c r="R35" s="321">
        <v>17.0</v>
      </c>
      <c r="S35" s="322">
        <v>-5.99</v>
      </c>
      <c r="T35" s="323">
        <f t="shared" si="3"/>
        <v>46404</v>
      </c>
      <c r="U35" s="64"/>
      <c r="V35" s="23"/>
      <c r="W35" s="64"/>
      <c r="X35" s="303"/>
      <c r="Y35" s="23"/>
      <c r="Z35" s="23"/>
    </row>
    <row r="36" ht="18.75" customHeight="1">
      <c r="A36" s="55"/>
      <c r="B36" s="56"/>
      <c r="C36" s="55"/>
      <c r="D36" s="56"/>
      <c r="E36" s="55"/>
      <c r="F36" s="56"/>
      <c r="G36" s="55"/>
      <c r="H36" s="57"/>
      <c r="I36" s="55"/>
      <c r="J36" s="56"/>
      <c r="K36" s="55"/>
      <c r="L36" s="56"/>
      <c r="M36" s="55"/>
      <c r="N36" s="56"/>
      <c r="O36" s="23"/>
      <c r="P36" s="319" t="s">
        <v>34</v>
      </c>
      <c r="Q36" s="320"/>
      <c r="R36" s="321">
        <v>24.0</v>
      </c>
      <c r="S36" s="322"/>
      <c r="T36" s="323">
        <f t="shared" si="3"/>
        <v>46411</v>
      </c>
      <c r="U36" s="64"/>
      <c r="V36" s="23"/>
      <c r="W36" s="64"/>
      <c r="X36" s="303"/>
      <c r="Y36" s="23"/>
      <c r="Z36" s="23"/>
    </row>
    <row r="37" ht="18.75" customHeight="1">
      <c r="A37" s="55"/>
      <c r="B37" s="56"/>
      <c r="C37" s="55"/>
      <c r="D37" s="56"/>
      <c r="E37" s="55"/>
      <c r="F37" s="56"/>
      <c r="G37" s="55"/>
      <c r="H37" s="56"/>
      <c r="I37" s="55"/>
      <c r="J37" s="56"/>
      <c r="K37" s="55"/>
      <c r="L37" s="56"/>
      <c r="M37" s="55"/>
      <c r="N37" s="56"/>
      <c r="O37" s="23"/>
      <c r="P37" s="367" t="s">
        <v>51</v>
      </c>
      <c r="Q37" s="368"/>
      <c r="R37" s="405">
        <v>26.0</v>
      </c>
      <c r="S37" s="370">
        <v>-27.0</v>
      </c>
      <c r="T37" s="376">
        <f>IF(ISBLANK(R37),"-",IF(R37&gt;DAY(EOMONTH(DATE($B$2,$E$2,1),0)),EOMONTH(DATE($B$2,$E$2,1),0),DATE($B$2,$E$2,R37)))</f>
        <v>46413</v>
      </c>
      <c r="U37" s="64"/>
      <c r="V37" s="23"/>
      <c r="W37" s="64"/>
      <c r="X37" s="303"/>
      <c r="Y37" s="23"/>
      <c r="Z37" s="23"/>
    </row>
    <row r="38" ht="18.75" customHeight="1">
      <c r="A38" s="55"/>
      <c r="B38" s="56"/>
      <c r="C38" s="55"/>
      <c r="D38" s="56"/>
      <c r="E38" s="55"/>
      <c r="F38" s="56"/>
      <c r="G38" s="55"/>
      <c r="H38" s="56"/>
      <c r="I38" s="55"/>
      <c r="J38" s="56"/>
      <c r="K38" s="55"/>
      <c r="L38" s="56"/>
      <c r="M38" s="55"/>
      <c r="N38" s="56"/>
      <c r="O38" s="23"/>
      <c r="P38" s="367" t="s">
        <v>53</v>
      </c>
      <c r="Q38" s="368"/>
      <c r="R38" s="405">
        <v>29.0</v>
      </c>
      <c r="S38" s="370">
        <v>-10.99</v>
      </c>
      <c r="T38" s="323">
        <f t="shared" ref="T38:T40" si="4">IF(ISBLANK(R38),"-",IF(R38&gt;DAY(EOMONTH(DATE($B$2,$E$2,1),0)),EOMONTH(DATE($B$2,$E$2,1),0),DATE($B$2,$E$2,R38)))</f>
        <v>46416</v>
      </c>
      <c r="U38" s="64"/>
      <c r="V38" s="23"/>
      <c r="W38" s="64"/>
      <c r="X38" s="303"/>
      <c r="Y38" s="23"/>
      <c r="Z38" s="23"/>
    </row>
    <row r="39" ht="18.75" customHeight="1">
      <c r="A39" s="55"/>
      <c r="B39" s="56"/>
      <c r="C39" s="55"/>
      <c r="D39" s="56"/>
      <c r="E39" s="55"/>
      <c r="F39" s="56"/>
      <c r="G39" s="55"/>
      <c r="H39" s="56"/>
      <c r="I39" s="55"/>
      <c r="J39" s="56"/>
      <c r="K39" s="55"/>
      <c r="L39" s="56"/>
      <c r="M39" s="55"/>
      <c r="N39" s="56"/>
      <c r="O39" s="23"/>
      <c r="P39" s="319" t="s">
        <v>27</v>
      </c>
      <c r="Q39" s="320"/>
      <c r="R39" s="321">
        <v>3.0</v>
      </c>
      <c r="S39" s="322">
        <v>-33.0</v>
      </c>
      <c r="T39" s="323">
        <f t="shared" si="4"/>
        <v>46390</v>
      </c>
      <c r="U39" s="64"/>
      <c r="V39" s="23"/>
      <c r="W39" s="64"/>
      <c r="X39" s="303"/>
      <c r="Y39" s="23"/>
      <c r="Z39" s="23"/>
    </row>
    <row r="40" ht="18.75" customHeight="1">
      <c r="A40" s="66" t="s">
        <v>22</v>
      </c>
      <c r="B40" s="67">
        <f>N34+SUM(B35:B39)</f>
        <v>5703.98</v>
      </c>
      <c r="C40" s="66"/>
      <c r="D40" s="67">
        <f>B40+SUM(D35:D39)</f>
        <v>5703.98</v>
      </c>
      <c r="E40" s="66"/>
      <c r="F40" s="67">
        <f>D40+SUM(F35:F39)</f>
        <v>5508.63</v>
      </c>
      <c r="G40" s="66"/>
      <c r="H40" s="67">
        <f>F40+SUM(H35:H39)</f>
        <v>5508.63</v>
      </c>
      <c r="I40" s="66"/>
      <c r="J40" s="67">
        <f>H40+SUM(J35:J39)</f>
        <v>4443.03</v>
      </c>
      <c r="K40" s="66"/>
      <c r="L40" s="67">
        <f>J40+SUM(L35:L39)</f>
        <v>4432.04</v>
      </c>
      <c r="M40" s="66"/>
      <c r="N40" s="67">
        <f>L40+SUM(N35:N39)</f>
        <v>4402.69</v>
      </c>
      <c r="O40" s="68"/>
      <c r="P40" s="406" t="s">
        <v>186</v>
      </c>
      <c r="Q40" s="407"/>
      <c r="R40" s="408">
        <v>4.0</v>
      </c>
      <c r="S40" s="409">
        <v>-50.0</v>
      </c>
      <c r="T40" s="323">
        <f t="shared" si="4"/>
        <v>46391</v>
      </c>
      <c r="U40" s="71"/>
      <c r="V40" s="69"/>
      <c r="W40" s="71"/>
      <c r="X40" s="309"/>
      <c r="Y40" s="69"/>
      <c r="Z40" s="69"/>
    </row>
    <row r="41" ht="18.75" customHeight="1">
      <c r="A41" s="50">
        <f>IF(M35="","",IF(MONTH(M35+1)&lt;&gt;MONTH(M35),"",M35+1))</f>
        <v>46418</v>
      </c>
      <c r="B41" s="616">
        <v>0.0</v>
      </c>
      <c r="C41" s="50" t="str">
        <f>IF(A41="","",IF(MONTH(A41+1)&lt;&gt;MONTH(A41),"",A41+1))</f>
        <v/>
      </c>
      <c r="D41" s="616">
        <v>0.0</v>
      </c>
      <c r="E41" s="77"/>
      <c r="F41" s="77" t="s">
        <v>50</v>
      </c>
      <c r="G41" s="77"/>
      <c r="H41" s="77"/>
      <c r="I41" s="77"/>
      <c r="J41" s="77"/>
      <c r="K41" s="77"/>
      <c r="L41" s="77"/>
      <c r="M41" s="77"/>
      <c r="N41" s="77"/>
      <c r="P41" s="367" t="s">
        <v>214</v>
      </c>
      <c r="Q41" s="368"/>
      <c r="R41" s="405">
        <v>7.0</v>
      </c>
      <c r="S41" s="370">
        <v>-21.8</v>
      </c>
      <c r="T41" s="376">
        <f>IF(ISBLANK(R41),"-",IF(R41&gt;DAY(EOMONTH(DATE($B$2,$E$2,1),0)),EOMONTH(DATE($B$2,$E$2,1),0),DATE($B$2,$E$2,R41)))</f>
        <v>46394</v>
      </c>
      <c r="V41" s="313"/>
      <c r="X41" s="314"/>
    </row>
    <row r="42" ht="18.75" customHeight="1">
      <c r="A42" s="55"/>
      <c r="B42" s="56"/>
      <c r="C42" s="55"/>
      <c r="D42" s="56"/>
      <c r="E42" s="77"/>
      <c r="F42" s="77" t="s">
        <v>52</v>
      </c>
      <c r="G42" s="77"/>
      <c r="H42" s="77"/>
      <c r="I42" s="77"/>
      <c r="J42" s="77"/>
      <c r="K42" s="77"/>
      <c r="L42" s="77"/>
      <c r="M42" s="77"/>
      <c r="N42" s="77"/>
      <c r="P42" s="319" t="s">
        <v>38</v>
      </c>
      <c r="Q42" s="320"/>
      <c r="R42" s="321">
        <v>11.0</v>
      </c>
      <c r="S42" s="322">
        <v>-50.0</v>
      </c>
      <c r="T42" s="323">
        <f t="shared" ref="T42:T43" si="5">IF(ISBLANK(R42),"-",IF(R42&gt;DAY(EOMONTH(DATE($B$2,$E$2,1),0)),EOMONTH(DATE($B$2,$E$2,1),0),DATE($B$2,$E$2,R42)))</f>
        <v>46398</v>
      </c>
      <c r="V42" s="313"/>
      <c r="X42" s="314"/>
    </row>
    <row r="43" ht="18.75" customHeight="1">
      <c r="A43" s="55"/>
      <c r="B43" s="56"/>
      <c r="C43" s="55"/>
      <c r="D43" s="56"/>
      <c r="E43" s="77"/>
      <c r="F43" s="77"/>
      <c r="G43" s="77"/>
      <c r="H43" s="77"/>
      <c r="I43" s="77"/>
      <c r="J43" s="77"/>
      <c r="K43" s="77"/>
      <c r="L43" s="77"/>
      <c r="M43" s="77"/>
      <c r="N43" s="77"/>
      <c r="P43" s="319" t="s">
        <v>57</v>
      </c>
      <c r="Q43" s="320"/>
      <c r="R43" s="321">
        <v>28.0</v>
      </c>
      <c r="S43" s="322">
        <v>-370.0</v>
      </c>
      <c r="T43" s="323">
        <f t="shared" si="5"/>
        <v>46415</v>
      </c>
      <c r="V43" s="313"/>
    </row>
    <row r="44" ht="18.75" customHeight="1">
      <c r="A44" s="55"/>
      <c r="B44" s="56"/>
      <c r="C44" s="55"/>
      <c r="D44" s="56"/>
      <c r="E44" s="77"/>
      <c r="F44" s="77"/>
      <c r="G44" s="77"/>
      <c r="H44" s="108">
        <v>22.61</v>
      </c>
      <c r="I44" s="77"/>
      <c r="J44" s="77"/>
      <c r="K44" s="77"/>
      <c r="L44" s="77"/>
      <c r="M44" s="77"/>
      <c r="N44" s="77"/>
      <c r="P44" s="613" t="s">
        <v>24</v>
      </c>
      <c r="Q44" s="368"/>
      <c r="R44" s="614">
        <v>1.0</v>
      </c>
      <c r="S44" s="615">
        <v>-63.0</v>
      </c>
      <c r="T44" s="376">
        <f>IF(ISBLANK(R44),"-",IF(R44&gt;DAY(EOMONTH(DATE($B$2,$E$2,1),0)),EOMONTH(DATE($B$2,$E$2,1),0),DATE($B$2,$E$2,R44)))</f>
        <v>46388</v>
      </c>
      <c r="V44" s="313"/>
      <c r="X44" s="314"/>
    </row>
    <row r="45" ht="18.75" customHeight="1">
      <c r="A45" s="55"/>
      <c r="B45" s="56"/>
      <c r="C45" s="55"/>
      <c r="D45" s="56"/>
      <c r="E45" s="77"/>
      <c r="F45" s="77"/>
      <c r="G45" s="77"/>
      <c r="H45" s="326">
        <v>16.2</v>
      </c>
      <c r="I45" s="77"/>
      <c r="J45" s="77"/>
      <c r="K45" s="77"/>
      <c r="L45" s="77"/>
      <c r="M45" s="77"/>
      <c r="N45" s="77"/>
      <c r="P45" s="319" t="s">
        <v>26</v>
      </c>
      <c r="Q45" s="320"/>
      <c r="R45" s="321">
        <v>5.0</v>
      </c>
      <c r="S45" s="322">
        <v>-150.0</v>
      </c>
      <c r="T45" s="323">
        <f t="shared" ref="T45:T48" si="6">IF(ISBLANK(R45),"-",IF(R45&gt;DAY(EOMONTH(DATE($B$2,$E$2,1),0)),EOMONTH(DATE($B$2,$E$2,1),0),DATE($B$2,$E$2,R45)))</f>
        <v>46392</v>
      </c>
    </row>
    <row r="46" ht="18.75" customHeight="1">
      <c r="A46" s="66" t="s">
        <v>22</v>
      </c>
      <c r="B46" s="67">
        <f>N40+SUM(B41:B45)</f>
        <v>4402.69</v>
      </c>
      <c r="C46" s="66"/>
      <c r="D46" s="67">
        <f>B46+SUM(D41:D45)</f>
        <v>4402.69</v>
      </c>
      <c r="E46" s="77"/>
      <c r="F46" s="77"/>
      <c r="G46" s="77"/>
      <c r="H46" s="326">
        <v>20.9</v>
      </c>
      <c r="I46" s="77"/>
      <c r="J46" s="77"/>
      <c r="K46" s="77"/>
      <c r="L46" s="77"/>
      <c r="M46" s="77"/>
      <c r="N46" s="77"/>
      <c r="P46" s="319" t="s">
        <v>26</v>
      </c>
      <c r="Q46" s="320"/>
      <c r="R46" s="321">
        <v>12.0</v>
      </c>
      <c r="S46" s="322">
        <v>-150.0</v>
      </c>
      <c r="T46" s="323">
        <f t="shared" si="6"/>
        <v>46399</v>
      </c>
    </row>
    <row r="47" ht="12.75" customHeight="1">
      <c r="P47" s="319" t="s">
        <v>26</v>
      </c>
      <c r="Q47" s="320"/>
      <c r="R47" s="321">
        <v>19.0</v>
      </c>
      <c r="S47" s="322">
        <v>-150.0</v>
      </c>
      <c r="T47" s="323">
        <f t="shared" si="6"/>
        <v>46406</v>
      </c>
    </row>
    <row r="48" ht="12.75" customHeight="1">
      <c r="P48" s="319" t="s">
        <v>26</v>
      </c>
      <c r="Q48" s="320"/>
      <c r="R48" s="321">
        <v>26.0</v>
      </c>
      <c r="S48" s="322">
        <v>-150.0</v>
      </c>
      <c r="T48" s="323">
        <f t="shared" si="6"/>
        <v>46413</v>
      </c>
    </row>
    <row r="49" ht="12.75" customHeight="1">
      <c r="P49" s="406"/>
      <c r="Q49" s="407"/>
      <c r="R49" s="408"/>
      <c r="S49" s="409"/>
      <c r="T49" s="323"/>
    </row>
    <row r="50" ht="12.75" customHeight="1">
      <c r="P50" s="542"/>
      <c r="Q50" s="407"/>
      <c r="R50" s="543"/>
      <c r="S50" s="544"/>
      <c r="T50" s="376" t="str">
        <f t="shared" ref="T50:T56" si="7">IF(ISBLANK(R50),"-",IF(R50&gt;DAY(EOMONTH(DATE($B$2,$E$2,1),0)),EOMONTH(DATE($B$2,$E$2,1),0),DATE($B$2,$E$2,$R$47)))</f>
        <v>-</v>
      </c>
    </row>
    <row r="51" ht="12.75" customHeight="1">
      <c r="P51" s="542"/>
      <c r="Q51" s="407"/>
      <c r="R51" s="543"/>
      <c r="S51" s="544"/>
      <c r="T51" s="376" t="str">
        <f t="shared" si="7"/>
        <v>-</v>
      </c>
    </row>
    <row r="52" ht="12.75" customHeight="1">
      <c r="P52" s="542"/>
      <c r="Q52" s="407"/>
      <c r="R52" s="543"/>
      <c r="S52" s="544"/>
      <c r="T52" s="376" t="str">
        <f t="shared" si="7"/>
        <v>-</v>
      </c>
    </row>
    <row r="53" ht="12.75" customHeight="1">
      <c r="P53" s="542"/>
      <c r="Q53" s="407"/>
      <c r="R53" s="543"/>
      <c r="S53" s="544"/>
      <c r="T53" s="376" t="str">
        <f t="shared" si="7"/>
        <v>-</v>
      </c>
    </row>
    <row r="54" ht="12.75" customHeight="1">
      <c r="P54" s="542"/>
      <c r="Q54" s="407"/>
      <c r="R54" s="543"/>
      <c r="S54" s="544"/>
      <c r="T54" s="376" t="str">
        <f t="shared" si="7"/>
        <v>-</v>
      </c>
    </row>
    <row r="55" ht="12.75" customHeight="1">
      <c r="P55" s="542"/>
      <c r="Q55" s="407"/>
      <c r="R55" s="543"/>
      <c r="S55" s="544"/>
      <c r="T55" s="376" t="str">
        <f t="shared" si="7"/>
        <v>-</v>
      </c>
    </row>
    <row r="56" ht="12.75" customHeight="1">
      <c r="P56" s="542"/>
      <c r="Q56" s="407"/>
      <c r="R56" s="543"/>
      <c r="S56" s="544"/>
      <c r="T56" s="376" t="str">
        <f t="shared" si="7"/>
        <v>-</v>
      </c>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c r="S927" s="337"/>
    </row>
    <row r="928" ht="12.75" customHeight="1">
      <c r="R928" s="336"/>
      <c r="S928" s="337"/>
    </row>
    <row r="929" ht="12.75" customHeight="1">
      <c r="R929" s="336"/>
      <c r="S929" s="337"/>
    </row>
    <row r="930" ht="12.75" customHeight="1">
      <c r="R930" s="336"/>
      <c r="S930" s="337"/>
    </row>
    <row r="931" ht="12.75" customHeight="1">
      <c r="R931" s="336"/>
      <c r="S931" s="337"/>
    </row>
    <row r="932" ht="12.75" customHeight="1">
      <c r="R932" s="336"/>
      <c r="S932" s="337"/>
    </row>
    <row r="933" ht="12.75" customHeight="1">
      <c r="R933" s="336"/>
      <c r="S933" s="337"/>
    </row>
    <row r="934" ht="12.75" customHeight="1">
      <c r="R934" s="336"/>
    </row>
    <row r="935" ht="12.75" customHeight="1">
      <c r="R935" s="336"/>
    </row>
    <row r="936" ht="12.75" customHeight="1">
      <c r="R936" s="336"/>
    </row>
    <row r="937" ht="12.75" customHeight="1">
      <c r="R937"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7">
    <cfRule type="cellIs" dxfId="5" priority="1" operator="lessThan">
      <formula>0</formula>
    </cfRule>
  </conditionalFormatting>
  <dataValidations>
    <dataValidation type="list" allowBlank="1" showErrorMessage="1" sqref="Q12:Q56">
      <formula1>"✔"</formula1>
    </dataValidation>
    <dataValidation type="custom" allowBlank="1" showDropDown="1" sqref="T12:T56">
      <formula1>OR(NOT(ISERROR(DATEVALUE(T12))), AND(ISNUMBER(T12), LEFT(CELL("format", T12))="D"))</formula1>
    </dataValidation>
  </dataValidations>
  <hyperlinks>
    <hyperlink r:id="rId1" ref="T3"/>
  </hyperlinks>
  <drawing r:id="rId2"/>
  <tableParts count="1">
    <tablePart r:id="rId4"/>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6.63"/>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2027.0</v>
      </c>
      <c r="C2" s="3"/>
      <c r="D2" s="9" t="s">
        <v>2</v>
      </c>
      <c r="E2" s="10">
        <v>2.0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FEBRUARY 2027</v>
      </c>
      <c r="B5" s="22"/>
      <c r="C5" s="22"/>
      <c r="D5" s="22"/>
      <c r="E5" s="22"/>
      <c r="F5" s="22"/>
      <c r="G5" s="22"/>
      <c r="H5" s="23"/>
      <c r="I5" s="23"/>
      <c r="J5" s="23"/>
      <c r="K5" s="22"/>
      <c r="L5" s="24" t="s">
        <v>7</v>
      </c>
      <c r="M5" s="25">
        <f>'January 2027'!M6</f>
        <v>4402.69</v>
      </c>
      <c r="N5" s="26"/>
      <c r="O5" s="23"/>
      <c r="P5" s="27"/>
      <c r="Q5" s="27"/>
      <c r="R5" s="287" t="s">
        <v>8</v>
      </c>
      <c r="S5" s="288">
        <f>SUMIF(A18:N21,"&gt;0")+SUMIF(A24:N27,"&gt;0")+SUMIF(A30:N33,"&gt;0")+SUMIF(A36:N39,"&gt;0")+SUMIF(A42:D45,"&gt;0")+SUMIF(S12:S46,"&gt;0")+SUMIF(A12:N15,"&gt;0")</f>
        <v>6117.6</v>
      </c>
      <c r="U5" s="23"/>
      <c r="V5" s="289">
        <f>sum(S5+S6)</f>
        <v>-200.02</v>
      </c>
      <c r="W5" s="23"/>
      <c r="X5" s="23"/>
      <c r="Y5" s="23"/>
      <c r="Z5" s="23"/>
    </row>
    <row r="6" ht="25.5" customHeight="1">
      <c r="A6" s="31"/>
      <c r="B6" s="31"/>
      <c r="C6" s="31"/>
      <c r="D6" s="31"/>
      <c r="E6" s="31"/>
      <c r="F6" s="32"/>
      <c r="G6" s="33"/>
      <c r="H6" s="34"/>
      <c r="I6" s="34"/>
      <c r="J6" s="34"/>
      <c r="K6" s="31"/>
      <c r="L6" s="24" t="s">
        <v>9</v>
      </c>
      <c r="M6" s="35">
        <f>D46</f>
        <v>4265.8</v>
      </c>
      <c r="O6" s="34"/>
      <c r="P6" s="36"/>
      <c r="Q6" s="36"/>
      <c r="R6" s="287" t="s">
        <v>10</v>
      </c>
      <c r="S6" s="288">
        <f>SUMIF(A18:N21,"&lt;0")+SUMIF(A24:N27,"&lt;0")+SUMIF(A30:N33,"&lt;0")+SUMIF(A36:N39,"&lt;0")+SUMIF(A42:D45,"&lt;0")+SUMIF(S12:S203,"&lt;0")+SUMIF(A12:N15,"&lt;0")</f>
        <v>-6317.62</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46419</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46425</v>
      </c>
      <c r="B9" s="40"/>
      <c r="C9" s="39">
        <f>C17</f>
        <v>46426</v>
      </c>
      <c r="D9" s="40"/>
      <c r="E9" s="39">
        <f>E17</f>
        <v>46427</v>
      </c>
      <c r="F9" s="40"/>
      <c r="G9" s="39">
        <f>G17</f>
        <v>46428</v>
      </c>
      <c r="H9" s="40"/>
      <c r="I9" s="39">
        <f>I17</f>
        <v>46429</v>
      </c>
      <c r="J9" s="40"/>
      <c r="K9" s="39">
        <f>K17</f>
        <v>46430</v>
      </c>
      <c r="L9" s="40"/>
      <c r="M9" s="39">
        <f>M17</f>
        <v>46431</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616">
        <v>0.0</v>
      </c>
      <c r="C11" s="50">
        <f>IF(A11="",IF(WEEKDAY($B$8,1)=MOD($H$2,7)+1,$B$8,""),A11+1)</f>
        <v>46419</v>
      </c>
      <c r="D11" s="616">
        <v>0.0</v>
      </c>
      <c r="E11" s="50">
        <f>IF(C11="",IF(WEEKDAY($B$8,1)=MOD($H$2+1,7)+1,$B$8,""),C11+1)</f>
        <v>46420</v>
      </c>
      <c r="F11" s="616">
        <v>0.0</v>
      </c>
      <c r="G11" s="50">
        <f>IF(E11="",IF(WEEKDAY($B$8,1)=MOD($H$2+2,7)+1,$B$8,""),E11+1)</f>
        <v>46421</v>
      </c>
      <c r="H11" s="616">
        <v>0.0</v>
      </c>
      <c r="I11" s="50">
        <f>IF(G11="",IF(WEEKDAY($B$8,1)=MOD($H$2+3,7)+1,$B$8,""),G11+1)</f>
        <v>46422</v>
      </c>
      <c r="J11" s="51">
        <f>SUMIF($T$11:$T$130,I11,$S$11:$S$91)</f>
        <v>-50</v>
      </c>
      <c r="K11" s="50">
        <f>IF(I11="",IF(WEEKDAY($B$8,1)=MOD($H$2+4,7)+1,$B$8,""),I11+1)</f>
        <v>46423</v>
      </c>
      <c r="L11" s="51">
        <f>SUMIF($T$11:$T$130,K11,$S$11:$S$91)</f>
        <v>1351.45</v>
      </c>
      <c r="M11" s="50">
        <f>IF(K11="",IF(WEEKDAY($B$8,1)=MOD($H$2+5,7)+1,$B$8,""),K11+1)</f>
        <v>46424</v>
      </c>
      <c r="N11" s="51">
        <f>SUMIF($T$11:$T$130,M11,$S$11:$S$91)</f>
        <v>-301</v>
      </c>
      <c r="O11" s="23"/>
      <c r="P11" s="52" t="s">
        <v>13</v>
      </c>
      <c r="Q11" s="53" t="s">
        <v>14</v>
      </c>
      <c r="R11" s="53" t="s">
        <v>15</v>
      </c>
      <c r="S11" s="96" t="s">
        <v>16</v>
      </c>
      <c r="T11" s="53" t="s">
        <v>17</v>
      </c>
      <c r="U11" s="23"/>
      <c r="V11" s="23"/>
      <c r="W11" s="23"/>
      <c r="X11" s="23"/>
      <c r="Y11" s="23"/>
      <c r="Z11" s="23"/>
    </row>
    <row r="12" ht="18.75" customHeight="1">
      <c r="A12" s="55"/>
      <c r="B12" s="56"/>
      <c r="C12" s="55"/>
      <c r="D12" s="56"/>
      <c r="E12" s="55"/>
      <c r="F12" s="56"/>
      <c r="G12" s="55"/>
      <c r="H12" s="56"/>
      <c r="I12" s="58"/>
      <c r="J12" s="57"/>
      <c r="K12" s="55"/>
      <c r="L12" s="57"/>
      <c r="M12" s="55"/>
      <c r="N12" s="56"/>
      <c r="O12" s="23"/>
      <c r="P12" s="551" t="s">
        <v>89</v>
      </c>
      <c r="Q12" s="552"/>
      <c r="R12" s="553">
        <v>7.0</v>
      </c>
      <c r="S12" s="549">
        <f t="array" ref="S12">-INDEX(PaymentSchedule!$E$21:$AG937,MATCH(PaymentSchedule!$B$42,PaymentSchedule!$B$21:$B$100),MATCH($P12,PaymentSchedule!$E$19:$AG$19,0))</f>
        <v>-175</v>
      </c>
      <c r="T12" s="550">
        <f t="shared" ref="T12:T15" si="1">IF(ISBLANK(R12),"-",IF(R12&gt;DAY(EOMONTH(DATE($B$2,$E$2,1),0)),EOMONTH(DATE($B$2,$E$2,1),0),DATE($B$2,$E$2,R12)))</f>
        <v>46425</v>
      </c>
      <c r="U12" s="64"/>
      <c r="V12" s="23"/>
      <c r="W12" s="64"/>
      <c r="X12" s="303"/>
      <c r="Y12" s="23"/>
      <c r="Z12" s="23"/>
    </row>
    <row r="13" ht="18.75" customHeight="1">
      <c r="A13" s="55"/>
      <c r="B13" s="56"/>
      <c r="C13" s="55"/>
      <c r="D13" s="56"/>
      <c r="E13" s="55"/>
      <c r="F13" s="56"/>
      <c r="G13" s="55"/>
      <c r="H13" s="56"/>
      <c r="I13" s="55"/>
      <c r="J13" s="57"/>
      <c r="K13" s="55"/>
      <c r="L13" s="56"/>
      <c r="M13" s="55"/>
      <c r="N13" s="56"/>
      <c r="O13" s="23"/>
      <c r="P13" s="551" t="s">
        <v>85</v>
      </c>
      <c r="Q13" s="552"/>
      <c r="R13" s="553">
        <v>18.0</v>
      </c>
      <c r="S13" s="549">
        <f t="array" ref="S13">-INDEX(PaymentSchedule!$E$21:$AG937,MATCH(PaymentSchedule!$B$42,PaymentSchedule!$B$21:$B$100),MATCH($P13,PaymentSchedule!$E$19:$AG$19,0))</f>
        <v>-151</v>
      </c>
      <c r="T13" s="550">
        <f t="shared" si="1"/>
        <v>46436</v>
      </c>
      <c r="U13" s="64"/>
      <c r="V13" s="23"/>
      <c r="W13" s="64"/>
      <c r="X13" s="303"/>
      <c r="Y13" s="23"/>
      <c r="Z13" s="23"/>
    </row>
    <row r="14" ht="18.75" customHeight="1">
      <c r="A14" s="55"/>
      <c r="B14" s="56"/>
      <c r="C14" s="55"/>
      <c r="D14" s="56"/>
      <c r="E14" s="55"/>
      <c r="F14" s="56"/>
      <c r="G14" s="55"/>
      <c r="H14" s="56"/>
      <c r="I14" s="58"/>
      <c r="J14" s="57"/>
      <c r="K14" s="55"/>
      <c r="L14" s="56"/>
      <c r="M14" s="55"/>
      <c r="N14" s="56"/>
      <c r="O14" s="23"/>
      <c r="P14" s="551" t="s">
        <v>86</v>
      </c>
      <c r="Q14" s="552"/>
      <c r="R14" s="553">
        <v>5.0</v>
      </c>
      <c r="S14" s="549">
        <f t="array" ref="S14">-INDEX(PaymentSchedule!$E$21:$AG937,MATCH(PaymentSchedule!$B$42,PaymentSchedule!$B$21:$B$100),MATCH($P14,PaymentSchedule!$E$19:$AG$19,0))</f>
        <v>-791.16</v>
      </c>
      <c r="T14" s="550">
        <f t="shared" si="1"/>
        <v>46423</v>
      </c>
      <c r="U14" s="64"/>
      <c r="V14" s="23"/>
      <c r="W14" s="64"/>
      <c r="X14" s="303"/>
      <c r="Y14" s="23"/>
      <c r="Z14" s="23"/>
    </row>
    <row r="15" ht="18.75" customHeight="1">
      <c r="A15" s="55"/>
      <c r="B15" s="56"/>
      <c r="C15" s="55"/>
      <c r="D15" s="56"/>
      <c r="E15" s="55"/>
      <c r="F15" s="56"/>
      <c r="G15" s="55"/>
      <c r="H15" s="56"/>
      <c r="I15" s="55"/>
      <c r="J15" s="56"/>
      <c r="K15" s="55"/>
      <c r="L15" s="56"/>
      <c r="M15" s="55"/>
      <c r="N15" s="56"/>
      <c r="O15" s="23"/>
      <c r="P15" s="551" t="s">
        <v>20</v>
      </c>
      <c r="Q15" s="552"/>
      <c r="R15" s="553">
        <v>1.0</v>
      </c>
      <c r="S15" s="549">
        <f t="array" ref="S15">-INDEX(PaymentSchedule!$E$21:$AG937,MATCH(PaymentSchedule!$B$42,PaymentSchedule!$B$21:$B$100),MATCH($P15,PaymentSchedule!$E$19:$AG$19,0))</f>
        <v>-1467.13</v>
      </c>
      <c r="T15" s="550">
        <f t="shared" si="1"/>
        <v>46419</v>
      </c>
      <c r="U15" s="64"/>
      <c r="V15" s="23"/>
      <c r="W15" s="64"/>
      <c r="X15" s="303"/>
      <c r="Y15" s="23"/>
      <c r="Z15" s="23"/>
    </row>
    <row r="16" ht="18.75" customHeight="1">
      <c r="A16" s="66" t="s">
        <v>22</v>
      </c>
      <c r="B16" s="67">
        <f>$M$5+SUM(B11:B15)</f>
        <v>4402.69</v>
      </c>
      <c r="C16" s="66"/>
      <c r="D16" s="67">
        <f>B16+SUM(D11:D15)</f>
        <v>4402.69</v>
      </c>
      <c r="E16" s="66"/>
      <c r="F16" s="67">
        <f>D16+SUM(F11:F15)</f>
        <v>4402.69</v>
      </c>
      <c r="G16" s="66"/>
      <c r="H16" s="67">
        <f>F16+SUM(H11:H15)</f>
        <v>4402.69</v>
      </c>
      <c r="I16" s="66"/>
      <c r="J16" s="67">
        <f>H16+SUM(J11:J15)</f>
        <v>4352.69</v>
      </c>
      <c r="K16" s="66"/>
      <c r="L16" s="67">
        <f>J16+SUM(L11:L15)</f>
        <v>5704.14</v>
      </c>
      <c r="M16" s="66"/>
      <c r="N16" s="67">
        <f>L16+SUM(N11:N15)</f>
        <v>5403.14</v>
      </c>
      <c r="O16" s="68"/>
      <c r="P16" s="546" t="s">
        <v>87</v>
      </c>
      <c r="Q16" s="547"/>
      <c r="R16" s="607">
        <v>28.0</v>
      </c>
      <c r="S16" s="598">
        <f t="array" ref="S16">-INDEX(PaymentSchedule!$E$21:$AG937,MATCH(PaymentSchedule!$B$31,PaymentSchedule!$B$21:$B$100),MATCH($P16,PaymentSchedule!$E$19:$AG$19,0))</f>
        <v>-695.6</v>
      </c>
      <c r="T16" s="599">
        <f>IF(ISBLANK(R16),"-",IF(R16&gt;DAY(EOMONTH(DATE($B$2,$E$2,1),0)),EOMONTH(DATE($B$2,$E$2,1),0),DATE($B$2,$E$2,R16)))</f>
        <v>46446</v>
      </c>
      <c r="U16" s="71"/>
      <c r="V16" s="69"/>
      <c r="W16" s="71"/>
      <c r="X16" s="309"/>
      <c r="Y16" s="69"/>
      <c r="Z16" s="69"/>
    </row>
    <row r="17" ht="18.75" customHeight="1">
      <c r="A17" s="50">
        <f>IF(M11="","",IF(MONTH(M11+1)&lt;&gt;MONTH(M11),"",M11+1))</f>
        <v>46425</v>
      </c>
      <c r="B17" s="51">
        <f>SUMIF($T$11:$T$130,A17,$S$11:$S$91)</f>
        <v>-196.8</v>
      </c>
      <c r="C17" s="50">
        <f>IF(A17="","",IF(MONTH(A17+1)&lt;&gt;MONTH(A17),"",A17+1))</f>
        <v>46426</v>
      </c>
      <c r="D17" s="51">
        <f>SUMIF($T$11:$T$130,C17,$S$11:$S$91)</f>
        <v>0</v>
      </c>
      <c r="E17" s="50">
        <f>IF(C17="","",IF(MONTH(C17+1)&lt;&gt;MONTH(C17),"",C17+1))</f>
        <v>46427</v>
      </c>
      <c r="F17" s="51">
        <f>SUMIF($T$11:$T$130,E17,$S$11:$S$91)</f>
        <v>0</v>
      </c>
      <c r="G17" s="50">
        <f>IF(E17="","",IF(MONTH(E17+1)&lt;&gt;MONTH(E17),"",E17+1))</f>
        <v>46428</v>
      </c>
      <c r="H17" s="51">
        <f>SUMIF($T$11:$T$130,G17,$S$11:$S$91)</f>
        <v>0</v>
      </c>
      <c r="I17" s="50">
        <f>IF(G17="","",IF(MONTH(G17+1)&lt;&gt;MONTH(G17),"",G17+1))</f>
        <v>46429</v>
      </c>
      <c r="J17" s="51">
        <f>SUMIF($T$11:$T$130,I17,$S$11:$S$91)</f>
        <v>-50</v>
      </c>
      <c r="K17" s="50">
        <f>IF(I17="","",IF(MONTH(I17+1)&lt;&gt;MONTH(I17),"",I17+1))</f>
        <v>46430</v>
      </c>
      <c r="L17" s="51">
        <f>SUMIF($T$11:$T$130,K17,$S$11:$S$91)</f>
        <v>-784.08</v>
      </c>
      <c r="M17" s="50">
        <f>IF(K17="","",IF(MONTH(K17+1)&lt;&gt;MONTH(K17),"",K17+1))</f>
        <v>46431</v>
      </c>
      <c r="N17" s="51">
        <f>SUMIF($T$11:$T$130,M17,$S$11:$S$91)</f>
        <v>0</v>
      </c>
      <c r="O17" s="23"/>
      <c r="P17" s="551" t="s">
        <v>37</v>
      </c>
      <c r="Q17" s="552"/>
      <c r="R17" s="553">
        <v>12.0</v>
      </c>
      <c r="S17" s="549">
        <f t="array" ref="S17">-INDEX(PaymentSchedule!$E$21:$AG937,MATCH(PaymentSchedule!$B$42,PaymentSchedule!$B$21:$B$100),MATCH($P17,PaymentSchedule!$E$19:$AG$19,0))</f>
        <v>-82</v>
      </c>
      <c r="T17" s="550">
        <f t="shared" ref="T17:T30" si="2">IF(ISBLANK(R17),"-",IF(R17&gt;DAY(EOMONTH(DATE($B$2,$E$2,1),0)),EOMONTH(DATE($B$2,$E$2,1),0),DATE($B$2,$E$2,R17)))</f>
        <v>46430</v>
      </c>
      <c r="U17" s="64"/>
      <c r="V17" s="23"/>
      <c r="W17" s="64"/>
      <c r="X17" s="303"/>
      <c r="Y17" s="23"/>
      <c r="Z17" s="23"/>
    </row>
    <row r="18" ht="18.75" customHeight="1">
      <c r="A18" s="55"/>
      <c r="B18" s="56"/>
      <c r="C18" s="55"/>
      <c r="D18" s="56"/>
      <c r="E18" s="58" t="s">
        <v>139</v>
      </c>
      <c r="F18" s="57">
        <v>-99.0</v>
      </c>
      <c r="G18" s="55"/>
      <c r="H18" s="56"/>
      <c r="I18" s="55"/>
      <c r="J18" s="56"/>
      <c r="K18" s="58"/>
      <c r="L18" s="57"/>
      <c r="M18" s="55"/>
      <c r="N18" s="56"/>
      <c r="O18" s="23"/>
      <c r="P18" s="551" t="s">
        <v>36</v>
      </c>
      <c r="Q18" s="552"/>
      <c r="R18" s="553">
        <v>12.0</v>
      </c>
      <c r="S18" s="549">
        <f t="array" ref="S18">-INDEX(PaymentSchedule!$E$21:$AG937,MATCH(PaymentSchedule!$B$42,PaymentSchedule!$B$21:$B$100),MATCH($P18,PaymentSchedule!$E$19:$AG$19,0))</f>
        <v>-450.08</v>
      </c>
      <c r="T18" s="550">
        <f t="shared" si="2"/>
        <v>46430</v>
      </c>
      <c r="U18" s="64"/>
      <c r="V18" s="23"/>
      <c r="Y18" s="23"/>
      <c r="Z18" s="23"/>
    </row>
    <row r="19" ht="18.75" customHeight="1">
      <c r="A19" s="55"/>
      <c r="B19" s="56"/>
      <c r="C19" s="55"/>
      <c r="D19" s="56"/>
      <c r="E19" s="55"/>
      <c r="F19" s="56"/>
      <c r="G19" s="55"/>
      <c r="H19" s="56"/>
      <c r="I19" s="55"/>
      <c r="J19" s="56"/>
      <c r="K19" s="58"/>
      <c r="L19" s="57"/>
      <c r="M19" s="55"/>
      <c r="N19" s="56"/>
      <c r="O19" s="23"/>
      <c r="P19" s="538" t="s">
        <v>55</v>
      </c>
      <c r="Q19" s="539"/>
      <c r="R19" s="540">
        <v>30.0</v>
      </c>
      <c r="S19" s="365">
        <v>-18.35</v>
      </c>
      <c r="T19" s="323">
        <f t="shared" si="2"/>
        <v>46446</v>
      </c>
      <c r="U19" s="64"/>
      <c r="V19" s="23"/>
      <c r="W19" s="64"/>
      <c r="X19" s="303"/>
      <c r="Y19" s="23"/>
      <c r="Z19" s="23"/>
    </row>
    <row r="20" ht="18.75" customHeight="1">
      <c r="A20" s="55"/>
      <c r="B20" s="56"/>
      <c r="C20" s="55"/>
      <c r="D20" s="56"/>
      <c r="E20" s="55"/>
      <c r="F20" s="56"/>
      <c r="G20" s="55"/>
      <c r="H20" s="56"/>
      <c r="I20" s="55"/>
      <c r="J20" s="56"/>
      <c r="K20" s="58"/>
      <c r="L20" s="57"/>
      <c r="M20" s="55"/>
      <c r="N20" s="56"/>
      <c r="O20" s="23"/>
      <c r="P20" s="319" t="s">
        <v>29</v>
      </c>
      <c r="Q20" s="320"/>
      <c r="R20" s="321">
        <v>5.0</v>
      </c>
      <c r="S20" s="322">
        <v>-16.19</v>
      </c>
      <c r="T20" s="323">
        <f t="shared" si="2"/>
        <v>46423</v>
      </c>
      <c r="U20" s="64"/>
      <c r="V20" s="23"/>
      <c r="W20" s="64"/>
      <c r="X20" s="303"/>
      <c r="Y20" s="23"/>
      <c r="Z20" s="23"/>
    </row>
    <row r="21" ht="18.75" customHeight="1">
      <c r="A21" s="55"/>
      <c r="B21" s="56"/>
      <c r="C21" s="55"/>
      <c r="D21" s="56"/>
      <c r="E21" s="55"/>
      <c r="F21" s="56"/>
      <c r="G21" s="55"/>
      <c r="H21" s="56"/>
      <c r="I21" s="55"/>
      <c r="J21" s="56"/>
      <c r="K21" s="58"/>
      <c r="L21" s="57"/>
      <c r="M21" s="55"/>
      <c r="N21" s="56"/>
      <c r="O21" s="23"/>
      <c r="P21" s="319" t="s">
        <v>43</v>
      </c>
      <c r="Q21" s="320"/>
      <c r="R21" s="321">
        <v>17.0</v>
      </c>
      <c r="S21" s="322">
        <v>-9.99</v>
      </c>
      <c r="T21" s="323">
        <f t="shared" si="2"/>
        <v>46435</v>
      </c>
      <c r="U21" s="64"/>
      <c r="V21" s="303"/>
      <c r="W21" s="64"/>
      <c r="X21" s="303"/>
      <c r="Y21" s="23"/>
      <c r="Z21" s="23"/>
    </row>
    <row r="22" ht="18.75" customHeight="1">
      <c r="A22" s="66" t="s">
        <v>22</v>
      </c>
      <c r="B22" s="67">
        <f>N16+SUM(B17:B21)</f>
        <v>5206.34</v>
      </c>
      <c r="C22" s="66"/>
      <c r="D22" s="67">
        <f>B22+SUM(D17:D21)</f>
        <v>5206.34</v>
      </c>
      <c r="E22" s="66"/>
      <c r="F22" s="67">
        <f>D22+SUM(F17:F21)</f>
        <v>5107.34</v>
      </c>
      <c r="G22" s="66"/>
      <c r="H22" s="67">
        <f>F22+SUM(H17:H21)</f>
        <v>5107.34</v>
      </c>
      <c r="I22" s="66"/>
      <c r="J22" s="67">
        <f>H22+SUM(J17:J21)</f>
        <v>5057.34</v>
      </c>
      <c r="K22" s="66"/>
      <c r="L22" s="67">
        <f>J22+SUM(L17:L21)</f>
        <v>4273.26</v>
      </c>
      <c r="M22" s="66"/>
      <c r="N22" s="67">
        <f>L22+SUM(N17:N21)</f>
        <v>4273.26</v>
      </c>
      <c r="O22" s="68"/>
      <c r="P22" s="319" t="s">
        <v>54</v>
      </c>
      <c r="Q22" s="320"/>
      <c r="R22" s="321">
        <v>30.0</v>
      </c>
      <c r="S22" s="322">
        <v>-11.0</v>
      </c>
      <c r="T22" s="323">
        <f t="shared" si="2"/>
        <v>46446</v>
      </c>
      <c r="W22" s="71"/>
      <c r="X22" s="309"/>
      <c r="Y22" s="69"/>
      <c r="Z22" s="69"/>
    </row>
    <row r="23" ht="18.75" customHeight="1">
      <c r="A23" s="50">
        <f>IF(M17="","",IF(MONTH(M17+1)&lt;&gt;MONTH(M17),"",M17+1))</f>
        <v>46432</v>
      </c>
      <c r="B23" s="51">
        <f>SUMIF($T$11:$T$130,A23,$S$11:$S$91)</f>
        <v>0</v>
      </c>
      <c r="C23" s="50">
        <f>IF(A23="","",IF(MONTH(A23+1)&lt;&gt;MONTH(A23),"",A23+1))</f>
        <v>46433</v>
      </c>
      <c r="D23" s="51">
        <f>SUMIF($T$11:$T$130,C23,$S$11:$S$91)</f>
        <v>0</v>
      </c>
      <c r="E23" s="50">
        <f>IF(C23="","",IF(MONTH(C23+1)&lt;&gt;MONTH(C23),"",C23+1))</f>
        <v>46434</v>
      </c>
      <c r="F23" s="51">
        <f>SUMIF($T$11:$T$130,E23,$S$11:$S$91)</f>
        <v>-550</v>
      </c>
      <c r="G23" s="50">
        <f>IF(E23="","",IF(MONTH(E23+1)&lt;&gt;MONTH(E23),"",E23+1))</f>
        <v>46435</v>
      </c>
      <c r="H23" s="51">
        <f>SUMIF($T$11:$T$130,G23,$S$11:$S$91)</f>
        <v>-15.98</v>
      </c>
      <c r="I23" s="50">
        <f>IF(G23="","",IF(MONTH(G23+1)&lt;&gt;MONTH(G23),"",G23+1))</f>
        <v>46436</v>
      </c>
      <c r="J23" s="51">
        <f>SUMIF($T$11:$T$130,I23,$S$11:$S$91)</f>
        <v>-151</v>
      </c>
      <c r="K23" s="50">
        <f>IF(I23="","",IF(MONTH(I23+1)&lt;&gt;MONTH(I23),"",I23+1))</f>
        <v>46437</v>
      </c>
      <c r="L23" s="51">
        <f>SUMIF($T$11:$T$130,K23,$S$11:$S$91)</f>
        <v>2158.8</v>
      </c>
      <c r="M23" s="50">
        <f>IF(K23="","",IF(MONTH(K23+1)&lt;&gt;MONTH(K23),"",K23+1))</f>
        <v>46438</v>
      </c>
      <c r="N23" s="51">
        <f>SUMIF($T$11:$T$130,M23,$S$11:$S$91)</f>
        <v>0</v>
      </c>
      <c r="O23" s="23"/>
      <c r="P23" s="319" t="s">
        <v>30</v>
      </c>
      <c r="Q23" s="320"/>
      <c r="R23" s="321">
        <v>6.0</v>
      </c>
      <c r="S23" s="322">
        <v>-301.0</v>
      </c>
      <c r="T23" s="323">
        <f t="shared" si="2"/>
        <v>46424</v>
      </c>
      <c r="U23" s="64"/>
      <c r="V23" s="23"/>
      <c r="W23" s="64"/>
      <c r="X23" s="303"/>
      <c r="Y23" s="23"/>
      <c r="Z23" s="23"/>
    </row>
    <row r="24" ht="18.75" customHeight="1">
      <c r="A24" s="55"/>
      <c r="B24" s="56"/>
      <c r="C24" s="58" t="s">
        <v>230</v>
      </c>
      <c r="D24" s="57">
        <v>-38.0</v>
      </c>
      <c r="E24" s="55"/>
      <c r="F24" s="56"/>
      <c r="G24" s="413"/>
      <c r="H24" s="535"/>
      <c r="I24" s="55"/>
      <c r="J24" s="56"/>
      <c r="K24" s="58"/>
      <c r="L24" s="57"/>
      <c r="M24" s="55"/>
      <c r="N24" s="56"/>
      <c r="O24" s="23"/>
      <c r="P24" s="319" t="s">
        <v>47</v>
      </c>
      <c r="Q24" s="320"/>
      <c r="R24" s="321">
        <v>1.0</v>
      </c>
      <c r="S24" s="608">
        <v>1500.0</v>
      </c>
      <c r="T24" s="323">
        <f t="shared" si="2"/>
        <v>46419</v>
      </c>
      <c r="U24" s="64"/>
      <c r="V24" s="23"/>
      <c r="W24" s="64"/>
      <c r="X24" s="303"/>
      <c r="Y24" s="23"/>
      <c r="Z24" s="23"/>
    </row>
    <row r="25" ht="18.75" customHeight="1">
      <c r="A25" s="55"/>
      <c r="B25" s="56"/>
      <c r="C25" s="55"/>
      <c r="D25" s="56"/>
      <c r="E25" s="55"/>
      <c r="F25" s="56"/>
      <c r="G25" s="55"/>
      <c r="H25" s="56"/>
      <c r="I25" s="55"/>
      <c r="J25" s="56"/>
      <c r="K25" s="55"/>
      <c r="L25" s="56"/>
      <c r="M25" s="55"/>
      <c r="N25" s="56"/>
      <c r="O25" s="23"/>
      <c r="P25" s="319" t="s">
        <v>19</v>
      </c>
      <c r="Q25" s="320"/>
      <c r="R25" s="321">
        <v>5.0</v>
      </c>
      <c r="S25" s="322">
        <v>2308.8</v>
      </c>
      <c r="T25" s="323">
        <f t="shared" si="2"/>
        <v>46423</v>
      </c>
      <c r="U25" s="64"/>
      <c r="V25" s="23"/>
      <c r="W25" s="64"/>
      <c r="X25" s="303"/>
      <c r="Y25" s="23"/>
      <c r="Z25" s="23"/>
    </row>
    <row r="26" ht="18.75" customHeight="1">
      <c r="A26" s="55"/>
      <c r="B26" s="56"/>
      <c r="C26" s="55"/>
      <c r="D26" s="56"/>
      <c r="E26" s="55"/>
      <c r="F26" s="56"/>
      <c r="G26" s="55"/>
      <c r="H26" s="56"/>
      <c r="I26" s="55"/>
      <c r="J26" s="56"/>
      <c r="K26" s="55"/>
      <c r="L26" s="56"/>
      <c r="M26" s="55"/>
      <c r="N26" s="56"/>
      <c r="O26" s="23"/>
      <c r="P26" s="319" t="s">
        <v>19</v>
      </c>
      <c r="Q26" s="320"/>
      <c r="R26" s="321">
        <v>19.0</v>
      </c>
      <c r="S26" s="322">
        <v>2308.8</v>
      </c>
      <c r="T26" s="323">
        <f t="shared" si="2"/>
        <v>46437</v>
      </c>
      <c r="U26" s="64"/>
      <c r="V26" s="23"/>
      <c r="W26" s="64"/>
      <c r="X26" s="303"/>
      <c r="Y26" s="23"/>
      <c r="Z26" s="23"/>
    </row>
    <row r="27" ht="18.75" customHeight="1">
      <c r="A27" s="55"/>
      <c r="B27" s="56"/>
      <c r="C27" s="55"/>
      <c r="D27" s="56"/>
      <c r="E27" s="55"/>
      <c r="F27" s="56"/>
      <c r="G27" s="55"/>
      <c r="H27" s="56"/>
      <c r="I27" s="55"/>
      <c r="J27" s="56"/>
      <c r="K27" s="55"/>
      <c r="L27" s="56"/>
      <c r="M27" s="55"/>
      <c r="N27" s="56"/>
      <c r="O27" s="23"/>
      <c r="P27" s="319" t="s">
        <v>151</v>
      </c>
      <c r="Q27" s="320"/>
      <c r="R27" s="321"/>
      <c r="S27" s="322"/>
      <c r="T27" s="323" t="str">
        <f t="shared" si="2"/>
        <v>-</v>
      </c>
      <c r="U27" s="64"/>
      <c r="V27" s="23"/>
      <c r="W27" s="64"/>
      <c r="X27" s="303"/>
      <c r="Y27" s="23"/>
      <c r="Z27" s="23"/>
    </row>
    <row r="28" ht="18.75" customHeight="1">
      <c r="A28" s="66" t="s">
        <v>22</v>
      </c>
      <c r="B28" s="67">
        <f>N22+SUM(B23:B27)</f>
        <v>4273.26</v>
      </c>
      <c r="C28" s="66"/>
      <c r="D28" s="67">
        <f>B28+SUM(D23:D27)</f>
        <v>4235.26</v>
      </c>
      <c r="E28" s="66"/>
      <c r="F28" s="67">
        <f>D28+SUM(F23:F27)</f>
        <v>3685.26</v>
      </c>
      <c r="G28" s="66"/>
      <c r="H28" s="67">
        <f>F28+SUM(H23:H27)</f>
        <v>3669.28</v>
      </c>
      <c r="I28" s="66"/>
      <c r="J28" s="67">
        <f>H28+SUM(J23:J27)</f>
        <v>3518.28</v>
      </c>
      <c r="K28" s="66"/>
      <c r="L28" s="67">
        <f>J28+SUM(L23:L27)</f>
        <v>5677.08</v>
      </c>
      <c r="M28" s="66"/>
      <c r="N28" s="67">
        <f>L28+SUM(N23:N27)</f>
        <v>5677.08</v>
      </c>
      <c r="O28" s="68"/>
      <c r="P28" s="406" t="s">
        <v>142</v>
      </c>
      <c r="Q28" s="407"/>
      <c r="R28" s="408">
        <v>1.0</v>
      </c>
      <c r="S28" s="409"/>
      <c r="T28" s="323">
        <f t="shared" si="2"/>
        <v>46419</v>
      </c>
      <c r="U28" s="71"/>
      <c r="V28" s="69"/>
      <c r="W28" s="71"/>
      <c r="X28" s="309"/>
      <c r="Y28" s="69"/>
      <c r="Z28" s="69"/>
    </row>
    <row r="29" ht="18.75" customHeight="1">
      <c r="A29" s="50">
        <f>IF(M23="","",IF(MONTH(M23+1)&lt;&gt;MONTH(M23),"",M23+1))</f>
        <v>46439</v>
      </c>
      <c r="B29" s="51">
        <f>SUMIF($T$11:$T$130,A29,$S$11:$S$91)</f>
        <v>0</v>
      </c>
      <c r="C29" s="50">
        <f>IF(A29="","",IF(MONTH(A29+1)&lt;&gt;MONTH(A29),"",A29+1))</f>
        <v>46440</v>
      </c>
      <c r="D29" s="51">
        <f>SUMIF($T$11:$T$130,C29,$S$11:$S$91)</f>
        <v>0</v>
      </c>
      <c r="E29" s="50">
        <f>IF(C29="","",IF(MONTH(C29+1)&lt;&gt;MONTH(C29),"",C29+1))</f>
        <v>46441</v>
      </c>
      <c r="F29" s="51">
        <f>SUMIF($T$11:$T$130,E29,$S$11:$S$91)</f>
        <v>-10.99</v>
      </c>
      <c r="G29" s="50">
        <f>IF(E29="","",IF(MONTH(E29+1)&lt;&gt;MONTH(E29),"",E29+1))</f>
        <v>46442</v>
      </c>
      <c r="H29" s="51">
        <f>SUMIF($T$11:$T$130,G29,$S$11:$S$91)</f>
        <v>0</v>
      </c>
      <c r="I29" s="50">
        <f>IF(G29="","",IF(MONTH(G29+1)&lt;&gt;MONTH(G29),"",G29+1))</f>
        <v>46443</v>
      </c>
      <c r="J29" s="51">
        <f>SUMIF($T$11:$T$130,I29,$S$11:$S$91)</f>
        <v>0</v>
      </c>
      <c r="K29" s="50">
        <f>IF(I29="","",IF(MONTH(I29+1)&lt;&gt;MONTH(I29),"",I29+1))</f>
        <v>46444</v>
      </c>
      <c r="L29" s="51">
        <f>SUMIF($T$11:$T$130,K29,$S$11:$S$91)</f>
        <v>-195.35</v>
      </c>
      <c r="M29" s="50">
        <f>IF(K29="","",IF(MONTH(K29+1)&lt;&gt;MONTH(K29),"",K29+1))</f>
        <v>46445</v>
      </c>
      <c r="N29" s="51">
        <f>SUMIF($T$11:$T$130,M29,$S$11:$S$91)</f>
        <v>0</v>
      </c>
      <c r="O29" s="23"/>
      <c r="P29" s="406" t="s">
        <v>142</v>
      </c>
      <c r="Q29" s="407"/>
      <c r="R29" s="408">
        <v>24.0</v>
      </c>
      <c r="S29" s="409"/>
      <c r="T29" s="323">
        <f t="shared" si="2"/>
        <v>46442</v>
      </c>
      <c r="U29" s="64"/>
      <c r="V29" s="23"/>
      <c r="W29" s="64"/>
      <c r="X29" s="303"/>
      <c r="Y29" s="23"/>
      <c r="Z29" s="23"/>
    </row>
    <row r="30" ht="18.75" customHeight="1">
      <c r="A30" s="55"/>
      <c r="B30" s="56"/>
      <c r="C30" s="55"/>
      <c r="D30" s="56"/>
      <c r="E30" s="485" t="s">
        <v>202</v>
      </c>
      <c r="F30" s="486"/>
      <c r="G30" s="58" t="s">
        <v>139</v>
      </c>
      <c r="H30" s="57">
        <v>-99.0</v>
      </c>
      <c r="I30" s="55"/>
      <c r="J30" s="56"/>
      <c r="K30" s="55"/>
      <c r="L30" s="57"/>
      <c r="M30" s="55"/>
      <c r="N30" s="56"/>
      <c r="O30" s="23"/>
      <c r="P30" s="319" t="s">
        <v>142</v>
      </c>
      <c r="Q30" s="320"/>
      <c r="R30" s="321"/>
      <c r="S30" s="322"/>
      <c r="T30" s="323" t="str">
        <f t="shared" si="2"/>
        <v>-</v>
      </c>
      <c r="U30" s="64"/>
      <c r="V30" s="23"/>
      <c r="W30" s="64"/>
      <c r="X30" s="303"/>
      <c r="Y30" s="23"/>
      <c r="Z30" s="23"/>
    </row>
    <row r="31" ht="18.75" customHeight="1">
      <c r="A31" s="55"/>
      <c r="B31" s="56"/>
      <c r="C31" s="55"/>
      <c r="D31" s="56"/>
      <c r="E31" s="55"/>
      <c r="F31" s="56"/>
      <c r="G31" s="55"/>
      <c r="H31" s="56"/>
      <c r="I31" s="55"/>
      <c r="J31" s="56"/>
      <c r="K31" s="58" t="s">
        <v>160</v>
      </c>
      <c r="L31" s="57"/>
      <c r="M31" s="55"/>
      <c r="N31" s="56"/>
      <c r="O31" s="23"/>
      <c r="P31" s="367"/>
      <c r="Q31" s="368"/>
      <c r="R31" s="405"/>
      <c r="S31" s="370"/>
      <c r="T31" s="376" t="str">
        <f>IF(ISBLANK(R31),"-",IF(R31&gt;DAY(EOMONTH(DATE($B$2,$E$2,1),0)),EOMONTH(DATE($B$2,$E$2,1),0),DATE($B$2,$E$2,R31)))</f>
        <v>-</v>
      </c>
      <c r="U31" s="64"/>
      <c r="V31" s="23"/>
      <c r="W31" s="64"/>
      <c r="X31" s="303"/>
      <c r="Y31" s="23"/>
      <c r="Z31" s="23"/>
    </row>
    <row r="32" ht="18.75" customHeight="1">
      <c r="A32" s="55"/>
      <c r="B32" s="56"/>
      <c r="C32" s="55"/>
      <c r="D32" s="56"/>
      <c r="E32" s="55"/>
      <c r="F32" s="56"/>
      <c r="G32" s="55"/>
      <c r="H32" s="56"/>
      <c r="I32" s="55"/>
      <c r="J32" s="56"/>
      <c r="K32" s="58" t="s">
        <v>161</v>
      </c>
      <c r="L32" s="57"/>
      <c r="M32" s="55"/>
      <c r="N32" s="56"/>
      <c r="O32" s="23"/>
      <c r="P32" s="319" t="s">
        <v>46</v>
      </c>
      <c r="Q32" s="320"/>
      <c r="R32" s="321">
        <v>23.0</v>
      </c>
      <c r="S32" s="322">
        <v>-10.99</v>
      </c>
      <c r="T32" s="323">
        <f t="shared" ref="T32:T36" si="3">IF(ISBLANK(R32),"-",IF(R32&gt;DAY(EOMONTH(DATE($B$2,$E$2,1),0)),EOMONTH(DATE($B$2,$E$2,1),0),DATE($B$2,$E$2,R32)))</f>
        <v>46441</v>
      </c>
      <c r="U32" s="64"/>
      <c r="V32" s="23"/>
      <c r="W32" s="64"/>
      <c r="X32" s="303"/>
      <c r="Y32" s="23"/>
      <c r="Z32" s="23"/>
    </row>
    <row r="33" ht="18.75" customHeight="1">
      <c r="A33" s="55"/>
      <c r="B33" s="56"/>
      <c r="C33" s="55"/>
      <c r="D33" s="56"/>
      <c r="E33" s="55"/>
      <c r="F33" s="56"/>
      <c r="G33" s="55"/>
      <c r="H33" s="56"/>
      <c r="I33" s="55"/>
      <c r="J33" s="56"/>
      <c r="K33" s="55"/>
      <c r="L33" s="56"/>
      <c r="M33" s="55"/>
      <c r="N33" s="56"/>
      <c r="O33" s="23"/>
      <c r="P33" s="538" t="s">
        <v>44</v>
      </c>
      <c r="Q33" s="539"/>
      <c r="R33" s="540">
        <v>26.0</v>
      </c>
      <c r="S33" s="365">
        <v>-18.35</v>
      </c>
      <c r="T33" s="323">
        <f t="shared" si="3"/>
        <v>46444</v>
      </c>
      <c r="U33" s="64"/>
      <c r="V33" s="23"/>
      <c r="W33" s="64"/>
      <c r="X33" s="303"/>
      <c r="Y33" s="23"/>
      <c r="Z33" s="23"/>
    </row>
    <row r="34" ht="18.75" customHeight="1">
      <c r="A34" s="66" t="s">
        <v>22</v>
      </c>
      <c r="B34" s="67">
        <f>N28+SUM(B29:B33)</f>
        <v>5677.08</v>
      </c>
      <c r="C34" s="66"/>
      <c r="D34" s="67">
        <f>B34+SUM(D29:D33)</f>
        <v>5677.08</v>
      </c>
      <c r="E34" s="66"/>
      <c r="F34" s="67">
        <f>D34+SUM(F29:F33)</f>
        <v>5666.09</v>
      </c>
      <c r="G34" s="66"/>
      <c r="H34" s="67">
        <f>F34+SUM(H29:H33)</f>
        <v>5567.09</v>
      </c>
      <c r="I34" s="66"/>
      <c r="J34" s="67">
        <f>H34+SUM(J29:J33)</f>
        <v>5567.09</v>
      </c>
      <c r="K34" s="66"/>
      <c r="L34" s="67">
        <f>J34+SUM(L29:L33)</f>
        <v>5371.74</v>
      </c>
      <c r="M34" s="66"/>
      <c r="N34" s="67">
        <f>L34+SUM(N29:N33)</f>
        <v>5371.74</v>
      </c>
      <c r="O34" s="68"/>
      <c r="P34" s="319" t="s">
        <v>40</v>
      </c>
      <c r="Q34" s="320"/>
      <c r="R34" s="321">
        <v>12.0</v>
      </c>
      <c r="S34" s="322">
        <v>-102.0</v>
      </c>
      <c r="T34" s="323">
        <f t="shared" si="3"/>
        <v>46430</v>
      </c>
      <c r="U34" s="71"/>
      <c r="V34" s="69"/>
      <c r="W34" s="71"/>
      <c r="X34" s="309"/>
      <c r="Y34" s="69"/>
      <c r="Z34" s="69"/>
    </row>
    <row r="35" ht="18.75" customHeight="1">
      <c r="A35" s="50">
        <f>IF(M29="","",IF(MONTH(M29+1)&lt;&gt;MONTH(M29),"",M29+1))</f>
        <v>46446</v>
      </c>
      <c r="B35" s="51">
        <f>SUMIF($T$11:$T$130,A35,$S$11:$S$91)</f>
        <v>-1105.94</v>
      </c>
      <c r="C35" s="50" t="str">
        <f>IF(A35="","",IF(MONTH(A35+1)&lt;&gt;MONTH(A35),"",A35+1))</f>
        <v/>
      </c>
      <c r="D35" s="51">
        <f>SUMIF($T$11:$T$130,C35,$S$11:$S$91)</f>
        <v>0</v>
      </c>
      <c r="E35" s="50" t="str">
        <f>IF(C35="","",IF(MONTH(C35+1)&lt;&gt;MONTH(C35),"",C35+1))</f>
        <v/>
      </c>
      <c r="F35" s="51">
        <f>SUMIF($T$11:$T$130,E35,$S$11:$S$91)</f>
        <v>0</v>
      </c>
      <c r="G35" s="50" t="str">
        <f>IF(E35="","",IF(MONTH(E35+1)&lt;&gt;MONTH(E35),"",E35+1))</f>
        <v/>
      </c>
      <c r="H35" s="51">
        <f>SUMIF($T$11:$T$130,G35,$S$11:$S$91)</f>
        <v>0</v>
      </c>
      <c r="I35" s="50" t="str">
        <f>IF(G35="","",IF(MONTH(G35+1)&lt;&gt;MONTH(G35),"",G35+1))</f>
        <v/>
      </c>
      <c r="J35" s="51">
        <f>SUMIF($T$11:$T$130,I35,$S$11:$S$91)</f>
        <v>0</v>
      </c>
      <c r="K35" s="50" t="str">
        <f>IF(I35="","",IF(MONTH(I35+1)&lt;&gt;MONTH(I35),"",I35+1))</f>
        <v/>
      </c>
      <c r="L35" s="51">
        <f>SUMIF($T$11:$T$130,K35,$S$11:$S$91)</f>
        <v>0</v>
      </c>
      <c r="M35" s="50" t="str">
        <f>IF(K35="","",IF(MONTH(K35+1)&lt;&gt;MONTH(K35),"",K35+1))</f>
        <v/>
      </c>
      <c r="N35" s="51">
        <f>SUMIF($T$11:$T$130,M35,$S$11:$S$91)</f>
        <v>0</v>
      </c>
      <c r="O35" s="23"/>
      <c r="P35" s="319" t="s">
        <v>34</v>
      </c>
      <c r="Q35" s="320"/>
      <c r="R35" s="321">
        <v>17.0</v>
      </c>
      <c r="S35" s="322">
        <v>-5.99</v>
      </c>
      <c r="T35" s="323">
        <f t="shared" si="3"/>
        <v>46435</v>
      </c>
      <c r="U35" s="64"/>
      <c r="V35" s="23"/>
      <c r="W35" s="64"/>
      <c r="X35" s="303"/>
      <c r="Y35" s="23"/>
      <c r="Z35" s="23"/>
    </row>
    <row r="36" ht="18.75" customHeight="1">
      <c r="A36" s="55"/>
      <c r="B36" s="56"/>
      <c r="C36" s="55"/>
      <c r="D36" s="56"/>
      <c r="E36" s="55"/>
      <c r="F36" s="56"/>
      <c r="G36" s="55"/>
      <c r="H36" s="57"/>
      <c r="I36" s="55"/>
      <c r="J36" s="56"/>
      <c r="K36" s="55"/>
      <c r="L36" s="56"/>
      <c r="M36" s="55"/>
      <c r="N36" s="56"/>
      <c r="O36" s="23"/>
      <c r="P36" s="319" t="s">
        <v>34</v>
      </c>
      <c r="Q36" s="320"/>
      <c r="R36" s="321">
        <v>24.0</v>
      </c>
      <c r="S36" s="322"/>
      <c r="T36" s="323">
        <f t="shared" si="3"/>
        <v>46442</v>
      </c>
      <c r="U36" s="64"/>
      <c r="V36" s="23"/>
      <c r="W36" s="64"/>
      <c r="X36" s="303"/>
      <c r="Y36" s="23"/>
      <c r="Z36" s="23"/>
    </row>
    <row r="37" ht="18.75" customHeight="1">
      <c r="A37" s="55"/>
      <c r="B37" s="56"/>
      <c r="C37" s="55"/>
      <c r="D37" s="56"/>
      <c r="E37" s="55"/>
      <c r="F37" s="56"/>
      <c r="G37" s="55"/>
      <c r="H37" s="56"/>
      <c r="I37" s="55"/>
      <c r="J37" s="56"/>
      <c r="K37" s="55"/>
      <c r="L37" s="56"/>
      <c r="M37" s="55"/>
      <c r="N37" s="56"/>
      <c r="O37" s="23"/>
      <c r="P37" s="367" t="s">
        <v>51</v>
      </c>
      <c r="Q37" s="368"/>
      <c r="R37" s="405">
        <v>26.0</v>
      </c>
      <c r="S37" s="370">
        <v>-27.0</v>
      </c>
      <c r="T37" s="376">
        <f>IF(ISBLANK(R37),"-",IF(R37&gt;DAY(EOMONTH(DATE($B$2,$E$2,1),0)),EOMONTH(DATE($B$2,$E$2,1),0),DATE($B$2,$E$2,R37)))</f>
        <v>46444</v>
      </c>
      <c r="U37" s="64"/>
      <c r="V37" s="23"/>
      <c r="W37" s="64"/>
      <c r="X37" s="303"/>
      <c r="Y37" s="23"/>
      <c r="Z37" s="23"/>
    </row>
    <row r="38" ht="18.75" customHeight="1">
      <c r="A38" s="55"/>
      <c r="B38" s="56"/>
      <c r="C38" s="55"/>
      <c r="D38" s="56"/>
      <c r="E38" s="55"/>
      <c r="F38" s="56"/>
      <c r="G38" s="55"/>
      <c r="H38" s="56"/>
      <c r="I38" s="55"/>
      <c r="J38" s="56"/>
      <c r="K38" s="55"/>
      <c r="L38" s="56"/>
      <c r="M38" s="55"/>
      <c r="N38" s="56"/>
      <c r="O38" s="23"/>
      <c r="P38" s="367" t="s">
        <v>53</v>
      </c>
      <c r="Q38" s="368"/>
      <c r="R38" s="405">
        <v>29.0</v>
      </c>
      <c r="S38" s="370">
        <v>-10.99</v>
      </c>
      <c r="T38" s="323">
        <f t="shared" ref="T38:T40" si="4">IF(ISBLANK(R38),"-",IF(R38&gt;DAY(EOMONTH(DATE($B$2,$E$2,1),0)),EOMONTH(DATE($B$2,$E$2,1),0),DATE($B$2,$E$2,R38)))</f>
        <v>46446</v>
      </c>
      <c r="U38" s="64"/>
      <c r="V38" s="23"/>
      <c r="W38" s="64"/>
      <c r="X38" s="303"/>
      <c r="Y38" s="23"/>
      <c r="Z38" s="23"/>
    </row>
    <row r="39" ht="18.75" customHeight="1">
      <c r="A39" s="55"/>
      <c r="B39" s="56"/>
      <c r="C39" s="55"/>
      <c r="D39" s="56"/>
      <c r="E39" s="55"/>
      <c r="F39" s="56"/>
      <c r="G39" s="55"/>
      <c r="H39" s="56"/>
      <c r="I39" s="55"/>
      <c r="J39" s="56"/>
      <c r="K39" s="55"/>
      <c r="L39" s="56"/>
      <c r="M39" s="55"/>
      <c r="N39" s="56"/>
      <c r="O39" s="23"/>
      <c r="P39" s="319" t="s">
        <v>27</v>
      </c>
      <c r="Q39" s="320"/>
      <c r="R39" s="321">
        <v>3.0</v>
      </c>
      <c r="S39" s="322">
        <v>-33.0</v>
      </c>
      <c r="T39" s="323">
        <f t="shared" si="4"/>
        <v>46421</v>
      </c>
      <c r="U39" s="64"/>
      <c r="V39" s="23"/>
      <c r="W39" s="64"/>
      <c r="X39" s="303"/>
      <c r="Y39" s="23"/>
      <c r="Z39" s="23"/>
    </row>
    <row r="40" ht="18.75" customHeight="1">
      <c r="A40" s="66" t="s">
        <v>22</v>
      </c>
      <c r="B40" s="67">
        <f>N34+SUM(B35:B39)</f>
        <v>4265.8</v>
      </c>
      <c r="C40" s="66"/>
      <c r="D40" s="67">
        <f>B40+SUM(D35:D39)</f>
        <v>4265.8</v>
      </c>
      <c r="E40" s="66"/>
      <c r="F40" s="67">
        <f>D40+SUM(F35:F39)</f>
        <v>4265.8</v>
      </c>
      <c r="G40" s="66"/>
      <c r="H40" s="67">
        <f>F40+SUM(H35:H39)</f>
        <v>4265.8</v>
      </c>
      <c r="I40" s="66"/>
      <c r="J40" s="67">
        <f>H40+SUM(J35:J39)</f>
        <v>4265.8</v>
      </c>
      <c r="K40" s="66"/>
      <c r="L40" s="67">
        <f>J40+SUM(L35:L39)</f>
        <v>4265.8</v>
      </c>
      <c r="M40" s="66"/>
      <c r="N40" s="67">
        <f>L40+SUM(N35:N39)</f>
        <v>4265.8</v>
      </c>
      <c r="O40" s="68"/>
      <c r="P40" s="406" t="s">
        <v>186</v>
      </c>
      <c r="Q40" s="407"/>
      <c r="R40" s="408">
        <v>4.0</v>
      </c>
      <c r="S40" s="409">
        <v>-50.0</v>
      </c>
      <c r="T40" s="323">
        <f t="shared" si="4"/>
        <v>46422</v>
      </c>
      <c r="U40" s="71"/>
      <c r="V40" s="69"/>
      <c r="W40" s="71"/>
      <c r="X40" s="309"/>
      <c r="Y40" s="69"/>
      <c r="Z40" s="69"/>
    </row>
    <row r="41" ht="18.75" customHeight="1">
      <c r="A41" s="50" t="str">
        <f>IF(M35="","",IF(MONTH(M35+1)&lt;&gt;MONTH(M35),"",M35+1))</f>
        <v/>
      </c>
      <c r="B41" s="616">
        <v>0.0</v>
      </c>
      <c r="C41" s="50" t="str">
        <f>IF(A41="","",IF(MONTH(A41+1)&lt;&gt;MONTH(A41),"",A41+1))</f>
        <v/>
      </c>
      <c r="D41" s="616">
        <v>0.0</v>
      </c>
      <c r="E41" s="77"/>
      <c r="F41" s="77" t="s">
        <v>50</v>
      </c>
      <c r="G41" s="77"/>
      <c r="H41" s="77"/>
      <c r="I41" s="77"/>
      <c r="J41" s="77"/>
      <c r="K41" s="77"/>
      <c r="L41" s="77"/>
      <c r="M41" s="77"/>
      <c r="N41" s="77"/>
      <c r="P41" s="367" t="s">
        <v>214</v>
      </c>
      <c r="Q41" s="368"/>
      <c r="R41" s="405">
        <v>7.0</v>
      </c>
      <c r="S41" s="370">
        <v>-21.8</v>
      </c>
      <c r="T41" s="376">
        <f>IF(ISBLANK(R41),"-",IF(R41&gt;DAY(EOMONTH(DATE($B$2,$E$2,1),0)),EOMONTH(DATE($B$2,$E$2,1),0),DATE($B$2,$E$2,R41)))</f>
        <v>46425</v>
      </c>
      <c r="V41" s="313"/>
      <c r="X41" s="314"/>
    </row>
    <row r="42" ht="18.75" customHeight="1">
      <c r="A42" s="55"/>
      <c r="B42" s="56"/>
      <c r="C42" s="55"/>
      <c r="D42" s="56"/>
      <c r="E42" s="77"/>
      <c r="F42" s="77" t="s">
        <v>52</v>
      </c>
      <c r="G42" s="77"/>
      <c r="H42" s="77"/>
      <c r="I42" s="77"/>
      <c r="J42" s="77"/>
      <c r="K42" s="77"/>
      <c r="L42" s="77"/>
      <c r="M42" s="77"/>
      <c r="N42" s="77"/>
      <c r="P42" s="319" t="s">
        <v>38</v>
      </c>
      <c r="Q42" s="320"/>
      <c r="R42" s="321">
        <v>11.0</v>
      </c>
      <c r="S42" s="322">
        <v>-50.0</v>
      </c>
      <c r="T42" s="323">
        <f t="shared" ref="T42:T43" si="5">IF(ISBLANK(R42),"-",IF(R42&gt;DAY(EOMONTH(DATE($B$2,$E$2,1),0)),EOMONTH(DATE($B$2,$E$2,1),0),DATE($B$2,$E$2,R42)))</f>
        <v>46429</v>
      </c>
      <c r="V42" s="313"/>
      <c r="X42" s="314"/>
    </row>
    <row r="43" ht="18.75" customHeight="1">
      <c r="A43" s="55"/>
      <c r="B43" s="56"/>
      <c r="C43" s="55"/>
      <c r="D43" s="56"/>
      <c r="E43" s="77"/>
      <c r="F43" s="77"/>
      <c r="G43" s="77"/>
      <c r="H43" s="77"/>
      <c r="I43" s="77"/>
      <c r="J43" s="77"/>
      <c r="K43" s="77"/>
      <c r="L43" s="77"/>
      <c r="M43" s="77"/>
      <c r="N43" s="77"/>
      <c r="P43" s="319" t="s">
        <v>57</v>
      </c>
      <c r="Q43" s="320"/>
      <c r="R43" s="321">
        <v>28.0</v>
      </c>
      <c r="S43" s="322">
        <v>-370.0</v>
      </c>
      <c r="T43" s="323">
        <f t="shared" si="5"/>
        <v>46446</v>
      </c>
      <c r="V43" s="313"/>
    </row>
    <row r="44" ht="18.75" customHeight="1">
      <c r="A44" s="55"/>
      <c r="B44" s="56"/>
      <c r="C44" s="55"/>
      <c r="D44" s="56"/>
      <c r="E44" s="77"/>
      <c r="F44" s="77"/>
      <c r="G44" s="77"/>
      <c r="H44" s="108">
        <v>22.61</v>
      </c>
      <c r="I44" s="77"/>
      <c r="J44" s="77"/>
      <c r="K44" s="77"/>
      <c r="L44" s="77"/>
      <c r="M44" s="77"/>
      <c r="N44" s="77"/>
      <c r="P44" s="613" t="s">
        <v>24</v>
      </c>
      <c r="Q44" s="368"/>
      <c r="R44" s="614">
        <v>1.0</v>
      </c>
      <c r="S44" s="615">
        <v>-63.0</v>
      </c>
      <c r="T44" s="376">
        <f>IF(ISBLANK(R44),"-",IF(R44&gt;DAY(EOMONTH(DATE($B$2,$E$2,1),0)),EOMONTH(DATE($B$2,$E$2,1),0),DATE($B$2,$E$2,R44)))</f>
        <v>46419</v>
      </c>
      <c r="V44" s="313"/>
      <c r="X44" s="314"/>
    </row>
    <row r="45" ht="18.75" customHeight="1">
      <c r="A45" s="55"/>
      <c r="B45" s="56"/>
      <c r="C45" s="55"/>
      <c r="D45" s="56"/>
      <c r="E45" s="77"/>
      <c r="F45" s="77"/>
      <c r="G45" s="77"/>
      <c r="H45" s="326">
        <v>16.2</v>
      </c>
      <c r="I45" s="77"/>
      <c r="J45" s="77"/>
      <c r="K45" s="77"/>
      <c r="L45" s="77"/>
      <c r="M45" s="77"/>
      <c r="N45" s="77"/>
      <c r="P45" s="319" t="s">
        <v>26</v>
      </c>
      <c r="Q45" s="320"/>
      <c r="R45" s="321">
        <v>5.0</v>
      </c>
      <c r="S45" s="322">
        <v>-150.0</v>
      </c>
      <c r="T45" s="323">
        <f t="shared" ref="T45:T48" si="6">IF(ISBLANK(R45),"-",IF(R45&gt;DAY(EOMONTH(DATE($B$2,$E$2,1),0)),EOMONTH(DATE($B$2,$E$2,1),0),DATE($B$2,$E$2,R45)))</f>
        <v>46423</v>
      </c>
    </row>
    <row r="46" ht="18.75" customHeight="1">
      <c r="A46" s="66" t="s">
        <v>22</v>
      </c>
      <c r="B46" s="67">
        <f>N40+SUM(B41:B45)</f>
        <v>4265.8</v>
      </c>
      <c r="C46" s="66"/>
      <c r="D46" s="67">
        <f>B46+SUM(D41:D45)</f>
        <v>4265.8</v>
      </c>
      <c r="E46" s="77"/>
      <c r="F46" s="77"/>
      <c r="G46" s="77"/>
      <c r="H46" s="326">
        <v>20.9</v>
      </c>
      <c r="I46" s="77"/>
      <c r="J46" s="77"/>
      <c r="K46" s="77"/>
      <c r="L46" s="77"/>
      <c r="M46" s="77"/>
      <c r="N46" s="77"/>
      <c r="P46" s="319" t="s">
        <v>26</v>
      </c>
      <c r="Q46" s="320"/>
      <c r="R46" s="321">
        <v>12.0</v>
      </c>
      <c r="S46" s="322">
        <v>-150.0</v>
      </c>
      <c r="T46" s="323">
        <f t="shared" si="6"/>
        <v>46430</v>
      </c>
    </row>
    <row r="47" ht="12.75" customHeight="1">
      <c r="P47" s="319" t="s">
        <v>26</v>
      </c>
      <c r="Q47" s="320"/>
      <c r="R47" s="321">
        <v>19.0</v>
      </c>
      <c r="S47" s="322">
        <v>-150.0</v>
      </c>
      <c r="T47" s="323">
        <f t="shared" si="6"/>
        <v>46437</v>
      </c>
    </row>
    <row r="48" ht="12.75" customHeight="1">
      <c r="P48" s="319" t="s">
        <v>26</v>
      </c>
      <c r="Q48" s="320"/>
      <c r="R48" s="321">
        <v>26.0</v>
      </c>
      <c r="S48" s="322">
        <v>-150.0</v>
      </c>
      <c r="T48" s="323">
        <f t="shared" si="6"/>
        <v>46444</v>
      </c>
    </row>
    <row r="49" ht="12.75" customHeight="1">
      <c r="P49" s="367" t="s">
        <v>236</v>
      </c>
      <c r="Q49" s="368"/>
      <c r="R49" s="405">
        <v>16.0</v>
      </c>
      <c r="S49" s="370">
        <v>-550.0</v>
      </c>
      <c r="T49" s="376">
        <f>IF(ISBLANK(R49),"-",IF(R49&gt;DAY(EOMONTH(DATE($B$2,$E$2,1),0)),EOMONTH(DATE($B$2,$E$2,1),0),DATE($B$2,$E$2,R49)))</f>
        <v>46434</v>
      </c>
    </row>
    <row r="50" ht="12.75" customHeight="1">
      <c r="P50" s="542"/>
      <c r="Q50" s="407"/>
      <c r="R50" s="543"/>
      <c r="S50" s="544"/>
      <c r="T50" s="376" t="str">
        <f t="shared" ref="T50:T56" si="7">IF(ISBLANK(R50),"-",IF(R50&gt;DAY(EOMONTH(DATE($B$2,$E$2,1),0)),EOMONTH(DATE($B$2,$E$2,1),0),DATE($B$2,$E$2,$R$47)))</f>
        <v>-</v>
      </c>
    </row>
    <row r="51" ht="12.75" customHeight="1">
      <c r="P51" s="542"/>
      <c r="Q51" s="407"/>
      <c r="R51" s="543"/>
      <c r="S51" s="544"/>
      <c r="T51" s="376" t="str">
        <f t="shared" si="7"/>
        <v>-</v>
      </c>
    </row>
    <row r="52" ht="12.75" customHeight="1">
      <c r="P52" s="542"/>
      <c r="Q52" s="407"/>
      <c r="R52" s="543"/>
      <c r="S52" s="544"/>
      <c r="T52" s="376" t="str">
        <f t="shared" si="7"/>
        <v>-</v>
      </c>
    </row>
    <row r="53" ht="12.75" customHeight="1">
      <c r="P53" s="542"/>
      <c r="Q53" s="407"/>
      <c r="R53" s="543"/>
      <c r="S53" s="544"/>
      <c r="T53" s="376" t="str">
        <f t="shared" si="7"/>
        <v>-</v>
      </c>
    </row>
    <row r="54" ht="12.75" customHeight="1">
      <c r="P54" s="542"/>
      <c r="Q54" s="407"/>
      <c r="R54" s="543"/>
      <c r="S54" s="544"/>
      <c r="T54" s="376" t="str">
        <f t="shared" si="7"/>
        <v>-</v>
      </c>
    </row>
    <row r="55" ht="12.75" customHeight="1">
      <c r="P55" s="542"/>
      <c r="Q55" s="407"/>
      <c r="R55" s="543"/>
      <c r="S55" s="544"/>
      <c r="T55" s="376" t="str">
        <f t="shared" si="7"/>
        <v>-</v>
      </c>
    </row>
    <row r="56" ht="12.75" customHeight="1">
      <c r="P56" s="542"/>
      <c r="Q56" s="407"/>
      <c r="R56" s="543"/>
      <c r="S56" s="544"/>
      <c r="T56" s="376" t="str">
        <f t="shared" si="7"/>
        <v>-</v>
      </c>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c r="S927" s="337"/>
    </row>
    <row r="928" ht="12.75" customHeight="1">
      <c r="R928" s="336"/>
      <c r="S928" s="337"/>
    </row>
    <row r="929" ht="12.75" customHeight="1">
      <c r="R929" s="336"/>
      <c r="S929" s="337"/>
    </row>
    <row r="930" ht="12.75" customHeight="1">
      <c r="R930" s="336"/>
      <c r="S930" s="337"/>
    </row>
    <row r="931" ht="12.75" customHeight="1">
      <c r="R931" s="336"/>
      <c r="S931" s="337"/>
    </row>
    <row r="932" ht="12.75" customHeight="1">
      <c r="R932" s="336"/>
      <c r="S932" s="337"/>
    </row>
    <row r="933" ht="12.75" customHeight="1">
      <c r="R933" s="336"/>
      <c r="S933" s="337"/>
    </row>
    <row r="934" ht="12.75" customHeight="1">
      <c r="R934" s="336"/>
    </row>
    <row r="935" ht="12.75" customHeight="1">
      <c r="R935" s="336"/>
    </row>
    <row r="936" ht="12.75" customHeight="1">
      <c r="R936" s="336"/>
    </row>
    <row r="937" ht="12.75" customHeight="1">
      <c r="R937"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7">
    <cfRule type="cellIs" dxfId="5" priority="1" operator="lessThan">
      <formula>0</formula>
    </cfRule>
  </conditionalFormatting>
  <dataValidations>
    <dataValidation type="list" allowBlank="1" showErrorMessage="1" sqref="Q12:Q56">
      <formula1>"✔"</formula1>
    </dataValidation>
    <dataValidation type="custom" allowBlank="1" showDropDown="1" sqref="T12:T56">
      <formula1>OR(NOT(ISERROR(DATEVALUE(T12))), AND(ISNUMBER(T12), LEFT(CELL("format", T12))="D"))</formula1>
    </dataValidation>
  </dataValidations>
  <hyperlinks>
    <hyperlink r:id="rId1" ref="T3"/>
  </hyperlinks>
  <drawing r:id="rId2"/>
  <tableParts count="1">
    <tablePart r:id="rId4"/>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63"/>
    <col customWidth="1" min="3" max="3" width="6.13"/>
    <col customWidth="1" min="4" max="4" width="8.63"/>
    <col customWidth="1" min="5" max="5" width="6.13"/>
    <col customWidth="1" min="6" max="6" width="8.63"/>
    <col customWidth="1" min="7" max="7" width="6.13"/>
    <col customWidth="1" min="8" max="8" width="8.63"/>
    <col customWidth="1" min="9" max="9" width="6.13"/>
    <col customWidth="1" min="10" max="10" width="8.63"/>
    <col customWidth="1" min="11" max="11" width="6.13"/>
    <col customWidth="1" min="12" max="12" width="8.63"/>
    <col customWidth="1" min="13" max="13" width="6.13"/>
    <col customWidth="1" min="14" max="14" width="8.63"/>
    <col customWidth="1" min="15" max="15" width="2.13"/>
    <col customWidth="1" min="16" max="20" width="16.63"/>
    <col customWidth="1" min="21" max="26" width="8.63"/>
  </cols>
  <sheetData>
    <row r="1" ht="24.75" customHeight="1">
      <c r="A1" s="1" t="s">
        <v>0</v>
      </c>
      <c r="B1" s="2"/>
      <c r="C1" s="2"/>
      <c r="D1" s="3"/>
      <c r="E1" s="3"/>
      <c r="F1" s="2"/>
      <c r="G1" s="2"/>
      <c r="H1" s="2"/>
      <c r="I1" s="2"/>
      <c r="J1" s="4"/>
      <c r="K1" s="5"/>
      <c r="L1" s="4"/>
      <c r="M1" s="4"/>
      <c r="N1" s="4"/>
      <c r="O1" s="4"/>
      <c r="P1" s="6"/>
      <c r="Q1" s="6"/>
      <c r="R1" s="280"/>
      <c r="S1" s="281"/>
      <c r="T1" s="8"/>
    </row>
    <row r="2" ht="12.75" customHeight="1">
      <c r="A2" s="9" t="s">
        <v>1</v>
      </c>
      <c r="B2" s="10">
        <v>2027.0</v>
      </c>
      <c r="C2" s="3"/>
      <c r="D2" s="9" t="s">
        <v>2</v>
      </c>
      <c r="E2" s="10">
        <v>3.0</v>
      </c>
      <c r="F2" s="3"/>
      <c r="G2" s="9" t="s">
        <v>3</v>
      </c>
      <c r="H2" s="11">
        <v>1.0</v>
      </c>
      <c r="I2" s="12" t="s">
        <v>4</v>
      </c>
      <c r="J2" s="4"/>
      <c r="K2" s="5"/>
      <c r="L2" s="13"/>
      <c r="M2" s="13"/>
      <c r="N2" s="13"/>
      <c r="O2" s="13"/>
      <c r="P2" s="14"/>
      <c r="Q2" s="14"/>
      <c r="R2" s="282"/>
      <c r="S2" s="283"/>
      <c r="T2" s="16" t="s">
        <v>5</v>
      </c>
    </row>
    <row r="3" ht="12.75" customHeight="1">
      <c r="A3" s="3"/>
      <c r="B3" s="3"/>
      <c r="C3" s="3"/>
      <c r="D3" s="3"/>
      <c r="E3" s="3"/>
      <c r="F3" s="3"/>
      <c r="G3" s="3"/>
      <c r="H3" s="3"/>
      <c r="I3" s="4"/>
      <c r="J3" s="4"/>
      <c r="K3" s="4"/>
      <c r="L3" s="4"/>
      <c r="M3" s="4"/>
      <c r="N3" s="4"/>
      <c r="O3" s="4"/>
      <c r="P3" s="6"/>
      <c r="Q3" s="6"/>
      <c r="R3" s="280"/>
      <c r="S3" s="281"/>
      <c r="T3" s="17" t="s">
        <v>6</v>
      </c>
    </row>
    <row r="4" ht="12.75" customHeight="1">
      <c r="N4" s="18"/>
      <c r="P4" s="19"/>
      <c r="Q4" s="19"/>
      <c r="R4" s="285"/>
      <c r="S4" s="286"/>
      <c r="T4" s="19"/>
    </row>
    <row r="5" ht="25.5" customHeight="1">
      <c r="A5" s="21" t="str">
        <f>UPPER(TEXT(B8,"mmmm yyyy"))</f>
        <v>MARCH 2027</v>
      </c>
      <c r="B5" s="22"/>
      <c r="C5" s="22"/>
      <c r="D5" s="22"/>
      <c r="E5" s="22"/>
      <c r="F5" s="22"/>
      <c r="G5" s="22"/>
      <c r="H5" s="23"/>
      <c r="I5" s="23"/>
      <c r="J5" s="23"/>
      <c r="K5" s="22"/>
      <c r="L5" s="24" t="s">
        <v>7</v>
      </c>
      <c r="M5" s="25">
        <f>'February 2027'!M6</f>
        <v>4265.8</v>
      </c>
      <c r="N5" s="26"/>
      <c r="O5" s="23"/>
      <c r="P5" s="27"/>
      <c r="Q5" s="27"/>
      <c r="R5" s="287" t="s">
        <v>8</v>
      </c>
      <c r="S5" s="288">
        <f>SUMIF(A18:N21,"&gt;0")+SUMIF(A24:N27,"&gt;0")+SUMIF(A30:N33,"&gt;0")+SUMIF(A36:N39,"&gt;0")+SUMIF(A42:D45,"&gt;0")+SUMIF(S12:S46,"&gt;0")+SUMIF(A12:N15,"&gt;0")</f>
        <v>6117.6</v>
      </c>
      <c r="U5" s="23"/>
      <c r="V5" s="289">
        <f>sum(S5+S6)</f>
        <v>-800.02</v>
      </c>
      <c r="W5" s="23"/>
      <c r="X5" s="23"/>
      <c r="Y5" s="23"/>
      <c r="Z5" s="23"/>
    </row>
    <row r="6" ht="25.5" customHeight="1">
      <c r="A6" s="31"/>
      <c r="B6" s="31"/>
      <c r="C6" s="31"/>
      <c r="D6" s="31"/>
      <c r="E6" s="31"/>
      <c r="F6" s="32"/>
      <c r="G6" s="33"/>
      <c r="H6" s="34"/>
      <c r="I6" s="34"/>
      <c r="J6" s="34"/>
      <c r="K6" s="31"/>
      <c r="L6" s="24" t="s">
        <v>9</v>
      </c>
      <c r="M6" s="35">
        <f>D46</f>
        <v>3528.91</v>
      </c>
      <c r="O6" s="34"/>
      <c r="P6" s="36"/>
      <c r="Q6" s="36"/>
      <c r="R6" s="287" t="s">
        <v>10</v>
      </c>
      <c r="S6" s="288">
        <f>SUMIF(A18:N21,"&lt;0")+SUMIF(A24:N27,"&lt;0")+SUMIF(A30:N33,"&lt;0")+SUMIF(A36:N39,"&lt;0")+SUMIF(A42:D45,"&lt;0")+SUMIF(S12:S203,"&lt;0")+SUMIF(A12:N15,"&lt;0")</f>
        <v>-6917.62</v>
      </c>
      <c r="U6" s="34"/>
      <c r="V6" s="34"/>
      <c r="W6" s="34"/>
      <c r="X6" s="34"/>
      <c r="Y6" s="34"/>
      <c r="Z6" s="34"/>
    </row>
    <row r="7" ht="12.75" customHeight="1">
      <c r="A7" s="31"/>
      <c r="B7" s="31"/>
      <c r="C7" s="31"/>
      <c r="D7" s="31"/>
      <c r="E7" s="31"/>
      <c r="F7" s="31"/>
      <c r="G7" s="31"/>
      <c r="H7" s="31"/>
      <c r="I7" s="31"/>
      <c r="J7" s="31"/>
      <c r="K7" s="31"/>
      <c r="L7" s="31"/>
      <c r="M7" s="31"/>
      <c r="N7" s="31"/>
      <c r="O7" s="34"/>
      <c r="P7" s="36"/>
      <c r="Q7" s="36"/>
      <c r="R7" s="290"/>
      <c r="S7" s="291"/>
      <c r="T7" s="36"/>
      <c r="U7" s="34"/>
      <c r="V7" s="34"/>
      <c r="W7" s="34"/>
      <c r="X7" s="34"/>
      <c r="Y7" s="34"/>
      <c r="Z7" s="34"/>
    </row>
    <row r="8" ht="12.75" hidden="1" customHeight="1">
      <c r="A8" s="34" t="s">
        <v>11</v>
      </c>
      <c r="B8" s="38">
        <f>DATE(B2,E2,1)</f>
        <v>46447</v>
      </c>
      <c r="C8" s="34"/>
      <c r="D8" s="34"/>
      <c r="E8" s="34"/>
      <c r="F8" s="34"/>
      <c r="G8" s="34"/>
      <c r="H8" s="34"/>
      <c r="I8" s="34"/>
      <c r="J8" s="34"/>
      <c r="K8" s="34"/>
      <c r="L8" s="34"/>
      <c r="M8" s="34"/>
      <c r="N8" s="34"/>
      <c r="O8" s="34"/>
      <c r="P8" s="36"/>
      <c r="Q8" s="36"/>
      <c r="R8" s="290"/>
      <c r="S8" s="291"/>
      <c r="T8" s="36"/>
      <c r="U8" s="34"/>
      <c r="V8" s="34"/>
      <c r="W8" s="34"/>
      <c r="X8" s="34"/>
      <c r="Y8" s="34"/>
      <c r="Z8" s="34"/>
    </row>
    <row r="9" ht="18.0" customHeight="1">
      <c r="A9" s="39">
        <f>A17</f>
        <v>46453</v>
      </c>
      <c r="B9" s="40"/>
      <c r="C9" s="39">
        <f>C17</f>
        <v>46454</v>
      </c>
      <c r="D9" s="40"/>
      <c r="E9" s="39">
        <f>E17</f>
        <v>46455</v>
      </c>
      <c r="F9" s="40"/>
      <c r="G9" s="39">
        <f>G17</f>
        <v>46456</v>
      </c>
      <c r="H9" s="40"/>
      <c r="I9" s="39">
        <f>I17</f>
        <v>46457</v>
      </c>
      <c r="J9" s="40"/>
      <c r="K9" s="39">
        <f>K17</f>
        <v>46458</v>
      </c>
      <c r="L9" s="40"/>
      <c r="M9" s="39">
        <f>M17</f>
        <v>46459</v>
      </c>
      <c r="N9" s="40"/>
      <c r="O9" s="23"/>
      <c r="P9" s="41" t="s">
        <v>12</v>
      </c>
      <c r="Q9" s="42"/>
      <c r="R9" s="292"/>
      <c r="S9" s="293"/>
      <c r="T9" s="44"/>
      <c r="U9" s="23"/>
      <c r="V9" s="23"/>
      <c r="W9" s="23"/>
      <c r="X9" s="23"/>
      <c r="Y9" s="23"/>
      <c r="Z9" s="23"/>
    </row>
    <row r="10" ht="12.75" customHeight="1">
      <c r="A10" s="45"/>
      <c r="B10" s="46"/>
      <c r="C10" s="45"/>
      <c r="D10" s="46"/>
      <c r="E10" s="45"/>
      <c r="F10" s="46"/>
      <c r="G10" s="45"/>
      <c r="H10" s="46"/>
      <c r="I10" s="45"/>
      <c r="J10" s="46"/>
      <c r="K10" s="45"/>
      <c r="L10" s="46"/>
      <c r="M10" s="45"/>
      <c r="N10" s="46"/>
      <c r="O10" s="23"/>
      <c r="P10" s="47"/>
      <c r="Q10" s="48"/>
      <c r="R10" s="48"/>
      <c r="S10" s="95"/>
      <c r="T10" s="48"/>
      <c r="U10" s="23"/>
      <c r="V10" s="23"/>
      <c r="W10" s="23"/>
      <c r="X10" s="23"/>
      <c r="Y10" s="23"/>
      <c r="Z10" s="23"/>
    </row>
    <row r="11" ht="12.75" customHeight="1">
      <c r="A11" s="50" t="str">
        <f>IF(WEEKDAY($B$8,1)=$H$2,$B$8,"")</f>
        <v/>
      </c>
      <c r="B11" s="616">
        <v>0.0</v>
      </c>
      <c r="C11" s="50">
        <f>IF(A11="",IF(WEEKDAY($B$8,1)=MOD($H$2,7)+1,$B$8,""),A11+1)</f>
        <v>46447</v>
      </c>
      <c r="D11" s="616">
        <v>0.0</v>
      </c>
      <c r="E11" s="50">
        <f>IF(C11="",IF(WEEKDAY($B$8,1)=MOD($H$2+1,7)+1,$B$8,""),C11+1)</f>
        <v>46448</v>
      </c>
      <c r="F11" s="616">
        <v>0.0</v>
      </c>
      <c r="G11" s="50">
        <f>IF(E11="",IF(WEEKDAY($B$8,1)=MOD($H$2+2,7)+1,$B$8,""),E11+1)</f>
        <v>46449</v>
      </c>
      <c r="H11" s="616">
        <v>0.0</v>
      </c>
      <c r="I11" s="50">
        <f>IF(G11="",IF(WEEKDAY($B$8,1)=MOD($H$2+3,7)+1,$B$8,""),G11+1)</f>
        <v>46450</v>
      </c>
      <c r="J11" s="51">
        <f>SUMIF($T$11:$T$130,I11,$S$11:$S$91)</f>
        <v>-50</v>
      </c>
      <c r="K11" s="50">
        <f>IF(I11="",IF(WEEKDAY($B$8,1)=MOD($H$2+4,7)+1,$B$8,""),I11+1)</f>
        <v>46451</v>
      </c>
      <c r="L11" s="51">
        <f>SUMIF($T$11:$T$130,K11,$S$11:$S$91)</f>
        <v>1351.45</v>
      </c>
      <c r="M11" s="50">
        <f>IF(K11="",IF(WEEKDAY($B$8,1)=MOD($H$2+5,7)+1,$B$8,""),K11+1)</f>
        <v>46452</v>
      </c>
      <c r="N11" s="51">
        <f>SUMIF($T$11:$T$130,M11,$S$11:$S$91)</f>
        <v>-301</v>
      </c>
      <c r="O11" s="23"/>
      <c r="P11" s="52" t="s">
        <v>13</v>
      </c>
      <c r="Q11" s="53" t="s">
        <v>14</v>
      </c>
      <c r="R11" s="53" t="s">
        <v>15</v>
      </c>
      <c r="S11" s="96" t="s">
        <v>16</v>
      </c>
      <c r="T11" s="53" t="s">
        <v>17</v>
      </c>
      <c r="U11" s="23"/>
      <c r="V11" s="23"/>
      <c r="W11" s="23"/>
      <c r="X11" s="23"/>
      <c r="Y11" s="23"/>
      <c r="Z11" s="23"/>
    </row>
    <row r="12" ht="18.75" customHeight="1">
      <c r="A12" s="55"/>
      <c r="B12" s="56"/>
      <c r="C12" s="55"/>
      <c r="D12" s="56"/>
      <c r="E12" s="55"/>
      <c r="F12" s="56"/>
      <c r="G12" s="55"/>
      <c r="H12" s="56"/>
      <c r="I12" s="58"/>
      <c r="J12" s="57"/>
      <c r="K12" s="55"/>
      <c r="L12" s="57"/>
      <c r="M12" s="55"/>
      <c r="N12" s="56"/>
      <c r="O12" s="23"/>
      <c r="P12" s="551" t="s">
        <v>89</v>
      </c>
      <c r="Q12" s="552"/>
      <c r="R12" s="553">
        <v>7.0</v>
      </c>
      <c r="S12" s="549">
        <f t="array" ref="S12">-INDEX(PaymentSchedule!$E$21:$AG937,MATCH(PaymentSchedule!$B$42,PaymentSchedule!$B$21:$B$100),MATCH($P12,PaymentSchedule!$E$19:$AG$19,0))</f>
        <v>-175</v>
      </c>
      <c r="T12" s="550">
        <f t="shared" ref="T12:T15" si="1">IF(ISBLANK(R12),"-",IF(R12&gt;DAY(EOMONTH(DATE($B$2,$E$2,1),0)),EOMONTH(DATE($B$2,$E$2,1),0),DATE($B$2,$E$2,R12)))</f>
        <v>46453</v>
      </c>
      <c r="U12" s="64"/>
      <c r="V12" s="23"/>
      <c r="W12" s="64"/>
      <c r="X12" s="303"/>
      <c r="Y12" s="23"/>
      <c r="Z12" s="23"/>
    </row>
    <row r="13" ht="18.75" customHeight="1">
      <c r="A13" s="55"/>
      <c r="B13" s="56"/>
      <c r="C13" s="55"/>
      <c r="D13" s="56"/>
      <c r="E13" s="55"/>
      <c r="F13" s="56"/>
      <c r="G13" s="55"/>
      <c r="H13" s="56"/>
      <c r="I13" s="55"/>
      <c r="J13" s="57"/>
      <c r="K13" s="55"/>
      <c r="L13" s="56"/>
      <c r="M13" s="55"/>
      <c r="N13" s="56"/>
      <c r="O13" s="23"/>
      <c r="P13" s="551" t="s">
        <v>85</v>
      </c>
      <c r="Q13" s="552"/>
      <c r="R13" s="553">
        <v>18.0</v>
      </c>
      <c r="S13" s="549">
        <f t="array" ref="S13">-INDEX(PaymentSchedule!$E$21:$AG937,MATCH(PaymentSchedule!$B$42,PaymentSchedule!$B$21:$B$100),MATCH($P13,PaymentSchedule!$E$19:$AG$19,0))</f>
        <v>-151</v>
      </c>
      <c r="T13" s="550">
        <f t="shared" si="1"/>
        <v>46464</v>
      </c>
      <c r="U13" s="64"/>
      <c r="V13" s="23"/>
      <c r="W13" s="64"/>
      <c r="X13" s="303"/>
      <c r="Y13" s="23"/>
      <c r="Z13" s="23"/>
    </row>
    <row r="14" ht="18.75" customHeight="1">
      <c r="A14" s="55"/>
      <c r="B14" s="56"/>
      <c r="C14" s="55"/>
      <c r="D14" s="56"/>
      <c r="E14" s="55"/>
      <c r="F14" s="56"/>
      <c r="G14" s="55"/>
      <c r="H14" s="56"/>
      <c r="I14" s="58"/>
      <c r="J14" s="57"/>
      <c r="K14" s="55"/>
      <c r="L14" s="56"/>
      <c r="M14" s="55"/>
      <c r="N14" s="56"/>
      <c r="O14" s="23"/>
      <c r="P14" s="551" t="s">
        <v>86</v>
      </c>
      <c r="Q14" s="552"/>
      <c r="R14" s="553">
        <v>5.0</v>
      </c>
      <c r="S14" s="549">
        <f t="array" ref="S14">-INDEX(PaymentSchedule!$E$21:$AG937,MATCH(PaymentSchedule!$B$42,PaymentSchedule!$B$21:$B$100),MATCH($P14,PaymentSchedule!$E$19:$AG$19,0))</f>
        <v>-791.16</v>
      </c>
      <c r="T14" s="550">
        <f t="shared" si="1"/>
        <v>46451</v>
      </c>
      <c r="U14" s="64"/>
      <c r="V14" s="23"/>
      <c r="W14" s="64"/>
      <c r="X14" s="303"/>
      <c r="Y14" s="23"/>
      <c r="Z14" s="23"/>
    </row>
    <row r="15" ht="18.75" customHeight="1">
      <c r="A15" s="55"/>
      <c r="B15" s="56"/>
      <c r="C15" s="55"/>
      <c r="D15" s="56"/>
      <c r="E15" s="55"/>
      <c r="F15" s="56"/>
      <c r="G15" s="55"/>
      <c r="H15" s="56"/>
      <c r="I15" s="55"/>
      <c r="J15" s="56"/>
      <c r="K15" s="55"/>
      <c r="L15" s="56"/>
      <c r="M15" s="55"/>
      <c r="N15" s="56"/>
      <c r="O15" s="23"/>
      <c r="P15" s="551" t="s">
        <v>20</v>
      </c>
      <c r="Q15" s="552"/>
      <c r="R15" s="553">
        <v>1.0</v>
      </c>
      <c r="S15" s="549">
        <f t="array" ref="S15">-INDEX(PaymentSchedule!$E$21:$AG937,MATCH(PaymentSchedule!$B$42,PaymentSchedule!$B$21:$B$100),MATCH($P15,PaymentSchedule!$E$19:$AG$19,0))</f>
        <v>-1467.13</v>
      </c>
      <c r="T15" s="550">
        <f t="shared" si="1"/>
        <v>46447</v>
      </c>
      <c r="U15" s="64"/>
      <c r="V15" s="23"/>
      <c r="W15" s="64"/>
      <c r="X15" s="303"/>
      <c r="Y15" s="23"/>
      <c r="Z15" s="23"/>
    </row>
    <row r="16" ht="18.75" customHeight="1">
      <c r="A16" s="66" t="s">
        <v>22</v>
      </c>
      <c r="B16" s="67">
        <f>$M$5+SUM(B11:B15)</f>
        <v>4265.8</v>
      </c>
      <c r="C16" s="66"/>
      <c r="D16" s="67">
        <f>B16+SUM(D11:D15)</f>
        <v>4265.8</v>
      </c>
      <c r="E16" s="66"/>
      <c r="F16" s="67">
        <f>D16+SUM(F11:F15)</f>
        <v>4265.8</v>
      </c>
      <c r="G16" s="66"/>
      <c r="H16" s="67">
        <f>F16+SUM(H11:H15)</f>
        <v>4265.8</v>
      </c>
      <c r="I16" s="66"/>
      <c r="J16" s="67">
        <f>H16+SUM(J11:J15)</f>
        <v>4215.8</v>
      </c>
      <c r="K16" s="66"/>
      <c r="L16" s="67">
        <f>J16+SUM(L11:L15)</f>
        <v>5567.25</v>
      </c>
      <c r="M16" s="66"/>
      <c r="N16" s="67">
        <f>L16+SUM(N11:N15)</f>
        <v>5266.25</v>
      </c>
      <c r="O16" s="68"/>
      <c r="P16" s="546" t="s">
        <v>87</v>
      </c>
      <c r="Q16" s="547"/>
      <c r="R16" s="607">
        <v>28.0</v>
      </c>
      <c r="S16" s="598">
        <f t="array" ref="S16">-INDEX(PaymentSchedule!$E$21:$AG937,MATCH(PaymentSchedule!$B$31,PaymentSchedule!$B$21:$B$100),MATCH($P16,PaymentSchedule!$E$19:$AG$19,0))</f>
        <v>-695.6</v>
      </c>
      <c r="T16" s="599">
        <f>IF(ISBLANK(R16),"-",IF(R16&gt;DAY(EOMONTH(DATE($B$2,$E$2,1),0)),EOMONTH(DATE($B$2,$E$2,1),0),DATE($B$2,$E$2,R16)))</f>
        <v>46474</v>
      </c>
      <c r="U16" s="71"/>
      <c r="V16" s="69"/>
      <c r="W16" s="71"/>
      <c r="X16" s="309"/>
      <c r="Y16" s="69"/>
      <c r="Z16" s="69"/>
    </row>
    <row r="17" ht="18.75" customHeight="1">
      <c r="A17" s="50">
        <f>IF(M11="","",IF(MONTH(M11+1)&lt;&gt;MONTH(M11),"",M11+1))</f>
        <v>46453</v>
      </c>
      <c r="B17" s="51">
        <f>SUMIF($T$11:$T$130,A17,$S$11:$S$91)</f>
        <v>-196.8</v>
      </c>
      <c r="C17" s="50">
        <f>IF(A17="","",IF(MONTH(A17+1)&lt;&gt;MONTH(A17),"",A17+1))</f>
        <v>46454</v>
      </c>
      <c r="D17" s="51">
        <f>SUMIF($T$11:$T$130,C17,$S$11:$S$91)</f>
        <v>0</v>
      </c>
      <c r="E17" s="50">
        <f>IF(C17="","",IF(MONTH(C17+1)&lt;&gt;MONTH(C17),"",C17+1))</f>
        <v>46455</v>
      </c>
      <c r="F17" s="51">
        <f>SUMIF($T$11:$T$130,E17,$S$11:$S$91)</f>
        <v>0</v>
      </c>
      <c r="G17" s="50">
        <f>IF(E17="","",IF(MONTH(E17+1)&lt;&gt;MONTH(E17),"",E17+1))</f>
        <v>46456</v>
      </c>
      <c r="H17" s="51">
        <f>SUMIF($T$11:$T$130,G17,$S$11:$S$91)</f>
        <v>0</v>
      </c>
      <c r="I17" s="50">
        <f>IF(G17="","",IF(MONTH(G17+1)&lt;&gt;MONTH(G17),"",G17+1))</f>
        <v>46457</v>
      </c>
      <c r="J17" s="51">
        <f>SUMIF($T$11:$T$130,I17,$S$11:$S$91)</f>
        <v>-50</v>
      </c>
      <c r="K17" s="50">
        <f>IF(I17="","",IF(MONTH(I17+1)&lt;&gt;MONTH(I17),"",I17+1))</f>
        <v>46458</v>
      </c>
      <c r="L17" s="51">
        <f>SUMIF($T$11:$T$130,K17,$S$11:$S$91)</f>
        <v>-784.08</v>
      </c>
      <c r="M17" s="50">
        <f>IF(K17="","",IF(MONTH(K17+1)&lt;&gt;MONTH(K17),"",K17+1))</f>
        <v>46459</v>
      </c>
      <c r="N17" s="51">
        <f>SUMIF($T$11:$T$130,M17,$S$11:$S$91)</f>
        <v>0</v>
      </c>
      <c r="O17" s="23"/>
      <c r="P17" s="551" t="s">
        <v>37</v>
      </c>
      <c r="Q17" s="552"/>
      <c r="R17" s="553">
        <v>12.0</v>
      </c>
      <c r="S17" s="549">
        <f t="array" ref="S17">-INDEX(PaymentSchedule!$E$21:$AG937,MATCH(PaymentSchedule!$B$42,PaymentSchedule!$B$21:$B$100),MATCH($P17,PaymentSchedule!$E$19:$AG$19,0))</f>
        <v>-82</v>
      </c>
      <c r="T17" s="550">
        <f t="shared" ref="T17:T30" si="2">IF(ISBLANK(R17),"-",IF(R17&gt;DAY(EOMONTH(DATE($B$2,$E$2,1),0)),EOMONTH(DATE($B$2,$E$2,1),0),DATE($B$2,$E$2,R17)))</f>
        <v>46458</v>
      </c>
      <c r="U17" s="64"/>
      <c r="V17" s="23"/>
      <c r="W17" s="64"/>
      <c r="X17" s="303"/>
      <c r="Y17" s="23"/>
      <c r="Z17" s="23"/>
    </row>
    <row r="18" ht="18.75" customHeight="1">
      <c r="A18" s="55"/>
      <c r="B18" s="56"/>
      <c r="C18" s="55"/>
      <c r="D18" s="56"/>
      <c r="E18" s="58" t="s">
        <v>139</v>
      </c>
      <c r="F18" s="57">
        <v>-99.0</v>
      </c>
      <c r="G18" s="55"/>
      <c r="H18" s="56"/>
      <c r="I18" s="55"/>
      <c r="J18" s="56"/>
      <c r="K18" s="58"/>
      <c r="L18" s="57"/>
      <c r="M18" s="55"/>
      <c r="N18" s="56"/>
      <c r="O18" s="23"/>
      <c r="P18" s="551" t="s">
        <v>36</v>
      </c>
      <c r="Q18" s="552"/>
      <c r="R18" s="553">
        <v>12.0</v>
      </c>
      <c r="S18" s="549">
        <f t="array" ref="S18">-INDEX(PaymentSchedule!$E$21:$AG937,MATCH(PaymentSchedule!$B$42,PaymentSchedule!$B$21:$B$100),MATCH($P18,PaymentSchedule!$E$19:$AG$19,0))</f>
        <v>-450.08</v>
      </c>
      <c r="T18" s="550">
        <f t="shared" si="2"/>
        <v>46458</v>
      </c>
      <c r="U18" s="64"/>
      <c r="V18" s="23"/>
      <c r="Y18" s="23"/>
      <c r="Z18" s="23"/>
    </row>
    <row r="19" ht="18.75" customHeight="1">
      <c r="A19" s="55"/>
      <c r="B19" s="56"/>
      <c r="C19" s="55"/>
      <c r="D19" s="56"/>
      <c r="E19" s="55"/>
      <c r="F19" s="56"/>
      <c r="G19" s="55"/>
      <c r="H19" s="56"/>
      <c r="I19" s="55"/>
      <c r="J19" s="56"/>
      <c r="K19" s="58"/>
      <c r="L19" s="57"/>
      <c r="M19" s="55"/>
      <c r="N19" s="56"/>
      <c r="O19" s="23"/>
      <c r="P19" s="538" t="s">
        <v>55</v>
      </c>
      <c r="Q19" s="539"/>
      <c r="R19" s="540">
        <v>30.0</v>
      </c>
      <c r="S19" s="365">
        <v>-18.35</v>
      </c>
      <c r="T19" s="323">
        <f t="shared" si="2"/>
        <v>46476</v>
      </c>
      <c r="U19" s="64"/>
      <c r="V19" s="23"/>
      <c r="W19" s="64"/>
      <c r="X19" s="303"/>
      <c r="Y19" s="23"/>
      <c r="Z19" s="23"/>
    </row>
    <row r="20" ht="18.75" customHeight="1">
      <c r="A20" s="55"/>
      <c r="B20" s="56"/>
      <c r="C20" s="55"/>
      <c r="D20" s="56"/>
      <c r="E20" s="55"/>
      <c r="F20" s="56"/>
      <c r="G20" s="55"/>
      <c r="H20" s="56"/>
      <c r="I20" s="55"/>
      <c r="J20" s="56"/>
      <c r="K20" s="58"/>
      <c r="L20" s="57"/>
      <c r="M20" s="55"/>
      <c r="N20" s="56"/>
      <c r="O20" s="23"/>
      <c r="P20" s="319" t="s">
        <v>29</v>
      </c>
      <c r="Q20" s="320"/>
      <c r="R20" s="321">
        <v>5.0</v>
      </c>
      <c r="S20" s="322">
        <v>-16.19</v>
      </c>
      <c r="T20" s="323">
        <f t="shared" si="2"/>
        <v>46451</v>
      </c>
      <c r="U20" s="64"/>
      <c r="V20" s="23"/>
      <c r="W20" s="64"/>
      <c r="X20" s="303"/>
      <c r="Y20" s="23"/>
      <c r="Z20" s="23"/>
    </row>
    <row r="21" ht="18.75" customHeight="1">
      <c r="A21" s="55"/>
      <c r="B21" s="56"/>
      <c r="C21" s="55"/>
      <c r="D21" s="56"/>
      <c r="E21" s="55"/>
      <c r="F21" s="56"/>
      <c r="G21" s="55"/>
      <c r="H21" s="56"/>
      <c r="I21" s="55"/>
      <c r="J21" s="56"/>
      <c r="K21" s="58"/>
      <c r="L21" s="57"/>
      <c r="M21" s="55"/>
      <c r="N21" s="56"/>
      <c r="O21" s="23"/>
      <c r="P21" s="319" t="s">
        <v>43</v>
      </c>
      <c r="Q21" s="320"/>
      <c r="R21" s="321">
        <v>17.0</v>
      </c>
      <c r="S21" s="322">
        <v>-9.99</v>
      </c>
      <c r="T21" s="323">
        <f t="shared" si="2"/>
        <v>46463</v>
      </c>
      <c r="U21" s="64"/>
      <c r="V21" s="303"/>
      <c r="W21" s="64"/>
      <c r="X21" s="303"/>
      <c r="Y21" s="23"/>
      <c r="Z21" s="23"/>
    </row>
    <row r="22" ht="18.75" customHeight="1">
      <c r="A22" s="66" t="s">
        <v>22</v>
      </c>
      <c r="B22" s="67">
        <f>N16+SUM(B17:B21)</f>
        <v>5069.45</v>
      </c>
      <c r="C22" s="66"/>
      <c r="D22" s="67">
        <f>B22+SUM(D17:D21)</f>
        <v>5069.45</v>
      </c>
      <c r="E22" s="66"/>
      <c r="F22" s="67">
        <f>D22+SUM(F17:F21)</f>
        <v>4970.45</v>
      </c>
      <c r="G22" s="66"/>
      <c r="H22" s="67">
        <f>F22+SUM(H17:H21)</f>
        <v>4970.45</v>
      </c>
      <c r="I22" s="66"/>
      <c r="J22" s="67">
        <f>H22+SUM(J17:J21)</f>
        <v>4920.45</v>
      </c>
      <c r="K22" s="66"/>
      <c r="L22" s="67">
        <f>J22+SUM(L17:L21)</f>
        <v>4136.37</v>
      </c>
      <c r="M22" s="66"/>
      <c r="N22" s="67">
        <f>L22+SUM(N17:N21)</f>
        <v>4136.37</v>
      </c>
      <c r="O22" s="68"/>
      <c r="P22" s="319" t="s">
        <v>54</v>
      </c>
      <c r="Q22" s="320"/>
      <c r="R22" s="321">
        <v>30.0</v>
      </c>
      <c r="S22" s="322">
        <v>-11.0</v>
      </c>
      <c r="T22" s="323">
        <f t="shared" si="2"/>
        <v>46476</v>
      </c>
      <c r="W22" s="71"/>
      <c r="X22" s="309"/>
      <c r="Y22" s="69"/>
      <c r="Z22" s="69"/>
    </row>
    <row r="23" ht="18.75" customHeight="1">
      <c r="A23" s="50">
        <f>IF(M17="","",IF(MONTH(M17+1)&lt;&gt;MONTH(M17),"",M17+1))</f>
        <v>46460</v>
      </c>
      <c r="B23" s="51">
        <f>SUMIF($T$11:$T$130,A23,$S$11:$S$91)</f>
        <v>0</v>
      </c>
      <c r="C23" s="50">
        <f>IF(A23="","",IF(MONTH(A23+1)&lt;&gt;MONTH(A23),"",A23+1))</f>
        <v>46461</v>
      </c>
      <c r="D23" s="51">
        <f>SUMIF($T$11:$T$130,C23,$S$11:$S$91)</f>
        <v>0</v>
      </c>
      <c r="E23" s="50">
        <f>IF(C23="","",IF(MONTH(C23+1)&lt;&gt;MONTH(C23),"",C23+1))</f>
        <v>46462</v>
      </c>
      <c r="F23" s="51">
        <f>SUMIF($T$11:$T$130,E23,$S$11:$S$91)</f>
        <v>0</v>
      </c>
      <c r="G23" s="50">
        <f>IF(E23="","",IF(MONTH(E23+1)&lt;&gt;MONTH(E23),"",E23+1))</f>
        <v>46463</v>
      </c>
      <c r="H23" s="51">
        <f>SUMIF($T$11:$T$130,G23,$S$11:$S$91)</f>
        <v>-15.98</v>
      </c>
      <c r="I23" s="50">
        <f>IF(G23="","",IF(MONTH(G23+1)&lt;&gt;MONTH(G23),"",G23+1))</f>
        <v>46464</v>
      </c>
      <c r="J23" s="51">
        <f>SUMIF($T$11:$T$130,I23,$S$11:$S$91)</f>
        <v>-151</v>
      </c>
      <c r="K23" s="50">
        <f>IF(I23="","",IF(MONTH(I23+1)&lt;&gt;MONTH(I23),"",I23+1))</f>
        <v>46465</v>
      </c>
      <c r="L23" s="51">
        <f>SUMIF($T$11:$T$130,K23,$S$11:$S$91)</f>
        <v>2158.8</v>
      </c>
      <c r="M23" s="50">
        <f>IF(K23="","",IF(MONTH(K23+1)&lt;&gt;MONTH(K23),"",K23+1))</f>
        <v>46466</v>
      </c>
      <c r="N23" s="51">
        <f>SUMIF($T$11:$T$130,M23,$S$11:$S$91)</f>
        <v>-550</v>
      </c>
      <c r="O23" s="23"/>
      <c r="P23" s="319" t="s">
        <v>30</v>
      </c>
      <c r="Q23" s="320"/>
      <c r="R23" s="321">
        <v>6.0</v>
      </c>
      <c r="S23" s="322">
        <v>-301.0</v>
      </c>
      <c r="T23" s="323">
        <f t="shared" si="2"/>
        <v>46452</v>
      </c>
      <c r="U23" s="64"/>
      <c r="V23" s="23"/>
      <c r="W23" s="64"/>
      <c r="X23" s="303"/>
      <c r="Y23" s="23"/>
      <c r="Z23" s="23"/>
    </row>
    <row r="24" ht="18.75" customHeight="1">
      <c r="A24" s="55"/>
      <c r="B24" s="56"/>
      <c r="C24" s="58" t="s">
        <v>230</v>
      </c>
      <c r="D24" s="57">
        <v>-38.0</v>
      </c>
      <c r="E24" s="55"/>
      <c r="F24" s="56"/>
      <c r="G24" s="413"/>
      <c r="H24" s="535"/>
      <c r="I24" s="55"/>
      <c r="J24" s="56"/>
      <c r="K24" s="58" t="s">
        <v>156</v>
      </c>
      <c r="L24" s="57">
        <v>-600.0</v>
      </c>
      <c r="M24" s="55"/>
      <c r="N24" s="56"/>
      <c r="O24" s="23"/>
      <c r="P24" s="319" t="s">
        <v>47</v>
      </c>
      <c r="Q24" s="320"/>
      <c r="R24" s="321">
        <v>1.0</v>
      </c>
      <c r="S24" s="608">
        <v>1500.0</v>
      </c>
      <c r="T24" s="323">
        <f t="shared" si="2"/>
        <v>46447</v>
      </c>
      <c r="U24" s="64"/>
      <c r="V24" s="23"/>
      <c r="W24" s="64"/>
      <c r="X24" s="303"/>
      <c r="Y24" s="23"/>
      <c r="Z24" s="23"/>
    </row>
    <row r="25" ht="18.75" customHeight="1">
      <c r="A25" s="55"/>
      <c r="B25" s="56"/>
      <c r="C25" s="55"/>
      <c r="D25" s="56"/>
      <c r="E25" s="55"/>
      <c r="F25" s="56"/>
      <c r="G25" s="55"/>
      <c r="H25" s="56"/>
      <c r="I25" s="55"/>
      <c r="J25" s="56"/>
      <c r="K25" s="55"/>
      <c r="L25" s="56"/>
      <c r="M25" s="55"/>
      <c r="N25" s="56"/>
      <c r="O25" s="23"/>
      <c r="P25" s="319" t="s">
        <v>19</v>
      </c>
      <c r="Q25" s="320"/>
      <c r="R25" s="321">
        <v>5.0</v>
      </c>
      <c r="S25" s="322">
        <v>2308.8</v>
      </c>
      <c r="T25" s="323">
        <f t="shared" si="2"/>
        <v>46451</v>
      </c>
      <c r="U25" s="64"/>
      <c r="V25" s="23"/>
      <c r="W25" s="64"/>
      <c r="X25" s="303"/>
      <c r="Y25" s="23"/>
      <c r="Z25" s="23"/>
    </row>
    <row r="26" ht="18.75" customHeight="1">
      <c r="A26" s="55"/>
      <c r="B26" s="56"/>
      <c r="C26" s="55"/>
      <c r="D26" s="56"/>
      <c r="E26" s="55"/>
      <c r="F26" s="56"/>
      <c r="G26" s="55"/>
      <c r="H26" s="56"/>
      <c r="I26" s="55"/>
      <c r="J26" s="56"/>
      <c r="K26" s="55"/>
      <c r="L26" s="56"/>
      <c r="M26" s="55"/>
      <c r="N26" s="56"/>
      <c r="O26" s="23"/>
      <c r="P26" s="319" t="s">
        <v>19</v>
      </c>
      <c r="Q26" s="320"/>
      <c r="R26" s="321">
        <v>19.0</v>
      </c>
      <c r="S26" s="322">
        <v>2308.8</v>
      </c>
      <c r="T26" s="323">
        <f t="shared" si="2"/>
        <v>46465</v>
      </c>
      <c r="U26" s="64"/>
      <c r="V26" s="23"/>
      <c r="W26" s="64"/>
      <c r="X26" s="303"/>
      <c r="Y26" s="23"/>
      <c r="Z26" s="23"/>
    </row>
    <row r="27" ht="18.75" customHeight="1">
      <c r="A27" s="55"/>
      <c r="B27" s="56"/>
      <c r="C27" s="55"/>
      <c r="D27" s="56"/>
      <c r="E27" s="55"/>
      <c r="F27" s="56"/>
      <c r="G27" s="55"/>
      <c r="H27" s="56"/>
      <c r="I27" s="55"/>
      <c r="J27" s="56"/>
      <c r="K27" s="55"/>
      <c r="L27" s="56"/>
      <c r="M27" s="55"/>
      <c r="N27" s="56"/>
      <c r="O27" s="23"/>
      <c r="P27" s="319" t="s">
        <v>151</v>
      </c>
      <c r="Q27" s="320"/>
      <c r="R27" s="321"/>
      <c r="S27" s="322"/>
      <c r="T27" s="323" t="str">
        <f t="shared" si="2"/>
        <v>-</v>
      </c>
      <c r="U27" s="64"/>
      <c r="V27" s="23"/>
      <c r="W27" s="64"/>
      <c r="X27" s="303"/>
      <c r="Y27" s="23"/>
      <c r="Z27" s="23"/>
    </row>
    <row r="28" ht="18.75" customHeight="1">
      <c r="A28" s="66" t="s">
        <v>22</v>
      </c>
      <c r="B28" s="67">
        <f>N22+SUM(B23:B27)</f>
        <v>4136.37</v>
      </c>
      <c r="C28" s="66"/>
      <c r="D28" s="67">
        <f>B28+SUM(D23:D27)</f>
        <v>4098.37</v>
      </c>
      <c r="E28" s="66"/>
      <c r="F28" s="67">
        <f>D28+SUM(F23:F27)</f>
        <v>4098.37</v>
      </c>
      <c r="G28" s="66"/>
      <c r="H28" s="67">
        <f>F28+SUM(H23:H27)</f>
        <v>4082.39</v>
      </c>
      <c r="I28" s="66"/>
      <c r="J28" s="67">
        <f>H28+SUM(J23:J27)</f>
        <v>3931.39</v>
      </c>
      <c r="K28" s="66"/>
      <c r="L28" s="67">
        <f>J28+SUM(L23:L27)</f>
        <v>5490.19</v>
      </c>
      <c r="M28" s="66"/>
      <c r="N28" s="67">
        <f>L28+SUM(N23:N27)</f>
        <v>4940.19</v>
      </c>
      <c r="O28" s="68"/>
      <c r="P28" s="406" t="s">
        <v>142</v>
      </c>
      <c r="Q28" s="407"/>
      <c r="R28" s="408">
        <v>1.0</v>
      </c>
      <c r="S28" s="409"/>
      <c r="T28" s="323">
        <f t="shared" si="2"/>
        <v>46447</v>
      </c>
      <c r="U28" s="71"/>
      <c r="V28" s="69"/>
      <c r="W28" s="71"/>
      <c r="X28" s="309"/>
      <c r="Y28" s="69"/>
      <c r="Z28" s="69"/>
    </row>
    <row r="29" ht="18.75" customHeight="1">
      <c r="A29" s="50">
        <f>IF(M23="","",IF(MONTH(M23+1)&lt;&gt;MONTH(M23),"",M23+1))</f>
        <v>46467</v>
      </c>
      <c r="B29" s="51">
        <f>SUMIF($T$11:$T$130,A29,$S$11:$S$91)</f>
        <v>0</v>
      </c>
      <c r="C29" s="50">
        <f>IF(A29="","",IF(MONTH(A29+1)&lt;&gt;MONTH(A29),"",A29+1))</f>
        <v>46468</v>
      </c>
      <c r="D29" s="51">
        <f>SUMIF($T$11:$T$130,C29,$S$11:$S$91)</f>
        <v>0</v>
      </c>
      <c r="E29" s="50">
        <f>IF(C29="","",IF(MONTH(C29+1)&lt;&gt;MONTH(C29),"",C29+1))</f>
        <v>46469</v>
      </c>
      <c r="F29" s="51">
        <f>SUMIF($T$11:$T$130,E29,$S$11:$S$91)</f>
        <v>-10.99</v>
      </c>
      <c r="G29" s="50">
        <f>IF(E29="","",IF(MONTH(E29+1)&lt;&gt;MONTH(E29),"",E29+1))</f>
        <v>46470</v>
      </c>
      <c r="H29" s="51">
        <f>SUMIF($T$11:$T$130,G29,$S$11:$S$91)</f>
        <v>0</v>
      </c>
      <c r="I29" s="50">
        <f>IF(G29="","",IF(MONTH(G29+1)&lt;&gt;MONTH(G29),"",G29+1))</f>
        <v>46471</v>
      </c>
      <c r="J29" s="51">
        <f>SUMIF($T$11:$T$130,I29,$S$11:$S$91)</f>
        <v>0</v>
      </c>
      <c r="K29" s="50">
        <f>IF(I29="","",IF(MONTH(I29+1)&lt;&gt;MONTH(I29),"",I29+1))</f>
        <v>46472</v>
      </c>
      <c r="L29" s="51">
        <f>SUMIF($T$11:$T$130,K29,$S$11:$S$91)</f>
        <v>-195.35</v>
      </c>
      <c r="M29" s="50">
        <f>IF(K29="","",IF(MONTH(K29+1)&lt;&gt;MONTH(K29),"",K29+1))</f>
        <v>46473</v>
      </c>
      <c r="N29" s="51">
        <f>SUMIF($T$11:$T$130,M29,$S$11:$S$91)</f>
        <v>0</v>
      </c>
      <c r="O29" s="23"/>
      <c r="P29" s="406" t="s">
        <v>142</v>
      </c>
      <c r="Q29" s="407"/>
      <c r="R29" s="408">
        <v>24.0</v>
      </c>
      <c r="S29" s="409"/>
      <c r="T29" s="323">
        <f t="shared" si="2"/>
        <v>46470</v>
      </c>
      <c r="U29" s="64"/>
      <c r="V29" s="23"/>
      <c r="W29" s="64"/>
      <c r="X29" s="303"/>
      <c r="Y29" s="23"/>
      <c r="Z29" s="23"/>
    </row>
    <row r="30" ht="18.75" customHeight="1">
      <c r="A30" s="55"/>
      <c r="B30" s="56"/>
      <c r="C30" s="55"/>
      <c r="D30" s="56"/>
      <c r="E30" s="485" t="s">
        <v>202</v>
      </c>
      <c r="F30" s="486"/>
      <c r="G30" s="58" t="s">
        <v>139</v>
      </c>
      <c r="H30" s="57">
        <v>-99.0</v>
      </c>
      <c r="I30" s="55"/>
      <c r="J30" s="56"/>
      <c r="K30" s="55"/>
      <c r="L30" s="57"/>
      <c r="M30" s="55"/>
      <c r="N30" s="56"/>
      <c r="O30" s="23"/>
      <c r="P30" s="319" t="s">
        <v>142</v>
      </c>
      <c r="Q30" s="320"/>
      <c r="R30" s="321"/>
      <c r="S30" s="322"/>
      <c r="T30" s="323" t="str">
        <f t="shared" si="2"/>
        <v>-</v>
      </c>
      <c r="U30" s="64"/>
      <c r="V30" s="23"/>
      <c r="W30" s="64"/>
      <c r="X30" s="303"/>
      <c r="Y30" s="23"/>
      <c r="Z30" s="23"/>
    </row>
    <row r="31" ht="18.75" customHeight="1">
      <c r="A31" s="55"/>
      <c r="B31" s="56"/>
      <c r="C31" s="55"/>
      <c r="D31" s="56"/>
      <c r="E31" s="55"/>
      <c r="F31" s="56"/>
      <c r="G31" s="55"/>
      <c r="H31" s="56"/>
      <c r="I31" s="55"/>
      <c r="J31" s="56"/>
      <c r="K31" s="58" t="s">
        <v>160</v>
      </c>
      <c r="L31" s="57"/>
      <c r="M31" s="55"/>
      <c r="N31" s="56"/>
      <c r="O31" s="23"/>
      <c r="P31" s="367"/>
      <c r="Q31" s="368"/>
      <c r="R31" s="405"/>
      <c r="S31" s="370"/>
      <c r="T31" s="376" t="str">
        <f>IF(ISBLANK(R31),"-",IF(R31&gt;DAY(EOMONTH(DATE($B$2,$E$2,1),0)),EOMONTH(DATE($B$2,$E$2,1),0),DATE($B$2,$E$2,R31)))</f>
        <v>-</v>
      </c>
      <c r="U31" s="64"/>
      <c r="V31" s="23"/>
      <c r="W31" s="64"/>
      <c r="X31" s="303"/>
      <c r="Y31" s="23"/>
      <c r="Z31" s="23"/>
    </row>
    <row r="32" ht="18.75" customHeight="1">
      <c r="A32" s="55"/>
      <c r="B32" s="56"/>
      <c r="C32" s="55"/>
      <c r="D32" s="56"/>
      <c r="E32" s="55"/>
      <c r="F32" s="56"/>
      <c r="G32" s="55"/>
      <c r="H32" s="56"/>
      <c r="I32" s="55"/>
      <c r="J32" s="56"/>
      <c r="K32" s="58" t="s">
        <v>161</v>
      </c>
      <c r="L32" s="57"/>
      <c r="M32" s="55"/>
      <c r="N32" s="56"/>
      <c r="O32" s="23"/>
      <c r="P32" s="319" t="s">
        <v>46</v>
      </c>
      <c r="Q32" s="320"/>
      <c r="R32" s="321">
        <v>23.0</v>
      </c>
      <c r="S32" s="322">
        <v>-10.99</v>
      </c>
      <c r="T32" s="323">
        <f t="shared" ref="T32:T36" si="3">IF(ISBLANK(R32),"-",IF(R32&gt;DAY(EOMONTH(DATE($B$2,$E$2,1),0)),EOMONTH(DATE($B$2,$E$2,1),0),DATE($B$2,$E$2,R32)))</f>
        <v>46469</v>
      </c>
      <c r="U32" s="64"/>
      <c r="V32" s="23"/>
      <c r="W32" s="64"/>
      <c r="X32" s="303"/>
      <c r="Y32" s="23"/>
      <c r="Z32" s="23"/>
    </row>
    <row r="33" ht="18.75" customHeight="1">
      <c r="A33" s="55"/>
      <c r="B33" s="56"/>
      <c r="C33" s="55"/>
      <c r="D33" s="56"/>
      <c r="E33" s="55"/>
      <c r="F33" s="56"/>
      <c r="G33" s="55"/>
      <c r="H33" s="56"/>
      <c r="I33" s="55"/>
      <c r="J33" s="56"/>
      <c r="K33" s="55"/>
      <c r="L33" s="56"/>
      <c r="M33" s="55"/>
      <c r="N33" s="56"/>
      <c r="O33" s="23"/>
      <c r="P33" s="538" t="s">
        <v>44</v>
      </c>
      <c r="Q33" s="539"/>
      <c r="R33" s="540">
        <v>26.0</v>
      </c>
      <c r="S33" s="365">
        <v>-18.35</v>
      </c>
      <c r="T33" s="323">
        <f t="shared" si="3"/>
        <v>46472</v>
      </c>
      <c r="U33" s="64"/>
      <c r="V33" s="23"/>
      <c r="W33" s="64"/>
      <c r="X33" s="303"/>
      <c r="Y33" s="23"/>
      <c r="Z33" s="23"/>
    </row>
    <row r="34" ht="18.75" customHeight="1">
      <c r="A34" s="66" t="s">
        <v>22</v>
      </c>
      <c r="B34" s="67">
        <f>N28+SUM(B29:B33)</f>
        <v>4940.19</v>
      </c>
      <c r="C34" s="66"/>
      <c r="D34" s="67">
        <f>B34+SUM(D29:D33)</f>
        <v>4940.19</v>
      </c>
      <c r="E34" s="66"/>
      <c r="F34" s="67">
        <f>D34+SUM(F29:F33)</f>
        <v>4929.2</v>
      </c>
      <c r="G34" s="66"/>
      <c r="H34" s="67">
        <f>F34+SUM(H29:H33)</f>
        <v>4830.2</v>
      </c>
      <c r="I34" s="66"/>
      <c r="J34" s="67">
        <f>H34+SUM(J29:J33)</f>
        <v>4830.2</v>
      </c>
      <c r="K34" s="66"/>
      <c r="L34" s="67">
        <f>J34+SUM(L29:L33)</f>
        <v>4634.85</v>
      </c>
      <c r="M34" s="66"/>
      <c r="N34" s="67">
        <f>L34+SUM(N29:N33)</f>
        <v>4634.85</v>
      </c>
      <c r="O34" s="68"/>
      <c r="P34" s="319" t="s">
        <v>40</v>
      </c>
      <c r="Q34" s="320"/>
      <c r="R34" s="321">
        <v>12.0</v>
      </c>
      <c r="S34" s="322">
        <v>-102.0</v>
      </c>
      <c r="T34" s="323">
        <f t="shared" si="3"/>
        <v>46458</v>
      </c>
      <c r="U34" s="71"/>
      <c r="V34" s="69"/>
      <c r="W34" s="71"/>
      <c r="X34" s="309"/>
      <c r="Y34" s="69"/>
      <c r="Z34" s="69"/>
    </row>
    <row r="35" ht="18.75" customHeight="1">
      <c r="A35" s="50">
        <f>IF(M29="","",IF(MONTH(M29+1)&lt;&gt;MONTH(M29),"",M29+1))</f>
        <v>46474</v>
      </c>
      <c r="B35" s="51">
        <f>SUMIF($T$11:$T$130,A35,$S$11:$S$91)</f>
        <v>-1065.6</v>
      </c>
      <c r="C35" s="50">
        <f>IF(A35="","",IF(MONTH(A35+1)&lt;&gt;MONTH(A35),"",A35+1))</f>
        <v>46475</v>
      </c>
      <c r="D35" s="51">
        <f>SUMIF($T$11:$T$130,C35,$S$11:$S$91)</f>
        <v>-10.99</v>
      </c>
      <c r="E35" s="50">
        <f>IF(C35="","",IF(MONTH(C35+1)&lt;&gt;MONTH(C35),"",C35+1))</f>
        <v>46476</v>
      </c>
      <c r="F35" s="51">
        <f>SUMIF($T$11:$T$130,E35,$S$11:$S$91)</f>
        <v>-29.35</v>
      </c>
      <c r="G35" s="50">
        <f>IF(E35="","",IF(MONTH(E35+1)&lt;&gt;MONTH(E35),"",E35+1))</f>
        <v>46477</v>
      </c>
      <c r="H35" s="51">
        <f>SUMIF($T$11:$T$130,G35,$S$11:$S$91)</f>
        <v>0</v>
      </c>
      <c r="I35" s="50" t="str">
        <f>IF(G35="","",IF(MONTH(G35+1)&lt;&gt;MONTH(G35),"",G35+1))</f>
        <v/>
      </c>
      <c r="J35" s="51">
        <f>SUMIF($T$11:$T$130,I35,$S$11:$S$91)</f>
        <v>0</v>
      </c>
      <c r="K35" s="50" t="str">
        <f>IF(I35="","",IF(MONTH(I35+1)&lt;&gt;MONTH(I35),"",I35+1))</f>
        <v/>
      </c>
      <c r="L35" s="51">
        <f>SUMIF($T$11:$T$130,K35,$S$11:$S$91)</f>
        <v>0</v>
      </c>
      <c r="M35" s="50" t="str">
        <f>IF(K35="","",IF(MONTH(K35+1)&lt;&gt;MONTH(K35),"",K35+1))</f>
        <v/>
      </c>
      <c r="N35" s="51">
        <f>SUMIF($T$11:$T$130,M35,$S$11:$S$91)</f>
        <v>0</v>
      </c>
      <c r="O35" s="23"/>
      <c r="P35" s="319" t="s">
        <v>34</v>
      </c>
      <c r="Q35" s="320"/>
      <c r="R35" s="321">
        <v>17.0</v>
      </c>
      <c r="S35" s="322">
        <v>-5.99</v>
      </c>
      <c r="T35" s="323">
        <f t="shared" si="3"/>
        <v>46463</v>
      </c>
      <c r="U35" s="64"/>
      <c r="V35" s="23"/>
      <c r="W35" s="64"/>
      <c r="X35" s="303"/>
      <c r="Y35" s="23"/>
      <c r="Z35" s="23"/>
    </row>
    <row r="36" ht="18.75" customHeight="1">
      <c r="A36" s="55"/>
      <c r="B36" s="56"/>
      <c r="C36" s="55"/>
      <c r="D36" s="56"/>
      <c r="E36" s="55"/>
      <c r="F36" s="56"/>
      <c r="G36" s="55"/>
      <c r="H36" s="57"/>
      <c r="I36" s="55"/>
      <c r="J36" s="56"/>
      <c r="K36" s="55"/>
      <c r="L36" s="56"/>
      <c r="M36" s="55"/>
      <c r="N36" s="56"/>
      <c r="O36" s="23"/>
      <c r="P36" s="319" t="s">
        <v>34</v>
      </c>
      <c r="Q36" s="320"/>
      <c r="R36" s="321">
        <v>24.0</v>
      </c>
      <c r="S36" s="322"/>
      <c r="T36" s="323">
        <f t="shared" si="3"/>
        <v>46470</v>
      </c>
      <c r="U36" s="64"/>
      <c r="V36" s="23"/>
      <c r="W36" s="64"/>
      <c r="X36" s="303"/>
      <c r="Y36" s="23"/>
      <c r="Z36" s="23"/>
    </row>
    <row r="37" ht="18.75" customHeight="1">
      <c r="A37" s="55"/>
      <c r="B37" s="56"/>
      <c r="C37" s="55"/>
      <c r="D37" s="56"/>
      <c r="E37" s="55"/>
      <c r="F37" s="56"/>
      <c r="G37" s="55"/>
      <c r="H37" s="56"/>
      <c r="I37" s="55"/>
      <c r="J37" s="56"/>
      <c r="K37" s="55"/>
      <c r="L37" s="56"/>
      <c r="M37" s="55"/>
      <c r="N37" s="56"/>
      <c r="O37" s="23"/>
      <c r="P37" s="367" t="s">
        <v>51</v>
      </c>
      <c r="Q37" s="368"/>
      <c r="R37" s="405">
        <v>26.0</v>
      </c>
      <c r="S37" s="370">
        <v>-27.0</v>
      </c>
      <c r="T37" s="376">
        <f>IF(ISBLANK(R37),"-",IF(R37&gt;DAY(EOMONTH(DATE($B$2,$E$2,1),0)),EOMONTH(DATE($B$2,$E$2,1),0),DATE($B$2,$E$2,R37)))</f>
        <v>46472</v>
      </c>
      <c r="U37" s="64"/>
      <c r="V37" s="23"/>
      <c r="W37" s="64"/>
      <c r="X37" s="303"/>
      <c r="Y37" s="23"/>
      <c r="Z37" s="23"/>
    </row>
    <row r="38" ht="18.75" customHeight="1">
      <c r="A38" s="55"/>
      <c r="B38" s="56"/>
      <c r="C38" s="55"/>
      <c r="D38" s="56"/>
      <c r="E38" s="55"/>
      <c r="F38" s="56"/>
      <c r="G38" s="55"/>
      <c r="H38" s="56"/>
      <c r="I38" s="55"/>
      <c r="J38" s="56"/>
      <c r="K38" s="55"/>
      <c r="L38" s="56"/>
      <c r="M38" s="55"/>
      <c r="N38" s="56"/>
      <c r="O38" s="23"/>
      <c r="P38" s="367" t="s">
        <v>53</v>
      </c>
      <c r="Q38" s="368"/>
      <c r="R38" s="405">
        <v>29.0</v>
      </c>
      <c r="S38" s="370">
        <v>-10.99</v>
      </c>
      <c r="T38" s="323">
        <f t="shared" ref="T38:T40" si="4">IF(ISBLANK(R38),"-",IF(R38&gt;DAY(EOMONTH(DATE($B$2,$E$2,1),0)),EOMONTH(DATE($B$2,$E$2,1),0),DATE($B$2,$E$2,R38)))</f>
        <v>46475</v>
      </c>
      <c r="U38" s="64"/>
      <c r="V38" s="23"/>
      <c r="W38" s="64"/>
      <c r="X38" s="303"/>
      <c r="Y38" s="23"/>
      <c r="Z38" s="23"/>
    </row>
    <row r="39" ht="18.75" customHeight="1">
      <c r="A39" s="55"/>
      <c r="B39" s="56"/>
      <c r="C39" s="55"/>
      <c r="D39" s="56"/>
      <c r="E39" s="55"/>
      <c r="F39" s="56"/>
      <c r="G39" s="55"/>
      <c r="H39" s="56"/>
      <c r="I39" s="55"/>
      <c r="J39" s="56"/>
      <c r="K39" s="55"/>
      <c r="L39" s="56"/>
      <c r="M39" s="55"/>
      <c r="N39" s="56"/>
      <c r="O39" s="23"/>
      <c r="P39" s="319" t="s">
        <v>27</v>
      </c>
      <c r="Q39" s="320"/>
      <c r="R39" s="321">
        <v>3.0</v>
      </c>
      <c r="S39" s="322">
        <v>-33.0</v>
      </c>
      <c r="T39" s="323">
        <f t="shared" si="4"/>
        <v>46449</v>
      </c>
      <c r="U39" s="64"/>
      <c r="V39" s="23"/>
      <c r="W39" s="64"/>
      <c r="X39" s="303"/>
      <c r="Y39" s="23"/>
      <c r="Z39" s="23"/>
    </row>
    <row r="40" ht="18.75" customHeight="1">
      <c r="A40" s="66" t="s">
        <v>22</v>
      </c>
      <c r="B40" s="67">
        <f>N34+SUM(B35:B39)</f>
        <v>3569.25</v>
      </c>
      <c r="C40" s="66"/>
      <c r="D40" s="67">
        <f>B40+SUM(D35:D39)</f>
        <v>3558.26</v>
      </c>
      <c r="E40" s="66"/>
      <c r="F40" s="67">
        <f>D40+SUM(F35:F39)</f>
        <v>3528.91</v>
      </c>
      <c r="G40" s="66"/>
      <c r="H40" s="67">
        <f>F40+SUM(H35:H39)</f>
        <v>3528.91</v>
      </c>
      <c r="I40" s="66"/>
      <c r="J40" s="67">
        <f>H40+SUM(J35:J39)</f>
        <v>3528.91</v>
      </c>
      <c r="K40" s="66"/>
      <c r="L40" s="67">
        <f>J40+SUM(L35:L39)</f>
        <v>3528.91</v>
      </c>
      <c r="M40" s="66"/>
      <c r="N40" s="67">
        <f>L40+SUM(N35:N39)</f>
        <v>3528.91</v>
      </c>
      <c r="O40" s="68"/>
      <c r="P40" s="406" t="s">
        <v>186</v>
      </c>
      <c r="Q40" s="407"/>
      <c r="R40" s="408">
        <v>4.0</v>
      </c>
      <c r="S40" s="409">
        <v>-50.0</v>
      </c>
      <c r="T40" s="323">
        <f t="shared" si="4"/>
        <v>46450</v>
      </c>
      <c r="U40" s="71"/>
      <c r="V40" s="69"/>
      <c r="W40" s="71"/>
      <c r="X40" s="309"/>
      <c r="Y40" s="69"/>
      <c r="Z40" s="69"/>
    </row>
    <row r="41" ht="18.75" customHeight="1">
      <c r="A41" s="50" t="str">
        <f>IF(M35="","",IF(MONTH(M35+1)&lt;&gt;MONTH(M35),"",M35+1))</f>
        <v/>
      </c>
      <c r="B41" s="616">
        <v>0.0</v>
      </c>
      <c r="C41" s="50" t="str">
        <f>IF(A41="","",IF(MONTH(A41+1)&lt;&gt;MONTH(A41),"",A41+1))</f>
        <v/>
      </c>
      <c r="D41" s="616">
        <v>0.0</v>
      </c>
      <c r="E41" s="77"/>
      <c r="F41" s="77" t="s">
        <v>50</v>
      </c>
      <c r="G41" s="77"/>
      <c r="H41" s="77"/>
      <c r="I41" s="77"/>
      <c r="J41" s="77"/>
      <c r="K41" s="77"/>
      <c r="L41" s="77"/>
      <c r="M41" s="77"/>
      <c r="N41" s="77"/>
      <c r="P41" s="367" t="s">
        <v>214</v>
      </c>
      <c r="Q41" s="368"/>
      <c r="R41" s="405">
        <v>7.0</v>
      </c>
      <c r="S41" s="370">
        <v>-21.8</v>
      </c>
      <c r="T41" s="376">
        <f>IF(ISBLANK(R41),"-",IF(R41&gt;DAY(EOMONTH(DATE($B$2,$E$2,1),0)),EOMONTH(DATE($B$2,$E$2,1),0),DATE($B$2,$E$2,R41)))</f>
        <v>46453</v>
      </c>
      <c r="V41" s="313"/>
      <c r="X41" s="314"/>
    </row>
    <row r="42" ht="18.75" customHeight="1">
      <c r="A42" s="55"/>
      <c r="B42" s="56"/>
      <c r="C42" s="55"/>
      <c r="D42" s="56"/>
      <c r="E42" s="77"/>
      <c r="F42" s="77" t="s">
        <v>52</v>
      </c>
      <c r="G42" s="77"/>
      <c r="H42" s="77"/>
      <c r="I42" s="77"/>
      <c r="J42" s="77"/>
      <c r="K42" s="77"/>
      <c r="L42" s="77"/>
      <c r="M42" s="77"/>
      <c r="N42" s="77"/>
      <c r="P42" s="319" t="s">
        <v>38</v>
      </c>
      <c r="Q42" s="320"/>
      <c r="R42" s="321">
        <v>11.0</v>
      </c>
      <c r="S42" s="322">
        <v>-50.0</v>
      </c>
      <c r="T42" s="323">
        <f t="shared" ref="T42:T43" si="5">IF(ISBLANK(R42),"-",IF(R42&gt;DAY(EOMONTH(DATE($B$2,$E$2,1),0)),EOMONTH(DATE($B$2,$E$2,1),0),DATE($B$2,$E$2,R42)))</f>
        <v>46457</v>
      </c>
      <c r="V42" s="313"/>
      <c r="X42" s="314"/>
    </row>
    <row r="43" ht="18.75" customHeight="1">
      <c r="A43" s="55"/>
      <c r="B43" s="56"/>
      <c r="C43" s="55"/>
      <c r="D43" s="56"/>
      <c r="E43" s="77"/>
      <c r="F43" s="77"/>
      <c r="G43" s="77"/>
      <c r="H43" s="77"/>
      <c r="I43" s="77"/>
      <c r="J43" s="77"/>
      <c r="K43" s="77"/>
      <c r="L43" s="77"/>
      <c r="M43" s="77"/>
      <c r="N43" s="77"/>
      <c r="P43" s="319" t="s">
        <v>57</v>
      </c>
      <c r="Q43" s="320"/>
      <c r="R43" s="321">
        <v>28.0</v>
      </c>
      <c r="S43" s="322">
        <v>-370.0</v>
      </c>
      <c r="T43" s="323">
        <f t="shared" si="5"/>
        <v>46474</v>
      </c>
      <c r="V43" s="313"/>
    </row>
    <row r="44" ht="18.75" customHeight="1">
      <c r="A44" s="55"/>
      <c r="B44" s="56"/>
      <c r="C44" s="55"/>
      <c r="D44" s="56"/>
      <c r="E44" s="77"/>
      <c r="F44" s="77"/>
      <c r="G44" s="77"/>
      <c r="H44" s="108">
        <v>22.61</v>
      </c>
      <c r="I44" s="77"/>
      <c r="J44" s="77"/>
      <c r="K44" s="77"/>
      <c r="L44" s="77"/>
      <c r="M44" s="77"/>
      <c r="N44" s="77"/>
      <c r="P44" s="613" t="s">
        <v>24</v>
      </c>
      <c r="Q44" s="368"/>
      <c r="R44" s="614">
        <v>1.0</v>
      </c>
      <c r="S44" s="615">
        <v>-63.0</v>
      </c>
      <c r="T44" s="376">
        <f>IF(ISBLANK(R44),"-",IF(R44&gt;DAY(EOMONTH(DATE($B$2,$E$2,1),0)),EOMONTH(DATE($B$2,$E$2,1),0),DATE($B$2,$E$2,R44)))</f>
        <v>46447</v>
      </c>
      <c r="V44" s="313"/>
      <c r="X44" s="314"/>
    </row>
    <row r="45" ht="18.75" customHeight="1">
      <c r="A45" s="55"/>
      <c r="B45" s="56"/>
      <c r="C45" s="55"/>
      <c r="D45" s="56"/>
      <c r="E45" s="77"/>
      <c r="F45" s="77"/>
      <c r="G45" s="77"/>
      <c r="H45" s="326">
        <v>16.2</v>
      </c>
      <c r="I45" s="77"/>
      <c r="J45" s="77"/>
      <c r="K45" s="77"/>
      <c r="L45" s="77"/>
      <c r="M45" s="77"/>
      <c r="N45" s="77"/>
      <c r="P45" s="319" t="s">
        <v>26</v>
      </c>
      <c r="Q45" s="320"/>
      <c r="R45" s="321">
        <v>5.0</v>
      </c>
      <c r="S45" s="322">
        <v>-150.0</v>
      </c>
      <c r="T45" s="323">
        <f t="shared" ref="T45:T48" si="6">IF(ISBLANK(R45),"-",IF(R45&gt;DAY(EOMONTH(DATE($B$2,$E$2,1),0)),EOMONTH(DATE($B$2,$E$2,1),0),DATE($B$2,$E$2,R45)))</f>
        <v>46451</v>
      </c>
    </row>
    <row r="46" ht="18.75" customHeight="1">
      <c r="A46" s="66" t="s">
        <v>22</v>
      </c>
      <c r="B46" s="67">
        <f>N40+SUM(B41:B45)</f>
        <v>3528.91</v>
      </c>
      <c r="C46" s="66"/>
      <c r="D46" s="67">
        <f>B46+SUM(D41:D45)</f>
        <v>3528.91</v>
      </c>
      <c r="E46" s="77"/>
      <c r="F46" s="77"/>
      <c r="G46" s="77"/>
      <c r="H46" s="326">
        <v>20.9</v>
      </c>
      <c r="I46" s="77"/>
      <c r="J46" s="77"/>
      <c r="K46" s="77"/>
      <c r="L46" s="77"/>
      <c r="M46" s="77"/>
      <c r="N46" s="77"/>
      <c r="P46" s="319" t="s">
        <v>26</v>
      </c>
      <c r="Q46" s="320"/>
      <c r="R46" s="321">
        <v>12.0</v>
      </c>
      <c r="S46" s="322">
        <v>-150.0</v>
      </c>
      <c r="T46" s="323">
        <f t="shared" si="6"/>
        <v>46458</v>
      </c>
    </row>
    <row r="47" ht="12.75" customHeight="1">
      <c r="P47" s="319" t="s">
        <v>26</v>
      </c>
      <c r="Q47" s="320"/>
      <c r="R47" s="321">
        <v>19.0</v>
      </c>
      <c r="S47" s="322">
        <v>-150.0</v>
      </c>
      <c r="T47" s="323">
        <f t="shared" si="6"/>
        <v>46465</v>
      </c>
    </row>
    <row r="48" ht="12.75" customHeight="1">
      <c r="P48" s="319" t="s">
        <v>26</v>
      </c>
      <c r="Q48" s="320"/>
      <c r="R48" s="321">
        <v>26.0</v>
      </c>
      <c r="S48" s="322">
        <v>-150.0</v>
      </c>
      <c r="T48" s="323">
        <f t="shared" si="6"/>
        <v>46472</v>
      </c>
    </row>
    <row r="49" ht="12.75" customHeight="1">
      <c r="P49" s="406" t="s">
        <v>242</v>
      </c>
      <c r="Q49" s="368"/>
      <c r="R49" s="408">
        <v>20.0</v>
      </c>
      <c r="S49" s="370">
        <v>-550.0</v>
      </c>
      <c r="T49" s="376">
        <f>IF(ISBLANK(R49),"-",IF(R49&gt;DAY(EOMONTH(DATE($B$2,$E$2,1),0)),EOMONTH(DATE($B$2,$E$2,1),0),DATE($B$2,$E$2,R49)))</f>
        <v>46466</v>
      </c>
    </row>
    <row r="50" ht="12.75" customHeight="1">
      <c r="P50" s="542"/>
      <c r="Q50" s="407"/>
      <c r="R50" s="543"/>
      <c r="S50" s="544"/>
      <c r="T50" s="376" t="str">
        <f t="shared" ref="T50:T56" si="7">IF(ISBLANK(R50),"-",IF(R50&gt;DAY(EOMONTH(DATE($B$2,$E$2,1),0)),EOMONTH(DATE($B$2,$E$2,1),0),DATE($B$2,$E$2,$R$47)))</f>
        <v>-</v>
      </c>
    </row>
    <row r="51" ht="12.75" customHeight="1">
      <c r="P51" s="542"/>
      <c r="Q51" s="407"/>
      <c r="R51" s="543"/>
      <c r="S51" s="544"/>
      <c r="T51" s="376" t="str">
        <f t="shared" si="7"/>
        <v>-</v>
      </c>
    </row>
    <row r="52" ht="12.75" customHeight="1">
      <c r="P52" s="542"/>
      <c r="Q52" s="407"/>
      <c r="R52" s="543"/>
      <c r="S52" s="544"/>
      <c r="T52" s="376" t="str">
        <f t="shared" si="7"/>
        <v>-</v>
      </c>
    </row>
    <row r="53" ht="12.75" customHeight="1">
      <c r="P53" s="542"/>
      <c r="Q53" s="407"/>
      <c r="R53" s="543"/>
      <c r="S53" s="544"/>
      <c r="T53" s="376" t="str">
        <f t="shared" si="7"/>
        <v>-</v>
      </c>
    </row>
    <row r="54" ht="12.75" customHeight="1">
      <c r="P54" s="542"/>
      <c r="Q54" s="407"/>
      <c r="R54" s="543"/>
      <c r="S54" s="544"/>
      <c r="T54" s="376" t="str">
        <f t="shared" si="7"/>
        <v>-</v>
      </c>
    </row>
    <row r="55" ht="12.75" customHeight="1">
      <c r="P55" s="542"/>
      <c r="Q55" s="407"/>
      <c r="R55" s="543"/>
      <c r="S55" s="544"/>
      <c r="T55" s="376" t="str">
        <f t="shared" si="7"/>
        <v>-</v>
      </c>
    </row>
    <row r="56" ht="12.75" customHeight="1">
      <c r="P56" s="542"/>
      <c r="Q56" s="407"/>
      <c r="R56" s="543"/>
      <c r="S56" s="544"/>
      <c r="T56" s="376" t="str">
        <f t="shared" si="7"/>
        <v>-</v>
      </c>
    </row>
    <row r="57" ht="12.75" customHeight="1">
      <c r="P57" s="19"/>
      <c r="Q57" s="19"/>
      <c r="R57" s="285"/>
      <c r="S57" s="286"/>
      <c r="T57" s="19"/>
    </row>
    <row r="58" ht="12.75" customHeight="1">
      <c r="P58" s="19"/>
      <c r="Q58" s="19"/>
      <c r="R58" s="285"/>
      <c r="S58" s="286"/>
      <c r="T58" s="19"/>
    </row>
    <row r="59" ht="12.75" customHeight="1">
      <c r="R59" s="336"/>
      <c r="S59" s="337"/>
    </row>
    <row r="60" ht="12.75" customHeight="1">
      <c r="R60" s="336"/>
      <c r="S60" s="337"/>
    </row>
    <row r="61" ht="12.75" customHeight="1">
      <c r="R61" s="336"/>
      <c r="S61" s="337"/>
    </row>
    <row r="62" ht="12.75" customHeight="1">
      <c r="R62" s="336"/>
      <c r="S62" s="337"/>
    </row>
    <row r="63" ht="12.75" customHeight="1">
      <c r="R63" s="336"/>
      <c r="S63" s="337"/>
    </row>
    <row r="64" ht="12.75" customHeight="1">
      <c r="R64" s="336"/>
      <c r="S64" s="337"/>
    </row>
    <row r="65" ht="12.75" customHeight="1">
      <c r="R65" s="336"/>
      <c r="S65" s="337"/>
    </row>
    <row r="66" ht="12.75" customHeight="1">
      <c r="R66" s="336"/>
      <c r="S66" s="337"/>
    </row>
    <row r="67" ht="12.75" customHeight="1">
      <c r="R67" s="336"/>
      <c r="S67" s="337"/>
    </row>
    <row r="68" ht="12.75" customHeight="1">
      <c r="R68" s="336"/>
      <c r="S68" s="337"/>
    </row>
    <row r="69" ht="12.75" customHeight="1">
      <c r="R69" s="336"/>
      <c r="S69" s="337"/>
    </row>
    <row r="70" ht="12.75" customHeight="1">
      <c r="R70" s="336"/>
      <c r="S70" s="337"/>
    </row>
    <row r="71" ht="12.75" customHeight="1">
      <c r="R71" s="336"/>
      <c r="S71" s="337"/>
    </row>
    <row r="72" ht="12.75" customHeight="1">
      <c r="R72" s="336"/>
      <c r="S72" s="337"/>
    </row>
    <row r="73" ht="12.75" customHeight="1">
      <c r="R73" s="336"/>
      <c r="S73" s="337"/>
    </row>
    <row r="74" ht="12.75" customHeight="1">
      <c r="R74" s="336"/>
      <c r="S74" s="337"/>
    </row>
    <row r="75" ht="12.75" customHeight="1">
      <c r="R75" s="336"/>
      <c r="S75" s="337"/>
    </row>
    <row r="76" ht="12.75" customHeight="1">
      <c r="R76" s="336"/>
      <c r="S76" s="337"/>
    </row>
    <row r="77" ht="12.75" customHeight="1">
      <c r="R77" s="336"/>
      <c r="S77" s="337"/>
    </row>
    <row r="78" ht="12.75" customHeight="1">
      <c r="R78" s="336"/>
      <c r="S78" s="337"/>
    </row>
    <row r="79" ht="12.75" customHeight="1">
      <c r="R79" s="336"/>
      <c r="S79" s="337"/>
    </row>
    <row r="80" ht="12.75" customHeight="1">
      <c r="R80" s="336"/>
      <c r="S80" s="337"/>
    </row>
    <row r="81" ht="12.75" customHeight="1">
      <c r="R81" s="336"/>
      <c r="S81" s="337"/>
    </row>
    <row r="82" ht="12.75" customHeight="1">
      <c r="R82" s="336"/>
      <c r="S82" s="337"/>
    </row>
    <row r="83" ht="12.75" customHeight="1">
      <c r="R83" s="336"/>
      <c r="S83" s="337"/>
    </row>
    <row r="84" ht="12.75" customHeight="1">
      <c r="R84" s="336"/>
      <c r="S84" s="337"/>
    </row>
    <row r="85" ht="12.75" customHeight="1">
      <c r="R85" s="336"/>
      <c r="S85" s="337"/>
    </row>
    <row r="86" ht="12.75" customHeight="1">
      <c r="R86" s="336"/>
      <c r="S86" s="337"/>
    </row>
    <row r="87" ht="12.75" customHeight="1">
      <c r="R87" s="336"/>
      <c r="S87" s="337"/>
    </row>
    <row r="88" ht="12.75" customHeight="1">
      <c r="R88" s="336"/>
      <c r="S88" s="337"/>
    </row>
    <row r="89" ht="12.75" customHeight="1">
      <c r="R89" s="336"/>
      <c r="S89" s="337"/>
    </row>
    <row r="90" ht="12.75" customHeight="1">
      <c r="R90" s="336"/>
      <c r="S90" s="337"/>
    </row>
    <row r="91" ht="12.75" customHeight="1">
      <c r="R91" s="336"/>
      <c r="S91" s="337"/>
    </row>
    <row r="92" ht="12.75" customHeight="1">
      <c r="R92" s="336"/>
      <c r="S92" s="337"/>
    </row>
    <row r="93" ht="12.75" customHeight="1">
      <c r="R93" s="336"/>
      <c r="S93" s="337"/>
    </row>
    <row r="94" ht="12.75" customHeight="1">
      <c r="R94" s="336"/>
      <c r="S94" s="337"/>
    </row>
    <row r="95" ht="12.75" customHeight="1">
      <c r="R95" s="336"/>
      <c r="S95" s="337"/>
    </row>
    <row r="96" ht="12.75" customHeight="1">
      <c r="R96" s="336"/>
      <c r="S96" s="337"/>
    </row>
    <row r="97" ht="12.75" customHeight="1">
      <c r="R97" s="336"/>
      <c r="S97" s="337"/>
    </row>
    <row r="98" ht="12.75" customHeight="1">
      <c r="R98" s="336"/>
      <c r="S98" s="337"/>
    </row>
    <row r="99" ht="12.75" customHeight="1">
      <c r="R99" s="336"/>
      <c r="S99" s="337"/>
    </row>
    <row r="100" ht="12.75" customHeight="1">
      <c r="R100" s="336"/>
      <c r="S100" s="337"/>
    </row>
    <row r="101" ht="12.75" customHeight="1">
      <c r="R101" s="336"/>
      <c r="S101" s="337"/>
    </row>
    <row r="102" ht="12.75" customHeight="1">
      <c r="R102" s="336"/>
      <c r="S102" s="337"/>
    </row>
    <row r="103" ht="12.75" customHeight="1">
      <c r="R103" s="336"/>
      <c r="S103" s="337"/>
    </row>
    <row r="104" ht="12.75" customHeight="1">
      <c r="R104" s="336"/>
      <c r="S104" s="337"/>
    </row>
    <row r="105" ht="12.75" customHeight="1">
      <c r="R105" s="336"/>
      <c r="S105" s="337"/>
    </row>
    <row r="106" ht="12.75" customHeight="1">
      <c r="R106" s="336"/>
      <c r="S106" s="337"/>
    </row>
    <row r="107" ht="12.75" customHeight="1">
      <c r="R107" s="336"/>
      <c r="S107" s="337"/>
    </row>
    <row r="108" ht="12.75" customHeight="1">
      <c r="R108" s="336"/>
      <c r="S108" s="337"/>
    </row>
    <row r="109" ht="12.75" customHeight="1">
      <c r="R109" s="336"/>
      <c r="S109" s="337"/>
    </row>
    <row r="110" ht="12.75" customHeight="1">
      <c r="R110" s="336"/>
      <c r="S110" s="337"/>
    </row>
    <row r="111" ht="12.75" customHeight="1">
      <c r="R111" s="336"/>
      <c r="S111" s="337"/>
    </row>
    <row r="112" ht="12.75" customHeight="1">
      <c r="R112" s="336"/>
      <c r="S112" s="337"/>
    </row>
    <row r="113" ht="12.75" customHeight="1">
      <c r="R113" s="336"/>
      <c r="S113" s="337"/>
    </row>
    <row r="114" ht="12.75" customHeight="1">
      <c r="R114" s="336"/>
      <c r="S114" s="337"/>
    </row>
    <row r="115" ht="12.75" customHeight="1">
      <c r="R115" s="336"/>
      <c r="S115" s="337"/>
    </row>
    <row r="116" ht="12.75" customHeight="1">
      <c r="R116" s="336"/>
      <c r="S116" s="337"/>
    </row>
    <row r="117" ht="12.75" customHeight="1">
      <c r="R117" s="336"/>
      <c r="S117" s="337"/>
    </row>
    <row r="118" ht="12.75" customHeight="1">
      <c r="R118" s="336"/>
      <c r="S118" s="337"/>
    </row>
    <row r="119" ht="12.75" customHeight="1">
      <c r="R119" s="336"/>
      <c r="S119" s="337"/>
    </row>
    <row r="120" ht="12.75" customHeight="1">
      <c r="R120" s="336"/>
      <c r="S120" s="337"/>
    </row>
    <row r="121" ht="12.75" customHeight="1">
      <c r="R121" s="336"/>
      <c r="S121" s="337"/>
    </row>
    <row r="122" ht="12.75" customHeight="1">
      <c r="R122" s="336"/>
      <c r="S122" s="337"/>
    </row>
    <row r="123" ht="12.75" customHeight="1">
      <c r="R123" s="336"/>
      <c r="S123" s="337"/>
    </row>
    <row r="124" ht="12.75" customHeight="1">
      <c r="R124" s="336"/>
      <c r="S124" s="337"/>
    </row>
    <row r="125" ht="12.75" customHeight="1">
      <c r="R125" s="336"/>
      <c r="S125" s="337"/>
    </row>
    <row r="126" ht="12.75" customHeight="1">
      <c r="R126" s="336"/>
      <c r="S126" s="337"/>
    </row>
    <row r="127" ht="12.75" customHeight="1">
      <c r="R127" s="336"/>
      <c r="S127" s="337"/>
    </row>
    <row r="128" ht="12.75" customHeight="1">
      <c r="R128" s="336"/>
      <c r="S128" s="337"/>
    </row>
    <row r="129" ht="12.75" customHeight="1">
      <c r="R129" s="336"/>
      <c r="S129" s="337"/>
    </row>
    <row r="130" ht="12.75" customHeight="1">
      <c r="R130" s="336"/>
      <c r="S130" s="337"/>
    </row>
    <row r="131" ht="12.75" customHeight="1">
      <c r="R131" s="336"/>
      <c r="S131" s="337"/>
    </row>
    <row r="132" ht="12.75" customHeight="1">
      <c r="R132" s="336"/>
      <c r="S132" s="337"/>
    </row>
    <row r="133" ht="12.75" customHeight="1">
      <c r="R133" s="336"/>
      <c r="S133" s="337"/>
    </row>
    <row r="134" ht="12.75" customHeight="1">
      <c r="R134" s="336"/>
      <c r="S134" s="337"/>
    </row>
    <row r="135" ht="12.75" customHeight="1">
      <c r="R135" s="336"/>
      <c r="S135" s="337"/>
    </row>
    <row r="136" ht="12.75" customHeight="1">
      <c r="R136" s="336"/>
      <c r="S136" s="337"/>
    </row>
    <row r="137" ht="12.75" customHeight="1">
      <c r="R137" s="336"/>
      <c r="S137" s="337"/>
    </row>
    <row r="138" ht="12.75" customHeight="1">
      <c r="R138" s="336"/>
      <c r="S138" s="337"/>
    </row>
    <row r="139" ht="12.75" customHeight="1">
      <c r="R139" s="336"/>
      <c r="S139" s="337"/>
    </row>
    <row r="140" ht="12.75" customHeight="1">
      <c r="R140" s="336"/>
      <c r="S140" s="337"/>
    </row>
    <row r="141" ht="12.75" customHeight="1">
      <c r="R141" s="336"/>
      <c r="S141" s="337"/>
    </row>
    <row r="142" ht="12.75" customHeight="1">
      <c r="R142" s="336"/>
      <c r="S142" s="337"/>
    </row>
    <row r="143" ht="12.75" customHeight="1">
      <c r="R143" s="336"/>
      <c r="S143" s="337"/>
    </row>
    <row r="144" ht="12.75" customHeight="1">
      <c r="R144" s="336"/>
      <c r="S144" s="337"/>
    </row>
    <row r="145" ht="12.75" customHeight="1">
      <c r="R145" s="336"/>
      <c r="S145" s="337"/>
    </row>
    <row r="146" ht="12.75" customHeight="1">
      <c r="R146" s="336"/>
      <c r="S146" s="337"/>
    </row>
    <row r="147" ht="12.75" customHeight="1">
      <c r="R147" s="336"/>
      <c r="S147" s="337"/>
    </row>
    <row r="148" ht="12.75" customHeight="1">
      <c r="R148" s="336"/>
      <c r="S148" s="337"/>
    </row>
    <row r="149" ht="12.75" customHeight="1">
      <c r="R149" s="336"/>
      <c r="S149" s="337"/>
    </row>
    <row r="150" ht="12.75" customHeight="1">
      <c r="R150" s="336"/>
      <c r="S150" s="337"/>
    </row>
    <row r="151" ht="12.75" customHeight="1">
      <c r="R151" s="336"/>
      <c r="S151" s="337"/>
    </row>
    <row r="152" ht="12.75" customHeight="1">
      <c r="R152" s="336"/>
      <c r="S152" s="337"/>
    </row>
    <row r="153" ht="12.75" customHeight="1">
      <c r="R153" s="336"/>
      <c r="S153" s="337"/>
    </row>
    <row r="154" ht="12.75" customHeight="1">
      <c r="R154" s="336"/>
      <c r="S154" s="337"/>
    </row>
    <row r="155" ht="12.75" customHeight="1">
      <c r="R155" s="336"/>
      <c r="S155" s="337"/>
    </row>
    <row r="156" ht="12.75" customHeight="1">
      <c r="R156" s="336"/>
      <c r="S156" s="337"/>
    </row>
    <row r="157" ht="12.75" customHeight="1">
      <c r="R157" s="336"/>
      <c r="S157" s="337"/>
    </row>
    <row r="158" ht="12.75" customHeight="1">
      <c r="R158" s="336"/>
      <c r="S158" s="337"/>
    </row>
    <row r="159" ht="12.75" customHeight="1">
      <c r="R159" s="336"/>
      <c r="S159" s="337"/>
    </row>
    <row r="160" ht="12.75" customHeight="1">
      <c r="R160" s="336"/>
      <c r="S160" s="337"/>
    </row>
    <row r="161" ht="12.75" customHeight="1">
      <c r="R161" s="336"/>
      <c r="S161" s="337"/>
    </row>
    <row r="162" ht="12.75" customHeight="1">
      <c r="R162" s="336"/>
      <c r="S162" s="337"/>
    </row>
    <row r="163" ht="12.75" customHeight="1">
      <c r="R163" s="336"/>
      <c r="S163" s="337"/>
    </row>
    <row r="164" ht="12.75" customHeight="1">
      <c r="R164" s="336"/>
      <c r="S164" s="337"/>
    </row>
    <row r="165" ht="12.75" customHeight="1">
      <c r="R165" s="336"/>
      <c r="S165" s="337"/>
    </row>
    <row r="166" ht="12.75" customHeight="1">
      <c r="R166" s="336"/>
      <c r="S166" s="337"/>
    </row>
    <row r="167" ht="12.75" customHeight="1">
      <c r="R167" s="336"/>
      <c r="S167" s="337"/>
    </row>
    <row r="168" ht="12.75" customHeight="1">
      <c r="R168" s="336"/>
      <c r="S168" s="337"/>
    </row>
    <row r="169" ht="12.75" customHeight="1">
      <c r="R169" s="336"/>
      <c r="S169" s="337"/>
    </row>
    <row r="170" ht="12.75" customHeight="1">
      <c r="R170" s="336"/>
      <c r="S170" s="337"/>
    </row>
    <row r="171" ht="12.75" customHeight="1">
      <c r="R171" s="336"/>
      <c r="S171" s="337"/>
    </row>
    <row r="172" ht="12.75" customHeight="1">
      <c r="R172" s="336"/>
      <c r="S172" s="337"/>
    </row>
    <row r="173" ht="12.75" customHeight="1">
      <c r="R173" s="336"/>
      <c r="S173" s="337"/>
    </row>
    <row r="174" ht="12.75" customHeight="1">
      <c r="R174" s="336"/>
      <c r="S174" s="337"/>
    </row>
    <row r="175" ht="12.75" customHeight="1">
      <c r="R175" s="336"/>
      <c r="S175" s="337"/>
    </row>
    <row r="176" ht="12.75" customHeight="1">
      <c r="R176" s="336"/>
      <c r="S176" s="337"/>
    </row>
    <row r="177" ht="12.75" customHeight="1">
      <c r="R177" s="336"/>
      <c r="S177" s="337"/>
    </row>
    <row r="178" ht="12.75" customHeight="1">
      <c r="R178" s="336"/>
      <c r="S178" s="337"/>
    </row>
    <row r="179" ht="12.75" customHeight="1">
      <c r="R179" s="336"/>
      <c r="S179" s="337"/>
    </row>
    <row r="180" ht="12.75" customHeight="1">
      <c r="R180" s="336"/>
      <c r="S180" s="337"/>
    </row>
    <row r="181" ht="12.75" customHeight="1">
      <c r="R181" s="336"/>
      <c r="S181" s="337"/>
    </row>
    <row r="182" ht="12.75" customHeight="1">
      <c r="R182" s="336"/>
      <c r="S182" s="337"/>
    </row>
    <row r="183" ht="12.75" customHeight="1">
      <c r="R183" s="336"/>
      <c r="S183" s="337"/>
    </row>
    <row r="184" ht="12.75" customHeight="1">
      <c r="R184" s="336"/>
      <c r="S184" s="337"/>
    </row>
    <row r="185" ht="12.75" customHeight="1">
      <c r="R185" s="336"/>
      <c r="S185" s="337"/>
    </row>
    <row r="186" ht="12.75" customHeight="1">
      <c r="R186" s="336"/>
      <c r="S186" s="337"/>
    </row>
    <row r="187" ht="12.75" customHeight="1">
      <c r="R187" s="336"/>
      <c r="S187" s="337"/>
    </row>
    <row r="188" ht="12.75" customHeight="1">
      <c r="R188" s="336"/>
      <c r="S188" s="337"/>
    </row>
    <row r="189" ht="12.75" customHeight="1">
      <c r="R189" s="336"/>
      <c r="S189" s="337"/>
    </row>
    <row r="190" ht="12.75" customHeight="1">
      <c r="R190" s="336"/>
      <c r="S190" s="337"/>
    </row>
    <row r="191" ht="12.75" customHeight="1">
      <c r="R191" s="336"/>
      <c r="S191" s="337"/>
    </row>
    <row r="192" ht="12.75" customHeight="1">
      <c r="R192" s="336"/>
      <c r="S192" s="337"/>
    </row>
    <row r="193" ht="12.75" customHeight="1">
      <c r="R193" s="336"/>
      <c r="S193" s="337"/>
    </row>
    <row r="194" ht="12.75" customHeight="1">
      <c r="R194" s="336"/>
      <c r="S194" s="337"/>
    </row>
    <row r="195" ht="12.75" customHeight="1">
      <c r="R195" s="336"/>
      <c r="S195" s="337"/>
    </row>
    <row r="196" ht="12.75" customHeight="1">
      <c r="R196" s="336"/>
      <c r="S196" s="337"/>
    </row>
    <row r="197" ht="12.75" customHeight="1">
      <c r="R197" s="336"/>
      <c r="S197" s="337"/>
    </row>
    <row r="198" ht="12.75" customHeight="1">
      <c r="R198" s="336"/>
      <c r="S198" s="337"/>
    </row>
    <row r="199" ht="12.75" customHeight="1">
      <c r="R199" s="336"/>
      <c r="S199" s="337"/>
    </row>
    <row r="200" ht="12.75" customHeight="1">
      <c r="R200" s="336"/>
      <c r="S200" s="337"/>
    </row>
    <row r="201" ht="12.75" customHeight="1">
      <c r="R201" s="336"/>
      <c r="S201" s="337"/>
    </row>
    <row r="202" ht="12.75" customHeight="1">
      <c r="R202" s="336"/>
      <c r="S202" s="337"/>
    </row>
    <row r="203" ht="12.75" customHeight="1">
      <c r="R203" s="336"/>
      <c r="S203" s="337"/>
    </row>
    <row r="204" ht="12.75" customHeight="1">
      <c r="R204" s="336"/>
      <c r="S204" s="337"/>
    </row>
    <row r="205" ht="12.75" customHeight="1">
      <c r="R205" s="336"/>
      <c r="S205" s="337"/>
    </row>
    <row r="206" ht="12.75" customHeight="1">
      <c r="R206" s="336"/>
      <c r="S206" s="337"/>
    </row>
    <row r="207" ht="12.75" customHeight="1">
      <c r="R207" s="336"/>
      <c r="S207" s="337"/>
    </row>
    <row r="208" ht="12.75" customHeight="1">
      <c r="R208" s="336"/>
      <c r="S208" s="337"/>
    </row>
    <row r="209" ht="12.75" customHeight="1">
      <c r="R209" s="336"/>
      <c r="S209" s="337"/>
    </row>
    <row r="210" ht="12.75" customHeight="1">
      <c r="R210" s="336"/>
      <c r="S210" s="337"/>
    </row>
    <row r="211" ht="12.75" customHeight="1">
      <c r="R211" s="336"/>
      <c r="S211" s="337"/>
    </row>
    <row r="212" ht="12.75" customHeight="1">
      <c r="R212" s="336"/>
      <c r="S212" s="337"/>
    </row>
    <row r="213" ht="12.75" customHeight="1">
      <c r="R213" s="336"/>
      <c r="S213" s="337"/>
    </row>
    <row r="214" ht="12.75" customHeight="1">
      <c r="R214" s="336"/>
      <c r="S214" s="337"/>
    </row>
    <row r="215" ht="12.75" customHeight="1">
      <c r="R215" s="336"/>
      <c r="S215" s="337"/>
    </row>
    <row r="216" ht="12.75" customHeight="1">
      <c r="R216" s="336"/>
      <c r="S216" s="337"/>
    </row>
    <row r="217" ht="12.75" customHeight="1">
      <c r="R217" s="336"/>
      <c r="S217" s="337"/>
    </row>
    <row r="218" ht="12.75" customHeight="1">
      <c r="R218" s="336"/>
      <c r="S218" s="337"/>
    </row>
    <row r="219" ht="12.75" customHeight="1">
      <c r="R219" s="336"/>
      <c r="S219" s="337"/>
    </row>
    <row r="220" ht="12.75" customHeight="1">
      <c r="R220" s="336"/>
      <c r="S220" s="337"/>
    </row>
    <row r="221" ht="12.75" customHeight="1">
      <c r="R221" s="336"/>
      <c r="S221" s="337"/>
    </row>
    <row r="222" ht="12.75" customHeight="1">
      <c r="R222" s="336"/>
      <c r="S222" s="337"/>
    </row>
    <row r="223" ht="12.75" customHeight="1">
      <c r="R223" s="336"/>
      <c r="S223" s="337"/>
    </row>
    <row r="224" ht="12.75" customHeight="1">
      <c r="R224" s="336"/>
      <c r="S224" s="337"/>
    </row>
    <row r="225" ht="12.75" customHeight="1">
      <c r="R225" s="336"/>
      <c r="S225" s="337"/>
    </row>
    <row r="226" ht="12.75" customHeight="1">
      <c r="R226" s="336"/>
      <c r="S226" s="337"/>
    </row>
    <row r="227" ht="12.75" customHeight="1">
      <c r="R227" s="336"/>
      <c r="S227" s="337"/>
    </row>
    <row r="228" ht="12.75" customHeight="1">
      <c r="R228" s="336"/>
      <c r="S228" s="337"/>
    </row>
    <row r="229" ht="12.75" customHeight="1">
      <c r="R229" s="336"/>
      <c r="S229" s="337"/>
    </row>
    <row r="230" ht="12.75" customHeight="1">
      <c r="R230" s="336"/>
      <c r="S230" s="337"/>
    </row>
    <row r="231" ht="12.75" customHeight="1">
      <c r="R231" s="336"/>
      <c r="S231" s="337"/>
    </row>
    <row r="232" ht="12.75" customHeight="1">
      <c r="R232" s="336"/>
      <c r="S232" s="337"/>
    </row>
    <row r="233" ht="12.75" customHeight="1">
      <c r="R233" s="336"/>
      <c r="S233" s="337"/>
    </row>
    <row r="234" ht="12.75" customHeight="1">
      <c r="R234" s="336"/>
      <c r="S234" s="337"/>
    </row>
    <row r="235" ht="12.75" customHeight="1">
      <c r="R235" s="336"/>
      <c r="S235" s="337"/>
    </row>
    <row r="236" ht="12.75" customHeight="1">
      <c r="R236" s="336"/>
      <c r="S236" s="337"/>
    </row>
    <row r="237" ht="12.75" customHeight="1">
      <c r="R237" s="336"/>
      <c r="S237" s="337"/>
    </row>
    <row r="238" ht="12.75" customHeight="1">
      <c r="R238" s="336"/>
      <c r="S238" s="337"/>
    </row>
    <row r="239" ht="12.75" customHeight="1">
      <c r="R239" s="336"/>
      <c r="S239" s="337"/>
    </row>
    <row r="240" ht="12.75" customHeight="1">
      <c r="R240" s="336"/>
      <c r="S240" s="337"/>
    </row>
    <row r="241" ht="12.75" customHeight="1">
      <c r="R241" s="336"/>
      <c r="S241" s="337"/>
    </row>
    <row r="242" ht="12.75" customHeight="1">
      <c r="R242" s="336"/>
      <c r="S242" s="337"/>
    </row>
    <row r="243" ht="12.75" customHeight="1">
      <c r="R243" s="336"/>
      <c r="S243" s="337"/>
    </row>
    <row r="244" ht="12.75" customHeight="1">
      <c r="R244" s="336"/>
      <c r="S244" s="337"/>
    </row>
    <row r="245" ht="12.75" customHeight="1">
      <c r="R245" s="336"/>
      <c r="S245" s="337"/>
    </row>
    <row r="246" ht="12.75" customHeight="1">
      <c r="R246" s="336"/>
      <c r="S246" s="337"/>
    </row>
    <row r="247" ht="12.75" customHeight="1">
      <c r="R247" s="336"/>
      <c r="S247" s="337"/>
    </row>
    <row r="248" ht="12.75" customHeight="1">
      <c r="R248" s="336"/>
      <c r="S248" s="337"/>
    </row>
    <row r="249" ht="12.75" customHeight="1">
      <c r="R249" s="336"/>
      <c r="S249" s="337"/>
    </row>
    <row r="250" ht="12.75" customHeight="1">
      <c r="R250" s="336"/>
      <c r="S250" s="337"/>
    </row>
    <row r="251" ht="12.75" customHeight="1">
      <c r="R251" s="336"/>
      <c r="S251" s="337"/>
    </row>
    <row r="252" ht="12.75" customHeight="1">
      <c r="R252" s="336"/>
      <c r="S252" s="337"/>
    </row>
    <row r="253" ht="12.75" customHeight="1">
      <c r="R253" s="336"/>
      <c r="S253" s="337"/>
    </row>
    <row r="254" ht="12.75" customHeight="1">
      <c r="R254" s="336"/>
      <c r="S254" s="337"/>
    </row>
    <row r="255" ht="12.75" customHeight="1">
      <c r="R255" s="336"/>
      <c r="S255" s="337"/>
    </row>
    <row r="256" ht="12.75" customHeight="1">
      <c r="R256" s="336"/>
      <c r="S256" s="337"/>
    </row>
    <row r="257" ht="12.75" customHeight="1">
      <c r="R257" s="336"/>
      <c r="S257" s="337"/>
    </row>
    <row r="258" ht="12.75" customHeight="1">
      <c r="R258" s="336"/>
      <c r="S258" s="337"/>
    </row>
    <row r="259" ht="12.75" customHeight="1">
      <c r="R259" s="336"/>
      <c r="S259" s="337"/>
    </row>
    <row r="260" ht="12.75" customHeight="1">
      <c r="R260" s="336"/>
      <c r="S260" s="337"/>
    </row>
    <row r="261" ht="12.75" customHeight="1">
      <c r="R261" s="336"/>
      <c r="S261" s="337"/>
    </row>
    <row r="262" ht="12.75" customHeight="1">
      <c r="R262" s="336"/>
      <c r="S262" s="337"/>
    </row>
    <row r="263" ht="12.75" customHeight="1">
      <c r="R263" s="336"/>
      <c r="S263" s="337"/>
    </row>
    <row r="264" ht="12.75" customHeight="1">
      <c r="R264" s="336"/>
      <c r="S264" s="337"/>
    </row>
    <row r="265" ht="12.75" customHeight="1">
      <c r="R265" s="336"/>
      <c r="S265" s="337"/>
    </row>
    <row r="266" ht="12.75" customHeight="1">
      <c r="R266" s="336"/>
      <c r="S266" s="337"/>
    </row>
    <row r="267" ht="12.75" customHeight="1">
      <c r="R267" s="336"/>
      <c r="S267" s="337"/>
    </row>
    <row r="268" ht="12.75" customHeight="1">
      <c r="R268" s="336"/>
      <c r="S268" s="337"/>
    </row>
    <row r="269" ht="12.75" customHeight="1">
      <c r="R269" s="336"/>
      <c r="S269" s="337"/>
    </row>
    <row r="270" ht="12.75" customHeight="1">
      <c r="R270" s="336"/>
      <c r="S270" s="337"/>
    </row>
    <row r="271" ht="12.75" customHeight="1">
      <c r="R271" s="336"/>
      <c r="S271" s="337"/>
    </row>
    <row r="272" ht="12.75" customHeight="1">
      <c r="R272" s="336"/>
      <c r="S272" s="337"/>
    </row>
    <row r="273" ht="12.75" customHeight="1">
      <c r="R273" s="336"/>
      <c r="S273" s="337"/>
    </row>
    <row r="274" ht="12.75" customHeight="1">
      <c r="R274" s="336"/>
      <c r="S274" s="337"/>
    </row>
    <row r="275" ht="12.75" customHeight="1">
      <c r="R275" s="336"/>
      <c r="S275" s="337"/>
    </row>
    <row r="276" ht="12.75" customHeight="1">
      <c r="R276" s="336"/>
      <c r="S276" s="337"/>
    </row>
    <row r="277" ht="12.75" customHeight="1">
      <c r="R277" s="336"/>
      <c r="S277" s="337"/>
    </row>
    <row r="278" ht="12.75" customHeight="1">
      <c r="R278" s="336"/>
      <c r="S278" s="337"/>
    </row>
    <row r="279" ht="12.75" customHeight="1">
      <c r="R279" s="336"/>
      <c r="S279" s="337"/>
    </row>
    <row r="280" ht="12.75" customHeight="1">
      <c r="R280" s="336"/>
      <c r="S280" s="337"/>
    </row>
    <row r="281" ht="12.75" customHeight="1">
      <c r="R281" s="336"/>
      <c r="S281" s="337"/>
    </row>
    <row r="282" ht="12.75" customHeight="1">
      <c r="R282" s="336"/>
      <c r="S282" s="337"/>
    </row>
    <row r="283" ht="12.75" customHeight="1">
      <c r="R283" s="336"/>
      <c r="S283" s="337"/>
    </row>
    <row r="284" ht="12.75" customHeight="1">
      <c r="R284" s="336"/>
      <c r="S284" s="337"/>
    </row>
    <row r="285" ht="12.75" customHeight="1">
      <c r="R285" s="336"/>
      <c r="S285" s="337"/>
    </row>
    <row r="286" ht="12.75" customHeight="1">
      <c r="R286" s="336"/>
      <c r="S286" s="337"/>
    </row>
    <row r="287" ht="12.75" customHeight="1">
      <c r="R287" s="336"/>
      <c r="S287" s="337"/>
    </row>
    <row r="288" ht="12.75" customHeight="1">
      <c r="R288" s="336"/>
      <c r="S288" s="337"/>
    </row>
    <row r="289" ht="12.75" customHeight="1">
      <c r="R289" s="336"/>
      <c r="S289" s="337"/>
    </row>
    <row r="290" ht="12.75" customHeight="1">
      <c r="R290" s="336"/>
      <c r="S290" s="337"/>
    </row>
    <row r="291" ht="12.75" customHeight="1">
      <c r="R291" s="336"/>
      <c r="S291" s="337"/>
    </row>
    <row r="292" ht="12.75" customHeight="1">
      <c r="R292" s="336"/>
      <c r="S292" s="337"/>
    </row>
    <row r="293" ht="12.75" customHeight="1">
      <c r="R293" s="336"/>
      <c r="S293" s="337"/>
    </row>
    <row r="294" ht="12.75" customHeight="1">
      <c r="R294" s="336"/>
      <c r="S294" s="337"/>
    </row>
    <row r="295" ht="12.75" customHeight="1">
      <c r="R295" s="336"/>
      <c r="S295" s="337"/>
    </row>
    <row r="296" ht="12.75" customHeight="1">
      <c r="R296" s="336"/>
      <c r="S296" s="337"/>
    </row>
    <row r="297" ht="12.75" customHeight="1">
      <c r="R297" s="336"/>
      <c r="S297" s="337"/>
    </row>
    <row r="298" ht="12.75" customHeight="1">
      <c r="R298" s="336"/>
      <c r="S298" s="337"/>
    </row>
    <row r="299" ht="12.75" customHeight="1">
      <c r="R299" s="336"/>
      <c r="S299" s="337"/>
    </row>
    <row r="300" ht="12.75" customHeight="1">
      <c r="R300" s="336"/>
      <c r="S300" s="337"/>
    </row>
    <row r="301" ht="12.75" customHeight="1">
      <c r="R301" s="336"/>
      <c r="S301" s="337"/>
    </row>
    <row r="302" ht="12.75" customHeight="1">
      <c r="R302" s="336"/>
      <c r="S302" s="337"/>
    </row>
    <row r="303" ht="12.75" customHeight="1">
      <c r="R303" s="336"/>
      <c r="S303" s="337"/>
    </row>
    <row r="304" ht="12.75" customHeight="1">
      <c r="R304" s="336"/>
      <c r="S304" s="337"/>
    </row>
    <row r="305" ht="12.75" customHeight="1">
      <c r="R305" s="336"/>
      <c r="S305" s="337"/>
    </row>
    <row r="306" ht="12.75" customHeight="1">
      <c r="R306" s="336"/>
      <c r="S306" s="337"/>
    </row>
    <row r="307" ht="12.75" customHeight="1">
      <c r="R307" s="336"/>
      <c r="S307" s="337"/>
    </row>
    <row r="308" ht="12.75" customHeight="1">
      <c r="R308" s="336"/>
      <c r="S308" s="337"/>
    </row>
    <row r="309" ht="12.75" customHeight="1">
      <c r="R309" s="336"/>
      <c r="S309" s="337"/>
    </row>
    <row r="310" ht="12.75" customHeight="1">
      <c r="R310" s="336"/>
      <c r="S310" s="337"/>
    </row>
    <row r="311" ht="12.75" customHeight="1">
      <c r="R311" s="336"/>
      <c r="S311" s="337"/>
    </row>
    <row r="312" ht="12.75" customHeight="1">
      <c r="R312" s="336"/>
      <c r="S312" s="337"/>
    </row>
    <row r="313" ht="12.75" customHeight="1">
      <c r="R313" s="336"/>
      <c r="S313" s="337"/>
    </row>
    <row r="314" ht="12.75" customHeight="1">
      <c r="R314" s="336"/>
      <c r="S314" s="337"/>
    </row>
    <row r="315" ht="12.75" customHeight="1">
      <c r="R315" s="336"/>
      <c r="S315" s="337"/>
    </row>
    <row r="316" ht="12.75" customHeight="1">
      <c r="R316" s="336"/>
      <c r="S316" s="337"/>
    </row>
    <row r="317" ht="12.75" customHeight="1">
      <c r="R317" s="336"/>
      <c r="S317" s="337"/>
    </row>
    <row r="318" ht="12.75" customHeight="1">
      <c r="R318" s="336"/>
      <c r="S318" s="337"/>
    </row>
    <row r="319" ht="12.75" customHeight="1">
      <c r="R319" s="336"/>
      <c r="S319" s="337"/>
    </row>
    <row r="320" ht="12.75" customHeight="1">
      <c r="R320" s="336"/>
      <c r="S320" s="337"/>
    </row>
    <row r="321" ht="12.75" customHeight="1">
      <c r="R321" s="336"/>
      <c r="S321" s="337"/>
    </row>
    <row r="322" ht="12.75" customHeight="1">
      <c r="R322" s="336"/>
      <c r="S322" s="337"/>
    </row>
    <row r="323" ht="12.75" customHeight="1">
      <c r="R323" s="336"/>
      <c r="S323" s="337"/>
    </row>
    <row r="324" ht="12.75" customHeight="1">
      <c r="R324" s="336"/>
      <c r="S324" s="337"/>
    </row>
    <row r="325" ht="12.75" customHeight="1">
      <c r="R325" s="336"/>
      <c r="S325" s="337"/>
    </row>
    <row r="326" ht="12.75" customHeight="1">
      <c r="R326" s="336"/>
      <c r="S326" s="337"/>
    </row>
    <row r="327" ht="12.75" customHeight="1">
      <c r="R327" s="336"/>
      <c r="S327" s="337"/>
    </row>
    <row r="328" ht="12.75" customHeight="1">
      <c r="R328" s="336"/>
      <c r="S328" s="337"/>
    </row>
    <row r="329" ht="12.75" customHeight="1">
      <c r="R329" s="336"/>
      <c r="S329" s="337"/>
    </row>
    <row r="330" ht="12.75" customHeight="1">
      <c r="R330" s="336"/>
      <c r="S330" s="337"/>
    </row>
    <row r="331" ht="12.75" customHeight="1">
      <c r="R331" s="336"/>
      <c r="S331" s="337"/>
    </row>
    <row r="332" ht="12.75" customHeight="1">
      <c r="R332" s="336"/>
      <c r="S332" s="337"/>
    </row>
    <row r="333" ht="12.75" customHeight="1">
      <c r="R333" s="336"/>
      <c r="S333" s="337"/>
    </row>
    <row r="334" ht="12.75" customHeight="1">
      <c r="R334" s="336"/>
      <c r="S334" s="337"/>
    </row>
    <row r="335" ht="12.75" customHeight="1">
      <c r="R335" s="336"/>
      <c r="S335" s="337"/>
    </row>
    <row r="336" ht="12.75" customHeight="1">
      <c r="R336" s="336"/>
      <c r="S336" s="337"/>
    </row>
    <row r="337" ht="12.75" customHeight="1">
      <c r="R337" s="336"/>
      <c r="S337" s="337"/>
    </row>
    <row r="338" ht="12.75" customHeight="1">
      <c r="R338" s="336"/>
      <c r="S338" s="337"/>
    </row>
    <row r="339" ht="12.75" customHeight="1">
      <c r="R339" s="336"/>
      <c r="S339" s="337"/>
    </row>
    <row r="340" ht="12.75" customHeight="1">
      <c r="R340" s="336"/>
      <c r="S340" s="337"/>
    </row>
    <row r="341" ht="12.75" customHeight="1">
      <c r="R341" s="336"/>
      <c r="S341" s="337"/>
    </row>
    <row r="342" ht="12.75" customHeight="1">
      <c r="R342" s="336"/>
      <c r="S342" s="337"/>
    </row>
    <row r="343" ht="12.75" customHeight="1">
      <c r="R343" s="336"/>
      <c r="S343" s="337"/>
    </row>
    <row r="344" ht="12.75" customHeight="1">
      <c r="R344" s="336"/>
      <c r="S344" s="337"/>
    </row>
    <row r="345" ht="12.75" customHeight="1">
      <c r="R345" s="336"/>
      <c r="S345" s="337"/>
    </row>
    <row r="346" ht="12.75" customHeight="1">
      <c r="R346" s="336"/>
      <c r="S346" s="337"/>
    </row>
    <row r="347" ht="12.75" customHeight="1">
      <c r="R347" s="336"/>
      <c r="S347" s="337"/>
    </row>
    <row r="348" ht="12.75" customHeight="1">
      <c r="R348" s="336"/>
      <c r="S348" s="337"/>
    </row>
    <row r="349" ht="12.75" customHeight="1">
      <c r="R349" s="336"/>
      <c r="S349" s="337"/>
    </row>
    <row r="350" ht="12.75" customHeight="1">
      <c r="R350" s="336"/>
      <c r="S350" s="337"/>
    </row>
    <row r="351" ht="12.75" customHeight="1">
      <c r="R351" s="336"/>
      <c r="S351" s="337"/>
    </row>
    <row r="352" ht="12.75" customHeight="1">
      <c r="R352" s="336"/>
      <c r="S352" s="337"/>
    </row>
    <row r="353" ht="12.75" customHeight="1">
      <c r="R353" s="336"/>
      <c r="S353" s="337"/>
    </row>
    <row r="354" ht="12.75" customHeight="1">
      <c r="R354" s="336"/>
      <c r="S354" s="337"/>
    </row>
    <row r="355" ht="12.75" customHeight="1">
      <c r="R355" s="336"/>
      <c r="S355" s="337"/>
    </row>
    <row r="356" ht="12.75" customHeight="1">
      <c r="R356" s="336"/>
      <c r="S356" s="337"/>
    </row>
    <row r="357" ht="12.75" customHeight="1">
      <c r="R357" s="336"/>
      <c r="S357" s="337"/>
    </row>
    <row r="358" ht="12.75" customHeight="1">
      <c r="R358" s="336"/>
      <c r="S358" s="337"/>
    </row>
    <row r="359" ht="12.75" customHeight="1">
      <c r="R359" s="336"/>
      <c r="S359" s="337"/>
    </row>
    <row r="360" ht="12.75" customHeight="1">
      <c r="R360" s="336"/>
      <c r="S360" s="337"/>
    </row>
    <row r="361" ht="12.75" customHeight="1">
      <c r="R361" s="336"/>
      <c r="S361" s="337"/>
    </row>
    <row r="362" ht="12.75" customHeight="1">
      <c r="R362" s="336"/>
      <c r="S362" s="337"/>
    </row>
    <row r="363" ht="12.75" customHeight="1">
      <c r="R363" s="336"/>
      <c r="S363" s="337"/>
    </row>
    <row r="364" ht="12.75" customHeight="1">
      <c r="R364" s="336"/>
      <c r="S364" s="337"/>
    </row>
    <row r="365" ht="12.75" customHeight="1">
      <c r="R365" s="336"/>
      <c r="S365" s="337"/>
    </row>
    <row r="366" ht="12.75" customHeight="1">
      <c r="R366" s="336"/>
      <c r="S366" s="337"/>
    </row>
    <row r="367" ht="12.75" customHeight="1">
      <c r="R367" s="336"/>
      <c r="S367" s="337"/>
    </row>
    <row r="368" ht="12.75" customHeight="1">
      <c r="R368" s="336"/>
      <c r="S368" s="337"/>
    </row>
    <row r="369" ht="12.75" customHeight="1">
      <c r="R369" s="336"/>
      <c r="S369" s="337"/>
    </row>
    <row r="370" ht="12.75" customHeight="1">
      <c r="R370" s="336"/>
      <c r="S370" s="337"/>
    </row>
    <row r="371" ht="12.75" customHeight="1">
      <c r="R371" s="336"/>
      <c r="S371" s="337"/>
    </row>
    <row r="372" ht="12.75" customHeight="1">
      <c r="R372" s="336"/>
      <c r="S372" s="337"/>
    </row>
    <row r="373" ht="12.75" customHeight="1">
      <c r="R373" s="336"/>
      <c r="S373" s="337"/>
    </row>
    <row r="374" ht="12.75" customHeight="1">
      <c r="R374" s="336"/>
      <c r="S374" s="337"/>
    </row>
    <row r="375" ht="12.75" customHeight="1">
      <c r="R375" s="336"/>
      <c r="S375" s="337"/>
    </row>
    <row r="376" ht="12.75" customHeight="1">
      <c r="R376" s="336"/>
      <c r="S376" s="337"/>
    </row>
    <row r="377" ht="12.75" customHeight="1">
      <c r="R377" s="336"/>
      <c r="S377" s="337"/>
    </row>
    <row r="378" ht="12.75" customHeight="1">
      <c r="R378" s="336"/>
      <c r="S378" s="337"/>
    </row>
    <row r="379" ht="12.75" customHeight="1">
      <c r="R379" s="336"/>
      <c r="S379" s="337"/>
    </row>
    <row r="380" ht="12.75" customHeight="1">
      <c r="R380" s="336"/>
      <c r="S380" s="337"/>
    </row>
    <row r="381" ht="12.75" customHeight="1">
      <c r="R381" s="336"/>
      <c r="S381" s="337"/>
    </row>
    <row r="382" ht="12.75" customHeight="1">
      <c r="R382" s="336"/>
      <c r="S382" s="337"/>
    </row>
    <row r="383" ht="12.75" customHeight="1">
      <c r="R383" s="336"/>
      <c r="S383" s="337"/>
    </row>
    <row r="384" ht="12.75" customHeight="1">
      <c r="R384" s="336"/>
      <c r="S384" s="337"/>
    </row>
    <row r="385" ht="12.75" customHeight="1">
      <c r="R385" s="336"/>
      <c r="S385" s="337"/>
    </row>
    <row r="386" ht="12.75" customHeight="1">
      <c r="R386" s="336"/>
      <c r="S386" s="337"/>
    </row>
    <row r="387" ht="12.75" customHeight="1">
      <c r="R387" s="336"/>
      <c r="S387" s="337"/>
    </row>
    <row r="388" ht="12.75" customHeight="1">
      <c r="R388" s="336"/>
      <c r="S388" s="337"/>
    </row>
    <row r="389" ht="12.75" customHeight="1">
      <c r="R389" s="336"/>
      <c r="S389" s="337"/>
    </row>
    <row r="390" ht="12.75" customHeight="1">
      <c r="R390" s="336"/>
      <c r="S390" s="337"/>
    </row>
    <row r="391" ht="12.75" customHeight="1">
      <c r="R391" s="336"/>
      <c r="S391" s="337"/>
    </row>
    <row r="392" ht="12.75" customHeight="1">
      <c r="R392" s="336"/>
      <c r="S392" s="337"/>
    </row>
    <row r="393" ht="12.75" customHeight="1">
      <c r="R393" s="336"/>
      <c r="S393" s="337"/>
    </row>
    <row r="394" ht="12.75" customHeight="1">
      <c r="R394" s="336"/>
      <c r="S394" s="337"/>
    </row>
    <row r="395" ht="12.75" customHeight="1">
      <c r="R395" s="336"/>
      <c r="S395" s="337"/>
    </row>
    <row r="396" ht="12.75" customHeight="1">
      <c r="R396" s="336"/>
      <c r="S396" s="337"/>
    </row>
    <row r="397" ht="12.75" customHeight="1">
      <c r="R397" s="336"/>
      <c r="S397" s="337"/>
    </row>
    <row r="398" ht="12.75" customHeight="1">
      <c r="R398" s="336"/>
      <c r="S398" s="337"/>
    </row>
    <row r="399" ht="12.75" customHeight="1">
      <c r="R399" s="336"/>
      <c r="S399" s="337"/>
    </row>
    <row r="400" ht="12.75" customHeight="1">
      <c r="R400" s="336"/>
      <c r="S400" s="337"/>
    </row>
    <row r="401" ht="12.75" customHeight="1">
      <c r="R401" s="336"/>
      <c r="S401" s="337"/>
    </row>
    <row r="402" ht="12.75" customHeight="1">
      <c r="R402" s="336"/>
      <c r="S402" s="337"/>
    </row>
    <row r="403" ht="12.75" customHeight="1">
      <c r="R403" s="336"/>
      <c r="S403" s="337"/>
    </row>
    <row r="404" ht="12.75" customHeight="1">
      <c r="R404" s="336"/>
      <c r="S404" s="337"/>
    </row>
    <row r="405" ht="12.75" customHeight="1">
      <c r="R405" s="336"/>
      <c r="S405" s="337"/>
    </row>
    <row r="406" ht="12.75" customHeight="1">
      <c r="R406" s="336"/>
      <c r="S406" s="337"/>
    </row>
    <row r="407" ht="12.75" customHeight="1">
      <c r="R407" s="336"/>
      <c r="S407" s="337"/>
    </row>
    <row r="408" ht="12.75" customHeight="1">
      <c r="R408" s="336"/>
      <c r="S408" s="337"/>
    </row>
    <row r="409" ht="12.75" customHeight="1">
      <c r="R409" s="336"/>
      <c r="S409" s="337"/>
    </row>
    <row r="410" ht="12.75" customHeight="1">
      <c r="R410" s="336"/>
      <c r="S410" s="337"/>
    </row>
    <row r="411" ht="12.75" customHeight="1">
      <c r="R411" s="336"/>
      <c r="S411" s="337"/>
    </row>
    <row r="412" ht="12.75" customHeight="1">
      <c r="R412" s="336"/>
      <c r="S412" s="337"/>
    </row>
    <row r="413" ht="12.75" customHeight="1">
      <c r="R413" s="336"/>
      <c r="S413" s="337"/>
    </row>
    <row r="414" ht="12.75" customHeight="1">
      <c r="R414" s="336"/>
      <c r="S414" s="337"/>
    </row>
    <row r="415" ht="12.75" customHeight="1">
      <c r="R415" s="336"/>
      <c r="S415" s="337"/>
    </row>
    <row r="416" ht="12.75" customHeight="1">
      <c r="R416" s="336"/>
      <c r="S416" s="337"/>
    </row>
    <row r="417" ht="12.75" customHeight="1">
      <c r="R417" s="336"/>
      <c r="S417" s="337"/>
    </row>
    <row r="418" ht="12.75" customHeight="1">
      <c r="R418" s="336"/>
      <c r="S418" s="337"/>
    </row>
    <row r="419" ht="12.75" customHeight="1">
      <c r="R419" s="336"/>
      <c r="S419" s="337"/>
    </row>
    <row r="420" ht="12.75" customHeight="1">
      <c r="R420" s="336"/>
      <c r="S420" s="337"/>
    </row>
    <row r="421" ht="12.75" customHeight="1">
      <c r="R421" s="336"/>
      <c r="S421" s="337"/>
    </row>
    <row r="422" ht="12.75" customHeight="1">
      <c r="R422" s="336"/>
      <c r="S422" s="337"/>
    </row>
    <row r="423" ht="12.75" customHeight="1">
      <c r="R423" s="336"/>
      <c r="S423" s="337"/>
    </row>
    <row r="424" ht="12.75" customHeight="1">
      <c r="R424" s="336"/>
      <c r="S424" s="337"/>
    </row>
    <row r="425" ht="12.75" customHeight="1">
      <c r="R425" s="336"/>
      <c r="S425" s="337"/>
    </row>
    <row r="426" ht="12.75" customHeight="1">
      <c r="R426" s="336"/>
      <c r="S426" s="337"/>
    </row>
    <row r="427" ht="12.75" customHeight="1">
      <c r="R427" s="336"/>
      <c r="S427" s="337"/>
    </row>
    <row r="428" ht="12.75" customHeight="1">
      <c r="R428" s="336"/>
      <c r="S428" s="337"/>
    </row>
    <row r="429" ht="12.75" customHeight="1">
      <c r="R429" s="336"/>
      <c r="S429" s="337"/>
    </row>
    <row r="430" ht="12.75" customHeight="1">
      <c r="R430" s="336"/>
      <c r="S430" s="337"/>
    </row>
    <row r="431" ht="12.75" customHeight="1">
      <c r="R431" s="336"/>
      <c r="S431" s="337"/>
    </row>
    <row r="432" ht="12.75" customHeight="1">
      <c r="R432" s="336"/>
      <c r="S432" s="337"/>
    </row>
    <row r="433" ht="12.75" customHeight="1">
      <c r="R433" s="336"/>
      <c r="S433" s="337"/>
    </row>
    <row r="434" ht="12.75" customHeight="1">
      <c r="R434" s="336"/>
      <c r="S434" s="337"/>
    </row>
    <row r="435" ht="12.75" customHeight="1">
      <c r="R435" s="336"/>
      <c r="S435" s="337"/>
    </row>
    <row r="436" ht="12.75" customHeight="1">
      <c r="R436" s="336"/>
      <c r="S436" s="337"/>
    </row>
    <row r="437" ht="12.75" customHeight="1">
      <c r="R437" s="336"/>
      <c r="S437" s="337"/>
    </row>
    <row r="438" ht="12.75" customHeight="1">
      <c r="R438" s="336"/>
      <c r="S438" s="337"/>
    </row>
    <row r="439" ht="12.75" customHeight="1">
      <c r="R439" s="336"/>
      <c r="S439" s="337"/>
    </row>
    <row r="440" ht="12.75" customHeight="1">
      <c r="R440" s="336"/>
      <c r="S440" s="337"/>
    </row>
    <row r="441" ht="12.75" customHeight="1">
      <c r="R441" s="336"/>
      <c r="S441" s="337"/>
    </row>
    <row r="442" ht="12.75" customHeight="1">
      <c r="R442" s="336"/>
      <c r="S442" s="337"/>
    </row>
    <row r="443" ht="12.75" customHeight="1">
      <c r="R443" s="336"/>
      <c r="S443" s="337"/>
    </row>
    <row r="444" ht="12.75" customHeight="1">
      <c r="R444" s="336"/>
      <c r="S444" s="337"/>
    </row>
    <row r="445" ht="12.75" customHeight="1">
      <c r="R445" s="336"/>
      <c r="S445" s="337"/>
    </row>
    <row r="446" ht="12.75" customHeight="1">
      <c r="R446" s="336"/>
      <c r="S446" s="337"/>
    </row>
    <row r="447" ht="12.75" customHeight="1">
      <c r="R447" s="336"/>
      <c r="S447" s="337"/>
    </row>
    <row r="448" ht="12.75" customHeight="1">
      <c r="R448" s="336"/>
      <c r="S448" s="337"/>
    </row>
    <row r="449" ht="12.75" customHeight="1">
      <c r="R449" s="336"/>
      <c r="S449" s="337"/>
    </row>
    <row r="450" ht="12.75" customHeight="1">
      <c r="R450" s="336"/>
      <c r="S450" s="337"/>
    </row>
    <row r="451" ht="12.75" customHeight="1">
      <c r="R451" s="336"/>
      <c r="S451" s="337"/>
    </row>
    <row r="452" ht="12.75" customHeight="1">
      <c r="R452" s="336"/>
      <c r="S452" s="337"/>
    </row>
    <row r="453" ht="12.75" customHeight="1">
      <c r="R453" s="336"/>
      <c r="S453" s="337"/>
    </row>
    <row r="454" ht="12.75" customHeight="1">
      <c r="R454" s="336"/>
      <c r="S454" s="337"/>
    </row>
    <row r="455" ht="12.75" customHeight="1">
      <c r="R455" s="336"/>
      <c r="S455" s="337"/>
    </row>
    <row r="456" ht="12.75" customHeight="1">
      <c r="R456" s="336"/>
      <c r="S456" s="337"/>
    </row>
    <row r="457" ht="12.75" customHeight="1">
      <c r="R457" s="336"/>
      <c r="S457" s="337"/>
    </row>
    <row r="458" ht="12.75" customHeight="1">
      <c r="R458" s="336"/>
      <c r="S458" s="337"/>
    </row>
    <row r="459" ht="12.75" customHeight="1">
      <c r="R459" s="336"/>
      <c r="S459" s="337"/>
    </row>
    <row r="460" ht="12.75" customHeight="1">
      <c r="R460" s="336"/>
      <c r="S460" s="337"/>
    </row>
    <row r="461" ht="12.75" customHeight="1">
      <c r="R461" s="336"/>
      <c r="S461" s="337"/>
    </row>
    <row r="462" ht="12.75" customHeight="1">
      <c r="R462" s="336"/>
      <c r="S462" s="337"/>
    </row>
    <row r="463" ht="12.75" customHeight="1">
      <c r="R463" s="336"/>
      <c r="S463" s="337"/>
    </row>
    <row r="464" ht="12.75" customHeight="1">
      <c r="R464" s="336"/>
      <c r="S464" s="337"/>
    </row>
    <row r="465" ht="12.75" customHeight="1">
      <c r="R465" s="336"/>
      <c r="S465" s="337"/>
    </row>
    <row r="466" ht="12.75" customHeight="1">
      <c r="R466" s="336"/>
      <c r="S466" s="337"/>
    </row>
    <row r="467" ht="12.75" customHeight="1">
      <c r="R467" s="336"/>
      <c r="S467" s="337"/>
    </row>
    <row r="468" ht="12.75" customHeight="1">
      <c r="R468" s="336"/>
      <c r="S468" s="337"/>
    </row>
    <row r="469" ht="12.75" customHeight="1">
      <c r="R469" s="336"/>
      <c r="S469" s="337"/>
    </row>
    <row r="470" ht="12.75" customHeight="1">
      <c r="R470" s="336"/>
      <c r="S470" s="337"/>
    </row>
    <row r="471" ht="12.75" customHeight="1">
      <c r="R471" s="336"/>
      <c r="S471" s="337"/>
    </row>
    <row r="472" ht="12.75" customHeight="1">
      <c r="R472" s="336"/>
      <c r="S472" s="337"/>
    </row>
    <row r="473" ht="12.75" customHeight="1">
      <c r="R473" s="336"/>
      <c r="S473" s="337"/>
    </row>
    <row r="474" ht="12.75" customHeight="1">
      <c r="R474" s="336"/>
      <c r="S474" s="337"/>
    </row>
    <row r="475" ht="12.75" customHeight="1">
      <c r="R475" s="336"/>
      <c r="S475" s="337"/>
    </row>
    <row r="476" ht="12.75" customHeight="1">
      <c r="R476" s="336"/>
      <c r="S476" s="337"/>
    </row>
    <row r="477" ht="12.75" customHeight="1">
      <c r="R477" s="336"/>
      <c r="S477" s="337"/>
    </row>
    <row r="478" ht="12.75" customHeight="1">
      <c r="R478" s="336"/>
      <c r="S478" s="337"/>
    </row>
    <row r="479" ht="12.75" customHeight="1">
      <c r="R479" s="336"/>
      <c r="S479" s="337"/>
    </row>
    <row r="480" ht="12.75" customHeight="1">
      <c r="R480" s="336"/>
      <c r="S480" s="337"/>
    </row>
    <row r="481" ht="12.75" customHeight="1">
      <c r="R481" s="336"/>
      <c r="S481" s="337"/>
    </row>
    <row r="482" ht="12.75" customHeight="1">
      <c r="R482" s="336"/>
      <c r="S482" s="337"/>
    </row>
    <row r="483" ht="12.75" customHeight="1">
      <c r="R483" s="336"/>
      <c r="S483" s="337"/>
    </row>
    <row r="484" ht="12.75" customHeight="1">
      <c r="R484" s="336"/>
      <c r="S484" s="337"/>
    </row>
    <row r="485" ht="12.75" customHeight="1">
      <c r="R485" s="336"/>
      <c r="S485" s="337"/>
    </row>
    <row r="486" ht="12.75" customHeight="1">
      <c r="R486" s="336"/>
      <c r="S486" s="337"/>
    </row>
    <row r="487" ht="12.75" customHeight="1">
      <c r="R487" s="336"/>
      <c r="S487" s="337"/>
    </row>
    <row r="488" ht="12.75" customHeight="1">
      <c r="R488" s="336"/>
      <c r="S488" s="337"/>
    </row>
    <row r="489" ht="12.75" customHeight="1">
      <c r="R489" s="336"/>
      <c r="S489" s="337"/>
    </row>
    <row r="490" ht="12.75" customHeight="1">
      <c r="R490" s="336"/>
      <c r="S490" s="337"/>
    </row>
    <row r="491" ht="12.75" customHeight="1">
      <c r="R491" s="336"/>
      <c r="S491" s="337"/>
    </row>
    <row r="492" ht="12.75" customHeight="1">
      <c r="R492" s="336"/>
      <c r="S492" s="337"/>
    </row>
    <row r="493" ht="12.75" customHeight="1">
      <c r="R493" s="336"/>
      <c r="S493" s="337"/>
    </row>
    <row r="494" ht="12.75" customHeight="1">
      <c r="R494" s="336"/>
      <c r="S494" s="337"/>
    </row>
    <row r="495" ht="12.75" customHeight="1">
      <c r="R495" s="336"/>
      <c r="S495" s="337"/>
    </row>
    <row r="496" ht="12.75" customHeight="1">
      <c r="R496" s="336"/>
      <c r="S496" s="337"/>
    </row>
    <row r="497" ht="12.75" customHeight="1">
      <c r="R497" s="336"/>
      <c r="S497" s="337"/>
    </row>
    <row r="498" ht="12.75" customHeight="1">
      <c r="R498" s="336"/>
      <c r="S498" s="337"/>
    </row>
    <row r="499" ht="12.75" customHeight="1">
      <c r="R499" s="336"/>
      <c r="S499" s="337"/>
    </row>
    <row r="500" ht="12.75" customHeight="1">
      <c r="R500" s="336"/>
      <c r="S500" s="337"/>
    </row>
    <row r="501" ht="12.75" customHeight="1">
      <c r="R501" s="336"/>
      <c r="S501" s="337"/>
    </row>
    <row r="502" ht="12.75" customHeight="1">
      <c r="R502" s="336"/>
      <c r="S502" s="337"/>
    </row>
    <row r="503" ht="12.75" customHeight="1">
      <c r="R503" s="336"/>
      <c r="S503" s="337"/>
    </row>
    <row r="504" ht="12.75" customHeight="1">
      <c r="R504" s="336"/>
      <c r="S504" s="337"/>
    </row>
    <row r="505" ht="12.75" customHeight="1">
      <c r="R505" s="336"/>
      <c r="S505" s="337"/>
    </row>
    <row r="506" ht="12.75" customHeight="1">
      <c r="R506" s="336"/>
      <c r="S506" s="337"/>
    </row>
    <row r="507" ht="12.75" customHeight="1">
      <c r="R507" s="336"/>
      <c r="S507" s="337"/>
    </row>
    <row r="508" ht="12.75" customHeight="1">
      <c r="R508" s="336"/>
      <c r="S508" s="337"/>
    </row>
    <row r="509" ht="12.75" customHeight="1">
      <c r="R509" s="336"/>
      <c r="S509" s="337"/>
    </row>
    <row r="510" ht="12.75" customHeight="1">
      <c r="R510" s="336"/>
      <c r="S510" s="337"/>
    </row>
    <row r="511" ht="12.75" customHeight="1">
      <c r="R511" s="336"/>
      <c r="S511" s="337"/>
    </row>
    <row r="512" ht="12.75" customHeight="1">
      <c r="R512" s="336"/>
      <c r="S512" s="337"/>
    </row>
    <row r="513" ht="12.75" customHeight="1">
      <c r="R513" s="336"/>
      <c r="S513" s="337"/>
    </row>
    <row r="514" ht="12.75" customHeight="1">
      <c r="R514" s="336"/>
      <c r="S514" s="337"/>
    </row>
    <row r="515" ht="12.75" customHeight="1">
      <c r="R515" s="336"/>
      <c r="S515" s="337"/>
    </row>
    <row r="516" ht="12.75" customHeight="1">
      <c r="R516" s="336"/>
      <c r="S516" s="337"/>
    </row>
    <row r="517" ht="12.75" customHeight="1">
      <c r="R517" s="336"/>
      <c r="S517" s="337"/>
    </row>
    <row r="518" ht="12.75" customHeight="1">
      <c r="R518" s="336"/>
      <c r="S518" s="337"/>
    </row>
    <row r="519" ht="12.75" customHeight="1">
      <c r="R519" s="336"/>
      <c r="S519" s="337"/>
    </row>
    <row r="520" ht="12.75" customHeight="1">
      <c r="R520" s="336"/>
      <c r="S520" s="337"/>
    </row>
    <row r="521" ht="12.75" customHeight="1">
      <c r="R521" s="336"/>
      <c r="S521" s="337"/>
    </row>
    <row r="522" ht="12.75" customHeight="1">
      <c r="R522" s="336"/>
      <c r="S522" s="337"/>
    </row>
    <row r="523" ht="12.75" customHeight="1">
      <c r="R523" s="336"/>
      <c r="S523" s="337"/>
    </row>
    <row r="524" ht="12.75" customHeight="1">
      <c r="R524" s="336"/>
      <c r="S524" s="337"/>
    </row>
    <row r="525" ht="12.75" customHeight="1">
      <c r="R525" s="336"/>
      <c r="S525" s="337"/>
    </row>
    <row r="526" ht="12.75" customHeight="1">
      <c r="R526" s="336"/>
      <c r="S526" s="337"/>
    </row>
    <row r="527" ht="12.75" customHeight="1">
      <c r="R527" s="336"/>
      <c r="S527" s="337"/>
    </row>
    <row r="528" ht="12.75" customHeight="1">
      <c r="R528" s="336"/>
      <c r="S528" s="337"/>
    </row>
    <row r="529" ht="12.75" customHeight="1">
      <c r="R529" s="336"/>
      <c r="S529" s="337"/>
    </row>
    <row r="530" ht="12.75" customHeight="1">
      <c r="R530" s="336"/>
      <c r="S530" s="337"/>
    </row>
    <row r="531" ht="12.75" customHeight="1">
      <c r="R531" s="336"/>
      <c r="S531" s="337"/>
    </row>
    <row r="532" ht="12.75" customHeight="1">
      <c r="R532" s="336"/>
      <c r="S532" s="337"/>
    </row>
    <row r="533" ht="12.75" customHeight="1">
      <c r="R533" s="336"/>
      <c r="S533" s="337"/>
    </row>
    <row r="534" ht="12.75" customHeight="1">
      <c r="R534" s="336"/>
      <c r="S534" s="337"/>
    </row>
    <row r="535" ht="12.75" customHeight="1">
      <c r="R535" s="336"/>
      <c r="S535" s="337"/>
    </row>
    <row r="536" ht="12.75" customHeight="1">
      <c r="R536" s="336"/>
      <c r="S536" s="337"/>
    </row>
    <row r="537" ht="12.75" customHeight="1">
      <c r="R537" s="336"/>
      <c r="S537" s="337"/>
    </row>
    <row r="538" ht="12.75" customHeight="1">
      <c r="R538" s="336"/>
      <c r="S538" s="337"/>
    </row>
    <row r="539" ht="12.75" customHeight="1">
      <c r="R539" s="336"/>
      <c r="S539" s="337"/>
    </row>
    <row r="540" ht="12.75" customHeight="1">
      <c r="R540" s="336"/>
      <c r="S540" s="337"/>
    </row>
    <row r="541" ht="12.75" customHeight="1">
      <c r="R541" s="336"/>
      <c r="S541" s="337"/>
    </row>
    <row r="542" ht="12.75" customHeight="1">
      <c r="R542" s="336"/>
      <c r="S542" s="337"/>
    </row>
    <row r="543" ht="12.75" customHeight="1">
      <c r="R543" s="336"/>
      <c r="S543" s="337"/>
    </row>
    <row r="544" ht="12.75" customHeight="1">
      <c r="R544" s="336"/>
      <c r="S544" s="337"/>
    </row>
    <row r="545" ht="12.75" customHeight="1">
      <c r="R545" s="336"/>
      <c r="S545" s="337"/>
    </row>
    <row r="546" ht="12.75" customHeight="1">
      <c r="R546" s="336"/>
      <c r="S546" s="337"/>
    </row>
    <row r="547" ht="12.75" customHeight="1">
      <c r="R547" s="336"/>
      <c r="S547" s="337"/>
    </row>
    <row r="548" ht="12.75" customHeight="1">
      <c r="R548" s="336"/>
      <c r="S548" s="337"/>
    </row>
    <row r="549" ht="12.75" customHeight="1">
      <c r="R549" s="336"/>
      <c r="S549" s="337"/>
    </row>
    <row r="550" ht="12.75" customHeight="1">
      <c r="R550" s="336"/>
      <c r="S550" s="337"/>
    </row>
    <row r="551" ht="12.75" customHeight="1">
      <c r="R551" s="336"/>
      <c r="S551" s="337"/>
    </row>
    <row r="552" ht="12.75" customHeight="1">
      <c r="R552" s="336"/>
      <c r="S552" s="337"/>
    </row>
    <row r="553" ht="12.75" customHeight="1">
      <c r="R553" s="336"/>
      <c r="S553" s="337"/>
    </row>
    <row r="554" ht="12.75" customHeight="1">
      <c r="R554" s="336"/>
      <c r="S554" s="337"/>
    </row>
    <row r="555" ht="12.75" customHeight="1">
      <c r="R555" s="336"/>
      <c r="S555" s="337"/>
    </row>
    <row r="556" ht="12.75" customHeight="1">
      <c r="R556" s="336"/>
      <c r="S556" s="337"/>
    </row>
    <row r="557" ht="12.75" customHeight="1">
      <c r="R557" s="336"/>
      <c r="S557" s="337"/>
    </row>
    <row r="558" ht="12.75" customHeight="1">
      <c r="R558" s="336"/>
      <c r="S558" s="337"/>
    </row>
    <row r="559" ht="12.75" customHeight="1">
      <c r="R559" s="336"/>
      <c r="S559" s="337"/>
    </row>
    <row r="560" ht="12.75" customHeight="1">
      <c r="R560" s="336"/>
      <c r="S560" s="337"/>
    </row>
    <row r="561" ht="12.75" customHeight="1">
      <c r="R561" s="336"/>
      <c r="S561" s="337"/>
    </row>
    <row r="562" ht="12.75" customHeight="1">
      <c r="R562" s="336"/>
      <c r="S562" s="337"/>
    </row>
    <row r="563" ht="12.75" customHeight="1">
      <c r="R563" s="336"/>
      <c r="S563" s="337"/>
    </row>
    <row r="564" ht="12.75" customHeight="1">
      <c r="R564" s="336"/>
      <c r="S564" s="337"/>
    </row>
    <row r="565" ht="12.75" customHeight="1">
      <c r="R565" s="336"/>
      <c r="S565" s="337"/>
    </row>
    <row r="566" ht="12.75" customHeight="1">
      <c r="R566" s="336"/>
      <c r="S566" s="337"/>
    </row>
    <row r="567" ht="12.75" customHeight="1">
      <c r="R567" s="336"/>
      <c r="S567" s="337"/>
    </row>
    <row r="568" ht="12.75" customHeight="1">
      <c r="R568" s="336"/>
      <c r="S568" s="337"/>
    </row>
    <row r="569" ht="12.75" customHeight="1">
      <c r="R569" s="336"/>
      <c r="S569" s="337"/>
    </row>
    <row r="570" ht="12.75" customHeight="1">
      <c r="R570" s="336"/>
      <c r="S570" s="337"/>
    </row>
    <row r="571" ht="12.75" customHeight="1">
      <c r="R571" s="336"/>
      <c r="S571" s="337"/>
    </row>
    <row r="572" ht="12.75" customHeight="1">
      <c r="R572" s="336"/>
      <c r="S572" s="337"/>
    </row>
    <row r="573" ht="12.75" customHeight="1">
      <c r="R573" s="336"/>
      <c r="S573" s="337"/>
    </row>
    <row r="574" ht="12.75" customHeight="1">
      <c r="R574" s="336"/>
      <c r="S574" s="337"/>
    </row>
    <row r="575" ht="12.75" customHeight="1">
      <c r="R575" s="336"/>
      <c r="S575" s="337"/>
    </row>
    <row r="576" ht="12.75" customHeight="1">
      <c r="R576" s="336"/>
      <c r="S576" s="337"/>
    </row>
    <row r="577" ht="12.75" customHeight="1">
      <c r="R577" s="336"/>
      <c r="S577" s="337"/>
    </row>
    <row r="578" ht="12.75" customHeight="1">
      <c r="R578" s="336"/>
      <c r="S578" s="337"/>
    </row>
    <row r="579" ht="12.75" customHeight="1">
      <c r="R579" s="336"/>
      <c r="S579" s="337"/>
    </row>
    <row r="580" ht="12.75" customHeight="1">
      <c r="R580" s="336"/>
      <c r="S580" s="337"/>
    </row>
    <row r="581" ht="12.75" customHeight="1">
      <c r="R581" s="336"/>
      <c r="S581" s="337"/>
    </row>
    <row r="582" ht="12.75" customHeight="1">
      <c r="R582" s="336"/>
      <c r="S582" s="337"/>
    </row>
    <row r="583" ht="12.75" customHeight="1">
      <c r="R583" s="336"/>
      <c r="S583" s="337"/>
    </row>
    <row r="584" ht="12.75" customHeight="1">
      <c r="R584" s="336"/>
      <c r="S584" s="337"/>
    </row>
    <row r="585" ht="12.75" customHeight="1">
      <c r="R585" s="336"/>
      <c r="S585" s="337"/>
    </row>
    <row r="586" ht="12.75" customHeight="1">
      <c r="R586" s="336"/>
      <c r="S586" s="337"/>
    </row>
    <row r="587" ht="12.75" customHeight="1">
      <c r="R587" s="336"/>
      <c r="S587" s="337"/>
    </row>
    <row r="588" ht="12.75" customHeight="1">
      <c r="R588" s="336"/>
      <c r="S588" s="337"/>
    </row>
    <row r="589" ht="12.75" customHeight="1">
      <c r="R589" s="336"/>
      <c r="S589" s="337"/>
    </row>
    <row r="590" ht="12.75" customHeight="1">
      <c r="R590" s="336"/>
      <c r="S590" s="337"/>
    </row>
    <row r="591" ht="12.75" customHeight="1">
      <c r="R591" s="336"/>
      <c r="S591" s="337"/>
    </row>
    <row r="592" ht="12.75" customHeight="1">
      <c r="R592" s="336"/>
      <c r="S592" s="337"/>
    </row>
    <row r="593" ht="12.75" customHeight="1">
      <c r="R593" s="336"/>
      <c r="S593" s="337"/>
    </row>
    <row r="594" ht="12.75" customHeight="1">
      <c r="R594" s="336"/>
      <c r="S594" s="337"/>
    </row>
    <row r="595" ht="12.75" customHeight="1">
      <c r="R595" s="336"/>
      <c r="S595" s="337"/>
    </row>
    <row r="596" ht="12.75" customHeight="1">
      <c r="R596" s="336"/>
      <c r="S596" s="337"/>
    </row>
    <row r="597" ht="12.75" customHeight="1">
      <c r="R597" s="336"/>
      <c r="S597" s="337"/>
    </row>
    <row r="598" ht="12.75" customHeight="1">
      <c r="R598" s="336"/>
      <c r="S598" s="337"/>
    </row>
    <row r="599" ht="12.75" customHeight="1">
      <c r="R599" s="336"/>
      <c r="S599" s="337"/>
    </row>
    <row r="600" ht="12.75" customHeight="1">
      <c r="R600" s="336"/>
      <c r="S600" s="337"/>
    </row>
    <row r="601" ht="12.75" customHeight="1">
      <c r="R601" s="336"/>
      <c r="S601" s="337"/>
    </row>
    <row r="602" ht="12.75" customHeight="1">
      <c r="R602" s="336"/>
      <c r="S602" s="337"/>
    </row>
    <row r="603" ht="12.75" customHeight="1">
      <c r="R603" s="336"/>
      <c r="S603" s="337"/>
    </row>
    <row r="604" ht="12.75" customHeight="1">
      <c r="R604" s="336"/>
      <c r="S604" s="337"/>
    </row>
    <row r="605" ht="12.75" customHeight="1">
      <c r="R605" s="336"/>
      <c r="S605" s="337"/>
    </row>
    <row r="606" ht="12.75" customHeight="1">
      <c r="R606" s="336"/>
      <c r="S606" s="337"/>
    </row>
    <row r="607" ht="12.75" customHeight="1">
      <c r="R607" s="336"/>
      <c r="S607" s="337"/>
    </row>
    <row r="608" ht="12.75" customHeight="1">
      <c r="R608" s="336"/>
      <c r="S608" s="337"/>
    </row>
    <row r="609" ht="12.75" customHeight="1">
      <c r="R609" s="336"/>
      <c r="S609" s="337"/>
    </row>
    <row r="610" ht="12.75" customHeight="1">
      <c r="R610" s="336"/>
      <c r="S610" s="337"/>
    </row>
    <row r="611" ht="12.75" customHeight="1">
      <c r="R611" s="336"/>
      <c r="S611" s="337"/>
    </row>
    <row r="612" ht="12.75" customHeight="1">
      <c r="R612" s="336"/>
      <c r="S612" s="337"/>
    </row>
    <row r="613" ht="12.75" customHeight="1">
      <c r="R613" s="336"/>
      <c r="S613" s="337"/>
    </row>
    <row r="614" ht="12.75" customHeight="1">
      <c r="R614" s="336"/>
      <c r="S614" s="337"/>
    </row>
    <row r="615" ht="12.75" customHeight="1">
      <c r="R615" s="336"/>
      <c r="S615" s="337"/>
    </row>
    <row r="616" ht="12.75" customHeight="1">
      <c r="R616" s="336"/>
      <c r="S616" s="337"/>
    </row>
    <row r="617" ht="12.75" customHeight="1">
      <c r="R617" s="336"/>
      <c r="S617" s="337"/>
    </row>
    <row r="618" ht="12.75" customHeight="1">
      <c r="R618" s="336"/>
      <c r="S618" s="337"/>
    </row>
    <row r="619" ht="12.75" customHeight="1">
      <c r="R619" s="336"/>
      <c r="S619" s="337"/>
    </row>
    <row r="620" ht="12.75" customHeight="1">
      <c r="R620" s="336"/>
      <c r="S620" s="337"/>
    </row>
    <row r="621" ht="12.75" customHeight="1">
      <c r="R621" s="336"/>
      <c r="S621" s="337"/>
    </row>
    <row r="622" ht="12.75" customHeight="1">
      <c r="R622" s="336"/>
      <c r="S622" s="337"/>
    </row>
    <row r="623" ht="12.75" customHeight="1">
      <c r="R623" s="336"/>
      <c r="S623" s="337"/>
    </row>
    <row r="624" ht="12.75" customHeight="1">
      <c r="R624" s="336"/>
      <c r="S624" s="337"/>
    </row>
    <row r="625" ht="12.75" customHeight="1">
      <c r="R625" s="336"/>
      <c r="S625" s="337"/>
    </row>
    <row r="626" ht="12.75" customHeight="1">
      <c r="R626" s="336"/>
      <c r="S626" s="337"/>
    </row>
    <row r="627" ht="12.75" customHeight="1">
      <c r="R627" s="336"/>
      <c r="S627" s="337"/>
    </row>
    <row r="628" ht="12.75" customHeight="1">
      <c r="R628" s="336"/>
      <c r="S628" s="337"/>
    </row>
    <row r="629" ht="12.75" customHeight="1">
      <c r="R629" s="336"/>
      <c r="S629" s="337"/>
    </row>
    <row r="630" ht="12.75" customHeight="1">
      <c r="R630" s="336"/>
      <c r="S630" s="337"/>
    </row>
    <row r="631" ht="12.75" customHeight="1">
      <c r="R631" s="336"/>
      <c r="S631" s="337"/>
    </row>
    <row r="632" ht="12.75" customHeight="1">
      <c r="R632" s="336"/>
      <c r="S632" s="337"/>
    </row>
    <row r="633" ht="12.75" customHeight="1">
      <c r="R633" s="336"/>
      <c r="S633" s="337"/>
    </row>
    <row r="634" ht="12.75" customHeight="1">
      <c r="R634" s="336"/>
      <c r="S634" s="337"/>
    </row>
    <row r="635" ht="12.75" customHeight="1">
      <c r="R635" s="336"/>
      <c r="S635" s="337"/>
    </row>
    <row r="636" ht="12.75" customHeight="1">
      <c r="R636" s="336"/>
      <c r="S636" s="337"/>
    </row>
    <row r="637" ht="12.75" customHeight="1">
      <c r="R637" s="336"/>
      <c r="S637" s="337"/>
    </row>
    <row r="638" ht="12.75" customHeight="1">
      <c r="R638" s="336"/>
      <c r="S638" s="337"/>
    </row>
    <row r="639" ht="12.75" customHeight="1">
      <c r="R639" s="336"/>
      <c r="S639" s="337"/>
    </row>
    <row r="640" ht="12.75" customHeight="1">
      <c r="R640" s="336"/>
      <c r="S640" s="337"/>
    </row>
    <row r="641" ht="12.75" customHeight="1">
      <c r="R641" s="336"/>
      <c r="S641" s="337"/>
    </row>
    <row r="642" ht="12.75" customHeight="1">
      <c r="R642" s="336"/>
      <c r="S642" s="337"/>
    </row>
    <row r="643" ht="12.75" customHeight="1">
      <c r="R643" s="336"/>
      <c r="S643" s="337"/>
    </row>
    <row r="644" ht="12.75" customHeight="1">
      <c r="R644" s="336"/>
      <c r="S644" s="337"/>
    </row>
    <row r="645" ht="12.75" customHeight="1">
      <c r="R645" s="336"/>
      <c r="S645" s="337"/>
    </row>
    <row r="646" ht="12.75" customHeight="1">
      <c r="R646" s="336"/>
      <c r="S646" s="337"/>
    </row>
    <row r="647" ht="12.75" customHeight="1">
      <c r="R647" s="336"/>
      <c r="S647" s="337"/>
    </row>
    <row r="648" ht="12.75" customHeight="1">
      <c r="R648" s="336"/>
      <c r="S648" s="337"/>
    </row>
    <row r="649" ht="12.75" customHeight="1">
      <c r="R649" s="336"/>
      <c r="S649" s="337"/>
    </row>
    <row r="650" ht="12.75" customHeight="1">
      <c r="R650" s="336"/>
      <c r="S650" s="337"/>
    </row>
    <row r="651" ht="12.75" customHeight="1">
      <c r="R651" s="336"/>
      <c r="S651" s="337"/>
    </row>
    <row r="652" ht="12.75" customHeight="1">
      <c r="R652" s="336"/>
      <c r="S652" s="337"/>
    </row>
    <row r="653" ht="12.75" customHeight="1">
      <c r="R653" s="336"/>
      <c r="S653" s="337"/>
    </row>
    <row r="654" ht="12.75" customHeight="1">
      <c r="R654" s="336"/>
      <c r="S654" s="337"/>
    </row>
    <row r="655" ht="12.75" customHeight="1">
      <c r="R655" s="336"/>
      <c r="S655" s="337"/>
    </row>
    <row r="656" ht="12.75" customHeight="1">
      <c r="R656" s="336"/>
      <c r="S656" s="337"/>
    </row>
    <row r="657" ht="12.75" customHeight="1">
      <c r="R657" s="336"/>
      <c r="S657" s="337"/>
    </row>
    <row r="658" ht="12.75" customHeight="1">
      <c r="R658" s="336"/>
      <c r="S658" s="337"/>
    </row>
    <row r="659" ht="12.75" customHeight="1">
      <c r="R659" s="336"/>
      <c r="S659" s="337"/>
    </row>
    <row r="660" ht="12.75" customHeight="1">
      <c r="R660" s="336"/>
      <c r="S660" s="337"/>
    </row>
    <row r="661" ht="12.75" customHeight="1">
      <c r="R661" s="336"/>
      <c r="S661" s="337"/>
    </row>
    <row r="662" ht="12.75" customHeight="1">
      <c r="R662" s="336"/>
      <c r="S662" s="337"/>
    </row>
    <row r="663" ht="12.75" customHeight="1">
      <c r="R663" s="336"/>
      <c r="S663" s="337"/>
    </row>
    <row r="664" ht="12.75" customHeight="1">
      <c r="R664" s="336"/>
      <c r="S664" s="337"/>
    </row>
    <row r="665" ht="12.75" customHeight="1">
      <c r="R665" s="336"/>
      <c r="S665" s="337"/>
    </row>
    <row r="666" ht="12.75" customHeight="1">
      <c r="R666" s="336"/>
      <c r="S666" s="337"/>
    </row>
    <row r="667" ht="12.75" customHeight="1">
      <c r="R667" s="336"/>
      <c r="S667" s="337"/>
    </row>
    <row r="668" ht="12.75" customHeight="1">
      <c r="R668" s="336"/>
      <c r="S668" s="337"/>
    </row>
    <row r="669" ht="12.75" customHeight="1">
      <c r="R669" s="336"/>
      <c r="S669" s="337"/>
    </row>
    <row r="670" ht="12.75" customHeight="1">
      <c r="R670" s="336"/>
      <c r="S670" s="337"/>
    </row>
    <row r="671" ht="12.75" customHeight="1">
      <c r="R671" s="336"/>
      <c r="S671" s="337"/>
    </row>
    <row r="672" ht="12.75" customHeight="1">
      <c r="R672" s="336"/>
      <c r="S672" s="337"/>
    </row>
    <row r="673" ht="12.75" customHeight="1">
      <c r="R673" s="336"/>
      <c r="S673" s="337"/>
    </row>
    <row r="674" ht="12.75" customHeight="1">
      <c r="R674" s="336"/>
      <c r="S674" s="337"/>
    </row>
    <row r="675" ht="12.75" customHeight="1">
      <c r="R675" s="336"/>
      <c r="S675" s="337"/>
    </row>
    <row r="676" ht="12.75" customHeight="1">
      <c r="R676" s="336"/>
      <c r="S676" s="337"/>
    </row>
    <row r="677" ht="12.75" customHeight="1">
      <c r="R677" s="336"/>
      <c r="S677" s="337"/>
    </row>
    <row r="678" ht="12.75" customHeight="1">
      <c r="R678" s="336"/>
      <c r="S678" s="337"/>
    </row>
    <row r="679" ht="12.75" customHeight="1">
      <c r="R679" s="336"/>
      <c r="S679" s="337"/>
    </row>
    <row r="680" ht="12.75" customHeight="1">
      <c r="R680" s="336"/>
      <c r="S680" s="337"/>
    </row>
    <row r="681" ht="12.75" customHeight="1">
      <c r="R681" s="336"/>
      <c r="S681" s="337"/>
    </row>
    <row r="682" ht="12.75" customHeight="1">
      <c r="R682" s="336"/>
      <c r="S682" s="337"/>
    </row>
    <row r="683" ht="12.75" customHeight="1">
      <c r="R683" s="336"/>
      <c r="S683" s="337"/>
    </row>
    <row r="684" ht="12.75" customHeight="1">
      <c r="R684" s="336"/>
      <c r="S684" s="337"/>
    </row>
    <row r="685" ht="12.75" customHeight="1">
      <c r="R685" s="336"/>
      <c r="S685" s="337"/>
    </row>
    <row r="686" ht="12.75" customHeight="1">
      <c r="R686" s="336"/>
      <c r="S686" s="337"/>
    </row>
    <row r="687" ht="12.75" customHeight="1">
      <c r="R687" s="336"/>
      <c r="S687" s="337"/>
    </row>
    <row r="688" ht="12.75" customHeight="1">
      <c r="R688" s="336"/>
      <c r="S688" s="337"/>
    </row>
    <row r="689" ht="12.75" customHeight="1">
      <c r="R689" s="336"/>
      <c r="S689" s="337"/>
    </row>
    <row r="690" ht="12.75" customHeight="1">
      <c r="R690" s="336"/>
      <c r="S690" s="337"/>
    </row>
    <row r="691" ht="12.75" customHeight="1">
      <c r="R691" s="336"/>
      <c r="S691" s="337"/>
    </row>
    <row r="692" ht="12.75" customHeight="1">
      <c r="R692" s="336"/>
      <c r="S692" s="337"/>
    </row>
    <row r="693" ht="12.75" customHeight="1">
      <c r="R693" s="336"/>
      <c r="S693" s="337"/>
    </row>
    <row r="694" ht="12.75" customHeight="1">
      <c r="R694" s="336"/>
      <c r="S694" s="337"/>
    </row>
    <row r="695" ht="12.75" customHeight="1">
      <c r="R695" s="336"/>
      <c r="S695" s="337"/>
    </row>
    <row r="696" ht="12.75" customHeight="1">
      <c r="R696" s="336"/>
      <c r="S696" s="337"/>
    </row>
    <row r="697" ht="12.75" customHeight="1">
      <c r="R697" s="336"/>
      <c r="S697" s="337"/>
    </row>
    <row r="698" ht="12.75" customHeight="1">
      <c r="R698" s="336"/>
      <c r="S698" s="337"/>
    </row>
    <row r="699" ht="12.75" customHeight="1">
      <c r="R699" s="336"/>
      <c r="S699" s="337"/>
    </row>
    <row r="700" ht="12.75" customHeight="1">
      <c r="R700" s="336"/>
      <c r="S700" s="337"/>
    </row>
    <row r="701" ht="12.75" customHeight="1">
      <c r="R701" s="336"/>
      <c r="S701" s="337"/>
    </row>
    <row r="702" ht="12.75" customHeight="1">
      <c r="R702" s="336"/>
      <c r="S702" s="337"/>
    </row>
    <row r="703" ht="12.75" customHeight="1">
      <c r="R703" s="336"/>
      <c r="S703" s="337"/>
    </row>
    <row r="704" ht="12.75" customHeight="1">
      <c r="R704" s="336"/>
      <c r="S704" s="337"/>
    </row>
    <row r="705" ht="12.75" customHeight="1">
      <c r="R705" s="336"/>
      <c r="S705" s="337"/>
    </row>
    <row r="706" ht="12.75" customHeight="1">
      <c r="R706" s="336"/>
      <c r="S706" s="337"/>
    </row>
    <row r="707" ht="12.75" customHeight="1">
      <c r="R707" s="336"/>
      <c r="S707" s="337"/>
    </row>
    <row r="708" ht="12.75" customHeight="1">
      <c r="R708" s="336"/>
      <c r="S708" s="337"/>
    </row>
    <row r="709" ht="12.75" customHeight="1">
      <c r="R709" s="336"/>
      <c r="S709" s="337"/>
    </row>
    <row r="710" ht="12.75" customHeight="1">
      <c r="R710" s="336"/>
      <c r="S710" s="337"/>
    </row>
    <row r="711" ht="12.75" customHeight="1">
      <c r="R711" s="336"/>
      <c r="S711" s="337"/>
    </row>
    <row r="712" ht="12.75" customHeight="1">
      <c r="R712" s="336"/>
      <c r="S712" s="337"/>
    </row>
    <row r="713" ht="12.75" customHeight="1">
      <c r="R713" s="336"/>
      <c r="S713" s="337"/>
    </row>
    <row r="714" ht="12.75" customHeight="1">
      <c r="R714" s="336"/>
      <c r="S714" s="337"/>
    </row>
    <row r="715" ht="12.75" customHeight="1">
      <c r="R715" s="336"/>
      <c r="S715" s="337"/>
    </row>
    <row r="716" ht="12.75" customHeight="1">
      <c r="R716" s="336"/>
      <c r="S716" s="337"/>
    </row>
    <row r="717" ht="12.75" customHeight="1">
      <c r="R717" s="336"/>
      <c r="S717" s="337"/>
    </row>
    <row r="718" ht="12.75" customHeight="1">
      <c r="R718" s="336"/>
      <c r="S718" s="337"/>
    </row>
    <row r="719" ht="12.75" customHeight="1">
      <c r="R719" s="336"/>
      <c r="S719" s="337"/>
    </row>
    <row r="720" ht="12.75" customHeight="1">
      <c r="R720" s="336"/>
      <c r="S720" s="337"/>
    </row>
    <row r="721" ht="12.75" customHeight="1">
      <c r="R721" s="336"/>
      <c r="S721" s="337"/>
    </row>
    <row r="722" ht="12.75" customHeight="1">
      <c r="R722" s="336"/>
      <c r="S722" s="337"/>
    </row>
    <row r="723" ht="12.75" customHeight="1">
      <c r="R723" s="336"/>
      <c r="S723" s="337"/>
    </row>
    <row r="724" ht="12.75" customHeight="1">
      <c r="R724" s="336"/>
      <c r="S724" s="337"/>
    </row>
    <row r="725" ht="12.75" customHeight="1">
      <c r="R725" s="336"/>
      <c r="S725" s="337"/>
    </row>
    <row r="726" ht="12.75" customHeight="1">
      <c r="R726" s="336"/>
      <c r="S726" s="337"/>
    </row>
    <row r="727" ht="12.75" customHeight="1">
      <c r="R727" s="336"/>
      <c r="S727" s="337"/>
    </row>
    <row r="728" ht="12.75" customHeight="1">
      <c r="R728" s="336"/>
      <c r="S728" s="337"/>
    </row>
    <row r="729" ht="12.75" customHeight="1">
      <c r="R729" s="336"/>
      <c r="S729" s="337"/>
    </row>
    <row r="730" ht="12.75" customHeight="1">
      <c r="R730" s="336"/>
      <c r="S730" s="337"/>
    </row>
    <row r="731" ht="12.75" customHeight="1">
      <c r="R731" s="336"/>
      <c r="S731" s="337"/>
    </row>
    <row r="732" ht="12.75" customHeight="1">
      <c r="R732" s="336"/>
      <c r="S732" s="337"/>
    </row>
    <row r="733" ht="12.75" customHeight="1">
      <c r="R733" s="336"/>
      <c r="S733" s="337"/>
    </row>
    <row r="734" ht="12.75" customHeight="1">
      <c r="R734" s="336"/>
      <c r="S734" s="337"/>
    </row>
    <row r="735" ht="12.75" customHeight="1">
      <c r="R735" s="336"/>
      <c r="S735" s="337"/>
    </row>
    <row r="736" ht="12.75" customHeight="1">
      <c r="R736" s="336"/>
      <c r="S736" s="337"/>
    </row>
    <row r="737" ht="12.75" customHeight="1">
      <c r="R737" s="336"/>
      <c r="S737" s="337"/>
    </row>
    <row r="738" ht="12.75" customHeight="1">
      <c r="R738" s="336"/>
      <c r="S738" s="337"/>
    </row>
    <row r="739" ht="12.75" customHeight="1">
      <c r="R739" s="336"/>
      <c r="S739" s="337"/>
    </row>
    <row r="740" ht="12.75" customHeight="1">
      <c r="R740" s="336"/>
      <c r="S740" s="337"/>
    </row>
    <row r="741" ht="12.75" customHeight="1">
      <c r="R741" s="336"/>
      <c r="S741" s="337"/>
    </row>
    <row r="742" ht="12.75" customHeight="1">
      <c r="R742" s="336"/>
      <c r="S742" s="337"/>
    </row>
    <row r="743" ht="12.75" customHeight="1">
      <c r="R743" s="336"/>
      <c r="S743" s="337"/>
    </row>
    <row r="744" ht="12.75" customHeight="1">
      <c r="R744" s="336"/>
      <c r="S744" s="337"/>
    </row>
    <row r="745" ht="12.75" customHeight="1">
      <c r="R745" s="336"/>
      <c r="S745" s="337"/>
    </row>
    <row r="746" ht="12.75" customHeight="1">
      <c r="R746" s="336"/>
      <c r="S746" s="337"/>
    </row>
    <row r="747" ht="12.75" customHeight="1">
      <c r="R747" s="336"/>
      <c r="S747" s="337"/>
    </row>
    <row r="748" ht="12.75" customHeight="1">
      <c r="R748" s="336"/>
      <c r="S748" s="337"/>
    </row>
    <row r="749" ht="12.75" customHeight="1">
      <c r="R749" s="336"/>
      <c r="S749" s="337"/>
    </row>
    <row r="750" ht="12.75" customHeight="1">
      <c r="R750" s="336"/>
      <c r="S750" s="337"/>
    </row>
    <row r="751" ht="12.75" customHeight="1">
      <c r="R751" s="336"/>
      <c r="S751" s="337"/>
    </row>
    <row r="752" ht="12.75" customHeight="1">
      <c r="R752" s="336"/>
      <c r="S752" s="337"/>
    </row>
    <row r="753" ht="12.75" customHeight="1">
      <c r="R753" s="336"/>
      <c r="S753" s="337"/>
    </row>
    <row r="754" ht="12.75" customHeight="1">
      <c r="R754" s="336"/>
      <c r="S754" s="337"/>
    </row>
    <row r="755" ht="12.75" customHeight="1">
      <c r="R755" s="336"/>
      <c r="S755" s="337"/>
    </row>
    <row r="756" ht="12.75" customHeight="1">
      <c r="R756" s="336"/>
      <c r="S756" s="337"/>
    </row>
    <row r="757" ht="12.75" customHeight="1">
      <c r="R757" s="336"/>
      <c r="S757" s="337"/>
    </row>
    <row r="758" ht="12.75" customHeight="1">
      <c r="R758" s="336"/>
      <c r="S758" s="337"/>
    </row>
    <row r="759" ht="12.75" customHeight="1">
      <c r="R759" s="336"/>
      <c r="S759" s="337"/>
    </row>
    <row r="760" ht="12.75" customHeight="1">
      <c r="R760" s="336"/>
      <c r="S760" s="337"/>
    </row>
    <row r="761" ht="12.75" customHeight="1">
      <c r="R761" s="336"/>
      <c r="S761" s="337"/>
    </row>
    <row r="762" ht="12.75" customHeight="1">
      <c r="R762" s="336"/>
      <c r="S762" s="337"/>
    </row>
    <row r="763" ht="12.75" customHeight="1">
      <c r="R763" s="336"/>
      <c r="S763" s="337"/>
    </row>
    <row r="764" ht="12.75" customHeight="1">
      <c r="R764" s="336"/>
      <c r="S764" s="337"/>
    </row>
    <row r="765" ht="12.75" customHeight="1">
      <c r="R765" s="336"/>
      <c r="S765" s="337"/>
    </row>
    <row r="766" ht="12.75" customHeight="1">
      <c r="R766" s="336"/>
      <c r="S766" s="337"/>
    </row>
    <row r="767" ht="12.75" customHeight="1">
      <c r="R767" s="336"/>
      <c r="S767" s="337"/>
    </row>
    <row r="768" ht="12.75" customHeight="1">
      <c r="R768" s="336"/>
      <c r="S768" s="337"/>
    </row>
    <row r="769" ht="12.75" customHeight="1">
      <c r="R769" s="336"/>
      <c r="S769" s="337"/>
    </row>
    <row r="770" ht="12.75" customHeight="1">
      <c r="R770" s="336"/>
      <c r="S770" s="337"/>
    </row>
    <row r="771" ht="12.75" customHeight="1">
      <c r="R771" s="336"/>
      <c r="S771" s="337"/>
    </row>
    <row r="772" ht="12.75" customHeight="1">
      <c r="R772" s="336"/>
      <c r="S772" s="337"/>
    </row>
    <row r="773" ht="12.75" customHeight="1">
      <c r="R773" s="336"/>
      <c r="S773" s="337"/>
    </row>
    <row r="774" ht="12.75" customHeight="1">
      <c r="R774" s="336"/>
      <c r="S774" s="337"/>
    </row>
    <row r="775" ht="12.75" customHeight="1">
      <c r="R775" s="336"/>
      <c r="S775" s="337"/>
    </row>
    <row r="776" ht="12.75" customHeight="1">
      <c r="R776" s="336"/>
      <c r="S776" s="337"/>
    </row>
    <row r="777" ht="12.75" customHeight="1">
      <c r="R777" s="336"/>
      <c r="S777" s="337"/>
    </row>
    <row r="778" ht="12.75" customHeight="1">
      <c r="R778" s="336"/>
      <c r="S778" s="337"/>
    </row>
    <row r="779" ht="12.75" customHeight="1">
      <c r="R779" s="336"/>
      <c r="S779" s="337"/>
    </row>
    <row r="780" ht="12.75" customHeight="1">
      <c r="R780" s="336"/>
      <c r="S780" s="337"/>
    </row>
    <row r="781" ht="12.75" customHeight="1">
      <c r="R781" s="336"/>
      <c r="S781" s="337"/>
    </row>
    <row r="782" ht="12.75" customHeight="1">
      <c r="R782" s="336"/>
      <c r="S782" s="337"/>
    </row>
    <row r="783" ht="12.75" customHeight="1">
      <c r="R783" s="336"/>
      <c r="S783" s="337"/>
    </row>
    <row r="784" ht="12.75" customHeight="1">
      <c r="R784" s="336"/>
      <c r="S784" s="337"/>
    </row>
    <row r="785" ht="12.75" customHeight="1">
      <c r="R785" s="336"/>
      <c r="S785" s="337"/>
    </row>
    <row r="786" ht="12.75" customHeight="1">
      <c r="R786" s="336"/>
      <c r="S786" s="337"/>
    </row>
    <row r="787" ht="12.75" customHeight="1">
      <c r="R787" s="336"/>
      <c r="S787" s="337"/>
    </row>
    <row r="788" ht="12.75" customHeight="1">
      <c r="R788" s="336"/>
      <c r="S788" s="337"/>
    </row>
    <row r="789" ht="12.75" customHeight="1">
      <c r="R789" s="336"/>
      <c r="S789" s="337"/>
    </row>
    <row r="790" ht="12.75" customHeight="1">
      <c r="R790" s="336"/>
      <c r="S790" s="337"/>
    </row>
    <row r="791" ht="12.75" customHeight="1">
      <c r="R791" s="336"/>
      <c r="S791" s="337"/>
    </row>
    <row r="792" ht="12.75" customHeight="1">
      <c r="R792" s="336"/>
      <c r="S792" s="337"/>
    </row>
    <row r="793" ht="12.75" customHeight="1">
      <c r="R793" s="336"/>
      <c r="S793" s="337"/>
    </row>
    <row r="794" ht="12.75" customHeight="1">
      <c r="R794" s="336"/>
      <c r="S794" s="337"/>
    </row>
    <row r="795" ht="12.75" customHeight="1">
      <c r="R795" s="336"/>
      <c r="S795" s="337"/>
    </row>
    <row r="796" ht="12.75" customHeight="1">
      <c r="R796" s="336"/>
      <c r="S796" s="337"/>
    </row>
    <row r="797" ht="12.75" customHeight="1">
      <c r="R797" s="336"/>
      <c r="S797" s="337"/>
    </row>
    <row r="798" ht="12.75" customHeight="1">
      <c r="R798" s="336"/>
      <c r="S798" s="337"/>
    </row>
    <row r="799" ht="12.75" customHeight="1">
      <c r="R799" s="336"/>
      <c r="S799" s="337"/>
    </row>
    <row r="800" ht="12.75" customHeight="1">
      <c r="R800" s="336"/>
      <c r="S800" s="337"/>
    </row>
    <row r="801" ht="12.75" customHeight="1">
      <c r="R801" s="336"/>
      <c r="S801" s="337"/>
    </row>
    <row r="802" ht="12.75" customHeight="1">
      <c r="R802" s="336"/>
      <c r="S802" s="337"/>
    </row>
    <row r="803" ht="12.75" customHeight="1">
      <c r="R803" s="336"/>
      <c r="S803" s="337"/>
    </row>
    <row r="804" ht="12.75" customHeight="1">
      <c r="R804" s="336"/>
      <c r="S804" s="337"/>
    </row>
    <row r="805" ht="12.75" customHeight="1">
      <c r="R805" s="336"/>
      <c r="S805" s="337"/>
    </row>
    <row r="806" ht="12.75" customHeight="1">
      <c r="R806" s="336"/>
      <c r="S806" s="337"/>
    </row>
    <row r="807" ht="12.75" customHeight="1">
      <c r="R807" s="336"/>
      <c r="S807" s="337"/>
    </row>
    <row r="808" ht="12.75" customHeight="1">
      <c r="R808" s="336"/>
      <c r="S808" s="337"/>
    </row>
    <row r="809" ht="12.75" customHeight="1">
      <c r="R809" s="336"/>
      <c r="S809" s="337"/>
    </row>
    <row r="810" ht="12.75" customHeight="1">
      <c r="R810" s="336"/>
      <c r="S810" s="337"/>
    </row>
    <row r="811" ht="12.75" customHeight="1">
      <c r="R811" s="336"/>
      <c r="S811" s="337"/>
    </row>
    <row r="812" ht="12.75" customHeight="1">
      <c r="R812" s="336"/>
      <c r="S812" s="337"/>
    </row>
    <row r="813" ht="12.75" customHeight="1">
      <c r="R813" s="336"/>
      <c r="S813" s="337"/>
    </row>
    <row r="814" ht="12.75" customHeight="1">
      <c r="R814" s="336"/>
      <c r="S814" s="337"/>
    </row>
    <row r="815" ht="12.75" customHeight="1">
      <c r="R815" s="336"/>
      <c r="S815" s="337"/>
    </row>
    <row r="816" ht="12.75" customHeight="1">
      <c r="R816" s="336"/>
      <c r="S816" s="337"/>
    </row>
    <row r="817" ht="12.75" customHeight="1">
      <c r="R817" s="336"/>
      <c r="S817" s="337"/>
    </row>
    <row r="818" ht="12.75" customHeight="1">
      <c r="R818" s="336"/>
      <c r="S818" s="337"/>
    </row>
    <row r="819" ht="12.75" customHeight="1">
      <c r="R819" s="336"/>
      <c r="S819" s="337"/>
    </row>
    <row r="820" ht="12.75" customHeight="1">
      <c r="R820" s="336"/>
      <c r="S820" s="337"/>
    </row>
    <row r="821" ht="12.75" customHeight="1">
      <c r="R821" s="336"/>
      <c r="S821" s="337"/>
    </row>
    <row r="822" ht="12.75" customHeight="1">
      <c r="R822" s="336"/>
      <c r="S822" s="337"/>
    </row>
    <row r="823" ht="12.75" customHeight="1">
      <c r="R823" s="336"/>
      <c r="S823" s="337"/>
    </row>
    <row r="824" ht="12.75" customHeight="1">
      <c r="R824" s="336"/>
      <c r="S824" s="337"/>
    </row>
    <row r="825" ht="12.75" customHeight="1">
      <c r="R825" s="336"/>
      <c r="S825" s="337"/>
    </row>
    <row r="826" ht="12.75" customHeight="1">
      <c r="R826" s="336"/>
      <c r="S826" s="337"/>
    </row>
    <row r="827" ht="12.75" customHeight="1">
      <c r="R827" s="336"/>
      <c r="S827" s="337"/>
    </row>
    <row r="828" ht="12.75" customHeight="1">
      <c r="R828" s="336"/>
      <c r="S828" s="337"/>
    </row>
    <row r="829" ht="12.75" customHeight="1">
      <c r="R829" s="336"/>
      <c r="S829" s="337"/>
    </row>
    <row r="830" ht="12.75" customHeight="1">
      <c r="R830" s="336"/>
      <c r="S830" s="337"/>
    </row>
    <row r="831" ht="12.75" customHeight="1">
      <c r="R831" s="336"/>
      <c r="S831" s="337"/>
    </row>
    <row r="832" ht="12.75" customHeight="1">
      <c r="R832" s="336"/>
      <c r="S832" s="337"/>
    </row>
    <row r="833" ht="12.75" customHeight="1">
      <c r="R833" s="336"/>
      <c r="S833" s="337"/>
    </row>
    <row r="834" ht="12.75" customHeight="1">
      <c r="R834" s="336"/>
      <c r="S834" s="337"/>
    </row>
    <row r="835" ht="12.75" customHeight="1">
      <c r="R835" s="336"/>
      <c r="S835" s="337"/>
    </row>
    <row r="836" ht="12.75" customHeight="1">
      <c r="R836" s="336"/>
      <c r="S836" s="337"/>
    </row>
    <row r="837" ht="12.75" customHeight="1">
      <c r="R837" s="336"/>
      <c r="S837" s="337"/>
    </row>
    <row r="838" ht="12.75" customHeight="1">
      <c r="R838" s="336"/>
      <c r="S838" s="337"/>
    </row>
    <row r="839" ht="12.75" customHeight="1">
      <c r="R839" s="336"/>
      <c r="S839" s="337"/>
    </row>
    <row r="840" ht="12.75" customHeight="1">
      <c r="R840" s="336"/>
      <c r="S840" s="337"/>
    </row>
    <row r="841" ht="12.75" customHeight="1">
      <c r="R841" s="336"/>
      <c r="S841" s="337"/>
    </row>
    <row r="842" ht="12.75" customHeight="1">
      <c r="R842" s="336"/>
      <c r="S842" s="337"/>
    </row>
    <row r="843" ht="12.75" customHeight="1">
      <c r="R843" s="336"/>
      <c r="S843" s="337"/>
    </row>
    <row r="844" ht="12.75" customHeight="1">
      <c r="R844" s="336"/>
      <c r="S844" s="337"/>
    </row>
    <row r="845" ht="12.75" customHeight="1">
      <c r="R845" s="336"/>
      <c r="S845" s="337"/>
    </row>
    <row r="846" ht="12.75" customHeight="1">
      <c r="R846" s="336"/>
      <c r="S846" s="337"/>
    </row>
    <row r="847" ht="12.75" customHeight="1">
      <c r="R847" s="336"/>
      <c r="S847" s="337"/>
    </row>
    <row r="848" ht="12.75" customHeight="1">
      <c r="R848" s="336"/>
      <c r="S848" s="337"/>
    </row>
    <row r="849" ht="12.75" customHeight="1">
      <c r="R849" s="336"/>
      <c r="S849" s="337"/>
    </row>
    <row r="850" ht="12.75" customHeight="1">
      <c r="R850" s="336"/>
      <c r="S850" s="337"/>
    </row>
    <row r="851" ht="12.75" customHeight="1">
      <c r="R851" s="336"/>
      <c r="S851" s="337"/>
    </row>
    <row r="852" ht="12.75" customHeight="1">
      <c r="R852" s="336"/>
      <c r="S852" s="337"/>
    </row>
    <row r="853" ht="12.75" customHeight="1">
      <c r="R853" s="336"/>
      <c r="S853" s="337"/>
    </row>
    <row r="854" ht="12.75" customHeight="1">
      <c r="R854" s="336"/>
      <c r="S854" s="337"/>
    </row>
    <row r="855" ht="12.75" customHeight="1">
      <c r="R855" s="336"/>
      <c r="S855" s="337"/>
    </row>
    <row r="856" ht="12.75" customHeight="1">
      <c r="R856" s="336"/>
      <c r="S856" s="337"/>
    </row>
    <row r="857" ht="12.75" customHeight="1">
      <c r="R857" s="336"/>
      <c r="S857" s="337"/>
    </row>
    <row r="858" ht="12.75" customHeight="1">
      <c r="R858" s="336"/>
      <c r="S858" s="337"/>
    </row>
    <row r="859" ht="12.75" customHeight="1">
      <c r="R859" s="336"/>
      <c r="S859" s="337"/>
    </row>
    <row r="860" ht="12.75" customHeight="1">
      <c r="R860" s="336"/>
      <c r="S860" s="337"/>
    </row>
    <row r="861" ht="12.75" customHeight="1">
      <c r="R861" s="336"/>
      <c r="S861" s="337"/>
    </row>
    <row r="862" ht="12.75" customHeight="1">
      <c r="R862" s="336"/>
      <c r="S862" s="337"/>
    </row>
    <row r="863" ht="12.75" customHeight="1">
      <c r="R863" s="336"/>
      <c r="S863" s="337"/>
    </row>
    <row r="864" ht="12.75" customHeight="1">
      <c r="R864" s="336"/>
      <c r="S864" s="337"/>
    </row>
    <row r="865" ht="12.75" customHeight="1">
      <c r="R865" s="336"/>
      <c r="S865" s="337"/>
    </row>
    <row r="866" ht="12.75" customHeight="1">
      <c r="R866" s="336"/>
      <c r="S866" s="337"/>
    </row>
    <row r="867" ht="12.75" customHeight="1">
      <c r="R867" s="336"/>
      <c r="S867" s="337"/>
    </row>
    <row r="868" ht="12.75" customHeight="1">
      <c r="R868" s="336"/>
      <c r="S868" s="337"/>
    </row>
    <row r="869" ht="12.75" customHeight="1">
      <c r="R869" s="336"/>
      <c r="S869" s="337"/>
    </row>
    <row r="870" ht="12.75" customHeight="1">
      <c r="R870" s="336"/>
      <c r="S870" s="337"/>
    </row>
    <row r="871" ht="12.75" customHeight="1">
      <c r="R871" s="336"/>
      <c r="S871" s="337"/>
    </row>
    <row r="872" ht="12.75" customHeight="1">
      <c r="R872" s="336"/>
      <c r="S872" s="337"/>
    </row>
    <row r="873" ht="12.75" customHeight="1">
      <c r="R873" s="336"/>
      <c r="S873" s="337"/>
    </row>
    <row r="874" ht="12.75" customHeight="1">
      <c r="R874" s="336"/>
      <c r="S874" s="337"/>
    </row>
    <row r="875" ht="12.75" customHeight="1">
      <c r="R875" s="336"/>
      <c r="S875" s="337"/>
    </row>
    <row r="876" ht="12.75" customHeight="1">
      <c r="R876" s="336"/>
      <c r="S876" s="337"/>
    </row>
    <row r="877" ht="12.75" customHeight="1">
      <c r="R877" s="336"/>
      <c r="S877" s="337"/>
    </row>
    <row r="878" ht="12.75" customHeight="1">
      <c r="R878" s="336"/>
      <c r="S878" s="337"/>
    </row>
    <row r="879" ht="12.75" customHeight="1">
      <c r="R879" s="336"/>
      <c r="S879" s="337"/>
    </row>
    <row r="880" ht="12.75" customHeight="1">
      <c r="R880" s="336"/>
      <c r="S880" s="337"/>
    </row>
    <row r="881" ht="12.75" customHeight="1">
      <c r="R881" s="336"/>
      <c r="S881" s="337"/>
    </row>
    <row r="882" ht="12.75" customHeight="1">
      <c r="R882" s="336"/>
      <c r="S882" s="337"/>
    </row>
    <row r="883" ht="12.75" customHeight="1">
      <c r="R883" s="336"/>
      <c r="S883" s="337"/>
    </row>
    <row r="884" ht="12.75" customHeight="1">
      <c r="R884" s="336"/>
      <c r="S884" s="337"/>
    </row>
    <row r="885" ht="12.75" customHeight="1">
      <c r="R885" s="336"/>
      <c r="S885" s="337"/>
    </row>
    <row r="886" ht="12.75" customHeight="1">
      <c r="R886" s="336"/>
      <c r="S886" s="337"/>
    </row>
    <row r="887" ht="12.75" customHeight="1">
      <c r="R887" s="336"/>
      <c r="S887" s="337"/>
    </row>
    <row r="888" ht="12.75" customHeight="1">
      <c r="R888" s="336"/>
      <c r="S888" s="337"/>
    </row>
    <row r="889" ht="12.75" customHeight="1">
      <c r="R889" s="336"/>
      <c r="S889" s="337"/>
    </row>
    <row r="890" ht="12.75" customHeight="1">
      <c r="R890" s="336"/>
      <c r="S890" s="337"/>
    </row>
    <row r="891" ht="12.75" customHeight="1">
      <c r="R891" s="336"/>
      <c r="S891" s="337"/>
    </row>
    <row r="892" ht="12.75" customHeight="1">
      <c r="R892" s="336"/>
      <c r="S892" s="337"/>
    </row>
    <row r="893" ht="12.75" customHeight="1">
      <c r="R893" s="336"/>
      <c r="S893" s="337"/>
    </row>
    <row r="894" ht="12.75" customHeight="1">
      <c r="R894" s="336"/>
      <c r="S894" s="337"/>
    </row>
    <row r="895" ht="12.75" customHeight="1">
      <c r="R895" s="336"/>
      <c r="S895" s="337"/>
    </row>
    <row r="896" ht="12.75" customHeight="1">
      <c r="R896" s="336"/>
      <c r="S896" s="337"/>
    </row>
    <row r="897" ht="12.75" customHeight="1">
      <c r="R897" s="336"/>
      <c r="S897" s="337"/>
    </row>
    <row r="898" ht="12.75" customHeight="1">
      <c r="R898" s="336"/>
      <c r="S898" s="337"/>
    </row>
    <row r="899" ht="12.75" customHeight="1">
      <c r="R899" s="336"/>
      <c r="S899" s="337"/>
    </row>
    <row r="900" ht="12.75" customHeight="1">
      <c r="R900" s="336"/>
      <c r="S900" s="337"/>
    </row>
    <row r="901" ht="12.75" customHeight="1">
      <c r="R901" s="336"/>
      <c r="S901" s="337"/>
    </row>
    <row r="902" ht="12.75" customHeight="1">
      <c r="R902" s="336"/>
      <c r="S902" s="337"/>
    </row>
    <row r="903" ht="12.75" customHeight="1">
      <c r="R903" s="336"/>
      <c r="S903" s="337"/>
    </row>
    <row r="904" ht="12.75" customHeight="1">
      <c r="R904" s="336"/>
      <c r="S904" s="337"/>
    </row>
    <row r="905" ht="12.75" customHeight="1">
      <c r="R905" s="336"/>
      <c r="S905" s="337"/>
    </row>
    <row r="906" ht="12.75" customHeight="1">
      <c r="R906" s="336"/>
      <c r="S906" s="337"/>
    </row>
    <row r="907" ht="12.75" customHeight="1">
      <c r="R907" s="336"/>
      <c r="S907" s="337"/>
    </row>
    <row r="908" ht="12.75" customHeight="1">
      <c r="R908" s="336"/>
      <c r="S908" s="337"/>
    </row>
    <row r="909" ht="12.75" customHeight="1">
      <c r="R909" s="336"/>
      <c r="S909" s="337"/>
    </row>
    <row r="910" ht="12.75" customHeight="1">
      <c r="R910" s="336"/>
      <c r="S910" s="337"/>
    </row>
    <row r="911" ht="12.75" customHeight="1">
      <c r="R911" s="336"/>
      <c r="S911" s="337"/>
    </row>
    <row r="912" ht="12.75" customHeight="1">
      <c r="R912" s="336"/>
      <c r="S912" s="337"/>
    </row>
    <row r="913" ht="12.75" customHeight="1">
      <c r="R913" s="336"/>
      <c r="S913" s="337"/>
    </row>
    <row r="914" ht="12.75" customHeight="1">
      <c r="R914" s="336"/>
      <c r="S914" s="337"/>
    </row>
    <row r="915" ht="12.75" customHeight="1">
      <c r="R915" s="336"/>
      <c r="S915" s="337"/>
    </row>
    <row r="916" ht="12.75" customHeight="1">
      <c r="R916" s="336"/>
      <c r="S916" s="337"/>
    </row>
    <row r="917" ht="12.75" customHeight="1">
      <c r="R917" s="336"/>
      <c r="S917" s="337"/>
    </row>
    <row r="918" ht="12.75" customHeight="1">
      <c r="R918" s="336"/>
      <c r="S918" s="337"/>
    </row>
    <row r="919" ht="12.75" customHeight="1">
      <c r="R919" s="336"/>
      <c r="S919" s="337"/>
    </row>
    <row r="920" ht="12.75" customHeight="1">
      <c r="R920" s="336"/>
      <c r="S920" s="337"/>
    </row>
    <row r="921" ht="12.75" customHeight="1">
      <c r="R921" s="336"/>
      <c r="S921" s="337"/>
    </row>
    <row r="922" ht="12.75" customHeight="1">
      <c r="R922" s="336"/>
      <c r="S922" s="337"/>
    </row>
    <row r="923" ht="12.75" customHeight="1">
      <c r="R923" s="336"/>
      <c r="S923" s="337"/>
    </row>
    <row r="924" ht="12.75" customHeight="1">
      <c r="R924" s="336"/>
      <c r="S924" s="337"/>
    </row>
    <row r="925" ht="12.75" customHeight="1">
      <c r="R925" s="336"/>
      <c r="S925" s="337"/>
    </row>
    <row r="926" ht="12.75" customHeight="1">
      <c r="R926" s="336"/>
      <c r="S926" s="337"/>
    </row>
    <row r="927" ht="12.75" customHeight="1">
      <c r="R927" s="336"/>
      <c r="S927" s="337"/>
    </row>
    <row r="928" ht="12.75" customHeight="1">
      <c r="R928" s="336"/>
      <c r="S928" s="337"/>
    </row>
    <row r="929" ht="12.75" customHeight="1">
      <c r="R929" s="336"/>
      <c r="S929" s="337"/>
    </row>
    <row r="930" ht="12.75" customHeight="1">
      <c r="R930" s="336"/>
      <c r="S930" s="337"/>
    </row>
    <row r="931" ht="12.75" customHeight="1">
      <c r="R931" s="336"/>
      <c r="S931" s="337"/>
    </row>
    <row r="932" ht="12.75" customHeight="1">
      <c r="R932" s="336"/>
      <c r="S932" s="337"/>
    </row>
    <row r="933" ht="12.75" customHeight="1">
      <c r="R933" s="336"/>
      <c r="S933" s="337"/>
    </row>
    <row r="934" ht="12.75" customHeight="1">
      <c r="R934" s="336"/>
    </row>
    <row r="935" ht="12.75" customHeight="1">
      <c r="R935" s="336"/>
    </row>
    <row r="936" ht="12.75" customHeight="1">
      <c r="R936" s="336"/>
    </row>
    <row r="937" ht="12.75" customHeight="1">
      <c r="R937" s="336"/>
    </row>
  </sheetData>
  <mergeCells count="11">
    <mergeCell ref="G9:H9"/>
    <mergeCell ref="I9:J9"/>
    <mergeCell ref="K9:L9"/>
    <mergeCell ref="M9:N9"/>
    <mergeCell ref="M5:N5"/>
    <mergeCell ref="S5:T5"/>
    <mergeCell ref="M6:N6"/>
    <mergeCell ref="S6:T6"/>
    <mergeCell ref="A9:B9"/>
    <mergeCell ref="C9:D9"/>
    <mergeCell ref="E9:F9"/>
  </mergeCells>
  <conditionalFormatting sqref="S1:S937">
    <cfRule type="cellIs" dxfId="5" priority="1" operator="lessThan">
      <formula>0</formula>
    </cfRule>
  </conditionalFormatting>
  <dataValidations>
    <dataValidation type="list" allowBlank="1" showErrorMessage="1" sqref="Q12:Q56">
      <formula1>"✔"</formula1>
    </dataValidation>
    <dataValidation type="custom" allowBlank="1" showDropDown="1" sqref="T12:T56">
      <formula1>OR(NOT(ISERROR(DATEVALUE(T12))), AND(ISNUMBER(T12), LEFT(CELL("format", T12))="D"))</formula1>
    </dataValidation>
  </dataValidations>
  <hyperlinks>
    <hyperlink r:id="rId1" ref="T3"/>
  </hyperlinks>
  <drawing r:id="rId2"/>
  <tableParts count="1">
    <tablePart r:id="rId4"/>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88"/>
    <col customWidth="1" min="2" max="2" width="11.75"/>
    <col customWidth="1" min="3" max="7" width="8.13"/>
    <col customWidth="1" min="8" max="8" width="11.63"/>
    <col customWidth="1" min="9" max="40" width="8.13"/>
  </cols>
  <sheetData>
    <row r="1" ht="15.0" customHeight="1">
      <c r="A1" s="617" t="s">
        <v>243</v>
      </c>
      <c r="B1" s="126"/>
      <c r="C1" s="126"/>
      <c r="D1" s="126"/>
      <c r="E1" s="124"/>
      <c r="F1" s="124"/>
      <c r="G1" s="124"/>
      <c r="H1" s="124"/>
      <c r="I1" s="124"/>
      <c r="J1" s="124"/>
      <c r="K1" s="618" t="s">
        <v>244</v>
      </c>
      <c r="L1" s="124"/>
      <c r="M1" s="124"/>
      <c r="N1" s="618" t="s">
        <v>244</v>
      </c>
      <c r="O1" s="124"/>
      <c r="P1" s="126"/>
      <c r="Q1" s="126"/>
      <c r="R1" s="126"/>
      <c r="S1" s="140" t="s">
        <v>244</v>
      </c>
      <c r="T1" s="126"/>
      <c r="U1" s="124"/>
      <c r="V1" s="618" t="s">
        <v>244</v>
      </c>
      <c r="W1" s="124"/>
      <c r="X1" s="124"/>
      <c r="Y1" s="124"/>
      <c r="Z1" s="124"/>
      <c r="AA1" s="124"/>
      <c r="AB1" s="124"/>
      <c r="AC1" s="124"/>
      <c r="AD1" s="124"/>
      <c r="AE1" s="124"/>
      <c r="AF1" s="124"/>
      <c r="AG1" s="124"/>
      <c r="AH1" s="124"/>
      <c r="AI1" s="124"/>
      <c r="AJ1" s="124"/>
      <c r="AK1" s="124"/>
      <c r="AL1" s="124"/>
      <c r="AM1" s="124"/>
      <c r="AN1" s="124"/>
    </row>
    <row r="2">
      <c r="A2" s="619" t="s">
        <v>245</v>
      </c>
      <c r="B2" s="126"/>
      <c r="C2" s="126"/>
      <c r="D2" s="126"/>
      <c r="E2" s="124"/>
      <c r="F2" s="124"/>
      <c r="G2" s="124"/>
      <c r="H2" s="124"/>
      <c r="I2" s="124"/>
      <c r="J2" s="124"/>
      <c r="K2" s="124"/>
      <c r="L2" s="124"/>
      <c r="M2" s="124"/>
      <c r="N2" s="124"/>
      <c r="O2" s="124"/>
      <c r="P2" s="126"/>
      <c r="Q2" s="126"/>
      <c r="R2" s="126"/>
      <c r="S2" s="126"/>
      <c r="T2" s="126"/>
      <c r="U2" s="124"/>
      <c r="V2" s="124"/>
      <c r="W2" s="124"/>
      <c r="X2" s="124"/>
      <c r="Y2" s="124"/>
      <c r="Z2" s="124"/>
      <c r="AA2" s="124"/>
      <c r="AB2" s="124"/>
      <c r="AC2" s="124"/>
      <c r="AD2" s="124"/>
      <c r="AE2" s="124"/>
      <c r="AF2" s="124"/>
      <c r="AG2" s="124"/>
      <c r="AH2" s="124"/>
      <c r="AI2" s="124"/>
      <c r="AJ2" s="124"/>
      <c r="AK2" s="124"/>
      <c r="AL2" s="124"/>
      <c r="AM2" s="124"/>
      <c r="AN2" s="124"/>
    </row>
    <row r="3">
      <c r="A3" s="619" t="s">
        <v>246</v>
      </c>
      <c r="B3" s="126"/>
      <c r="C3" s="126"/>
      <c r="D3" s="126"/>
      <c r="E3" s="124"/>
      <c r="F3" s="124"/>
      <c r="G3" s="124"/>
      <c r="H3" s="124"/>
      <c r="I3" s="124"/>
      <c r="J3" s="124"/>
      <c r="K3" s="124"/>
      <c r="L3" s="124"/>
      <c r="M3" s="124"/>
      <c r="N3" s="124"/>
      <c r="O3" s="124"/>
      <c r="P3" s="126"/>
      <c r="Q3" s="126"/>
      <c r="R3" s="126"/>
      <c r="S3" s="126"/>
      <c r="T3" s="126"/>
      <c r="U3" s="124"/>
      <c r="V3" s="124"/>
      <c r="W3" s="124"/>
      <c r="X3" s="124"/>
      <c r="Y3" s="124"/>
      <c r="Z3" s="124"/>
      <c r="AA3" s="124"/>
      <c r="AB3" s="124"/>
      <c r="AC3" s="124"/>
      <c r="AD3" s="124"/>
      <c r="AE3" s="124"/>
      <c r="AF3" s="124"/>
      <c r="AG3" s="124"/>
      <c r="AH3" s="124"/>
      <c r="AI3" s="124"/>
      <c r="AJ3" s="124"/>
      <c r="AK3" s="124"/>
      <c r="AL3" s="124"/>
      <c r="AM3" s="124"/>
      <c r="AN3" s="124"/>
    </row>
    <row r="4">
      <c r="A4" s="126"/>
      <c r="B4" s="126"/>
      <c r="C4" s="126"/>
      <c r="D4" s="126"/>
      <c r="E4" s="124"/>
      <c r="F4" s="124"/>
      <c r="G4" s="124"/>
      <c r="H4" s="124"/>
      <c r="I4" s="124"/>
      <c r="J4" s="124"/>
      <c r="K4" s="124"/>
      <c r="L4" s="124"/>
      <c r="M4" s="124"/>
      <c r="N4" s="124"/>
      <c r="O4" s="124"/>
      <c r="P4" s="126"/>
      <c r="Q4" s="126"/>
      <c r="R4" s="126"/>
      <c r="S4" s="126"/>
      <c r="T4" s="126"/>
      <c r="U4" s="124"/>
      <c r="V4" s="124"/>
      <c r="W4" s="124"/>
      <c r="X4" s="124"/>
      <c r="Y4" s="124"/>
      <c r="Z4" s="124"/>
      <c r="AA4" s="124"/>
      <c r="AB4" s="124"/>
      <c r="AC4" s="124"/>
      <c r="AD4" s="124"/>
      <c r="AE4" s="124"/>
      <c r="AF4" s="124"/>
      <c r="AG4" s="124"/>
      <c r="AH4" s="124"/>
      <c r="AI4" s="124"/>
      <c r="AJ4" s="124"/>
      <c r="AK4" s="124"/>
      <c r="AL4" s="124"/>
      <c r="AM4" s="124"/>
      <c r="AN4" s="124"/>
    </row>
    <row r="5">
      <c r="A5" s="620" t="s">
        <v>247</v>
      </c>
      <c r="B5" s="126"/>
      <c r="C5" s="126"/>
      <c r="D5" s="126"/>
      <c r="E5" s="124"/>
      <c r="F5" s="124"/>
      <c r="G5" s="124"/>
      <c r="H5" s="124"/>
      <c r="I5" s="124"/>
      <c r="J5" s="124"/>
      <c r="K5" s="124"/>
      <c r="L5" s="124"/>
      <c r="M5" s="124"/>
      <c r="N5" s="124"/>
      <c r="O5" s="124"/>
      <c r="P5" s="126"/>
      <c r="Q5" s="126"/>
      <c r="R5" s="126"/>
      <c r="S5" s="126"/>
      <c r="T5" s="126"/>
      <c r="U5" s="124"/>
      <c r="V5" s="124"/>
      <c r="W5" s="124"/>
      <c r="X5" s="124"/>
      <c r="Y5" s="124"/>
      <c r="Z5" s="124"/>
      <c r="AA5" s="124"/>
      <c r="AB5" s="124"/>
      <c r="AC5" s="124"/>
      <c r="AD5" s="124"/>
      <c r="AE5" s="124"/>
      <c r="AF5" s="124"/>
      <c r="AG5" s="124"/>
      <c r="AH5" s="124"/>
      <c r="AI5" s="124"/>
      <c r="AJ5" s="124"/>
      <c r="AK5" s="124"/>
      <c r="AL5" s="124"/>
      <c r="AM5" s="124"/>
      <c r="AN5" s="124"/>
    </row>
    <row r="6">
      <c r="A6" s="621" t="s">
        <v>248</v>
      </c>
      <c r="B6" s="622">
        <v>1.0</v>
      </c>
      <c r="C6" s="623">
        <f t="shared" ref="C6:AN6" si="1">B6+1</f>
        <v>2</v>
      </c>
      <c r="D6" s="623">
        <f t="shared" si="1"/>
        <v>3</v>
      </c>
      <c r="E6" s="624">
        <f t="shared" si="1"/>
        <v>4</v>
      </c>
      <c r="F6" s="624">
        <f t="shared" si="1"/>
        <v>5</v>
      </c>
      <c r="G6" s="624">
        <f t="shared" si="1"/>
        <v>6</v>
      </c>
      <c r="H6" s="624">
        <f t="shared" si="1"/>
        <v>7</v>
      </c>
      <c r="I6" s="624">
        <f t="shared" si="1"/>
        <v>8</v>
      </c>
      <c r="J6" s="624">
        <f t="shared" si="1"/>
        <v>9</v>
      </c>
      <c r="K6" s="624">
        <f t="shared" si="1"/>
        <v>10</v>
      </c>
      <c r="L6" s="624">
        <f t="shared" si="1"/>
        <v>11</v>
      </c>
      <c r="M6" s="624">
        <f t="shared" si="1"/>
        <v>12</v>
      </c>
      <c r="N6" s="624">
        <f t="shared" si="1"/>
        <v>13</v>
      </c>
      <c r="O6" s="624">
        <f t="shared" si="1"/>
        <v>14</v>
      </c>
      <c r="P6" s="623">
        <f t="shared" si="1"/>
        <v>15</v>
      </c>
      <c r="Q6" s="623">
        <f t="shared" si="1"/>
        <v>16</v>
      </c>
      <c r="R6" s="623">
        <f t="shared" si="1"/>
        <v>17</v>
      </c>
      <c r="S6" s="623">
        <f t="shared" si="1"/>
        <v>18</v>
      </c>
      <c r="T6" s="623">
        <f t="shared" si="1"/>
        <v>19</v>
      </c>
      <c r="U6" s="624">
        <f t="shared" si="1"/>
        <v>20</v>
      </c>
      <c r="V6" s="624">
        <f t="shared" si="1"/>
        <v>21</v>
      </c>
      <c r="W6" s="624">
        <f t="shared" si="1"/>
        <v>22</v>
      </c>
      <c r="X6" s="624">
        <f t="shared" si="1"/>
        <v>23</v>
      </c>
      <c r="Y6" s="624">
        <f t="shared" si="1"/>
        <v>24</v>
      </c>
      <c r="Z6" s="624">
        <f t="shared" si="1"/>
        <v>25</v>
      </c>
      <c r="AA6" s="624">
        <f t="shared" si="1"/>
        <v>26</v>
      </c>
      <c r="AB6" s="624">
        <f t="shared" si="1"/>
        <v>27</v>
      </c>
      <c r="AC6" s="624">
        <f t="shared" si="1"/>
        <v>28</v>
      </c>
      <c r="AD6" s="624">
        <f t="shared" si="1"/>
        <v>29</v>
      </c>
      <c r="AE6" s="624">
        <f t="shared" si="1"/>
        <v>30</v>
      </c>
      <c r="AF6" s="624">
        <f t="shared" si="1"/>
        <v>31</v>
      </c>
      <c r="AG6" s="624">
        <f t="shared" si="1"/>
        <v>32</v>
      </c>
      <c r="AH6" s="624">
        <f t="shared" si="1"/>
        <v>33</v>
      </c>
      <c r="AI6" s="624">
        <f t="shared" si="1"/>
        <v>34</v>
      </c>
      <c r="AJ6" s="624">
        <f t="shared" si="1"/>
        <v>35</v>
      </c>
      <c r="AK6" s="624">
        <f t="shared" si="1"/>
        <v>36</v>
      </c>
      <c r="AL6" s="624">
        <f t="shared" si="1"/>
        <v>37</v>
      </c>
      <c r="AM6" s="624">
        <f t="shared" si="1"/>
        <v>38</v>
      </c>
      <c r="AN6" s="624">
        <f t="shared" si="1"/>
        <v>39</v>
      </c>
    </row>
    <row r="7">
      <c r="A7" s="621" t="s">
        <v>71</v>
      </c>
      <c r="B7" s="625" t="str">
        <f t="array" ref="B7:AN7">TRANSPOSE(Calculator!B8:B46)</f>
        <v>Christmas Affirm </v>
      </c>
      <c r="C7" s="625" t="s">
        <v>80</v>
      </c>
      <c r="D7" s="625" t="s">
        <v>81</v>
      </c>
      <c r="E7" s="626" t="s">
        <v>82</v>
      </c>
      <c r="F7" s="626" t="s">
        <v>83</v>
      </c>
      <c r="G7" s="626" t="s">
        <v>84</v>
      </c>
      <c r="H7" s="626" t="s">
        <v>37</v>
      </c>
      <c r="I7" s="626" t="s">
        <v>85</v>
      </c>
      <c r="J7" s="626" t="s">
        <v>86</v>
      </c>
      <c r="K7" s="626" t="s">
        <v>87</v>
      </c>
      <c r="L7" s="626" t="s">
        <v>20</v>
      </c>
      <c r="M7" s="626" t="s">
        <v>36</v>
      </c>
      <c r="N7" s="626" t="s">
        <v>25</v>
      </c>
      <c r="O7" s="626" t="s">
        <v>89</v>
      </c>
      <c r="P7" s="625"/>
      <c r="Q7" s="625"/>
      <c r="R7" s="625"/>
      <c r="S7" s="625"/>
      <c r="T7" s="625"/>
      <c r="U7" s="626"/>
      <c r="V7" s="626"/>
      <c r="W7" s="626"/>
      <c r="X7" s="626"/>
      <c r="Y7" s="626"/>
      <c r="Z7" s="626"/>
      <c r="AA7" s="626"/>
      <c r="AB7" s="626"/>
      <c r="AC7" s="626"/>
      <c r="AD7" s="626"/>
      <c r="AE7" s="626"/>
      <c r="AF7" s="626"/>
      <c r="AG7" s="626"/>
      <c r="AH7" s="626"/>
      <c r="AI7" s="626"/>
      <c r="AJ7" s="626"/>
      <c r="AK7" s="626"/>
      <c r="AL7" s="626"/>
      <c r="AM7" s="626"/>
      <c r="AN7" s="626"/>
    </row>
    <row r="8">
      <c r="A8" s="621" t="s">
        <v>72</v>
      </c>
      <c r="B8" s="627" t="str">
        <f t="array" ref="B8:AN8">TRANSPOSE(Calculator!C8:C46)</f>
        <v/>
      </c>
      <c r="C8" s="627">
        <v>35.72</v>
      </c>
      <c r="D8" s="627">
        <v>51.83</v>
      </c>
      <c r="E8" s="628">
        <v>26.86</v>
      </c>
      <c r="F8" s="628">
        <v>162.21</v>
      </c>
      <c r="G8" s="628">
        <v>240.34</v>
      </c>
      <c r="H8" s="628">
        <v>3200.0</v>
      </c>
      <c r="I8" s="628">
        <v>3800.0</v>
      </c>
      <c r="J8" s="628">
        <v>50000.0</v>
      </c>
      <c r="K8" s="628">
        <v>38130.0</v>
      </c>
      <c r="L8" s="629">
        <v>181200.0</v>
      </c>
      <c r="M8" s="629">
        <v>15650.03</v>
      </c>
      <c r="N8" s="629">
        <v>609.55</v>
      </c>
      <c r="O8" s="629">
        <v>3100.0</v>
      </c>
      <c r="P8" s="630"/>
      <c r="Q8" s="630"/>
      <c r="R8" s="630"/>
      <c r="S8" s="630"/>
      <c r="T8" s="630"/>
      <c r="U8" s="629"/>
      <c r="V8" s="629"/>
      <c r="W8" s="629"/>
      <c r="X8" s="629"/>
      <c r="Y8" s="629"/>
      <c r="Z8" s="629"/>
      <c r="AA8" s="629"/>
      <c r="AB8" s="629"/>
      <c r="AC8" s="629"/>
      <c r="AD8" s="629"/>
      <c r="AE8" s="629"/>
      <c r="AF8" s="629"/>
      <c r="AG8" s="629"/>
      <c r="AH8" s="629"/>
      <c r="AI8" s="629"/>
      <c r="AJ8" s="629"/>
      <c r="AK8" s="629"/>
      <c r="AL8" s="629"/>
      <c r="AM8" s="629"/>
      <c r="AN8" s="629"/>
    </row>
    <row r="9">
      <c r="A9" s="621" t="s">
        <v>249</v>
      </c>
      <c r="B9" s="631">
        <f t="array" ref="B9:X9">TRANSPOSE(Calculator!D8:D30)</f>
        <v>0</v>
      </c>
      <c r="C9" s="631">
        <v>0.0</v>
      </c>
      <c r="D9" s="631">
        <v>0.0</v>
      </c>
      <c r="E9" s="632">
        <v>0.0</v>
      </c>
      <c r="F9" s="632">
        <v>0.0</v>
      </c>
      <c r="G9" s="633">
        <v>0.0</v>
      </c>
      <c r="H9" s="633">
        <v>0.3174</v>
      </c>
      <c r="I9" s="633">
        <v>0.2974</v>
      </c>
      <c r="J9" s="633">
        <v>0.0928</v>
      </c>
      <c r="K9" s="633">
        <v>0.11</v>
      </c>
      <c r="L9" s="633">
        <v>0.0375</v>
      </c>
      <c r="M9" s="633">
        <v>0.18</v>
      </c>
      <c r="N9" s="633">
        <v>0.2981</v>
      </c>
      <c r="O9" s="633">
        <v>0.3</v>
      </c>
      <c r="P9" s="634"/>
      <c r="Q9" s="634"/>
      <c r="R9" s="634"/>
      <c r="S9" s="634"/>
      <c r="T9" s="634"/>
      <c r="U9" s="633"/>
      <c r="V9" s="633"/>
      <c r="W9" s="633"/>
      <c r="X9" s="633"/>
      <c r="Y9" s="633"/>
      <c r="Z9" s="633"/>
      <c r="AA9" s="633"/>
      <c r="AB9" s="633"/>
      <c r="AC9" s="633"/>
      <c r="AD9" s="633"/>
      <c r="AE9" s="633"/>
      <c r="AF9" s="633"/>
      <c r="AG9" s="633"/>
      <c r="AH9" s="633"/>
      <c r="AI9" s="633"/>
      <c r="AJ9" s="633"/>
      <c r="AK9" s="633"/>
      <c r="AL9" s="633"/>
      <c r="AM9" s="633"/>
      <c r="AN9" s="633"/>
    </row>
    <row r="10">
      <c r="A10" s="621" t="s">
        <v>75</v>
      </c>
      <c r="B10" s="635">
        <f t="array" ref="B10">IF(ISBLANK(TRANSPOSE(Calculator!F8:F46)),0,TRANSPOSE(Calculator!F8:F46))</f>
        <v>0</v>
      </c>
      <c r="C10" s="635"/>
      <c r="D10" s="635"/>
      <c r="E10" s="636"/>
      <c r="F10" s="636"/>
      <c r="G10" s="636"/>
      <c r="H10" s="636"/>
      <c r="I10" s="636"/>
      <c r="J10" s="636"/>
      <c r="K10" s="636"/>
      <c r="L10" s="636"/>
      <c r="M10" s="636"/>
      <c r="N10" s="636"/>
      <c r="O10" s="636"/>
      <c r="P10" s="635"/>
      <c r="Q10" s="635"/>
      <c r="R10" s="635"/>
      <c r="S10" s="635"/>
      <c r="T10" s="635"/>
      <c r="U10" s="636"/>
      <c r="V10" s="636"/>
      <c r="W10" s="636"/>
      <c r="X10" s="636"/>
      <c r="Y10" s="636"/>
      <c r="Z10" s="636"/>
      <c r="AA10" s="636"/>
      <c r="AB10" s="636"/>
      <c r="AC10" s="636"/>
      <c r="AD10" s="636"/>
      <c r="AE10" s="636"/>
      <c r="AF10" s="636"/>
      <c r="AG10" s="636"/>
      <c r="AH10" s="636"/>
      <c r="AI10" s="636"/>
      <c r="AJ10" s="636"/>
      <c r="AK10" s="636"/>
      <c r="AL10" s="636"/>
      <c r="AM10" s="636"/>
      <c r="AN10" s="636"/>
    </row>
    <row r="11">
      <c r="A11" s="621" t="s">
        <v>250</v>
      </c>
      <c r="B11" s="625" t="b">
        <f t="shared" ref="B11:AN11" si="2">if(and(not(istext(B8)),B8&gt;0),true,false)</f>
        <v>0</v>
      </c>
      <c r="C11" s="625" t="b">
        <f t="shared" si="2"/>
        <v>1</v>
      </c>
      <c r="D11" s="625" t="b">
        <f t="shared" si="2"/>
        <v>1</v>
      </c>
      <c r="E11" s="626" t="b">
        <f t="shared" si="2"/>
        <v>1</v>
      </c>
      <c r="F11" s="626" t="b">
        <f t="shared" si="2"/>
        <v>1</v>
      </c>
      <c r="G11" s="626" t="b">
        <f t="shared" si="2"/>
        <v>1</v>
      </c>
      <c r="H11" s="626" t="b">
        <f t="shared" si="2"/>
        <v>1</v>
      </c>
      <c r="I11" s="626" t="b">
        <f t="shared" si="2"/>
        <v>1</v>
      </c>
      <c r="J11" s="626" t="b">
        <f t="shared" si="2"/>
        <v>1</v>
      </c>
      <c r="K11" s="626" t="b">
        <f t="shared" si="2"/>
        <v>1</v>
      </c>
      <c r="L11" s="626" t="b">
        <f t="shared" si="2"/>
        <v>1</v>
      </c>
      <c r="M11" s="626" t="b">
        <f t="shared" si="2"/>
        <v>1</v>
      </c>
      <c r="N11" s="626" t="b">
        <f t="shared" si="2"/>
        <v>1</v>
      </c>
      <c r="O11" s="626" t="b">
        <f t="shared" si="2"/>
        <v>1</v>
      </c>
      <c r="P11" s="625" t="b">
        <f t="shared" si="2"/>
        <v>0</v>
      </c>
      <c r="Q11" s="625" t="b">
        <f t="shared" si="2"/>
        <v>0</v>
      </c>
      <c r="R11" s="625" t="b">
        <f t="shared" si="2"/>
        <v>0</v>
      </c>
      <c r="S11" s="625" t="b">
        <f t="shared" si="2"/>
        <v>0</v>
      </c>
      <c r="T11" s="625" t="b">
        <f t="shared" si="2"/>
        <v>0</v>
      </c>
      <c r="U11" s="626" t="b">
        <f t="shared" si="2"/>
        <v>0</v>
      </c>
      <c r="V11" s="626" t="b">
        <f t="shared" si="2"/>
        <v>0</v>
      </c>
      <c r="W11" s="626" t="b">
        <f t="shared" si="2"/>
        <v>0</v>
      </c>
      <c r="X11" s="626" t="b">
        <f t="shared" si="2"/>
        <v>0</v>
      </c>
      <c r="Y11" s="626" t="b">
        <f t="shared" si="2"/>
        <v>0</v>
      </c>
      <c r="Z11" s="626" t="b">
        <f t="shared" si="2"/>
        <v>0</v>
      </c>
      <c r="AA11" s="626" t="b">
        <f t="shared" si="2"/>
        <v>0</v>
      </c>
      <c r="AB11" s="626" t="b">
        <f t="shared" si="2"/>
        <v>0</v>
      </c>
      <c r="AC11" s="626" t="b">
        <f t="shared" si="2"/>
        <v>0</v>
      </c>
      <c r="AD11" s="626" t="b">
        <f t="shared" si="2"/>
        <v>0</v>
      </c>
      <c r="AE11" s="626" t="b">
        <f t="shared" si="2"/>
        <v>0</v>
      </c>
      <c r="AF11" s="626" t="b">
        <f t="shared" si="2"/>
        <v>0</v>
      </c>
      <c r="AG11" s="626" t="b">
        <f t="shared" si="2"/>
        <v>0</v>
      </c>
      <c r="AH11" s="626" t="b">
        <f t="shared" si="2"/>
        <v>0</v>
      </c>
      <c r="AI11" s="626" t="b">
        <f t="shared" si="2"/>
        <v>0</v>
      </c>
      <c r="AJ11" s="626" t="b">
        <f t="shared" si="2"/>
        <v>0</v>
      </c>
      <c r="AK11" s="626" t="b">
        <f t="shared" si="2"/>
        <v>0</v>
      </c>
      <c r="AL11" s="626" t="b">
        <f t="shared" si="2"/>
        <v>0</v>
      </c>
      <c r="AM11" s="626" t="b">
        <f t="shared" si="2"/>
        <v>0</v>
      </c>
      <c r="AN11" s="626" t="b">
        <f t="shared" si="2"/>
        <v>0</v>
      </c>
    </row>
    <row r="12">
      <c r="A12" s="140" t="s">
        <v>251</v>
      </c>
      <c r="B12" s="637">
        <v>100.0</v>
      </c>
      <c r="C12" s="126"/>
      <c r="D12" s="126"/>
      <c r="E12" s="124"/>
      <c r="F12" s="124"/>
      <c r="G12" s="124"/>
      <c r="H12" s="124"/>
      <c r="I12" s="124"/>
      <c r="J12" s="124"/>
      <c r="K12" s="124"/>
      <c r="L12" s="124"/>
      <c r="M12" s="124"/>
      <c r="N12" s="124"/>
      <c r="O12" s="124"/>
      <c r="P12" s="126"/>
      <c r="Q12" s="126"/>
      <c r="R12" s="126"/>
      <c r="S12" s="126"/>
      <c r="T12" s="126"/>
      <c r="U12" s="124"/>
      <c r="V12" s="124"/>
      <c r="W12" s="124"/>
      <c r="X12" s="124"/>
      <c r="Y12" s="124"/>
      <c r="Z12" s="124"/>
      <c r="AA12" s="124"/>
      <c r="AB12" s="124"/>
      <c r="AC12" s="124"/>
      <c r="AD12" s="124"/>
      <c r="AE12" s="124"/>
      <c r="AF12" s="124"/>
      <c r="AG12" s="124"/>
      <c r="AH12" s="124"/>
      <c r="AI12" s="124"/>
      <c r="AJ12" s="124"/>
      <c r="AK12" s="124"/>
      <c r="AL12" s="124"/>
      <c r="AM12" s="124"/>
      <c r="AN12" s="124"/>
    </row>
    <row r="13">
      <c r="A13" s="126"/>
      <c r="B13" s="126"/>
      <c r="C13" s="126"/>
      <c r="D13" s="126"/>
      <c r="E13" s="124"/>
      <c r="F13" s="124"/>
      <c r="G13" s="124"/>
      <c r="H13" s="124"/>
      <c r="I13" s="124"/>
      <c r="J13" s="124"/>
      <c r="K13" s="124"/>
      <c r="L13" s="124"/>
      <c r="M13" s="124"/>
      <c r="N13" s="124"/>
      <c r="O13" s="124"/>
      <c r="P13" s="126"/>
      <c r="Q13" s="126"/>
      <c r="R13" s="126"/>
      <c r="S13" s="126"/>
      <c r="T13" s="126"/>
      <c r="U13" s="124"/>
      <c r="V13" s="124"/>
      <c r="W13" s="124"/>
      <c r="X13" s="124"/>
      <c r="Y13" s="124"/>
      <c r="Z13" s="124"/>
      <c r="AA13" s="124"/>
      <c r="AB13" s="124"/>
      <c r="AC13" s="124"/>
      <c r="AD13" s="124"/>
      <c r="AE13" s="124"/>
      <c r="AF13" s="124"/>
      <c r="AG13" s="124"/>
      <c r="AH13" s="124"/>
      <c r="AI13" s="124"/>
      <c r="AJ13" s="124"/>
      <c r="AK13" s="124"/>
      <c r="AL13" s="124"/>
      <c r="AM13" s="124"/>
      <c r="AN13" s="124"/>
    </row>
    <row r="14">
      <c r="A14" s="620" t="s">
        <v>252</v>
      </c>
      <c r="B14" s="126"/>
      <c r="C14" s="126"/>
      <c r="D14" s="126"/>
      <c r="E14" s="124"/>
      <c r="F14" s="124"/>
      <c r="G14" s="124"/>
      <c r="H14" s="124"/>
      <c r="I14" s="124"/>
      <c r="J14" s="124"/>
      <c r="K14" s="124"/>
      <c r="L14" s="124"/>
      <c r="M14" s="124"/>
      <c r="N14" s="124"/>
      <c r="O14" s="124"/>
      <c r="P14" s="126"/>
      <c r="Q14" s="126"/>
      <c r="R14" s="126"/>
      <c r="S14" s="126"/>
      <c r="T14" s="126"/>
      <c r="U14" s="124"/>
      <c r="V14" s="124"/>
      <c r="W14" s="124"/>
      <c r="X14" s="124"/>
      <c r="Y14" s="124"/>
      <c r="Z14" s="124"/>
      <c r="AA14" s="124"/>
      <c r="AB14" s="124"/>
      <c r="AC14" s="124"/>
      <c r="AD14" s="124"/>
      <c r="AE14" s="124"/>
      <c r="AF14" s="124"/>
      <c r="AG14" s="124"/>
      <c r="AH14" s="124"/>
      <c r="AI14" s="124"/>
      <c r="AJ14" s="124"/>
      <c r="AK14" s="124"/>
      <c r="AL14" s="124"/>
      <c r="AM14" s="124"/>
      <c r="AN14" s="124"/>
    </row>
    <row r="15">
      <c r="A15" s="621" t="s">
        <v>248</v>
      </c>
      <c r="B15" s="638">
        <f t="array" ref="B15">INDEX(B6:K6,1,MATCH(TRUE,B11:K11,0))</f>
        <v>2</v>
      </c>
      <c r="C15" s="623">
        <f t="shared" ref="C15:K15" si="3">INDEX(OFFSET($B6,0,B15,1,$B$12-B15),1,MATCH(TRUE,OFFSET($B11,0,B15,1,$B$12-B15),0))</f>
        <v>3</v>
      </c>
      <c r="D15" s="623">
        <f t="shared" si="3"/>
        <v>4</v>
      </c>
      <c r="E15" s="624">
        <f t="shared" si="3"/>
        <v>5</v>
      </c>
      <c r="F15" s="624">
        <f t="shared" si="3"/>
        <v>6</v>
      </c>
      <c r="G15" s="624">
        <f t="shared" si="3"/>
        <v>7</v>
      </c>
      <c r="H15" s="624">
        <f t="shared" si="3"/>
        <v>8</v>
      </c>
      <c r="I15" s="624">
        <f t="shared" si="3"/>
        <v>9</v>
      </c>
      <c r="J15" s="624">
        <f t="shared" si="3"/>
        <v>10</v>
      </c>
      <c r="K15" s="624">
        <f t="shared" si="3"/>
        <v>11</v>
      </c>
      <c r="L15" s="624">
        <f t="shared" ref="L15:AN15" si="4">K15+1</f>
        <v>12</v>
      </c>
      <c r="M15" s="624">
        <f t="shared" si="4"/>
        <v>13</v>
      </c>
      <c r="N15" s="624">
        <f t="shared" si="4"/>
        <v>14</v>
      </c>
      <c r="O15" s="624">
        <f t="shared" si="4"/>
        <v>15</v>
      </c>
      <c r="P15" s="623">
        <f t="shared" si="4"/>
        <v>16</v>
      </c>
      <c r="Q15" s="623">
        <f t="shared" si="4"/>
        <v>17</v>
      </c>
      <c r="R15" s="623">
        <f t="shared" si="4"/>
        <v>18</v>
      </c>
      <c r="S15" s="623">
        <f t="shared" si="4"/>
        <v>19</v>
      </c>
      <c r="T15" s="623">
        <f t="shared" si="4"/>
        <v>20</v>
      </c>
      <c r="U15" s="624">
        <f t="shared" si="4"/>
        <v>21</v>
      </c>
      <c r="V15" s="624">
        <f t="shared" si="4"/>
        <v>22</v>
      </c>
      <c r="W15" s="624">
        <f t="shared" si="4"/>
        <v>23</v>
      </c>
      <c r="X15" s="624">
        <f t="shared" si="4"/>
        <v>24</v>
      </c>
      <c r="Y15" s="624">
        <f t="shared" si="4"/>
        <v>25</v>
      </c>
      <c r="Z15" s="624">
        <f t="shared" si="4"/>
        <v>26</v>
      </c>
      <c r="AA15" s="624">
        <f t="shared" si="4"/>
        <v>27</v>
      </c>
      <c r="AB15" s="624">
        <f t="shared" si="4"/>
        <v>28</v>
      </c>
      <c r="AC15" s="624">
        <f t="shared" si="4"/>
        <v>29</v>
      </c>
      <c r="AD15" s="624">
        <f t="shared" si="4"/>
        <v>30</v>
      </c>
      <c r="AE15" s="624">
        <f t="shared" si="4"/>
        <v>31</v>
      </c>
      <c r="AF15" s="624">
        <f t="shared" si="4"/>
        <v>32</v>
      </c>
      <c r="AG15" s="624">
        <f t="shared" si="4"/>
        <v>33</v>
      </c>
      <c r="AH15" s="624">
        <f t="shared" si="4"/>
        <v>34</v>
      </c>
      <c r="AI15" s="624">
        <f t="shared" si="4"/>
        <v>35</v>
      </c>
      <c r="AJ15" s="624">
        <f t="shared" si="4"/>
        <v>36</v>
      </c>
      <c r="AK15" s="624">
        <f t="shared" si="4"/>
        <v>37</v>
      </c>
      <c r="AL15" s="624">
        <f t="shared" si="4"/>
        <v>38</v>
      </c>
      <c r="AM15" s="624">
        <f t="shared" si="4"/>
        <v>39</v>
      </c>
      <c r="AN15" s="624">
        <f t="shared" si="4"/>
        <v>40</v>
      </c>
    </row>
    <row r="16">
      <c r="A16" s="621" t="s">
        <v>71</v>
      </c>
      <c r="B16" s="625" t="str">
        <f t="shared" ref="B16:AN16" si="5">INDEX($B7:AN7,1,B$15)</f>
        <v>Christmas Affirm 1</v>
      </c>
      <c r="C16" s="625" t="str">
        <f t="shared" si="5"/>
        <v>Christmas Affirm 2</v>
      </c>
      <c r="D16" s="625" t="str">
        <f t="shared" si="5"/>
        <v>Christmas Affirm 3</v>
      </c>
      <c r="E16" s="626" t="str">
        <f t="shared" si="5"/>
        <v>Christmas Affirm 4</v>
      </c>
      <c r="F16" s="626" t="str">
        <f t="shared" si="5"/>
        <v>Christmas Affirm 5</v>
      </c>
      <c r="G16" s="626" t="str">
        <f t="shared" si="5"/>
        <v>Tia Cap One</v>
      </c>
      <c r="H16" s="626" t="str">
        <f t="shared" si="5"/>
        <v>John Cap One</v>
      </c>
      <c r="I16" s="626" t="str">
        <f t="shared" si="5"/>
        <v>La'Kia</v>
      </c>
      <c r="J16" s="626" t="str">
        <f t="shared" si="5"/>
        <v>Tesla</v>
      </c>
      <c r="K16" s="626" t="str">
        <f t="shared" si="5"/>
        <v>Mortgage</v>
      </c>
      <c r="L16" s="626" t="str">
        <f t="shared" si="5"/>
        <v>Upgrade Loan</v>
      </c>
      <c r="M16" s="626" t="str">
        <f t="shared" si="5"/>
        <v>Emergency Loan</v>
      </c>
      <c r="N16" s="626" t="str">
        <f t="shared" si="5"/>
        <v>James Braces</v>
      </c>
      <c r="O16" s="626" t="str">
        <f t="shared" si="5"/>
        <v/>
      </c>
      <c r="P16" s="625" t="str">
        <f t="shared" si="5"/>
        <v/>
      </c>
      <c r="Q16" s="625" t="str">
        <f t="shared" si="5"/>
        <v/>
      </c>
      <c r="R16" s="625" t="str">
        <f t="shared" si="5"/>
        <v/>
      </c>
      <c r="S16" s="625" t="str">
        <f t="shared" si="5"/>
        <v/>
      </c>
      <c r="T16" s="625" t="str">
        <f t="shared" si="5"/>
        <v/>
      </c>
      <c r="U16" s="626" t="str">
        <f t="shared" si="5"/>
        <v/>
      </c>
      <c r="V16" s="626" t="str">
        <f t="shared" si="5"/>
        <v/>
      </c>
      <c r="W16" s="626" t="str">
        <f t="shared" si="5"/>
        <v/>
      </c>
      <c r="X16" s="626" t="str">
        <f t="shared" si="5"/>
        <v/>
      </c>
      <c r="Y16" s="626" t="str">
        <f t="shared" si="5"/>
        <v/>
      </c>
      <c r="Z16" s="626" t="str">
        <f t="shared" si="5"/>
        <v/>
      </c>
      <c r="AA16" s="626" t="str">
        <f t="shared" si="5"/>
        <v/>
      </c>
      <c r="AB16" s="626" t="str">
        <f t="shared" si="5"/>
        <v/>
      </c>
      <c r="AC16" s="626" t="str">
        <f t="shared" si="5"/>
        <v/>
      </c>
      <c r="AD16" s="626" t="str">
        <f t="shared" si="5"/>
        <v/>
      </c>
      <c r="AE16" s="626" t="str">
        <f t="shared" si="5"/>
        <v/>
      </c>
      <c r="AF16" s="626" t="str">
        <f t="shared" si="5"/>
        <v/>
      </c>
      <c r="AG16" s="626" t="str">
        <f t="shared" si="5"/>
        <v/>
      </c>
      <c r="AH16" s="626" t="str">
        <f t="shared" si="5"/>
        <v/>
      </c>
      <c r="AI16" s="626" t="str">
        <f t="shared" si="5"/>
        <v/>
      </c>
      <c r="AJ16" s="626" t="str">
        <f t="shared" si="5"/>
        <v/>
      </c>
      <c r="AK16" s="626" t="str">
        <f t="shared" si="5"/>
        <v/>
      </c>
      <c r="AL16" s="626" t="str">
        <f t="shared" si="5"/>
        <v/>
      </c>
      <c r="AM16" s="626" t="str">
        <f t="shared" si="5"/>
        <v/>
      </c>
      <c r="AN16" s="626" t="str">
        <f t="shared" si="5"/>
        <v/>
      </c>
    </row>
    <row r="17">
      <c r="A17" s="621" t="s">
        <v>72</v>
      </c>
      <c r="B17" s="627">
        <f t="shared" ref="B17:AN17" si="6">INDEX($B8:AN8,1,B$15)</f>
        <v>35.72</v>
      </c>
      <c r="C17" s="627">
        <f t="shared" si="6"/>
        <v>51.83</v>
      </c>
      <c r="D17" s="627">
        <f t="shared" si="6"/>
        <v>26.86</v>
      </c>
      <c r="E17" s="628">
        <f t="shared" si="6"/>
        <v>162.21</v>
      </c>
      <c r="F17" s="628">
        <f t="shared" si="6"/>
        <v>240.34</v>
      </c>
      <c r="G17" s="628">
        <f t="shared" si="6"/>
        <v>3200</v>
      </c>
      <c r="H17" s="628">
        <f t="shared" si="6"/>
        <v>3800</v>
      </c>
      <c r="I17" s="628">
        <f t="shared" si="6"/>
        <v>50000</v>
      </c>
      <c r="J17" s="628">
        <f t="shared" si="6"/>
        <v>38130</v>
      </c>
      <c r="K17" s="629">
        <f t="shared" si="6"/>
        <v>181200</v>
      </c>
      <c r="L17" s="629">
        <f t="shared" si="6"/>
        <v>15650.03</v>
      </c>
      <c r="M17" s="629">
        <f t="shared" si="6"/>
        <v>609.55</v>
      </c>
      <c r="N17" s="629">
        <f t="shared" si="6"/>
        <v>3100</v>
      </c>
      <c r="O17" s="629" t="str">
        <f t="shared" si="6"/>
        <v/>
      </c>
      <c r="P17" s="630" t="str">
        <f t="shared" si="6"/>
        <v/>
      </c>
      <c r="Q17" s="630" t="str">
        <f t="shared" si="6"/>
        <v/>
      </c>
      <c r="R17" s="630" t="str">
        <f t="shared" si="6"/>
        <v/>
      </c>
      <c r="S17" s="630" t="str">
        <f t="shared" si="6"/>
        <v/>
      </c>
      <c r="T17" s="630" t="str">
        <f t="shared" si="6"/>
        <v/>
      </c>
      <c r="U17" s="629" t="str">
        <f t="shared" si="6"/>
        <v/>
      </c>
      <c r="V17" s="629" t="str">
        <f t="shared" si="6"/>
        <v/>
      </c>
      <c r="W17" s="629" t="str">
        <f t="shared" si="6"/>
        <v/>
      </c>
      <c r="X17" s="629" t="str">
        <f t="shared" si="6"/>
        <v/>
      </c>
      <c r="Y17" s="629" t="str">
        <f t="shared" si="6"/>
        <v/>
      </c>
      <c r="Z17" s="629" t="str">
        <f t="shared" si="6"/>
        <v/>
      </c>
      <c r="AA17" s="629" t="str">
        <f t="shared" si="6"/>
        <v/>
      </c>
      <c r="AB17" s="629" t="str">
        <f t="shared" si="6"/>
        <v/>
      </c>
      <c r="AC17" s="629" t="str">
        <f t="shared" si="6"/>
        <v/>
      </c>
      <c r="AD17" s="629" t="str">
        <f t="shared" si="6"/>
        <v/>
      </c>
      <c r="AE17" s="629" t="str">
        <f t="shared" si="6"/>
        <v/>
      </c>
      <c r="AF17" s="629" t="str">
        <f t="shared" si="6"/>
        <v/>
      </c>
      <c r="AG17" s="629" t="str">
        <f t="shared" si="6"/>
        <v/>
      </c>
      <c r="AH17" s="629" t="str">
        <f t="shared" si="6"/>
        <v/>
      </c>
      <c r="AI17" s="629" t="str">
        <f t="shared" si="6"/>
        <v/>
      </c>
      <c r="AJ17" s="629" t="str">
        <f t="shared" si="6"/>
        <v/>
      </c>
      <c r="AK17" s="629" t="str">
        <f t="shared" si="6"/>
        <v/>
      </c>
      <c r="AL17" s="629" t="str">
        <f t="shared" si="6"/>
        <v/>
      </c>
      <c r="AM17" s="629" t="str">
        <f t="shared" si="6"/>
        <v/>
      </c>
      <c r="AN17" s="204" t="str">
        <f t="shared" si="6"/>
        <v/>
      </c>
    </row>
    <row r="18">
      <c r="A18" s="621" t="s">
        <v>249</v>
      </c>
      <c r="B18" s="631">
        <f t="shared" ref="B18:AN18" si="7">INDEX($B9:AN9,1,B$15)</f>
        <v>0</v>
      </c>
      <c r="C18" s="631">
        <f t="shared" si="7"/>
        <v>0</v>
      </c>
      <c r="D18" s="631">
        <f t="shared" si="7"/>
        <v>0</v>
      </c>
      <c r="E18" s="632">
        <f t="shared" si="7"/>
        <v>0</v>
      </c>
      <c r="F18" s="632">
        <f t="shared" si="7"/>
        <v>0</v>
      </c>
      <c r="G18" s="632">
        <f t="shared" si="7"/>
        <v>0.3174</v>
      </c>
      <c r="H18" s="632">
        <f t="shared" si="7"/>
        <v>0.2974</v>
      </c>
      <c r="I18" s="632">
        <f t="shared" si="7"/>
        <v>0.0928</v>
      </c>
      <c r="J18" s="632">
        <f t="shared" si="7"/>
        <v>0.11</v>
      </c>
      <c r="K18" s="632">
        <f t="shared" si="7"/>
        <v>0.0375</v>
      </c>
      <c r="L18" s="632">
        <f t="shared" si="7"/>
        <v>0.18</v>
      </c>
      <c r="M18" s="632">
        <f t="shared" si="7"/>
        <v>0.2981</v>
      </c>
      <c r="N18" s="632">
        <f t="shared" si="7"/>
        <v>0.3</v>
      </c>
      <c r="O18" s="632" t="str">
        <f t="shared" si="7"/>
        <v/>
      </c>
      <c r="P18" s="631" t="str">
        <f t="shared" si="7"/>
        <v/>
      </c>
      <c r="Q18" s="631" t="str">
        <f t="shared" si="7"/>
        <v/>
      </c>
      <c r="R18" s="631" t="str">
        <f t="shared" si="7"/>
        <v/>
      </c>
      <c r="S18" s="631" t="str">
        <f t="shared" si="7"/>
        <v/>
      </c>
      <c r="T18" s="631" t="str">
        <f t="shared" si="7"/>
        <v/>
      </c>
      <c r="U18" s="632" t="str">
        <f t="shared" si="7"/>
        <v/>
      </c>
      <c r="V18" s="632" t="str">
        <f t="shared" si="7"/>
        <v/>
      </c>
      <c r="W18" s="632" t="str">
        <f t="shared" si="7"/>
        <v/>
      </c>
      <c r="X18" s="632" t="str">
        <f t="shared" si="7"/>
        <v/>
      </c>
      <c r="Y18" s="632" t="str">
        <f t="shared" si="7"/>
        <v/>
      </c>
      <c r="Z18" s="632" t="str">
        <f t="shared" si="7"/>
        <v/>
      </c>
      <c r="AA18" s="632" t="str">
        <f t="shared" si="7"/>
        <v/>
      </c>
      <c r="AB18" s="632" t="str">
        <f t="shared" si="7"/>
        <v/>
      </c>
      <c r="AC18" s="632" t="str">
        <f t="shared" si="7"/>
        <v/>
      </c>
      <c r="AD18" s="632" t="str">
        <f t="shared" si="7"/>
        <v/>
      </c>
      <c r="AE18" s="632" t="str">
        <f t="shared" si="7"/>
        <v/>
      </c>
      <c r="AF18" s="632" t="str">
        <f t="shared" si="7"/>
        <v/>
      </c>
      <c r="AG18" s="632" t="str">
        <f t="shared" si="7"/>
        <v/>
      </c>
      <c r="AH18" s="632" t="str">
        <f t="shared" si="7"/>
        <v/>
      </c>
      <c r="AI18" s="632" t="str">
        <f t="shared" si="7"/>
        <v/>
      </c>
      <c r="AJ18" s="632" t="str">
        <f t="shared" si="7"/>
        <v/>
      </c>
      <c r="AK18" s="632" t="str">
        <f t="shared" si="7"/>
        <v/>
      </c>
      <c r="AL18" s="632" t="str">
        <f t="shared" si="7"/>
        <v/>
      </c>
      <c r="AM18" s="632" t="str">
        <f t="shared" si="7"/>
        <v/>
      </c>
      <c r="AN18" s="632" t="str">
        <f t="shared" si="7"/>
        <v/>
      </c>
    </row>
    <row r="19">
      <c r="A19" s="621" t="s">
        <v>75</v>
      </c>
      <c r="B19" s="635" t="str">
        <f t="shared" ref="B19:AN19" si="8">INDEX($B10:AN10,1,B$15)</f>
        <v/>
      </c>
      <c r="C19" s="635" t="str">
        <f t="shared" si="8"/>
        <v/>
      </c>
      <c r="D19" s="635" t="str">
        <f t="shared" si="8"/>
        <v/>
      </c>
      <c r="E19" s="636" t="str">
        <f t="shared" si="8"/>
        <v/>
      </c>
      <c r="F19" s="636" t="str">
        <f t="shared" si="8"/>
        <v/>
      </c>
      <c r="G19" s="636" t="str">
        <f t="shared" si="8"/>
        <v/>
      </c>
      <c r="H19" s="636" t="str">
        <f t="shared" si="8"/>
        <v/>
      </c>
      <c r="I19" s="636" t="str">
        <f t="shared" si="8"/>
        <v/>
      </c>
      <c r="J19" s="636" t="str">
        <f t="shared" si="8"/>
        <v/>
      </c>
      <c r="K19" s="636" t="str">
        <f t="shared" si="8"/>
        <v/>
      </c>
      <c r="L19" s="636" t="str">
        <f t="shared" si="8"/>
        <v/>
      </c>
      <c r="M19" s="636" t="str">
        <f t="shared" si="8"/>
        <v/>
      </c>
      <c r="N19" s="636" t="str">
        <f t="shared" si="8"/>
        <v/>
      </c>
      <c r="O19" s="636" t="str">
        <f t="shared" si="8"/>
        <v/>
      </c>
      <c r="P19" s="635" t="str">
        <f t="shared" si="8"/>
        <v/>
      </c>
      <c r="Q19" s="635" t="str">
        <f t="shared" si="8"/>
        <v/>
      </c>
      <c r="R19" s="635" t="str">
        <f t="shared" si="8"/>
        <v/>
      </c>
      <c r="S19" s="635" t="str">
        <f t="shared" si="8"/>
        <v/>
      </c>
      <c r="T19" s="635" t="str">
        <f t="shared" si="8"/>
        <v/>
      </c>
      <c r="U19" s="636" t="str">
        <f t="shared" si="8"/>
        <v/>
      </c>
      <c r="V19" s="636" t="str">
        <f t="shared" si="8"/>
        <v/>
      </c>
      <c r="W19" s="636" t="str">
        <f t="shared" si="8"/>
        <v/>
      </c>
      <c r="X19" s="636" t="str">
        <f t="shared" si="8"/>
        <v/>
      </c>
      <c r="Y19" s="636" t="str">
        <f t="shared" si="8"/>
        <v/>
      </c>
      <c r="Z19" s="636" t="str">
        <f t="shared" si="8"/>
        <v/>
      </c>
      <c r="AA19" s="636" t="str">
        <f t="shared" si="8"/>
        <v/>
      </c>
      <c r="AB19" s="636" t="str">
        <f t="shared" si="8"/>
        <v/>
      </c>
      <c r="AC19" s="636" t="str">
        <f t="shared" si="8"/>
        <v/>
      </c>
      <c r="AD19" s="636" t="str">
        <f t="shared" si="8"/>
        <v/>
      </c>
      <c r="AE19" s="636" t="str">
        <f t="shared" si="8"/>
        <v/>
      </c>
      <c r="AF19" s="636" t="str">
        <f t="shared" si="8"/>
        <v/>
      </c>
      <c r="AG19" s="636" t="str">
        <f t="shared" si="8"/>
        <v/>
      </c>
      <c r="AH19" s="636" t="str">
        <f t="shared" si="8"/>
        <v/>
      </c>
      <c r="AI19" s="636" t="str">
        <f t="shared" si="8"/>
        <v/>
      </c>
      <c r="AJ19" s="636" t="str">
        <f t="shared" si="8"/>
        <v/>
      </c>
      <c r="AK19" s="636" t="str">
        <f t="shared" si="8"/>
        <v/>
      </c>
      <c r="AL19" s="636" t="str">
        <f t="shared" si="8"/>
        <v/>
      </c>
      <c r="AM19" s="636" t="str">
        <f t="shared" si="8"/>
        <v/>
      </c>
      <c r="AN19" s="636" t="str">
        <f t="shared" si="8"/>
        <v/>
      </c>
    </row>
    <row r="20">
      <c r="A20" s="140" t="s">
        <v>251</v>
      </c>
      <c r="B20" s="639">
        <f>COUNTIF(11:11,TRUE)</f>
        <v>13</v>
      </c>
      <c r="C20" s="640"/>
      <c r="D20" s="640"/>
      <c r="E20" s="641"/>
      <c r="F20" s="641"/>
      <c r="G20" s="641"/>
      <c r="H20" s="641"/>
      <c r="I20" s="641"/>
      <c r="J20" s="641"/>
      <c r="K20" s="641"/>
      <c r="L20" s="641"/>
      <c r="M20" s="641"/>
      <c r="N20" s="641"/>
      <c r="O20" s="641"/>
      <c r="P20" s="640"/>
      <c r="Q20" s="640"/>
      <c r="R20" s="640"/>
      <c r="S20" s="640"/>
      <c r="T20" s="640"/>
      <c r="U20" s="641"/>
      <c r="V20" s="641"/>
      <c r="W20" s="641"/>
      <c r="X20" s="641"/>
      <c r="Y20" s="641"/>
      <c r="Z20" s="641"/>
      <c r="AA20" s="641"/>
      <c r="AB20" s="641"/>
      <c r="AC20" s="641"/>
      <c r="AD20" s="641"/>
      <c r="AE20" s="641"/>
      <c r="AF20" s="641"/>
      <c r="AG20" s="641"/>
      <c r="AH20" s="641"/>
      <c r="AI20" s="641"/>
      <c r="AJ20" s="641"/>
      <c r="AK20" s="641"/>
      <c r="AL20" s="641"/>
      <c r="AM20" s="641"/>
      <c r="AN20" s="641"/>
    </row>
    <row r="21">
      <c r="A21" s="621" t="s">
        <v>253</v>
      </c>
      <c r="B21" s="642">
        <f t="shared" ref="B21:AN21" si="9">IF(ISERROR(B16),$B$12+1,RANK(B17,OFFSET($B17,0,0,1,$B$20),-1))</f>
        <v>2</v>
      </c>
      <c r="C21" s="642">
        <f t="shared" si="9"/>
        <v>3</v>
      </c>
      <c r="D21" s="642">
        <f t="shared" si="9"/>
        <v>1</v>
      </c>
      <c r="E21" s="643">
        <f t="shared" si="9"/>
        <v>4</v>
      </c>
      <c r="F21" s="643">
        <f t="shared" si="9"/>
        <v>5</v>
      </c>
      <c r="G21" s="643">
        <f t="shared" si="9"/>
        <v>8</v>
      </c>
      <c r="H21" s="643">
        <f t="shared" si="9"/>
        <v>9</v>
      </c>
      <c r="I21" s="643">
        <f t="shared" si="9"/>
        <v>12</v>
      </c>
      <c r="J21" s="643">
        <f t="shared" si="9"/>
        <v>11</v>
      </c>
      <c r="K21" s="643">
        <f t="shared" si="9"/>
        <v>13</v>
      </c>
      <c r="L21" s="643">
        <f t="shared" si="9"/>
        <v>10</v>
      </c>
      <c r="M21" s="643">
        <f t="shared" si="9"/>
        <v>6</v>
      </c>
      <c r="N21" s="643">
        <f t="shared" si="9"/>
        <v>7</v>
      </c>
      <c r="O21" s="643" t="str">
        <f t="shared" si="9"/>
        <v>#N/A</v>
      </c>
      <c r="P21" s="642" t="str">
        <f t="shared" si="9"/>
        <v>#N/A</v>
      </c>
      <c r="Q21" s="642" t="str">
        <f t="shared" si="9"/>
        <v>#N/A</v>
      </c>
      <c r="R21" s="642" t="str">
        <f t="shared" si="9"/>
        <v>#N/A</v>
      </c>
      <c r="S21" s="642" t="str">
        <f t="shared" si="9"/>
        <v>#N/A</v>
      </c>
      <c r="T21" s="642" t="str">
        <f t="shared" si="9"/>
        <v>#N/A</v>
      </c>
      <c r="U21" s="643" t="str">
        <f t="shared" si="9"/>
        <v>#N/A</v>
      </c>
      <c r="V21" s="643" t="str">
        <f t="shared" si="9"/>
        <v>#N/A</v>
      </c>
      <c r="W21" s="643" t="str">
        <f t="shared" si="9"/>
        <v>#N/A</v>
      </c>
      <c r="X21" s="643" t="str">
        <f t="shared" si="9"/>
        <v>#N/A</v>
      </c>
      <c r="Y21" s="643" t="str">
        <f t="shared" si="9"/>
        <v>#N/A</v>
      </c>
      <c r="Z21" s="643" t="str">
        <f t="shared" si="9"/>
        <v>#N/A</v>
      </c>
      <c r="AA21" s="643" t="str">
        <f t="shared" si="9"/>
        <v>#N/A</v>
      </c>
      <c r="AB21" s="643" t="str">
        <f t="shared" si="9"/>
        <v>#N/A</v>
      </c>
      <c r="AC21" s="643" t="str">
        <f t="shared" si="9"/>
        <v>#N/A</v>
      </c>
      <c r="AD21" s="643" t="str">
        <f t="shared" si="9"/>
        <v>#N/A</v>
      </c>
      <c r="AE21" s="643" t="str">
        <f t="shared" si="9"/>
        <v>#N/A</v>
      </c>
      <c r="AF21" s="643" t="str">
        <f t="shared" si="9"/>
        <v>#N/A</v>
      </c>
      <c r="AG21" s="643" t="str">
        <f t="shared" si="9"/>
        <v>#N/A</v>
      </c>
      <c r="AH21" s="643" t="str">
        <f t="shared" si="9"/>
        <v>#N/A</v>
      </c>
      <c r="AI21" s="643" t="str">
        <f t="shared" si="9"/>
        <v>#N/A</v>
      </c>
      <c r="AJ21" s="643" t="str">
        <f t="shared" si="9"/>
        <v>#N/A</v>
      </c>
      <c r="AK21" s="643" t="str">
        <f t="shared" si="9"/>
        <v>#N/A</v>
      </c>
      <c r="AL21" s="643" t="str">
        <f t="shared" si="9"/>
        <v>#N/A</v>
      </c>
      <c r="AM21" s="643" t="str">
        <f t="shared" si="9"/>
        <v>#N/A</v>
      </c>
      <c r="AN21" s="643" t="str">
        <f t="shared" si="9"/>
        <v>#N/A</v>
      </c>
    </row>
    <row r="22">
      <c r="A22" s="621" t="s">
        <v>254</v>
      </c>
      <c r="B22" s="642">
        <f t="shared" ref="B22:AN22" si="10">IF(ISERROR(B16),$B$12+1,RANK(B18,OFFSET($B18,0,0,1,$B$20)))</f>
        <v>9</v>
      </c>
      <c r="C22" s="642">
        <f t="shared" si="10"/>
        <v>9</v>
      </c>
      <c r="D22" s="642">
        <f t="shared" si="10"/>
        <v>9</v>
      </c>
      <c r="E22" s="643">
        <f t="shared" si="10"/>
        <v>9</v>
      </c>
      <c r="F22" s="643">
        <f t="shared" si="10"/>
        <v>9</v>
      </c>
      <c r="G22" s="643">
        <f t="shared" si="10"/>
        <v>1</v>
      </c>
      <c r="H22" s="643">
        <f t="shared" si="10"/>
        <v>4</v>
      </c>
      <c r="I22" s="643">
        <f t="shared" si="10"/>
        <v>7</v>
      </c>
      <c r="J22" s="643">
        <f t="shared" si="10"/>
        <v>6</v>
      </c>
      <c r="K22" s="643">
        <f t="shared" si="10"/>
        <v>8</v>
      </c>
      <c r="L22" s="643">
        <f t="shared" si="10"/>
        <v>5</v>
      </c>
      <c r="M22" s="643">
        <f t="shared" si="10"/>
        <v>3</v>
      </c>
      <c r="N22" s="643">
        <f t="shared" si="10"/>
        <v>2</v>
      </c>
      <c r="O22" s="643">
        <f t="shared" si="10"/>
        <v>9</v>
      </c>
      <c r="P22" s="642">
        <f t="shared" si="10"/>
        <v>9</v>
      </c>
      <c r="Q22" s="642">
        <f t="shared" si="10"/>
        <v>9</v>
      </c>
      <c r="R22" s="642">
        <f t="shared" si="10"/>
        <v>9</v>
      </c>
      <c r="S22" s="642">
        <f t="shared" si="10"/>
        <v>9</v>
      </c>
      <c r="T22" s="642">
        <f t="shared" si="10"/>
        <v>9</v>
      </c>
      <c r="U22" s="643">
        <f t="shared" si="10"/>
        <v>9</v>
      </c>
      <c r="V22" s="643">
        <f t="shared" si="10"/>
        <v>9</v>
      </c>
      <c r="W22" s="643">
        <f t="shared" si="10"/>
        <v>9</v>
      </c>
      <c r="X22" s="643">
        <f t="shared" si="10"/>
        <v>9</v>
      </c>
      <c r="Y22" s="643">
        <f t="shared" si="10"/>
        <v>9</v>
      </c>
      <c r="Z22" s="643">
        <f t="shared" si="10"/>
        <v>9</v>
      </c>
      <c r="AA22" s="643">
        <f t="shared" si="10"/>
        <v>9</v>
      </c>
      <c r="AB22" s="643">
        <f t="shared" si="10"/>
        <v>9</v>
      </c>
      <c r="AC22" s="643">
        <f t="shared" si="10"/>
        <v>9</v>
      </c>
      <c r="AD22" s="643">
        <f t="shared" si="10"/>
        <v>9</v>
      </c>
      <c r="AE22" s="643">
        <f t="shared" si="10"/>
        <v>9</v>
      </c>
      <c r="AF22" s="643">
        <f t="shared" si="10"/>
        <v>9</v>
      </c>
      <c r="AG22" s="643">
        <f t="shared" si="10"/>
        <v>9</v>
      </c>
      <c r="AH22" s="643">
        <f t="shared" si="10"/>
        <v>9</v>
      </c>
      <c r="AI22" s="643">
        <f t="shared" si="10"/>
        <v>9</v>
      </c>
      <c r="AJ22" s="643">
        <f t="shared" si="10"/>
        <v>9</v>
      </c>
      <c r="AK22" s="643">
        <f t="shared" si="10"/>
        <v>9</v>
      </c>
      <c r="AL22" s="643">
        <f t="shared" si="10"/>
        <v>9</v>
      </c>
      <c r="AM22" s="643">
        <f t="shared" si="10"/>
        <v>9</v>
      </c>
      <c r="AN22" s="643">
        <f t="shared" si="10"/>
        <v>9</v>
      </c>
    </row>
    <row r="23">
      <c r="A23" s="621" t="s">
        <v>255</v>
      </c>
      <c r="B23" s="642" t="str">
        <f t="shared" ref="B23:AN23" si="11">IF(ISERROR(B16),$B$12+1,RANK(B19,OFFSET($B19,0,0,1,$B$20)))</f>
        <v>#N/A</v>
      </c>
      <c r="C23" s="642" t="str">
        <f t="shared" si="11"/>
        <v>#N/A</v>
      </c>
      <c r="D23" s="642" t="str">
        <f t="shared" si="11"/>
        <v>#N/A</v>
      </c>
      <c r="E23" s="643" t="str">
        <f t="shared" si="11"/>
        <v>#N/A</v>
      </c>
      <c r="F23" s="643" t="str">
        <f t="shared" si="11"/>
        <v>#N/A</v>
      </c>
      <c r="G23" s="643" t="str">
        <f t="shared" si="11"/>
        <v>#N/A</v>
      </c>
      <c r="H23" s="643" t="str">
        <f t="shared" si="11"/>
        <v>#N/A</v>
      </c>
      <c r="I23" s="643" t="str">
        <f t="shared" si="11"/>
        <v>#N/A</v>
      </c>
      <c r="J23" s="643" t="str">
        <f t="shared" si="11"/>
        <v>#N/A</v>
      </c>
      <c r="K23" s="643" t="str">
        <f t="shared" si="11"/>
        <v>#N/A</v>
      </c>
      <c r="L23" s="643" t="str">
        <f t="shared" si="11"/>
        <v>#N/A</v>
      </c>
      <c r="M23" s="643" t="str">
        <f t="shared" si="11"/>
        <v>#N/A</v>
      </c>
      <c r="N23" s="643" t="str">
        <f t="shared" si="11"/>
        <v>#N/A</v>
      </c>
      <c r="O23" s="643" t="str">
        <f t="shared" si="11"/>
        <v>#N/A</v>
      </c>
      <c r="P23" s="642" t="str">
        <f t="shared" si="11"/>
        <v>#N/A</v>
      </c>
      <c r="Q23" s="642" t="str">
        <f t="shared" si="11"/>
        <v>#N/A</v>
      </c>
      <c r="R23" s="642" t="str">
        <f t="shared" si="11"/>
        <v>#N/A</v>
      </c>
      <c r="S23" s="642" t="str">
        <f t="shared" si="11"/>
        <v>#N/A</v>
      </c>
      <c r="T23" s="642" t="str">
        <f t="shared" si="11"/>
        <v>#N/A</v>
      </c>
      <c r="U23" s="643" t="str">
        <f t="shared" si="11"/>
        <v>#N/A</v>
      </c>
      <c r="V23" s="643" t="str">
        <f t="shared" si="11"/>
        <v>#N/A</v>
      </c>
      <c r="W23" s="643" t="str">
        <f t="shared" si="11"/>
        <v>#N/A</v>
      </c>
      <c r="X23" s="643" t="str">
        <f t="shared" si="11"/>
        <v>#N/A</v>
      </c>
      <c r="Y23" s="643" t="str">
        <f t="shared" si="11"/>
        <v>#N/A</v>
      </c>
      <c r="Z23" s="643" t="str">
        <f t="shared" si="11"/>
        <v>#N/A</v>
      </c>
      <c r="AA23" s="643" t="str">
        <f t="shared" si="11"/>
        <v>#N/A</v>
      </c>
      <c r="AB23" s="643" t="str">
        <f t="shared" si="11"/>
        <v>#N/A</v>
      </c>
      <c r="AC23" s="643" t="str">
        <f t="shared" si="11"/>
        <v>#N/A</v>
      </c>
      <c r="AD23" s="643" t="str">
        <f t="shared" si="11"/>
        <v>#N/A</v>
      </c>
      <c r="AE23" s="643" t="str">
        <f t="shared" si="11"/>
        <v>#N/A</v>
      </c>
      <c r="AF23" s="643" t="str">
        <f t="shared" si="11"/>
        <v>#N/A</v>
      </c>
      <c r="AG23" s="643" t="str">
        <f t="shared" si="11"/>
        <v>#N/A</v>
      </c>
      <c r="AH23" s="643" t="str">
        <f t="shared" si="11"/>
        <v>#N/A</v>
      </c>
      <c r="AI23" s="643" t="str">
        <f t="shared" si="11"/>
        <v>#N/A</v>
      </c>
      <c r="AJ23" s="643" t="str">
        <f t="shared" si="11"/>
        <v>#N/A</v>
      </c>
      <c r="AK23" s="643" t="str">
        <f t="shared" si="11"/>
        <v>#N/A</v>
      </c>
      <c r="AL23" s="643" t="str">
        <f t="shared" si="11"/>
        <v>#N/A</v>
      </c>
      <c r="AM23" s="643" t="str">
        <f t="shared" si="11"/>
        <v>#N/A</v>
      </c>
      <c r="AN23" s="643" t="str">
        <f t="shared" si="11"/>
        <v>#N/A</v>
      </c>
    </row>
    <row r="24">
      <c r="A24" s="621" t="s">
        <v>256</v>
      </c>
      <c r="B24" s="642" t="str">
        <f t="shared" ref="B24:AN24" si="12">IF(ISERROR(B16),$B$12+1,RANK(B19,OFFSET($B19,0,0,1,$B$20),-1))</f>
        <v>#N/A</v>
      </c>
      <c r="C24" s="642" t="str">
        <f t="shared" si="12"/>
        <v>#N/A</v>
      </c>
      <c r="D24" s="642" t="str">
        <f t="shared" si="12"/>
        <v>#N/A</v>
      </c>
      <c r="E24" s="643" t="str">
        <f t="shared" si="12"/>
        <v>#N/A</v>
      </c>
      <c r="F24" s="643" t="str">
        <f t="shared" si="12"/>
        <v>#N/A</v>
      </c>
      <c r="G24" s="643" t="str">
        <f t="shared" si="12"/>
        <v>#N/A</v>
      </c>
      <c r="H24" s="643" t="str">
        <f t="shared" si="12"/>
        <v>#N/A</v>
      </c>
      <c r="I24" s="643" t="str">
        <f t="shared" si="12"/>
        <v>#N/A</v>
      </c>
      <c r="J24" s="643" t="str">
        <f t="shared" si="12"/>
        <v>#N/A</v>
      </c>
      <c r="K24" s="643" t="str">
        <f t="shared" si="12"/>
        <v>#N/A</v>
      </c>
      <c r="L24" s="643" t="str">
        <f t="shared" si="12"/>
        <v>#N/A</v>
      </c>
      <c r="M24" s="643" t="str">
        <f t="shared" si="12"/>
        <v>#N/A</v>
      </c>
      <c r="N24" s="643" t="str">
        <f t="shared" si="12"/>
        <v>#N/A</v>
      </c>
      <c r="O24" s="643" t="str">
        <f t="shared" si="12"/>
        <v>#N/A</v>
      </c>
      <c r="P24" s="642" t="str">
        <f t="shared" si="12"/>
        <v>#N/A</v>
      </c>
      <c r="Q24" s="642" t="str">
        <f t="shared" si="12"/>
        <v>#N/A</v>
      </c>
      <c r="R24" s="642" t="str">
        <f t="shared" si="12"/>
        <v>#N/A</v>
      </c>
      <c r="S24" s="642" t="str">
        <f t="shared" si="12"/>
        <v>#N/A</v>
      </c>
      <c r="T24" s="642" t="str">
        <f t="shared" si="12"/>
        <v>#N/A</v>
      </c>
      <c r="U24" s="643" t="str">
        <f t="shared" si="12"/>
        <v>#N/A</v>
      </c>
      <c r="V24" s="643" t="str">
        <f t="shared" si="12"/>
        <v>#N/A</v>
      </c>
      <c r="W24" s="643" t="str">
        <f t="shared" si="12"/>
        <v>#N/A</v>
      </c>
      <c r="X24" s="643" t="str">
        <f t="shared" si="12"/>
        <v>#N/A</v>
      </c>
      <c r="Y24" s="643" t="str">
        <f t="shared" si="12"/>
        <v>#N/A</v>
      </c>
      <c r="Z24" s="643" t="str">
        <f t="shared" si="12"/>
        <v>#N/A</v>
      </c>
      <c r="AA24" s="643" t="str">
        <f t="shared" si="12"/>
        <v>#N/A</v>
      </c>
      <c r="AB24" s="643" t="str">
        <f t="shared" si="12"/>
        <v>#N/A</v>
      </c>
      <c r="AC24" s="643" t="str">
        <f t="shared" si="12"/>
        <v>#N/A</v>
      </c>
      <c r="AD24" s="643" t="str">
        <f t="shared" si="12"/>
        <v>#N/A</v>
      </c>
      <c r="AE24" s="643" t="str">
        <f t="shared" si="12"/>
        <v>#N/A</v>
      </c>
      <c r="AF24" s="643" t="str">
        <f t="shared" si="12"/>
        <v>#N/A</v>
      </c>
      <c r="AG24" s="643" t="str">
        <f t="shared" si="12"/>
        <v>#N/A</v>
      </c>
      <c r="AH24" s="643" t="str">
        <f t="shared" si="12"/>
        <v>#N/A</v>
      </c>
      <c r="AI24" s="643" t="str">
        <f t="shared" si="12"/>
        <v>#N/A</v>
      </c>
      <c r="AJ24" s="643" t="str">
        <f t="shared" si="12"/>
        <v>#N/A</v>
      </c>
      <c r="AK24" s="643" t="str">
        <f t="shared" si="12"/>
        <v>#N/A</v>
      </c>
      <c r="AL24" s="643" t="str">
        <f t="shared" si="12"/>
        <v>#N/A</v>
      </c>
      <c r="AM24" s="643" t="str">
        <f t="shared" si="12"/>
        <v>#N/A</v>
      </c>
      <c r="AN24" s="643" t="str">
        <f t="shared" si="12"/>
        <v>#N/A</v>
      </c>
    </row>
    <row r="25">
      <c r="A25" s="126"/>
      <c r="B25" s="126"/>
      <c r="C25" s="126"/>
      <c r="D25" s="126"/>
      <c r="E25" s="124"/>
      <c r="F25" s="124"/>
      <c r="G25" s="124"/>
      <c r="H25" s="124"/>
      <c r="I25" s="124"/>
      <c r="J25" s="124"/>
      <c r="K25" s="124"/>
      <c r="L25" s="124"/>
      <c r="M25" s="124"/>
      <c r="N25" s="124"/>
      <c r="O25" s="124"/>
      <c r="P25" s="126"/>
      <c r="Q25" s="126"/>
      <c r="R25" s="126"/>
      <c r="S25" s="126"/>
      <c r="T25" s="126"/>
      <c r="U25" s="124"/>
      <c r="V25" s="124"/>
      <c r="W25" s="124"/>
      <c r="X25" s="124"/>
      <c r="Y25" s="124"/>
      <c r="Z25" s="124"/>
      <c r="AA25" s="124"/>
      <c r="AB25" s="124"/>
      <c r="AC25" s="124"/>
      <c r="AD25" s="124"/>
      <c r="AE25" s="124"/>
      <c r="AF25" s="124"/>
      <c r="AG25" s="124"/>
      <c r="AH25" s="124"/>
      <c r="AI25" s="124"/>
      <c r="AJ25" s="124"/>
      <c r="AK25" s="124"/>
      <c r="AL25" s="124"/>
      <c r="AM25" s="124"/>
      <c r="AN25" s="124"/>
    </row>
    <row r="26">
      <c r="A26" s="620" t="s">
        <v>257</v>
      </c>
      <c r="B26" s="126"/>
      <c r="C26" s="126"/>
      <c r="D26" s="126"/>
      <c r="E26" s="124"/>
      <c r="F26" s="124"/>
      <c r="G26" s="124"/>
      <c r="H26" s="124"/>
      <c r="I26" s="124"/>
      <c r="J26" s="124"/>
      <c r="K26" s="124"/>
      <c r="L26" s="124"/>
      <c r="M26" s="124"/>
      <c r="N26" s="124"/>
      <c r="O26" s="124"/>
      <c r="P26" s="126"/>
      <c r="Q26" s="126"/>
      <c r="R26" s="126"/>
      <c r="S26" s="126"/>
      <c r="T26" s="126"/>
      <c r="U26" s="124"/>
      <c r="V26" s="124"/>
      <c r="W26" s="124"/>
      <c r="X26" s="124"/>
      <c r="Y26" s="124"/>
      <c r="Z26" s="124"/>
      <c r="AA26" s="124"/>
      <c r="AB26" s="124"/>
      <c r="AC26" s="124"/>
      <c r="AD26" s="124"/>
      <c r="AE26" s="124"/>
      <c r="AF26" s="124"/>
      <c r="AG26" s="124"/>
      <c r="AH26" s="124"/>
      <c r="AI26" s="124"/>
      <c r="AJ26" s="124"/>
      <c r="AK26" s="124"/>
      <c r="AL26" s="124"/>
      <c r="AM26" s="124"/>
      <c r="AN26" s="124"/>
    </row>
    <row r="27">
      <c r="A27" s="140" t="s">
        <v>258</v>
      </c>
      <c r="B27" s="621">
        <v>1.0</v>
      </c>
      <c r="C27" s="128">
        <f t="shared" ref="C27:AN27" si="13">B27+1</f>
        <v>2</v>
      </c>
      <c r="D27" s="128">
        <f t="shared" si="13"/>
        <v>3</v>
      </c>
      <c r="E27" s="204">
        <f t="shared" si="13"/>
        <v>4</v>
      </c>
      <c r="F27" s="204">
        <f t="shared" si="13"/>
        <v>5</v>
      </c>
      <c r="G27" s="204">
        <f t="shared" si="13"/>
        <v>6</v>
      </c>
      <c r="H27" s="204">
        <f t="shared" si="13"/>
        <v>7</v>
      </c>
      <c r="I27" s="204">
        <f t="shared" si="13"/>
        <v>8</v>
      </c>
      <c r="J27" s="204">
        <f t="shared" si="13"/>
        <v>9</v>
      </c>
      <c r="K27" s="204">
        <f t="shared" si="13"/>
        <v>10</v>
      </c>
      <c r="L27" s="204">
        <f t="shared" si="13"/>
        <v>11</v>
      </c>
      <c r="M27" s="204">
        <f t="shared" si="13"/>
        <v>12</v>
      </c>
      <c r="N27" s="204">
        <f t="shared" si="13"/>
        <v>13</v>
      </c>
      <c r="O27" s="204">
        <f t="shared" si="13"/>
        <v>14</v>
      </c>
      <c r="P27" s="128">
        <f t="shared" si="13"/>
        <v>15</v>
      </c>
      <c r="Q27" s="128">
        <f t="shared" si="13"/>
        <v>16</v>
      </c>
      <c r="R27" s="128">
        <f t="shared" si="13"/>
        <v>17</v>
      </c>
      <c r="S27" s="128">
        <f t="shared" si="13"/>
        <v>18</v>
      </c>
      <c r="T27" s="128">
        <f t="shared" si="13"/>
        <v>19</v>
      </c>
      <c r="U27" s="204">
        <f t="shared" si="13"/>
        <v>20</v>
      </c>
      <c r="V27" s="204">
        <f t="shared" si="13"/>
        <v>21</v>
      </c>
      <c r="W27" s="204">
        <f t="shared" si="13"/>
        <v>22</v>
      </c>
      <c r="X27" s="204">
        <f t="shared" si="13"/>
        <v>23</v>
      </c>
      <c r="Y27" s="204">
        <f t="shared" si="13"/>
        <v>24</v>
      </c>
      <c r="Z27" s="204">
        <f t="shared" si="13"/>
        <v>25</v>
      </c>
      <c r="AA27" s="204">
        <f t="shared" si="13"/>
        <v>26</v>
      </c>
      <c r="AB27" s="204">
        <f t="shared" si="13"/>
        <v>27</v>
      </c>
      <c r="AC27" s="204">
        <f t="shared" si="13"/>
        <v>28</v>
      </c>
      <c r="AD27" s="204">
        <f t="shared" si="13"/>
        <v>29</v>
      </c>
      <c r="AE27" s="204">
        <f t="shared" si="13"/>
        <v>30</v>
      </c>
      <c r="AF27" s="204">
        <f t="shared" si="13"/>
        <v>31</v>
      </c>
      <c r="AG27" s="204">
        <f t="shared" si="13"/>
        <v>32</v>
      </c>
      <c r="AH27" s="204">
        <f t="shared" si="13"/>
        <v>33</v>
      </c>
      <c r="AI27" s="204">
        <f t="shared" si="13"/>
        <v>34</v>
      </c>
      <c r="AJ27" s="204">
        <f t="shared" si="13"/>
        <v>35</v>
      </c>
      <c r="AK27" s="204">
        <f t="shared" si="13"/>
        <v>36</v>
      </c>
      <c r="AL27" s="204">
        <f t="shared" si="13"/>
        <v>37</v>
      </c>
      <c r="AM27" s="204">
        <f t="shared" si="13"/>
        <v>38</v>
      </c>
      <c r="AN27" s="204">
        <f t="shared" si="13"/>
        <v>39</v>
      </c>
    </row>
    <row r="28">
      <c r="A28" s="140" t="s">
        <v>248</v>
      </c>
      <c r="B28" s="128">
        <f t="shared" ref="B28:AN28" si="14">MATCH(B27,$B$21:AN21,0)</f>
        <v>3</v>
      </c>
      <c r="C28" s="128">
        <f t="shared" si="14"/>
        <v>1</v>
      </c>
      <c r="D28" s="128">
        <f t="shared" si="14"/>
        <v>2</v>
      </c>
      <c r="E28" s="204">
        <f t="shared" si="14"/>
        <v>4</v>
      </c>
      <c r="F28" s="204">
        <f t="shared" si="14"/>
        <v>5</v>
      </c>
      <c r="G28" s="204">
        <f t="shared" si="14"/>
        <v>12</v>
      </c>
      <c r="H28" s="204">
        <f t="shared" si="14"/>
        <v>13</v>
      </c>
      <c r="I28" s="204">
        <f t="shared" si="14"/>
        <v>6</v>
      </c>
      <c r="J28" s="204">
        <f t="shared" si="14"/>
        <v>7</v>
      </c>
      <c r="K28" s="204">
        <f t="shared" si="14"/>
        <v>11</v>
      </c>
      <c r="L28" s="204">
        <f t="shared" si="14"/>
        <v>9</v>
      </c>
      <c r="M28" s="204">
        <f t="shared" si="14"/>
        <v>8</v>
      </c>
      <c r="N28" s="204">
        <f t="shared" si="14"/>
        <v>10</v>
      </c>
      <c r="O28" s="204" t="str">
        <f t="shared" si="14"/>
        <v>#N/A</v>
      </c>
      <c r="P28" s="128" t="str">
        <f t="shared" si="14"/>
        <v>#N/A</v>
      </c>
      <c r="Q28" s="128" t="str">
        <f t="shared" si="14"/>
        <v>#N/A</v>
      </c>
      <c r="R28" s="128" t="str">
        <f t="shared" si="14"/>
        <v>#N/A</v>
      </c>
      <c r="S28" s="128" t="str">
        <f t="shared" si="14"/>
        <v>#N/A</v>
      </c>
      <c r="T28" s="128" t="str">
        <f t="shared" si="14"/>
        <v>#N/A</v>
      </c>
      <c r="U28" s="204" t="str">
        <f t="shared" si="14"/>
        <v>#N/A</v>
      </c>
      <c r="V28" s="204" t="str">
        <f t="shared" si="14"/>
        <v>#N/A</v>
      </c>
      <c r="W28" s="204" t="str">
        <f t="shared" si="14"/>
        <v>#N/A</v>
      </c>
      <c r="X28" s="204" t="str">
        <f t="shared" si="14"/>
        <v>#N/A</v>
      </c>
      <c r="Y28" s="204" t="str">
        <f t="shared" si="14"/>
        <v>#N/A</v>
      </c>
      <c r="Z28" s="204" t="str">
        <f t="shared" si="14"/>
        <v>#N/A</v>
      </c>
      <c r="AA28" s="204" t="str">
        <f t="shared" si="14"/>
        <v>#N/A</v>
      </c>
      <c r="AB28" s="204" t="str">
        <f t="shared" si="14"/>
        <v>#N/A</v>
      </c>
      <c r="AC28" s="204" t="str">
        <f t="shared" si="14"/>
        <v>#N/A</v>
      </c>
      <c r="AD28" s="204" t="str">
        <f t="shared" si="14"/>
        <v>#N/A</v>
      </c>
      <c r="AE28" s="204" t="str">
        <f t="shared" si="14"/>
        <v>#N/A</v>
      </c>
      <c r="AF28" s="204" t="str">
        <f t="shared" si="14"/>
        <v>#N/A</v>
      </c>
      <c r="AG28" s="204" t="str">
        <f t="shared" si="14"/>
        <v>#N/A</v>
      </c>
      <c r="AH28" s="204" t="str">
        <f t="shared" si="14"/>
        <v>#N/A</v>
      </c>
      <c r="AI28" s="204" t="str">
        <f t="shared" si="14"/>
        <v>#N/A</v>
      </c>
      <c r="AJ28" s="204" t="str">
        <f t="shared" si="14"/>
        <v>#N/A</v>
      </c>
      <c r="AK28" s="204" t="str">
        <f t="shared" si="14"/>
        <v>#N/A</v>
      </c>
      <c r="AL28" s="204" t="str">
        <f t="shared" si="14"/>
        <v>#N/A</v>
      </c>
      <c r="AM28" s="204" t="str">
        <f t="shared" si="14"/>
        <v>#N/A</v>
      </c>
      <c r="AN28" s="204" t="str">
        <f t="shared" si="14"/>
        <v>#N/A</v>
      </c>
    </row>
    <row r="29">
      <c r="A29" s="140" t="s">
        <v>259</v>
      </c>
      <c r="B29" s="128">
        <f t="shared" ref="B29:AN29" si="15">IF(ISERROR(B$16),$B$12+1,IF(NOT(ISERROR(B28)),B27,A29))</f>
        <v>1</v>
      </c>
      <c r="C29" s="128">
        <f t="shared" si="15"/>
        <v>2</v>
      </c>
      <c r="D29" s="128">
        <f t="shared" si="15"/>
        <v>3</v>
      </c>
      <c r="E29" s="204">
        <f t="shared" si="15"/>
        <v>4</v>
      </c>
      <c r="F29" s="204">
        <f t="shared" si="15"/>
        <v>5</v>
      </c>
      <c r="G29" s="204">
        <f t="shared" si="15"/>
        <v>6</v>
      </c>
      <c r="H29" s="204">
        <f t="shared" si="15"/>
        <v>7</v>
      </c>
      <c r="I29" s="204">
        <f t="shared" si="15"/>
        <v>8</v>
      </c>
      <c r="J29" s="204">
        <f t="shared" si="15"/>
        <v>9</v>
      </c>
      <c r="K29" s="204">
        <f t="shared" si="15"/>
        <v>10</v>
      </c>
      <c r="L29" s="204">
        <f t="shared" si="15"/>
        <v>11</v>
      </c>
      <c r="M29" s="204">
        <f t="shared" si="15"/>
        <v>12</v>
      </c>
      <c r="N29" s="204">
        <f t="shared" si="15"/>
        <v>13</v>
      </c>
      <c r="O29" s="204">
        <f t="shared" si="15"/>
        <v>13</v>
      </c>
      <c r="P29" s="128">
        <f t="shared" si="15"/>
        <v>13</v>
      </c>
      <c r="Q29" s="128">
        <f t="shared" si="15"/>
        <v>13</v>
      </c>
      <c r="R29" s="128">
        <f t="shared" si="15"/>
        <v>13</v>
      </c>
      <c r="S29" s="128">
        <f t="shared" si="15"/>
        <v>13</v>
      </c>
      <c r="T29" s="128">
        <f t="shared" si="15"/>
        <v>13</v>
      </c>
      <c r="U29" s="204">
        <f t="shared" si="15"/>
        <v>13</v>
      </c>
      <c r="V29" s="204">
        <f t="shared" si="15"/>
        <v>13</v>
      </c>
      <c r="W29" s="204">
        <f t="shared" si="15"/>
        <v>13</v>
      </c>
      <c r="X29" s="204">
        <f t="shared" si="15"/>
        <v>13</v>
      </c>
      <c r="Y29" s="204">
        <f t="shared" si="15"/>
        <v>13</v>
      </c>
      <c r="Z29" s="204">
        <f t="shared" si="15"/>
        <v>13</v>
      </c>
      <c r="AA29" s="204">
        <f t="shared" si="15"/>
        <v>13</v>
      </c>
      <c r="AB29" s="204">
        <f t="shared" si="15"/>
        <v>13</v>
      </c>
      <c r="AC29" s="204">
        <f t="shared" si="15"/>
        <v>13</v>
      </c>
      <c r="AD29" s="204">
        <f t="shared" si="15"/>
        <v>13</v>
      </c>
      <c r="AE29" s="204">
        <f t="shared" si="15"/>
        <v>13</v>
      </c>
      <c r="AF29" s="204">
        <f t="shared" si="15"/>
        <v>13</v>
      </c>
      <c r="AG29" s="204">
        <f t="shared" si="15"/>
        <v>13</v>
      </c>
      <c r="AH29" s="204">
        <f t="shared" si="15"/>
        <v>13</v>
      </c>
      <c r="AI29" s="204">
        <f t="shared" si="15"/>
        <v>13</v>
      </c>
      <c r="AJ29" s="204">
        <f t="shared" si="15"/>
        <v>13</v>
      </c>
      <c r="AK29" s="204">
        <f t="shared" si="15"/>
        <v>13</v>
      </c>
      <c r="AL29" s="204">
        <f t="shared" si="15"/>
        <v>13</v>
      </c>
      <c r="AM29" s="204">
        <f t="shared" si="15"/>
        <v>13</v>
      </c>
      <c r="AN29" s="204">
        <f t="shared" si="15"/>
        <v>13</v>
      </c>
    </row>
    <row r="30">
      <c r="A30" s="140" t="s">
        <v>260</v>
      </c>
      <c r="B30" s="644">
        <f t="shared" ref="B30:AN30" si="16">IF(NOT(ISERROR(B28)),B28,INDEX(OFFSET($B27,0,A30,1,COUNTA($B$7:$K$7)-A30),1,MATCH(B29,OFFSET($B21,0,A30,1,COUNTA($B$7:$K$7)-A30),0)))</f>
        <v>3</v>
      </c>
      <c r="C30" s="644">
        <f t="shared" si="16"/>
        <v>1</v>
      </c>
      <c r="D30" s="644">
        <f t="shared" si="16"/>
        <v>2</v>
      </c>
      <c r="E30" s="645">
        <f t="shared" si="16"/>
        <v>4</v>
      </c>
      <c r="F30" s="645">
        <f t="shared" si="16"/>
        <v>5</v>
      </c>
      <c r="G30" s="645">
        <f t="shared" si="16"/>
        <v>12</v>
      </c>
      <c r="H30" s="645">
        <f t="shared" si="16"/>
        <v>13</v>
      </c>
      <c r="I30" s="645">
        <f t="shared" si="16"/>
        <v>6</v>
      </c>
      <c r="J30" s="645">
        <f t="shared" si="16"/>
        <v>7</v>
      </c>
      <c r="K30" s="645">
        <f t="shared" si="16"/>
        <v>11</v>
      </c>
      <c r="L30" s="645">
        <f t="shared" si="16"/>
        <v>9</v>
      </c>
      <c r="M30" s="645">
        <f t="shared" si="16"/>
        <v>8</v>
      </c>
      <c r="N30" s="645">
        <f t="shared" si="16"/>
        <v>10</v>
      </c>
      <c r="O30" s="645" t="str">
        <f t="shared" si="16"/>
        <v>#VALUE!</v>
      </c>
      <c r="P30" s="644" t="str">
        <f t="shared" si="16"/>
        <v>#VALUE!</v>
      </c>
      <c r="Q30" s="644" t="str">
        <f t="shared" si="16"/>
        <v>#VALUE!</v>
      </c>
      <c r="R30" s="644" t="str">
        <f t="shared" si="16"/>
        <v>#VALUE!</v>
      </c>
      <c r="S30" s="644" t="str">
        <f t="shared" si="16"/>
        <v>#VALUE!</v>
      </c>
      <c r="T30" s="644" t="str">
        <f t="shared" si="16"/>
        <v>#VALUE!</v>
      </c>
      <c r="U30" s="645" t="str">
        <f t="shared" si="16"/>
        <v>#VALUE!</v>
      </c>
      <c r="V30" s="645" t="str">
        <f t="shared" si="16"/>
        <v>#VALUE!</v>
      </c>
      <c r="W30" s="645" t="str">
        <f t="shared" si="16"/>
        <v>#VALUE!</v>
      </c>
      <c r="X30" s="645" t="str">
        <f t="shared" si="16"/>
        <v>#VALUE!</v>
      </c>
      <c r="Y30" s="645" t="str">
        <f t="shared" si="16"/>
        <v>#VALUE!</v>
      </c>
      <c r="Z30" s="645" t="str">
        <f t="shared" si="16"/>
        <v>#VALUE!</v>
      </c>
      <c r="AA30" s="645" t="str">
        <f t="shared" si="16"/>
        <v>#VALUE!</v>
      </c>
      <c r="AB30" s="645" t="str">
        <f t="shared" si="16"/>
        <v>#VALUE!</v>
      </c>
      <c r="AC30" s="645" t="str">
        <f t="shared" si="16"/>
        <v>#VALUE!</v>
      </c>
      <c r="AD30" s="645" t="str">
        <f t="shared" si="16"/>
        <v>#VALUE!</v>
      </c>
      <c r="AE30" s="645" t="str">
        <f t="shared" si="16"/>
        <v>#VALUE!</v>
      </c>
      <c r="AF30" s="645" t="str">
        <f t="shared" si="16"/>
        <v>#VALUE!</v>
      </c>
      <c r="AG30" s="645" t="str">
        <f t="shared" si="16"/>
        <v>#VALUE!</v>
      </c>
      <c r="AH30" s="645" t="str">
        <f t="shared" si="16"/>
        <v>#VALUE!</v>
      </c>
      <c r="AI30" s="645" t="str">
        <f t="shared" si="16"/>
        <v>#VALUE!</v>
      </c>
      <c r="AJ30" s="645" t="str">
        <f t="shared" si="16"/>
        <v>#VALUE!</v>
      </c>
      <c r="AK30" s="645" t="str">
        <f t="shared" si="16"/>
        <v>#VALUE!</v>
      </c>
      <c r="AL30" s="645" t="str">
        <f t="shared" si="16"/>
        <v>#VALUE!</v>
      </c>
      <c r="AM30" s="645" t="str">
        <f t="shared" si="16"/>
        <v>#VALUE!</v>
      </c>
      <c r="AN30" s="645" t="str">
        <f t="shared" si="16"/>
        <v>#VALUE!</v>
      </c>
    </row>
    <row r="31">
      <c r="A31" s="140" t="s">
        <v>261</v>
      </c>
      <c r="B31" s="644">
        <f t="shared" ref="B31:AN31" si="17">INDEX($B$6:AN6,1,INDEX($B$15:AN15,1,B30))</f>
        <v>4</v>
      </c>
      <c r="C31" s="644">
        <f t="shared" si="17"/>
        <v>2</v>
      </c>
      <c r="D31" s="644">
        <f t="shared" si="17"/>
        <v>3</v>
      </c>
      <c r="E31" s="646">
        <f t="shared" si="17"/>
        <v>5</v>
      </c>
      <c r="F31" s="646">
        <f t="shared" si="17"/>
        <v>6</v>
      </c>
      <c r="G31" s="646">
        <f t="shared" si="17"/>
        <v>13</v>
      </c>
      <c r="H31" s="646">
        <f t="shared" si="17"/>
        <v>14</v>
      </c>
      <c r="I31" s="646">
        <f t="shared" si="17"/>
        <v>7</v>
      </c>
      <c r="J31" s="646">
        <f t="shared" si="17"/>
        <v>8</v>
      </c>
      <c r="K31" s="646">
        <f t="shared" si="17"/>
        <v>12</v>
      </c>
      <c r="L31" s="646">
        <f t="shared" si="17"/>
        <v>10</v>
      </c>
      <c r="M31" s="646">
        <f t="shared" si="17"/>
        <v>9</v>
      </c>
      <c r="N31" s="646">
        <f t="shared" si="17"/>
        <v>11</v>
      </c>
      <c r="O31" s="646" t="str">
        <f t="shared" si="17"/>
        <v>#VALUE!</v>
      </c>
      <c r="P31" s="644" t="str">
        <f t="shared" si="17"/>
        <v>#VALUE!</v>
      </c>
      <c r="Q31" s="644" t="str">
        <f t="shared" si="17"/>
        <v>#VALUE!</v>
      </c>
      <c r="R31" s="644" t="str">
        <f t="shared" si="17"/>
        <v>#VALUE!</v>
      </c>
      <c r="S31" s="644" t="str">
        <f t="shared" si="17"/>
        <v>#VALUE!</v>
      </c>
      <c r="T31" s="644" t="str">
        <f t="shared" si="17"/>
        <v>#VALUE!</v>
      </c>
      <c r="U31" s="646" t="str">
        <f t="shared" si="17"/>
        <v>#VALUE!</v>
      </c>
      <c r="V31" s="646" t="str">
        <f t="shared" si="17"/>
        <v>#VALUE!</v>
      </c>
      <c r="W31" s="646" t="str">
        <f t="shared" si="17"/>
        <v>#VALUE!</v>
      </c>
      <c r="X31" s="646" t="str">
        <f t="shared" si="17"/>
        <v>#VALUE!</v>
      </c>
      <c r="Y31" s="646" t="str">
        <f t="shared" si="17"/>
        <v>#VALUE!</v>
      </c>
      <c r="Z31" s="646" t="str">
        <f t="shared" si="17"/>
        <v>#VALUE!</v>
      </c>
      <c r="AA31" s="646" t="str">
        <f t="shared" si="17"/>
        <v>#VALUE!</v>
      </c>
      <c r="AB31" s="646" t="str">
        <f t="shared" si="17"/>
        <v>#VALUE!</v>
      </c>
      <c r="AC31" s="646" t="str">
        <f t="shared" si="17"/>
        <v>#VALUE!</v>
      </c>
      <c r="AD31" s="646" t="str">
        <f t="shared" si="17"/>
        <v>#VALUE!</v>
      </c>
      <c r="AE31" s="646" t="str">
        <f t="shared" si="17"/>
        <v>#VALUE!</v>
      </c>
      <c r="AF31" s="646" t="str">
        <f t="shared" si="17"/>
        <v>#VALUE!</v>
      </c>
      <c r="AG31" s="646" t="str">
        <f t="shared" si="17"/>
        <v>#VALUE!</v>
      </c>
      <c r="AH31" s="646" t="str">
        <f t="shared" si="17"/>
        <v>#VALUE!</v>
      </c>
      <c r="AI31" s="646" t="str">
        <f t="shared" si="17"/>
        <v>#VALUE!</v>
      </c>
      <c r="AJ31" s="646" t="str">
        <f t="shared" si="17"/>
        <v>#VALUE!</v>
      </c>
      <c r="AK31" s="646" t="str">
        <f t="shared" si="17"/>
        <v>#VALUE!</v>
      </c>
      <c r="AL31" s="646" t="str">
        <f t="shared" si="17"/>
        <v>#VALUE!</v>
      </c>
      <c r="AM31" s="646" t="str">
        <f t="shared" si="17"/>
        <v>#VALUE!</v>
      </c>
      <c r="AN31" s="646" t="str">
        <f t="shared" si="17"/>
        <v>#VALUE!</v>
      </c>
    </row>
    <row r="32">
      <c r="A32" s="140" t="s">
        <v>262</v>
      </c>
      <c r="B32" s="644">
        <f t="shared" ref="B32:AN32" si="18">INDEX($B$21:AN21,1,B30)</f>
        <v>1</v>
      </c>
      <c r="C32" s="644">
        <f t="shared" si="18"/>
        <v>2</v>
      </c>
      <c r="D32" s="644">
        <f t="shared" si="18"/>
        <v>3</v>
      </c>
      <c r="E32" s="647">
        <f t="shared" si="18"/>
        <v>4</v>
      </c>
      <c r="F32" s="647">
        <f t="shared" si="18"/>
        <v>5</v>
      </c>
      <c r="G32" s="647">
        <f t="shared" si="18"/>
        <v>6</v>
      </c>
      <c r="H32" s="647">
        <f t="shared" si="18"/>
        <v>7</v>
      </c>
      <c r="I32" s="647">
        <f t="shared" si="18"/>
        <v>8</v>
      </c>
      <c r="J32" s="647">
        <f t="shared" si="18"/>
        <v>9</v>
      </c>
      <c r="K32" s="647">
        <f t="shared" si="18"/>
        <v>10</v>
      </c>
      <c r="L32" s="647">
        <f t="shared" si="18"/>
        <v>11</v>
      </c>
      <c r="M32" s="647">
        <f t="shared" si="18"/>
        <v>12</v>
      </c>
      <c r="N32" s="647">
        <f t="shared" si="18"/>
        <v>13</v>
      </c>
      <c r="O32" s="647" t="str">
        <f t="shared" si="18"/>
        <v>#VALUE!</v>
      </c>
      <c r="P32" s="644" t="str">
        <f t="shared" si="18"/>
        <v>#VALUE!</v>
      </c>
      <c r="Q32" s="644" t="str">
        <f t="shared" si="18"/>
        <v>#VALUE!</v>
      </c>
      <c r="R32" s="644" t="str">
        <f t="shared" si="18"/>
        <v>#VALUE!</v>
      </c>
      <c r="S32" s="644" t="str">
        <f t="shared" si="18"/>
        <v>#VALUE!</v>
      </c>
      <c r="T32" s="644" t="str">
        <f t="shared" si="18"/>
        <v>#VALUE!</v>
      </c>
      <c r="U32" s="647" t="str">
        <f t="shared" si="18"/>
        <v>#VALUE!</v>
      </c>
      <c r="V32" s="647" t="str">
        <f t="shared" si="18"/>
        <v>#VALUE!</v>
      </c>
      <c r="W32" s="647" t="str">
        <f t="shared" si="18"/>
        <v>#VALUE!</v>
      </c>
      <c r="X32" s="647" t="str">
        <f t="shared" si="18"/>
        <v>#VALUE!</v>
      </c>
      <c r="Y32" s="647" t="str">
        <f t="shared" si="18"/>
        <v>#VALUE!</v>
      </c>
      <c r="Z32" s="647" t="str">
        <f t="shared" si="18"/>
        <v>#VALUE!</v>
      </c>
      <c r="AA32" s="647" t="str">
        <f t="shared" si="18"/>
        <v>#VALUE!</v>
      </c>
      <c r="AB32" s="647" t="str">
        <f t="shared" si="18"/>
        <v>#VALUE!</v>
      </c>
      <c r="AC32" s="647" t="str">
        <f t="shared" si="18"/>
        <v>#VALUE!</v>
      </c>
      <c r="AD32" s="647" t="str">
        <f t="shared" si="18"/>
        <v>#VALUE!</v>
      </c>
      <c r="AE32" s="647" t="str">
        <f t="shared" si="18"/>
        <v>#VALUE!</v>
      </c>
      <c r="AF32" s="647" t="str">
        <f t="shared" si="18"/>
        <v>#VALUE!</v>
      </c>
      <c r="AG32" s="647" t="str">
        <f t="shared" si="18"/>
        <v>#VALUE!</v>
      </c>
      <c r="AH32" s="647" t="str">
        <f t="shared" si="18"/>
        <v>#VALUE!</v>
      </c>
      <c r="AI32" s="647" t="str">
        <f t="shared" si="18"/>
        <v>#VALUE!</v>
      </c>
      <c r="AJ32" s="647" t="str">
        <f t="shared" si="18"/>
        <v>#VALUE!</v>
      </c>
      <c r="AK32" s="647" t="str">
        <f t="shared" si="18"/>
        <v>#VALUE!</v>
      </c>
      <c r="AL32" s="647" t="str">
        <f t="shared" si="18"/>
        <v>#VALUE!</v>
      </c>
      <c r="AM32" s="647" t="str">
        <f t="shared" si="18"/>
        <v>#VALUE!</v>
      </c>
      <c r="AN32" s="647" t="str">
        <f t="shared" si="18"/>
        <v>#VALUE!</v>
      </c>
    </row>
    <row r="33">
      <c r="A33" s="140" t="s">
        <v>263</v>
      </c>
      <c r="B33" s="644">
        <f t="shared" ref="B33:AN33" si="19">COUNTIF($B$32:$AN$32,B32)</f>
        <v>1</v>
      </c>
      <c r="C33" s="644">
        <f t="shared" si="19"/>
        <v>1</v>
      </c>
      <c r="D33" s="644">
        <f t="shared" si="19"/>
        <v>1</v>
      </c>
      <c r="E33" s="647">
        <f t="shared" si="19"/>
        <v>1</v>
      </c>
      <c r="F33" s="647">
        <f t="shared" si="19"/>
        <v>1</v>
      </c>
      <c r="G33" s="647">
        <f t="shared" si="19"/>
        <v>1</v>
      </c>
      <c r="H33" s="647">
        <f t="shared" si="19"/>
        <v>1</v>
      </c>
      <c r="I33" s="647">
        <f t="shared" si="19"/>
        <v>1</v>
      </c>
      <c r="J33" s="647">
        <f t="shared" si="19"/>
        <v>1</v>
      </c>
      <c r="K33" s="647">
        <f t="shared" si="19"/>
        <v>1</v>
      </c>
      <c r="L33" s="647">
        <f t="shared" si="19"/>
        <v>1</v>
      </c>
      <c r="M33" s="647">
        <f t="shared" si="19"/>
        <v>1</v>
      </c>
      <c r="N33" s="647">
        <f t="shared" si="19"/>
        <v>1</v>
      </c>
      <c r="O33" s="647">
        <f t="shared" si="19"/>
        <v>26</v>
      </c>
      <c r="P33" s="644">
        <f t="shared" si="19"/>
        <v>26</v>
      </c>
      <c r="Q33" s="644">
        <f t="shared" si="19"/>
        <v>26</v>
      </c>
      <c r="R33" s="644">
        <f t="shared" si="19"/>
        <v>26</v>
      </c>
      <c r="S33" s="644">
        <f t="shared" si="19"/>
        <v>26</v>
      </c>
      <c r="T33" s="644">
        <f t="shared" si="19"/>
        <v>26</v>
      </c>
      <c r="U33" s="647">
        <f t="shared" si="19"/>
        <v>26</v>
      </c>
      <c r="V33" s="647">
        <f t="shared" si="19"/>
        <v>26</v>
      </c>
      <c r="W33" s="647">
        <f t="shared" si="19"/>
        <v>26</v>
      </c>
      <c r="X33" s="647">
        <f t="shared" si="19"/>
        <v>26</v>
      </c>
      <c r="Y33" s="647">
        <f t="shared" si="19"/>
        <v>26</v>
      </c>
      <c r="Z33" s="647">
        <f t="shared" si="19"/>
        <v>26</v>
      </c>
      <c r="AA33" s="647">
        <f t="shared" si="19"/>
        <v>26</v>
      </c>
      <c r="AB33" s="647">
        <f t="shared" si="19"/>
        <v>26</v>
      </c>
      <c r="AC33" s="647">
        <f t="shared" si="19"/>
        <v>26</v>
      </c>
      <c r="AD33" s="647">
        <f t="shared" si="19"/>
        <v>26</v>
      </c>
      <c r="AE33" s="647">
        <f t="shared" si="19"/>
        <v>26</v>
      </c>
      <c r="AF33" s="647">
        <f t="shared" si="19"/>
        <v>26</v>
      </c>
      <c r="AG33" s="647">
        <f t="shared" si="19"/>
        <v>26</v>
      </c>
      <c r="AH33" s="647">
        <f t="shared" si="19"/>
        <v>26</v>
      </c>
      <c r="AI33" s="647">
        <f t="shared" si="19"/>
        <v>26</v>
      </c>
      <c r="AJ33" s="647">
        <f t="shared" si="19"/>
        <v>26</v>
      </c>
      <c r="AK33" s="647">
        <f t="shared" si="19"/>
        <v>26</v>
      </c>
      <c r="AL33" s="647">
        <f t="shared" si="19"/>
        <v>26</v>
      </c>
      <c r="AM33" s="647">
        <f t="shared" si="19"/>
        <v>26</v>
      </c>
      <c r="AN33" s="647">
        <f t="shared" si="19"/>
        <v>26</v>
      </c>
    </row>
    <row r="34">
      <c r="A34" s="140" t="s">
        <v>264</v>
      </c>
      <c r="B34" s="644">
        <f t="shared" ref="B34:AN34" si="20">IF(A32=B32,"dup",B32)</f>
        <v>1</v>
      </c>
      <c r="C34" s="644">
        <f t="shared" si="20"/>
        <v>2</v>
      </c>
      <c r="D34" s="644">
        <f t="shared" si="20"/>
        <v>3</v>
      </c>
      <c r="E34" s="647">
        <f t="shared" si="20"/>
        <v>4</v>
      </c>
      <c r="F34" s="647">
        <f t="shared" si="20"/>
        <v>5</v>
      </c>
      <c r="G34" s="647">
        <f t="shared" si="20"/>
        <v>6</v>
      </c>
      <c r="H34" s="647">
        <f t="shared" si="20"/>
        <v>7</v>
      </c>
      <c r="I34" s="647">
        <f t="shared" si="20"/>
        <v>8</v>
      </c>
      <c r="J34" s="647">
        <f t="shared" si="20"/>
        <v>9</v>
      </c>
      <c r="K34" s="647">
        <f t="shared" si="20"/>
        <v>10</v>
      </c>
      <c r="L34" s="647">
        <f t="shared" si="20"/>
        <v>11</v>
      </c>
      <c r="M34" s="647">
        <f t="shared" si="20"/>
        <v>12</v>
      </c>
      <c r="N34" s="647">
        <f t="shared" si="20"/>
        <v>13</v>
      </c>
      <c r="O34" s="647" t="str">
        <f t="shared" si="20"/>
        <v>#VALUE!</v>
      </c>
      <c r="P34" s="644" t="str">
        <f t="shared" si="20"/>
        <v>#VALUE!</v>
      </c>
      <c r="Q34" s="644" t="str">
        <f t="shared" si="20"/>
        <v>#VALUE!</v>
      </c>
      <c r="R34" s="644" t="str">
        <f t="shared" si="20"/>
        <v>#VALUE!</v>
      </c>
      <c r="S34" s="644" t="str">
        <f t="shared" si="20"/>
        <v>#VALUE!</v>
      </c>
      <c r="T34" s="644" t="str">
        <f t="shared" si="20"/>
        <v>#VALUE!</v>
      </c>
      <c r="U34" s="647" t="str">
        <f t="shared" si="20"/>
        <v>#VALUE!</v>
      </c>
      <c r="V34" s="647" t="str">
        <f t="shared" si="20"/>
        <v>#VALUE!</v>
      </c>
      <c r="W34" s="647" t="str">
        <f t="shared" si="20"/>
        <v>#VALUE!</v>
      </c>
      <c r="X34" s="647" t="str">
        <f t="shared" si="20"/>
        <v>#VALUE!</v>
      </c>
      <c r="Y34" s="647" t="str">
        <f t="shared" si="20"/>
        <v>#VALUE!</v>
      </c>
      <c r="Z34" s="647" t="str">
        <f t="shared" si="20"/>
        <v>#VALUE!</v>
      </c>
      <c r="AA34" s="647" t="str">
        <f t="shared" si="20"/>
        <v>#VALUE!</v>
      </c>
      <c r="AB34" s="647" t="str">
        <f t="shared" si="20"/>
        <v>#VALUE!</v>
      </c>
      <c r="AC34" s="647" t="str">
        <f t="shared" si="20"/>
        <v>#VALUE!</v>
      </c>
      <c r="AD34" s="647" t="str">
        <f t="shared" si="20"/>
        <v>#VALUE!</v>
      </c>
      <c r="AE34" s="647" t="str">
        <f t="shared" si="20"/>
        <v>#VALUE!</v>
      </c>
      <c r="AF34" s="647" t="str">
        <f t="shared" si="20"/>
        <v>#VALUE!</v>
      </c>
      <c r="AG34" s="647" t="str">
        <f t="shared" si="20"/>
        <v>#VALUE!</v>
      </c>
      <c r="AH34" s="647" t="str">
        <f t="shared" si="20"/>
        <v>#VALUE!</v>
      </c>
      <c r="AI34" s="647" t="str">
        <f t="shared" si="20"/>
        <v>#VALUE!</v>
      </c>
      <c r="AJ34" s="647" t="str">
        <f t="shared" si="20"/>
        <v>#VALUE!</v>
      </c>
      <c r="AK34" s="647" t="str">
        <f t="shared" si="20"/>
        <v>#VALUE!</v>
      </c>
      <c r="AL34" s="647" t="str">
        <f t="shared" si="20"/>
        <v>#VALUE!</v>
      </c>
      <c r="AM34" s="647" t="str">
        <f t="shared" si="20"/>
        <v>#VALUE!</v>
      </c>
      <c r="AN34" s="647" t="str">
        <f t="shared" si="20"/>
        <v>#VALUE!</v>
      </c>
    </row>
    <row r="35">
      <c r="A35" s="140" t="s">
        <v>265</v>
      </c>
      <c r="B35" s="644">
        <f t="shared" ref="B35:AN35" si="21">IF(B34&lt;&gt;"dup",0,A35-1)</f>
        <v>0</v>
      </c>
      <c r="C35" s="644">
        <f t="shared" si="21"/>
        <v>0</v>
      </c>
      <c r="D35" s="644">
        <f t="shared" si="21"/>
        <v>0</v>
      </c>
      <c r="E35" s="647">
        <f t="shared" si="21"/>
        <v>0</v>
      </c>
      <c r="F35" s="647">
        <f t="shared" si="21"/>
        <v>0</v>
      </c>
      <c r="G35" s="647">
        <f t="shared" si="21"/>
        <v>0</v>
      </c>
      <c r="H35" s="647">
        <f t="shared" si="21"/>
        <v>0</v>
      </c>
      <c r="I35" s="647">
        <f t="shared" si="21"/>
        <v>0</v>
      </c>
      <c r="J35" s="647">
        <f t="shared" si="21"/>
        <v>0</v>
      </c>
      <c r="K35" s="647">
        <f t="shared" si="21"/>
        <v>0</v>
      </c>
      <c r="L35" s="647">
        <f t="shared" si="21"/>
        <v>0</v>
      </c>
      <c r="M35" s="647">
        <f t="shared" si="21"/>
        <v>0</v>
      </c>
      <c r="N35" s="647">
        <f t="shared" si="21"/>
        <v>0</v>
      </c>
      <c r="O35" s="647" t="str">
        <f t="shared" si="21"/>
        <v>#VALUE!</v>
      </c>
      <c r="P35" s="644" t="str">
        <f t="shared" si="21"/>
        <v>#VALUE!</v>
      </c>
      <c r="Q35" s="644" t="str">
        <f t="shared" si="21"/>
        <v>#VALUE!</v>
      </c>
      <c r="R35" s="644" t="str">
        <f t="shared" si="21"/>
        <v>#VALUE!</v>
      </c>
      <c r="S35" s="644" t="str">
        <f t="shared" si="21"/>
        <v>#VALUE!</v>
      </c>
      <c r="T35" s="644" t="str">
        <f t="shared" si="21"/>
        <v>#VALUE!</v>
      </c>
      <c r="U35" s="647" t="str">
        <f t="shared" si="21"/>
        <v>#VALUE!</v>
      </c>
      <c r="V35" s="647" t="str">
        <f t="shared" si="21"/>
        <v>#VALUE!</v>
      </c>
      <c r="W35" s="647" t="str">
        <f t="shared" si="21"/>
        <v>#VALUE!</v>
      </c>
      <c r="X35" s="647" t="str">
        <f t="shared" si="21"/>
        <v>#VALUE!</v>
      </c>
      <c r="Y35" s="647" t="str">
        <f t="shared" si="21"/>
        <v>#VALUE!</v>
      </c>
      <c r="Z35" s="647" t="str">
        <f t="shared" si="21"/>
        <v>#VALUE!</v>
      </c>
      <c r="AA35" s="647" t="str">
        <f t="shared" si="21"/>
        <v>#VALUE!</v>
      </c>
      <c r="AB35" s="647" t="str">
        <f t="shared" si="21"/>
        <v>#VALUE!</v>
      </c>
      <c r="AC35" s="647" t="str">
        <f t="shared" si="21"/>
        <v>#VALUE!</v>
      </c>
      <c r="AD35" s="647" t="str">
        <f t="shared" si="21"/>
        <v>#VALUE!</v>
      </c>
      <c r="AE35" s="647" t="str">
        <f t="shared" si="21"/>
        <v>#VALUE!</v>
      </c>
      <c r="AF35" s="647" t="str">
        <f t="shared" si="21"/>
        <v>#VALUE!</v>
      </c>
      <c r="AG35" s="647" t="str">
        <f t="shared" si="21"/>
        <v>#VALUE!</v>
      </c>
      <c r="AH35" s="647" t="str">
        <f t="shared" si="21"/>
        <v>#VALUE!</v>
      </c>
      <c r="AI35" s="647" t="str">
        <f t="shared" si="21"/>
        <v>#VALUE!</v>
      </c>
      <c r="AJ35" s="647" t="str">
        <f t="shared" si="21"/>
        <v>#VALUE!</v>
      </c>
      <c r="AK35" s="647" t="str">
        <f t="shared" si="21"/>
        <v>#VALUE!</v>
      </c>
      <c r="AL35" s="647" t="str">
        <f t="shared" si="21"/>
        <v>#VALUE!</v>
      </c>
      <c r="AM35" s="647" t="str">
        <f t="shared" si="21"/>
        <v>#VALUE!</v>
      </c>
      <c r="AN35" s="647" t="str">
        <f t="shared" si="21"/>
        <v>#VALUE!</v>
      </c>
    </row>
    <row r="36">
      <c r="A36" s="140" t="s">
        <v>249</v>
      </c>
      <c r="B36" s="648">
        <f t="shared" ref="B36:AN36" si="22">INDEX($B$9:AN9,1,B30)</f>
        <v>0</v>
      </c>
      <c r="C36" s="648">
        <f t="shared" si="22"/>
        <v>0</v>
      </c>
      <c r="D36" s="648">
        <f t="shared" si="22"/>
        <v>0</v>
      </c>
      <c r="E36" s="649">
        <f t="shared" si="22"/>
        <v>0</v>
      </c>
      <c r="F36" s="649">
        <f t="shared" si="22"/>
        <v>0</v>
      </c>
      <c r="G36" s="649">
        <f t="shared" si="22"/>
        <v>0.18</v>
      </c>
      <c r="H36" s="649">
        <f t="shared" si="22"/>
        <v>0.2981</v>
      </c>
      <c r="I36" s="649">
        <f t="shared" si="22"/>
        <v>0</v>
      </c>
      <c r="J36" s="649">
        <f t="shared" si="22"/>
        <v>0.3174</v>
      </c>
      <c r="K36" s="649">
        <f t="shared" si="22"/>
        <v>0.0375</v>
      </c>
      <c r="L36" s="649">
        <f t="shared" si="22"/>
        <v>0.0928</v>
      </c>
      <c r="M36" s="649">
        <f t="shared" si="22"/>
        <v>0.2974</v>
      </c>
      <c r="N36" s="649">
        <f t="shared" si="22"/>
        <v>0.11</v>
      </c>
      <c r="O36" s="649" t="str">
        <f t="shared" si="22"/>
        <v>#VALUE!</v>
      </c>
      <c r="P36" s="648" t="str">
        <f t="shared" si="22"/>
        <v>#VALUE!</v>
      </c>
      <c r="Q36" s="648" t="str">
        <f t="shared" si="22"/>
        <v>#VALUE!</v>
      </c>
      <c r="R36" s="648" t="str">
        <f t="shared" si="22"/>
        <v>#VALUE!</v>
      </c>
      <c r="S36" s="648" t="str">
        <f t="shared" si="22"/>
        <v>#VALUE!</v>
      </c>
      <c r="T36" s="648" t="str">
        <f t="shared" si="22"/>
        <v>#VALUE!</v>
      </c>
      <c r="U36" s="649" t="str">
        <f t="shared" si="22"/>
        <v>#VALUE!</v>
      </c>
      <c r="V36" s="649" t="str">
        <f t="shared" si="22"/>
        <v>#VALUE!</v>
      </c>
      <c r="W36" s="649" t="str">
        <f t="shared" si="22"/>
        <v>#VALUE!</v>
      </c>
      <c r="X36" s="649" t="str">
        <f t="shared" si="22"/>
        <v>#VALUE!</v>
      </c>
      <c r="Y36" s="649" t="str">
        <f t="shared" si="22"/>
        <v>#VALUE!</v>
      </c>
      <c r="Z36" s="649" t="str">
        <f t="shared" si="22"/>
        <v>#VALUE!</v>
      </c>
      <c r="AA36" s="649" t="str">
        <f t="shared" si="22"/>
        <v>#VALUE!</v>
      </c>
      <c r="AB36" s="649" t="str">
        <f t="shared" si="22"/>
        <v>#VALUE!</v>
      </c>
      <c r="AC36" s="649" t="str">
        <f t="shared" si="22"/>
        <v>#VALUE!</v>
      </c>
      <c r="AD36" s="649" t="str">
        <f t="shared" si="22"/>
        <v>#VALUE!</v>
      </c>
      <c r="AE36" s="649" t="str">
        <f t="shared" si="22"/>
        <v>#VALUE!</v>
      </c>
      <c r="AF36" s="649" t="str">
        <f t="shared" si="22"/>
        <v>#VALUE!</v>
      </c>
      <c r="AG36" s="649" t="str">
        <f t="shared" si="22"/>
        <v>#VALUE!</v>
      </c>
      <c r="AH36" s="649" t="str">
        <f t="shared" si="22"/>
        <v>#VALUE!</v>
      </c>
      <c r="AI36" s="649" t="str">
        <f t="shared" si="22"/>
        <v>#VALUE!</v>
      </c>
      <c r="AJ36" s="649" t="str">
        <f t="shared" si="22"/>
        <v>#VALUE!</v>
      </c>
      <c r="AK36" s="649" t="str">
        <f t="shared" si="22"/>
        <v>#VALUE!</v>
      </c>
      <c r="AL36" s="649" t="str">
        <f t="shared" si="22"/>
        <v>#VALUE!</v>
      </c>
      <c r="AM36" s="649" t="str">
        <f t="shared" si="22"/>
        <v>#VALUE!</v>
      </c>
      <c r="AN36" s="649" t="str">
        <f t="shared" si="22"/>
        <v>#VALUE!</v>
      </c>
    </row>
    <row r="37">
      <c r="A37" s="140" t="s">
        <v>266</v>
      </c>
      <c r="B37" s="644">
        <f t="shared" ref="B37:AN37" si="23">IF(B33=1,1,RANK(B36,OFFSET(OFFSET(B36,0,B35,1,1),0,0,1,B33)))</f>
        <v>1</v>
      </c>
      <c r="C37" s="644">
        <f t="shared" si="23"/>
        <v>1</v>
      </c>
      <c r="D37" s="644">
        <f t="shared" si="23"/>
        <v>1</v>
      </c>
      <c r="E37" s="647">
        <f t="shared" si="23"/>
        <v>1</v>
      </c>
      <c r="F37" s="647">
        <f t="shared" si="23"/>
        <v>1</v>
      </c>
      <c r="G37" s="647">
        <f t="shared" si="23"/>
        <v>1</v>
      </c>
      <c r="H37" s="647">
        <f t="shared" si="23"/>
        <v>1</v>
      </c>
      <c r="I37" s="647">
        <f t="shared" si="23"/>
        <v>1</v>
      </c>
      <c r="J37" s="647">
        <f t="shared" si="23"/>
        <v>1</v>
      </c>
      <c r="K37" s="647">
        <f t="shared" si="23"/>
        <v>1</v>
      </c>
      <c r="L37" s="647">
        <f t="shared" si="23"/>
        <v>1</v>
      </c>
      <c r="M37" s="647">
        <f t="shared" si="23"/>
        <v>1</v>
      </c>
      <c r="N37" s="647">
        <f t="shared" si="23"/>
        <v>1</v>
      </c>
      <c r="O37" s="647" t="str">
        <f t="shared" si="23"/>
        <v>#VALUE!</v>
      </c>
      <c r="P37" s="644" t="str">
        <f t="shared" si="23"/>
        <v>#VALUE!</v>
      </c>
      <c r="Q37" s="644" t="str">
        <f t="shared" si="23"/>
        <v>#VALUE!</v>
      </c>
      <c r="R37" s="644" t="str">
        <f t="shared" si="23"/>
        <v>#VALUE!</v>
      </c>
      <c r="S37" s="644" t="str">
        <f t="shared" si="23"/>
        <v>#VALUE!</v>
      </c>
      <c r="T37" s="644" t="str">
        <f t="shared" si="23"/>
        <v>#VALUE!</v>
      </c>
      <c r="U37" s="647" t="str">
        <f t="shared" si="23"/>
        <v>#VALUE!</v>
      </c>
      <c r="V37" s="647" t="str">
        <f t="shared" si="23"/>
        <v>#VALUE!</v>
      </c>
      <c r="W37" s="647" t="str">
        <f t="shared" si="23"/>
        <v>#VALUE!</v>
      </c>
      <c r="X37" s="647" t="str">
        <f t="shared" si="23"/>
        <v>#VALUE!</v>
      </c>
      <c r="Y37" s="647" t="str">
        <f t="shared" si="23"/>
        <v>#VALUE!</v>
      </c>
      <c r="Z37" s="647" t="str">
        <f t="shared" si="23"/>
        <v>#VALUE!</v>
      </c>
      <c r="AA37" s="647" t="str">
        <f t="shared" si="23"/>
        <v>#VALUE!</v>
      </c>
      <c r="AB37" s="647" t="str">
        <f t="shared" si="23"/>
        <v>#VALUE!</v>
      </c>
      <c r="AC37" s="647" t="str">
        <f t="shared" si="23"/>
        <v>#VALUE!</v>
      </c>
      <c r="AD37" s="647" t="str">
        <f t="shared" si="23"/>
        <v>#VALUE!</v>
      </c>
      <c r="AE37" s="647" t="str">
        <f t="shared" si="23"/>
        <v>#VALUE!</v>
      </c>
      <c r="AF37" s="647" t="str">
        <f t="shared" si="23"/>
        <v>#VALUE!</v>
      </c>
      <c r="AG37" s="647" t="str">
        <f t="shared" si="23"/>
        <v>#VALUE!</v>
      </c>
      <c r="AH37" s="647" t="str">
        <f t="shared" si="23"/>
        <v>#VALUE!</v>
      </c>
      <c r="AI37" s="647" t="str">
        <f t="shared" si="23"/>
        <v>#VALUE!</v>
      </c>
      <c r="AJ37" s="647" t="str">
        <f t="shared" si="23"/>
        <v>#VALUE!</v>
      </c>
      <c r="AK37" s="647" t="str">
        <f t="shared" si="23"/>
        <v>#VALUE!</v>
      </c>
      <c r="AL37" s="647" t="str">
        <f t="shared" si="23"/>
        <v>#VALUE!</v>
      </c>
      <c r="AM37" s="647" t="str">
        <f t="shared" si="23"/>
        <v>#VALUE!</v>
      </c>
      <c r="AN37" s="647" t="str">
        <f t="shared" si="23"/>
        <v>#VALUE!</v>
      </c>
    </row>
    <row r="38">
      <c r="A38" s="140" t="s">
        <v>267</v>
      </c>
      <c r="B38" s="644">
        <f t="shared" ref="B38:AN38" si="24">IF(B34&lt;&gt;"dup",MATCH(1,OFFSET(OFFSET(B37,0,B35,1,1),0,0,1,B33),0))</f>
        <v>1</v>
      </c>
      <c r="C38" s="644">
        <f t="shared" si="24"/>
        <v>1</v>
      </c>
      <c r="D38" s="644">
        <f t="shared" si="24"/>
        <v>1</v>
      </c>
      <c r="E38" s="647">
        <f t="shared" si="24"/>
        <v>1</v>
      </c>
      <c r="F38" s="647">
        <f t="shared" si="24"/>
        <v>1</v>
      </c>
      <c r="G38" s="647">
        <f t="shared" si="24"/>
        <v>1</v>
      </c>
      <c r="H38" s="647">
        <f t="shared" si="24"/>
        <v>1</v>
      </c>
      <c r="I38" s="647">
        <f t="shared" si="24"/>
        <v>1</v>
      </c>
      <c r="J38" s="647">
        <f t="shared" si="24"/>
        <v>1</v>
      </c>
      <c r="K38" s="647">
        <f t="shared" si="24"/>
        <v>1</v>
      </c>
      <c r="L38" s="647">
        <f t="shared" si="24"/>
        <v>1</v>
      </c>
      <c r="M38" s="647">
        <f t="shared" si="24"/>
        <v>1</v>
      </c>
      <c r="N38" s="647">
        <f t="shared" si="24"/>
        <v>1</v>
      </c>
      <c r="O38" s="647" t="str">
        <f t="shared" si="24"/>
        <v>#VALUE!</v>
      </c>
      <c r="P38" s="644" t="str">
        <f t="shared" si="24"/>
        <v>#VALUE!</v>
      </c>
      <c r="Q38" s="644" t="str">
        <f t="shared" si="24"/>
        <v>#VALUE!</v>
      </c>
      <c r="R38" s="644" t="str">
        <f t="shared" si="24"/>
        <v>#VALUE!</v>
      </c>
      <c r="S38" s="644" t="str">
        <f t="shared" si="24"/>
        <v>#VALUE!</v>
      </c>
      <c r="T38" s="644" t="str">
        <f t="shared" si="24"/>
        <v>#VALUE!</v>
      </c>
      <c r="U38" s="647" t="str">
        <f t="shared" si="24"/>
        <v>#VALUE!</v>
      </c>
      <c r="V38" s="647" t="str">
        <f t="shared" si="24"/>
        <v>#VALUE!</v>
      </c>
      <c r="W38" s="647" t="str">
        <f t="shared" si="24"/>
        <v>#VALUE!</v>
      </c>
      <c r="X38" s="647" t="str">
        <f t="shared" si="24"/>
        <v>#VALUE!</v>
      </c>
      <c r="Y38" s="647" t="str">
        <f t="shared" si="24"/>
        <v>#VALUE!</v>
      </c>
      <c r="Z38" s="647" t="str">
        <f t="shared" si="24"/>
        <v>#VALUE!</v>
      </c>
      <c r="AA38" s="647" t="str">
        <f t="shared" si="24"/>
        <v>#VALUE!</v>
      </c>
      <c r="AB38" s="647" t="str">
        <f t="shared" si="24"/>
        <v>#VALUE!</v>
      </c>
      <c r="AC38" s="647" t="str">
        <f t="shared" si="24"/>
        <v>#VALUE!</v>
      </c>
      <c r="AD38" s="647" t="str">
        <f t="shared" si="24"/>
        <v>#VALUE!</v>
      </c>
      <c r="AE38" s="647" t="str">
        <f t="shared" si="24"/>
        <v>#VALUE!</v>
      </c>
      <c r="AF38" s="647" t="str">
        <f t="shared" si="24"/>
        <v>#VALUE!</v>
      </c>
      <c r="AG38" s="647" t="str">
        <f t="shared" si="24"/>
        <v>#VALUE!</v>
      </c>
      <c r="AH38" s="647" t="str">
        <f t="shared" si="24"/>
        <v>#VALUE!</v>
      </c>
      <c r="AI38" s="647" t="str">
        <f t="shared" si="24"/>
        <v>#VALUE!</v>
      </c>
      <c r="AJ38" s="647" t="str">
        <f t="shared" si="24"/>
        <v>#VALUE!</v>
      </c>
      <c r="AK38" s="647" t="str">
        <f t="shared" si="24"/>
        <v>#VALUE!</v>
      </c>
      <c r="AL38" s="647" t="str">
        <f t="shared" si="24"/>
        <v>#VALUE!</v>
      </c>
      <c r="AM38" s="647" t="str">
        <f t="shared" si="24"/>
        <v>#VALUE!</v>
      </c>
      <c r="AN38" s="647" t="str">
        <f t="shared" si="24"/>
        <v>#VALUE!</v>
      </c>
    </row>
    <row r="39">
      <c r="A39" s="126"/>
      <c r="B39" s="126"/>
      <c r="C39" s="126"/>
      <c r="D39" s="126"/>
      <c r="E39" s="124"/>
      <c r="F39" s="124"/>
      <c r="G39" s="124"/>
      <c r="H39" s="124"/>
      <c r="I39" s="124"/>
      <c r="J39" s="124"/>
      <c r="K39" s="124"/>
      <c r="L39" s="124"/>
      <c r="M39" s="124"/>
      <c r="N39" s="124"/>
      <c r="O39" s="124"/>
      <c r="P39" s="126"/>
      <c r="Q39" s="126"/>
      <c r="R39" s="126"/>
      <c r="S39" s="126"/>
      <c r="T39" s="126"/>
      <c r="U39" s="124"/>
      <c r="V39" s="124"/>
      <c r="W39" s="124"/>
      <c r="X39" s="124"/>
      <c r="Y39" s="124"/>
      <c r="Z39" s="124"/>
      <c r="AA39" s="124"/>
      <c r="AB39" s="124"/>
      <c r="AC39" s="124"/>
      <c r="AD39" s="124"/>
      <c r="AE39" s="124"/>
      <c r="AF39" s="124"/>
      <c r="AG39" s="124"/>
      <c r="AH39" s="124"/>
      <c r="AI39" s="124"/>
      <c r="AJ39" s="124"/>
      <c r="AK39" s="124"/>
      <c r="AL39" s="124"/>
      <c r="AM39" s="124"/>
      <c r="AN39" s="124"/>
    </row>
    <row r="40">
      <c r="A40" s="126"/>
      <c r="B40" s="126"/>
      <c r="C40" s="126"/>
      <c r="D40" s="126"/>
      <c r="E40" s="124"/>
      <c r="F40" s="124"/>
      <c r="G40" s="124"/>
      <c r="H40" s="124"/>
      <c r="I40" s="124"/>
      <c r="J40" s="124"/>
      <c r="K40" s="124"/>
      <c r="L40" s="124"/>
      <c r="M40" s="124"/>
      <c r="N40" s="124"/>
      <c r="O40" s="124"/>
      <c r="P40" s="126"/>
      <c r="Q40" s="126"/>
      <c r="R40" s="126"/>
      <c r="S40" s="126"/>
      <c r="T40" s="126"/>
      <c r="U40" s="124"/>
      <c r="V40" s="124"/>
      <c r="W40" s="124"/>
      <c r="X40" s="124"/>
      <c r="Y40" s="124"/>
      <c r="Z40" s="124"/>
      <c r="AA40" s="124"/>
      <c r="AB40" s="124"/>
      <c r="AC40" s="124"/>
      <c r="AD40" s="124"/>
      <c r="AE40" s="124"/>
      <c r="AF40" s="124"/>
      <c r="AG40" s="124"/>
      <c r="AH40" s="124"/>
      <c r="AI40" s="124"/>
      <c r="AJ40" s="124"/>
      <c r="AK40" s="124"/>
      <c r="AL40" s="124"/>
      <c r="AM40" s="124"/>
      <c r="AN40" s="124"/>
    </row>
    <row r="41">
      <c r="A41" s="620" t="s">
        <v>268</v>
      </c>
      <c r="B41" s="126"/>
      <c r="C41" s="126"/>
      <c r="D41" s="126"/>
      <c r="E41" s="124"/>
      <c r="F41" s="124"/>
      <c r="G41" s="124"/>
      <c r="H41" s="124"/>
      <c r="I41" s="124"/>
      <c r="J41" s="124"/>
      <c r="K41" s="124"/>
      <c r="L41" s="124"/>
      <c r="M41" s="124"/>
      <c r="N41" s="124"/>
      <c r="O41" s="124"/>
      <c r="P41" s="126"/>
      <c r="Q41" s="126"/>
      <c r="R41" s="126"/>
      <c r="S41" s="126"/>
      <c r="T41" s="126"/>
      <c r="U41" s="124"/>
      <c r="V41" s="124"/>
      <c r="W41" s="124"/>
      <c r="X41" s="124"/>
      <c r="Y41" s="124"/>
      <c r="Z41" s="124"/>
      <c r="AA41" s="124"/>
      <c r="AB41" s="124"/>
      <c r="AC41" s="124"/>
      <c r="AD41" s="124"/>
      <c r="AE41" s="124"/>
      <c r="AF41" s="124"/>
      <c r="AG41" s="124"/>
      <c r="AH41" s="124"/>
      <c r="AI41" s="124"/>
      <c r="AJ41" s="124"/>
      <c r="AK41" s="124"/>
      <c r="AL41" s="124"/>
      <c r="AM41" s="124"/>
      <c r="AN41" s="124"/>
    </row>
    <row r="42">
      <c r="A42" s="140" t="s">
        <v>258</v>
      </c>
      <c r="B42" s="621">
        <v>1.0</v>
      </c>
      <c r="C42" s="128">
        <f t="shared" ref="C42:AN42" si="25">B42+1</f>
        <v>2</v>
      </c>
      <c r="D42" s="128">
        <f t="shared" si="25"/>
        <v>3</v>
      </c>
      <c r="E42" s="204">
        <f t="shared" si="25"/>
        <v>4</v>
      </c>
      <c r="F42" s="204">
        <f t="shared" si="25"/>
        <v>5</v>
      </c>
      <c r="G42" s="204">
        <f t="shared" si="25"/>
        <v>6</v>
      </c>
      <c r="H42" s="204">
        <f t="shared" si="25"/>
        <v>7</v>
      </c>
      <c r="I42" s="204">
        <f t="shared" si="25"/>
        <v>8</v>
      </c>
      <c r="J42" s="204">
        <f t="shared" si="25"/>
        <v>9</v>
      </c>
      <c r="K42" s="204">
        <f t="shared" si="25"/>
        <v>10</v>
      </c>
      <c r="L42" s="204">
        <f t="shared" si="25"/>
        <v>11</v>
      </c>
      <c r="M42" s="204">
        <f t="shared" si="25"/>
        <v>12</v>
      </c>
      <c r="N42" s="204">
        <f t="shared" si="25"/>
        <v>13</v>
      </c>
      <c r="O42" s="204">
        <f t="shared" si="25"/>
        <v>14</v>
      </c>
      <c r="P42" s="128">
        <f t="shared" si="25"/>
        <v>15</v>
      </c>
      <c r="Q42" s="128">
        <f t="shared" si="25"/>
        <v>16</v>
      </c>
      <c r="R42" s="128">
        <f t="shared" si="25"/>
        <v>17</v>
      </c>
      <c r="S42" s="128">
        <f t="shared" si="25"/>
        <v>18</v>
      </c>
      <c r="T42" s="128">
        <f t="shared" si="25"/>
        <v>19</v>
      </c>
      <c r="U42" s="204">
        <f t="shared" si="25"/>
        <v>20</v>
      </c>
      <c r="V42" s="204">
        <f t="shared" si="25"/>
        <v>21</v>
      </c>
      <c r="W42" s="204">
        <f t="shared" si="25"/>
        <v>22</v>
      </c>
      <c r="X42" s="204">
        <f t="shared" si="25"/>
        <v>23</v>
      </c>
      <c r="Y42" s="204">
        <f t="shared" si="25"/>
        <v>24</v>
      </c>
      <c r="Z42" s="204">
        <f t="shared" si="25"/>
        <v>25</v>
      </c>
      <c r="AA42" s="204">
        <f t="shared" si="25"/>
        <v>26</v>
      </c>
      <c r="AB42" s="204">
        <f t="shared" si="25"/>
        <v>27</v>
      </c>
      <c r="AC42" s="204">
        <f t="shared" si="25"/>
        <v>28</v>
      </c>
      <c r="AD42" s="204">
        <f t="shared" si="25"/>
        <v>29</v>
      </c>
      <c r="AE42" s="204">
        <f t="shared" si="25"/>
        <v>30</v>
      </c>
      <c r="AF42" s="204">
        <f t="shared" si="25"/>
        <v>31</v>
      </c>
      <c r="AG42" s="204">
        <f t="shared" si="25"/>
        <v>32</v>
      </c>
      <c r="AH42" s="204">
        <f t="shared" si="25"/>
        <v>33</v>
      </c>
      <c r="AI42" s="204">
        <f t="shared" si="25"/>
        <v>34</v>
      </c>
      <c r="AJ42" s="204">
        <f t="shared" si="25"/>
        <v>35</v>
      </c>
      <c r="AK42" s="204">
        <f t="shared" si="25"/>
        <v>36</v>
      </c>
      <c r="AL42" s="204">
        <f t="shared" si="25"/>
        <v>37</v>
      </c>
      <c r="AM42" s="204">
        <f t="shared" si="25"/>
        <v>38</v>
      </c>
      <c r="AN42" s="204">
        <f t="shared" si="25"/>
        <v>39</v>
      </c>
    </row>
    <row r="43">
      <c r="A43" s="140" t="s">
        <v>269</v>
      </c>
      <c r="B43" s="128">
        <f t="shared" ref="B43:AN43" si="26">MATCH(B42,$B$22:AN22,0)</f>
        <v>6</v>
      </c>
      <c r="C43" s="128">
        <f t="shared" si="26"/>
        <v>13</v>
      </c>
      <c r="D43" s="128">
        <f t="shared" si="26"/>
        <v>12</v>
      </c>
      <c r="E43" s="204">
        <f t="shared" si="26"/>
        <v>7</v>
      </c>
      <c r="F43" s="204">
        <f t="shared" si="26"/>
        <v>11</v>
      </c>
      <c r="G43" s="204">
        <f t="shared" si="26"/>
        <v>9</v>
      </c>
      <c r="H43" s="204">
        <f t="shared" si="26"/>
        <v>8</v>
      </c>
      <c r="I43" s="204">
        <f t="shared" si="26"/>
        <v>10</v>
      </c>
      <c r="J43" s="204">
        <f t="shared" si="26"/>
        <v>1</v>
      </c>
      <c r="K43" s="204" t="str">
        <f t="shared" si="26"/>
        <v>#N/A</v>
      </c>
      <c r="L43" s="204" t="str">
        <f t="shared" si="26"/>
        <v>#N/A</v>
      </c>
      <c r="M43" s="204" t="str">
        <f t="shared" si="26"/>
        <v>#N/A</v>
      </c>
      <c r="N43" s="204" t="str">
        <f t="shared" si="26"/>
        <v>#N/A</v>
      </c>
      <c r="O43" s="204" t="str">
        <f t="shared" si="26"/>
        <v>#N/A</v>
      </c>
      <c r="P43" s="128" t="str">
        <f t="shared" si="26"/>
        <v>#N/A</v>
      </c>
      <c r="Q43" s="128" t="str">
        <f t="shared" si="26"/>
        <v>#N/A</v>
      </c>
      <c r="R43" s="128" t="str">
        <f t="shared" si="26"/>
        <v>#N/A</v>
      </c>
      <c r="S43" s="128" t="str">
        <f t="shared" si="26"/>
        <v>#N/A</v>
      </c>
      <c r="T43" s="128" t="str">
        <f t="shared" si="26"/>
        <v>#N/A</v>
      </c>
      <c r="U43" s="204" t="str">
        <f t="shared" si="26"/>
        <v>#N/A</v>
      </c>
      <c r="V43" s="204" t="str">
        <f t="shared" si="26"/>
        <v>#N/A</v>
      </c>
      <c r="W43" s="204" t="str">
        <f t="shared" si="26"/>
        <v>#N/A</v>
      </c>
      <c r="X43" s="204" t="str">
        <f t="shared" si="26"/>
        <v>#N/A</v>
      </c>
      <c r="Y43" s="204" t="str">
        <f t="shared" si="26"/>
        <v>#N/A</v>
      </c>
      <c r="Z43" s="204" t="str">
        <f t="shared" si="26"/>
        <v>#N/A</v>
      </c>
      <c r="AA43" s="204" t="str">
        <f t="shared" si="26"/>
        <v>#N/A</v>
      </c>
      <c r="AB43" s="204" t="str">
        <f t="shared" si="26"/>
        <v>#N/A</v>
      </c>
      <c r="AC43" s="204" t="str">
        <f t="shared" si="26"/>
        <v>#N/A</v>
      </c>
      <c r="AD43" s="204" t="str">
        <f t="shared" si="26"/>
        <v>#N/A</v>
      </c>
      <c r="AE43" s="204" t="str">
        <f t="shared" si="26"/>
        <v>#N/A</v>
      </c>
      <c r="AF43" s="204" t="str">
        <f t="shared" si="26"/>
        <v>#N/A</v>
      </c>
      <c r="AG43" s="204" t="str">
        <f t="shared" si="26"/>
        <v>#N/A</v>
      </c>
      <c r="AH43" s="204" t="str">
        <f t="shared" si="26"/>
        <v>#N/A</v>
      </c>
      <c r="AI43" s="204" t="str">
        <f t="shared" si="26"/>
        <v>#N/A</v>
      </c>
      <c r="AJ43" s="204" t="str">
        <f t="shared" si="26"/>
        <v>#N/A</v>
      </c>
      <c r="AK43" s="204" t="str">
        <f t="shared" si="26"/>
        <v>#N/A</v>
      </c>
      <c r="AL43" s="204" t="str">
        <f t="shared" si="26"/>
        <v>#N/A</v>
      </c>
      <c r="AM43" s="204" t="str">
        <f t="shared" si="26"/>
        <v>#N/A</v>
      </c>
      <c r="AN43" s="204" t="str">
        <f t="shared" si="26"/>
        <v>#N/A</v>
      </c>
    </row>
    <row r="44">
      <c r="A44" s="140" t="s">
        <v>259</v>
      </c>
      <c r="B44" s="128">
        <f t="shared" ref="B44:AN44" si="27">IF(ISERROR(B$16),$B$12+1,IF(NOT(ISERROR(B43)),B42,A44))</f>
        <v>1</v>
      </c>
      <c r="C44" s="128">
        <f t="shared" si="27"/>
        <v>2</v>
      </c>
      <c r="D44" s="128">
        <f t="shared" si="27"/>
        <v>3</v>
      </c>
      <c r="E44" s="204">
        <f t="shared" si="27"/>
        <v>4</v>
      </c>
      <c r="F44" s="204">
        <f t="shared" si="27"/>
        <v>5</v>
      </c>
      <c r="G44" s="204">
        <f t="shared" si="27"/>
        <v>6</v>
      </c>
      <c r="H44" s="204">
        <f t="shared" si="27"/>
        <v>7</v>
      </c>
      <c r="I44" s="204">
        <f t="shared" si="27"/>
        <v>8</v>
      </c>
      <c r="J44" s="204">
        <f t="shared" si="27"/>
        <v>9</v>
      </c>
      <c r="K44" s="204">
        <f t="shared" si="27"/>
        <v>9</v>
      </c>
      <c r="L44" s="204">
        <f t="shared" si="27"/>
        <v>9</v>
      </c>
      <c r="M44" s="204">
        <f t="shared" si="27"/>
        <v>9</v>
      </c>
      <c r="N44" s="204">
        <f t="shared" si="27"/>
        <v>9</v>
      </c>
      <c r="O44" s="204">
        <f t="shared" si="27"/>
        <v>9</v>
      </c>
      <c r="P44" s="128">
        <f t="shared" si="27"/>
        <v>9</v>
      </c>
      <c r="Q44" s="128">
        <f t="shared" si="27"/>
        <v>9</v>
      </c>
      <c r="R44" s="128">
        <f t="shared" si="27"/>
        <v>9</v>
      </c>
      <c r="S44" s="128">
        <f t="shared" si="27"/>
        <v>9</v>
      </c>
      <c r="T44" s="128">
        <f t="shared" si="27"/>
        <v>9</v>
      </c>
      <c r="U44" s="204">
        <f t="shared" si="27"/>
        <v>9</v>
      </c>
      <c r="V44" s="204">
        <f t="shared" si="27"/>
        <v>9</v>
      </c>
      <c r="W44" s="204">
        <f t="shared" si="27"/>
        <v>9</v>
      </c>
      <c r="X44" s="204">
        <f t="shared" si="27"/>
        <v>9</v>
      </c>
      <c r="Y44" s="204">
        <f t="shared" si="27"/>
        <v>9</v>
      </c>
      <c r="Z44" s="204">
        <f t="shared" si="27"/>
        <v>9</v>
      </c>
      <c r="AA44" s="204">
        <f t="shared" si="27"/>
        <v>9</v>
      </c>
      <c r="AB44" s="204">
        <f t="shared" si="27"/>
        <v>9</v>
      </c>
      <c r="AC44" s="204">
        <f t="shared" si="27"/>
        <v>9</v>
      </c>
      <c r="AD44" s="204">
        <f t="shared" si="27"/>
        <v>9</v>
      </c>
      <c r="AE44" s="204">
        <f t="shared" si="27"/>
        <v>9</v>
      </c>
      <c r="AF44" s="204">
        <f t="shared" si="27"/>
        <v>9</v>
      </c>
      <c r="AG44" s="204">
        <f t="shared" si="27"/>
        <v>9</v>
      </c>
      <c r="AH44" s="204">
        <f t="shared" si="27"/>
        <v>9</v>
      </c>
      <c r="AI44" s="204">
        <f t="shared" si="27"/>
        <v>9</v>
      </c>
      <c r="AJ44" s="204">
        <f t="shared" si="27"/>
        <v>9</v>
      </c>
      <c r="AK44" s="204">
        <f t="shared" si="27"/>
        <v>9</v>
      </c>
      <c r="AL44" s="204">
        <f t="shared" si="27"/>
        <v>9</v>
      </c>
      <c r="AM44" s="204">
        <f t="shared" si="27"/>
        <v>9</v>
      </c>
      <c r="AN44" s="204">
        <f t="shared" si="27"/>
        <v>9</v>
      </c>
    </row>
    <row r="45">
      <c r="A45" s="140" t="s">
        <v>260</v>
      </c>
      <c r="B45" s="173">
        <f t="shared" ref="B45:AN45" si="28">B43</f>
        <v>6</v>
      </c>
      <c r="C45" s="173">
        <f t="shared" si="28"/>
        <v>13</v>
      </c>
      <c r="D45" s="173">
        <f t="shared" si="28"/>
        <v>12</v>
      </c>
      <c r="E45" s="650">
        <f t="shared" si="28"/>
        <v>7</v>
      </c>
      <c r="F45" s="650">
        <f t="shared" si="28"/>
        <v>11</v>
      </c>
      <c r="G45" s="650">
        <f t="shared" si="28"/>
        <v>9</v>
      </c>
      <c r="H45" s="650">
        <f t="shared" si="28"/>
        <v>8</v>
      </c>
      <c r="I45" s="650">
        <f t="shared" si="28"/>
        <v>10</v>
      </c>
      <c r="J45" s="650">
        <f t="shared" si="28"/>
        <v>1</v>
      </c>
      <c r="K45" s="650" t="str">
        <f t="shared" si="28"/>
        <v>#N/A</v>
      </c>
      <c r="L45" s="650" t="str">
        <f t="shared" si="28"/>
        <v>#N/A</v>
      </c>
      <c r="M45" s="650" t="str">
        <f t="shared" si="28"/>
        <v>#N/A</v>
      </c>
      <c r="N45" s="650" t="str">
        <f t="shared" si="28"/>
        <v>#N/A</v>
      </c>
      <c r="O45" s="650" t="str">
        <f t="shared" si="28"/>
        <v>#N/A</v>
      </c>
      <c r="P45" s="173" t="str">
        <f t="shared" si="28"/>
        <v>#N/A</v>
      </c>
      <c r="Q45" s="173" t="str">
        <f t="shared" si="28"/>
        <v>#N/A</v>
      </c>
      <c r="R45" s="173" t="str">
        <f t="shared" si="28"/>
        <v>#N/A</v>
      </c>
      <c r="S45" s="173" t="str">
        <f t="shared" si="28"/>
        <v>#N/A</v>
      </c>
      <c r="T45" s="173" t="str">
        <f t="shared" si="28"/>
        <v>#N/A</v>
      </c>
      <c r="U45" s="650" t="str">
        <f t="shared" si="28"/>
        <v>#N/A</v>
      </c>
      <c r="V45" s="650" t="str">
        <f t="shared" si="28"/>
        <v>#N/A</v>
      </c>
      <c r="W45" s="650" t="str">
        <f t="shared" si="28"/>
        <v>#N/A</v>
      </c>
      <c r="X45" s="650" t="str">
        <f t="shared" si="28"/>
        <v>#N/A</v>
      </c>
      <c r="Y45" s="650" t="str">
        <f t="shared" si="28"/>
        <v>#N/A</v>
      </c>
      <c r="Z45" s="650" t="str">
        <f t="shared" si="28"/>
        <v>#N/A</v>
      </c>
      <c r="AA45" s="650" t="str">
        <f t="shared" si="28"/>
        <v>#N/A</v>
      </c>
      <c r="AB45" s="650" t="str">
        <f t="shared" si="28"/>
        <v>#N/A</v>
      </c>
      <c r="AC45" s="650" t="str">
        <f t="shared" si="28"/>
        <v>#N/A</v>
      </c>
      <c r="AD45" s="650" t="str">
        <f t="shared" si="28"/>
        <v>#N/A</v>
      </c>
      <c r="AE45" s="650" t="str">
        <f t="shared" si="28"/>
        <v>#N/A</v>
      </c>
      <c r="AF45" s="650" t="str">
        <f t="shared" si="28"/>
        <v>#N/A</v>
      </c>
      <c r="AG45" s="650" t="str">
        <f t="shared" si="28"/>
        <v>#N/A</v>
      </c>
      <c r="AH45" s="650" t="str">
        <f t="shared" si="28"/>
        <v>#N/A</v>
      </c>
      <c r="AI45" s="650" t="str">
        <f t="shared" si="28"/>
        <v>#N/A</v>
      </c>
      <c r="AJ45" s="650" t="str">
        <f t="shared" si="28"/>
        <v>#N/A</v>
      </c>
      <c r="AK45" s="650" t="str">
        <f t="shared" si="28"/>
        <v>#N/A</v>
      </c>
      <c r="AL45" s="650" t="str">
        <f t="shared" si="28"/>
        <v>#N/A</v>
      </c>
      <c r="AM45" s="650" t="str">
        <f t="shared" si="28"/>
        <v>#N/A</v>
      </c>
      <c r="AN45" s="650" t="str">
        <f t="shared" si="28"/>
        <v>#N/A</v>
      </c>
    </row>
    <row r="46">
      <c r="A46" s="140" t="s">
        <v>261</v>
      </c>
      <c r="B46" s="128">
        <f t="shared" ref="B46:AN46" si="29">INDEX($B$6:AN6,1,INDEX($B$15:AN15,1,B45))</f>
        <v>7</v>
      </c>
      <c r="C46" s="128">
        <f t="shared" si="29"/>
        <v>14</v>
      </c>
      <c r="D46" s="128">
        <f t="shared" si="29"/>
        <v>13</v>
      </c>
      <c r="E46" s="651">
        <f t="shared" si="29"/>
        <v>8</v>
      </c>
      <c r="F46" s="651">
        <f t="shared" si="29"/>
        <v>12</v>
      </c>
      <c r="G46" s="651">
        <f t="shared" si="29"/>
        <v>10</v>
      </c>
      <c r="H46" s="651">
        <f t="shared" si="29"/>
        <v>9</v>
      </c>
      <c r="I46" s="651">
        <f t="shared" si="29"/>
        <v>11</v>
      </c>
      <c r="J46" s="651">
        <f t="shared" si="29"/>
        <v>2</v>
      </c>
      <c r="K46" s="651" t="str">
        <f t="shared" si="29"/>
        <v>#N/A</v>
      </c>
      <c r="L46" s="651" t="str">
        <f t="shared" si="29"/>
        <v>#N/A</v>
      </c>
      <c r="M46" s="651" t="str">
        <f t="shared" si="29"/>
        <v>#N/A</v>
      </c>
      <c r="N46" s="651" t="str">
        <f t="shared" si="29"/>
        <v>#N/A</v>
      </c>
      <c r="O46" s="651" t="str">
        <f t="shared" si="29"/>
        <v>#N/A</v>
      </c>
      <c r="P46" s="128" t="str">
        <f t="shared" si="29"/>
        <v>#N/A</v>
      </c>
      <c r="Q46" s="128" t="str">
        <f t="shared" si="29"/>
        <v>#N/A</v>
      </c>
      <c r="R46" s="128" t="str">
        <f t="shared" si="29"/>
        <v>#N/A</v>
      </c>
      <c r="S46" s="128" t="str">
        <f t="shared" si="29"/>
        <v>#N/A</v>
      </c>
      <c r="T46" s="128" t="str">
        <f t="shared" si="29"/>
        <v>#N/A</v>
      </c>
      <c r="U46" s="651" t="str">
        <f t="shared" si="29"/>
        <v>#N/A</v>
      </c>
      <c r="V46" s="651" t="str">
        <f t="shared" si="29"/>
        <v>#N/A</v>
      </c>
      <c r="W46" s="651" t="str">
        <f t="shared" si="29"/>
        <v>#N/A</v>
      </c>
      <c r="X46" s="651" t="str">
        <f t="shared" si="29"/>
        <v>#N/A</v>
      </c>
      <c r="Y46" s="651" t="str">
        <f t="shared" si="29"/>
        <v>#N/A</v>
      </c>
      <c r="Z46" s="651" t="str">
        <f t="shared" si="29"/>
        <v>#N/A</v>
      </c>
      <c r="AA46" s="651" t="str">
        <f t="shared" si="29"/>
        <v>#N/A</v>
      </c>
      <c r="AB46" s="651" t="str">
        <f t="shared" si="29"/>
        <v>#N/A</v>
      </c>
      <c r="AC46" s="651" t="str">
        <f t="shared" si="29"/>
        <v>#N/A</v>
      </c>
      <c r="AD46" s="651" t="str">
        <f t="shared" si="29"/>
        <v>#N/A</v>
      </c>
      <c r="AE46" s="651" t="str">
        <f t="shared" si="29"/>
        <v>#N/A</v>
      </c>
      <c r="AF46" s="651" t="str">
        <f t="shared" si="29"/>
        <v>#N/A</v>
      </c>
      <c r="AG46" s="651" t="str">
        <f t="shared" si="29"/>
        <v>#N/A</v>
      </c>
      <c r="AH46" s="651" t="str">
        <f t="shared" si="29"/>
        <v>#N/A</v>
      </c>
      <c r="AI46" s="651" t="str">
        <f t="shared" si="29"/>
        <v>#N/A</v>
      </c>
      <c r="AJ46" s="651" t="str">
        <f t="shared" si="29"/>
        <v>#N/A</v>
      </c>
      <c r="AK46" s="651" t="str">
        <f t="shared" si="29"/>
        <v>#N/A</v>
      </c>
      <c r="AL46" s="651" t="str">
        <f t="shared" si="29"/>
        <v>#N/A</v>
      </c>
      <c r="AM46" s="651" t="str">
        <f t="shared" si="29"/>
        <v>#N/A</v>
      </c>
      <c r="AN46" s="651" t="str">
        <f t="shared" si="29"/>
        <v>#N/A</v>
      </c>
    </row>
    <row r="47">
      <c r="A47" s="126"/>
      <c r="B47" s="126"/>
      <c r="C47" s="126"/>
      <c r="D47" s="126"/>
      <c r="E47" s="124"/>
      <c r="F47" s="124"/>
      <c r="G47" s="124"/>
      <c r="H47" s="124"/>
      <c r="I47" s="124"/>
      <c r="J47" s="124"/>
      <c r="K47" s="124"/>
      <c r="L47" s="124"/>
      <c r="M47" s="124"/>
      <c r="N47" s="124"/>
      <c r="O47" s="124"/>
      <c r="P47" s="126"/>
      <c r="Q47" s="126"/>
      <c r="R47" s="126"/>
      <c r="S47" s="126"/>
      <c r="T47" s="126"/>
      <c r="U47" s="124"/>
      <c r="V47" s="124"/>
      <c r="W47" s="124"/>
      <c r="X47" s="124"/>
      <c r="Y47" s="124"/>
      <c r="Z47" s="124"/>
      <c r="AA47" s="124"/>
      <c r="AB47" s="124"/>
      <c r="AC47" s="124"/>
      <c r="AD47" s="124"/>
      <c r="AE47" s="124"/>
      <c r="AF47" s="124"/>
      <c r="AG47" s="124"/>
      <c r="AH47" s="124"/>
      <c r="AI47" s="124"/>
      <c r="AJ47" s="124"/>
      <c r="AK47" s="124"/>
      <c r="AL47" s="124"/>
      <c r="AM47" s="124"/>
      <c r="AN47" s="124"/>
    </row>
    <row r="48">
      <c r="A48" s="126"/>
      <c r="B48" s="126"/>
      <c r="C48" s="126"/>
      <c r="D48" s="126"/>
      <c r="E48" s="124"/>
      <c r="F48" s="124"/>
      <c r="G48" s="124"/>
      <c r="H48" s="124"/>
      <c r="I48" s="124"/>
      <c r="J48" s="124"/>
      <c r="K48" s="124"/>
      <c r="L48" s="124"/>
      <c r="M48" s="124"/>
      <c r="N48" s="124"/>
      <c r="O48" s="124"/>
      <c r="P48" s="126"/>
      <c r="Q48" s="126"/>
      <c r="R48" s="126"/>
      <c r="S48" s="126"/>
      <c r="T48" s="126"/>
      <c r="U48" s="124"/>
      <c r="V48" s="124"/>
      <c r="W48" s="124"/>
      <c r="X48" s="124"/>
      <c r="Y48" s="124"/>
      <c r="Z48" s="124"/>
      <c r="AA48" s="124"/>
      <c r="AB48" s="124"/>
      <c r="AC48" s="124"/>
      <c r="AD48" s="124"/>
      <c r="AE48" s="124"/>
      <c r="AF48" s="124"/>
      <c r="AG48" s="124"/>
      <c r="AH48" s="124"/>
      <c r="AI48" s="124"/>
      <c r="AJ48" s="124"/>
      <c r="AK48" s="124"/>
      <c r="AL48" s="124"/>
      <c r="AM48" s="124"/>
      <c r="AN48" s="124"/>
    </row>
    <row r="49">
      <c r="A49" s="620" t="s">
        <v>77</v>
      </c>
      <c r="B49" s="126"/>
      <c r="C49" s="126"/>
      <c r="D49" s="126"/>
      <c r="E49" s="124"/>
      <c r="F49" s="124"/>
      <c r="G49" s="124"/>
      <c r="H49" s="124"/>
      <c r="I49" s="124"/>
      <c r="J49" s="124"/>
      <c r="K49" s="124"/>
      <c r="L49" s="124"/>
      <c r="M49" s="124"/>
      <c r="N49" s="124"/>
      <c r="O49" s="124"/>
      <c r="P49" s="126"/>
      <c r="Q49" s="126"/>
      <c r="R49" s="126"/>
      <c r="S49" s="126"/>
      <c r="T49" s="126"/>
      <c r="U49" s="124"/>
      <c r="V49" s="124"/>
      <c r="W49" s="124"/>
      <c r="X49" s="124"/>
      <c r="Y49" s="124"/>
      <c r="Z49" s="124"/>
      <c r="AA49" s="124"/>
      <c r="AB49" s="124"/>
      <c r="AC49" s="124"/>
      <c r="AD49" s="124"/>
      <c r="AE49" s="124"/>
      <c r="AF49" s="124"/>
      <c r="AG49" s="124"/>
      <c r="AH49" s="124"/>
      <c r="AI49" s="124"/>
      <c r="AJ49" s="124"/>
      <c r="AK49" s="124"/>
      <c r="AL49" s="124"/>
      <c r="AM49" s="124"/>
      <c r="AN49" s="124"/>
    </row>
    <row r="50">
      <c r="A50" s="140" t="s">
        <v>258</v>
      </c>
      <c r="B50" s="621">
        <v>1.0</v>
      </c>
      <c r="C50" s="128">
        <f t="shared" ref="C50:AN50" si="30">B50+1</f>
        <v>2</v>
      </c>
      <c r="D50" s="128">
        <f t="shared" si="30"/>
        <v>3</v>
      </c>
      <c r="E50" s="204">
        <f t="shared" si="30"/>
        <v>4</v>
      </c>
      <c r="F50" s="204">
        <f t="shared" si="30"/>
        <v>5</v>
      </c>
      <c r="G50" s="204">
        <f t="shared" si="30"/>
        <v>6</v>
      </c>
      <c r="H50" s="204">
        <f t="shared" si="30"/>
        <v>7</v>
      </c>
      <c r="I50" s="204">
        <f t="shared" si="30"/>
        <v>8</v>
      </c>
      <c r="J50" s="204">
        <f t="shared" si="30"/>
        <v>9</v>
      </c>
      <c r="K50" s="204">
        <f t="shared" si="30"/>
        <v>10</v>
      </c>
      <c r="L50" s="204">
        <f t="shared" si="30"/>
        <v>11</v>
      </c>
      <c r="M50" s="204">
        <f t="shared" si="30"/>
        <v>12</v>
      </c>
      <c r="N50" s="204">
        <f t="shared" si="30"/>
        <v>13</v>
      </c>
      <c r="O50" s="204">
        <f t="shared" si="30"/>
        <v>14</v>
      </c>
      <c r="P50" s="128">
        <f t="shared" si="30"/>
        <v>15</v>
      </c>
      <c r="Q50" s="128">
        <f t="shared" si="30"/>
        <v>16</v>
      </c>
      <c r="R50" s="128">
        <f t="shared" si="30"/>
        <v>17</v>
      </c>
      <c r="S50" s="128">
        <f t="shared" si="30"/>
        <v>18</v>
      </c>
      <c r="T50" s="128">
        <f t="shared" si="30"/>
        <v>19</v>
      </c>
      <c r="U50" s="204">
        <f t="shared" si="30"/>
        <v>20</v>
      </c>
      <c r="V50" s="204">
        <f t="shared" si="30"/>
        <v>21</v>
      </c>
      <c r="W50" s="204">
        <f t="shared" si="30"/>
        <v>22</v>
      </c>
      <c r="X50" s="204">
        <f t="shared" si="30"/>
        <v>23</v>
      </c>
      <c r="Y50" s="204">
        <f t="shared" si="30"/>
        <v>24</v>
      </c>
      <c r="Z50" s="204">
        <f t="shared" si="30"/>
        <v>25</v>
      </c>
      <c r="AA50" s="204">
        <f t="shared" si="30"/>
        <v>26</v>
      </c>
      <c r="AB50" s="204">
        <f t="shared" si="30"/>
        <v>27</v>
      </c>
      <c r="AC50" s="204">
        <f t="shared" si="30"/>
        <v>28</v>
      </c>
      <c r="AD50" s="204">
        <f t="shared" si="30"/>
        <v>29</v>
      </c>
      <c r="AE50" s="204">
        <f t="shared" si="30"/>
        <v>30</v>
      </c>
      <c r="AF50" s="204">
        <f t="shared" si="30"/>
        <v>31</v>
      </c>
      <c r="AG50" s="204">
        <f t="shared" si="30"/>
        <v>32</v>
      </c>
      <c r="AH50" s="204">
        <f t="shared" si="30"/>
        <v>33</v>
      </c>
      <c r="AI50" s="204">
        <f t="shared" si="30"/>
        <v>34</v>
      </c>
      <c r="AJ50" s="204">
        <f t="shared" si="30"/>
        <v>35</v>
      </c>
      <c r="AK50" s="204">
        <f t="shared" si="30"/>
        <v>36</v>
      </c>
      <c r="AL50" s="204">
        <f t="shared" si="30"/>
        <v>37</v>
      </c>
      <c r="AM50" s="204">
        <f t="shared" si="30"/>
        <v>38</v>
      </c>
      <c r="AN50" s="204">
        <f t="shared" si="30"/>
        <v>39</v>
      </c>
    </row>
    <row r="51">
      <c r="A51" s="140" t="s">
        <v>269</v>
      </c>
      <c r="B51" s="128" t="str">
        <f t="shared" ref="B51:AN51" si="31">MATCH(B50,$B$23:$K$23,0)</f>
        <v>#N/A</v>
      </c>
      <c r="C51" s="128" t="str">
        <f t="shared" si="31"/>
        <v>#N/A</v>
      </c>
      <c r="D51" s="128" t="str">
        <f t="shared" si="31"/>
        <v>#N/A</v>
      </c>
      <c r="E51" s="204" t="str">
        <f t="shared" si="31"/>
        <v>#N/A</v>
      </c>
      <c r="F51" s="204" t="str">
        <f t="shared" si="31"/>
        <v>#N/A</v>
      </c>
      <c r="G51" s="204" t="str">
        <f t="shared" si="31"/>
        <v>#N/A</v>
      </c>
      <c r="H51" s="204" t="str">
        <f t="shared" si="31"/>
        <v>#N/A</v>
      </c>
      <c r="I51" s="204" t="str">
        <f t="shared" si="31"/>
        <v>#N/A</v>
      </c>
      <c r="J51" s="204" t="str">
        <f t="shared" si="31"/>
        <v>#N/A</v>
      </c>
      <c r="K51" s="204" t="str">
        <f t="shared" si="31"/>
        <v>#N/A</v>
      </c>
      <c r="L51" s="204" t="str">
        <f t="shared" si="31"/>
        <v>#N/A</v>
      </c>
      <c r="M51" s="204" t="str">
        <f t="shared" si="31"/>
        <v>#N/A</v>
      </c>
      <c r="N51" s="204" t="str">
        <f t="shared" si="31"/>
        <v>#N/A</v>
      </c>
      <c r="O51" s="204" t="str">
        <f t="shared" si="31"/>
        <v>#N/A</v>
      </c>
      <c r="P51" s="128" t="str">
        <f t="shared" si="31"/>
        <v>#N/A</v>
      </c>
      <c r="Q51" s="128" t="str">
        <f t="shared" si="31"/>
        <v>#N/A</v>
      </c>
      <c r="R51" s="128" t="str">
        <f t="shared" si="31"/>
        <v>#N/A</v>
      </c>
      <c r="S51" s="128" t="str">
        <f t="shared" si="31"/>
        <v>#N/A</v>
      </c>
      <c r="T51" s="128" t="str">
        <f t="shared" si="31"/>
        <v>#N/A</v>
      </c>
      <c r="U51" s="204" t="str">
        <f t="shared" si="31"/>
        <v>#N/A</v>
      </c>
      <c r="V51" s="204" t="str">
        <f t="shared" si="31"/>
        <v>#N/A</v>
      </c>
      <c r="W51" s="204" t="str">
        <f t="shared" si="31"/>
        <v>#N/A</v>
      </c>
      <c r="X51" s="204" t="str">
        <f t="shared" si="31"/>
        <v>#N/A</v>
      </c>
      <c r="Y51" s="204" t="str">
        <f t="shared" si="31"/>
        <v>#N/A</v>
      </c>
      <c r="Z51" s="204" t="str">
        <f t="shared" si="31"/>
        <v>#N/A</v>
      </c>
      <c r="AA51" s="204" t="str">
        <f t="shared" si="31"/>
        <v>#N/A</v>
      </c>
      <c r="AB51" s="204" t="str">
        <f t="shared" si="31"/>
        <v>#N/A</v>
      </c>
      <c r="AC51" s="204" t="str">
        <f t="shared" si="31"/>
        <v>#N/A</v>
      </c>
      <c r="AD51" s="204" t="str">
        <f t="shared" si="31"/>
        <v>#N/A</v>
      </c>
      <c r="AE51" s="204" t="str">
        <f t="shared" si="31"/>
        <v>#N/A</v>
      </c>
      <c r="AF51" s="204" t="str">
        <f t="shared" si="31"/>
        <v>#N/A</v>
      </c>
      <c r="AG51" s="204" t="str">
        <f t="shared" si="31"/>
        <v>#N/A</v>
      </c>
      <c r="AH51" s="204" t="str">
        <f t="shared" si="31"/>
        <v>#N/A</v>
      </c>
      <c r="AI51" s="204" t="str">
        <f t="shared" si="31"/>
        <v>#N/A</v>
      </c>
      <c r="AJ51" s="204" t="str">
        <f t="shared" si="31"/>
        <v>#N/A</v>
      </c>
      <c r="AK51" s="204" t="str">
        <f t="shared" si="31"/>
        <v>#N/A</v>
      </c>
      <c r="AL51" s="204" t="str">
        <f t="shared" si="31"/>
        <v>#N/A</v>
      </c>
      <c r="AM51" s="204" t="str">
        <f t="shared" si="31"/>
        <v>#N/A</v>
      </c>
      <c r="AN51" s="204" t="str">
        <f t="shared" si="31"/>
        <v>#N/A</v>
      </c>
    </row>
    <row r="52">
      <c r="A52" s="140" t="s">
        <v>259</v>
      </c>
      <c r="B52" s="128" t="str">
        <f t="shared" ref="B52:AN52" si="32">IF(ISERROR(B$16),$B$12+1,IF(NOT(ISERROR(B51)),B50,A52))</f>
        <v>Rank</v>
      </c>
      <c r="C52" s="128" t="str">
        <f t="shared" si="32"/>
        <v>Rank</v>
      </c>
      <c r="D52" s="128" t="str">
        <f t="shared" si="32"/>
        <v>Rank</v>
      </c>
      <c r="E52" s="204" t="str">
        <f t="shared" si="32"/>
        <v>Rank</v>
      </c>
      <c r="F52" s="204" t="str">
        <f t="shared" si="32"/>
        <v>Rank</v>
      </c>
      <c r="G52" s="204" t="str">
        <f t="shared" si="32"/>
        <v>Rank</v>
      </c>
      <c r="H52" s="204" t="str">
        <f t="shared" si="32"/>
        <v>Rank</v>
      </c>
      <c r="I52" s="204" t="str">
        <f t="shared" si="32"/>
        <v>Rank</v>
      </c>
      <c r="J52" s="204" t="str">
        <f t="shared" si="32"/>
        <v>Rank</v>
      </c>
      <c r="K52" s="204" t="str">
        <f t="shared" si="32"/>
        <v>Rank</v>
      </c>
      <c r="L52" s="204" t="str">
        <f t="shared" si="32"/>
        <v>Rank</v>
      </c>
      <c r="M52" s="204" t="str">
        <f t="shared" si="32"/>
        <v>Rank</v>
      </c>
      <c r="N52" s="204" t="str">
        <f t="shared" si="32"/>
        <v>Rank</v>
      </c>
      <c r="O52" s="204" t="str">
        <f t="shared" si="32"/>
        <v>Rank</v>
      </c>
      <c r="P52" s="128" t="str">
        <f t="shared" si="32"/>
        <v>Rank</v>
      </c>
      <c r="Q52" s="128" t="str">
        <f t="shared" si="32"/>
        <v>Rank</v>
      </c>
      <c r="R52" s="128" t="str">
        <f t="shared" si="32"/>
        <v>Rank</v>
      </c>
      <c r="S52" s="128" t="str">
        <f t="shared" si="32"/>
        <v>Rank</v>
      </c>
      <c r="T52" s="128" t="str">
        <f t="shared" si="32"/>
        <v>Rank</v>
      </c>
      <c r="U52" s="204" t="str">
        <f t="shared" si="32"/>
        <v>Rank</v>
      </c>
      <c r="V52" s="204" t="str">
        <f t="shared" si="32"/>
        <v>Rank</v>
      </c>
      <c r="W52" s="204" t="str">
        <f t="shared" si="32"/>
        <v>Rank</v>
      </c>
      <c r="X52" s="204" t="str">
        <f t="shared" si="32"/>
        <v>Rank</v>
      </c>
      <c r="Y52" s="204" t="str">
        <f t="shared" si="32"/>
        <v>Rank</v>
      </c>
      <c r="Z52" s="204" t="str">
        <f t="shared" si="32"/>
        <v>Rank</v>
      </c>
      <c r="AA52" s="204" t="str">
        <f t="shared" si="32"/>
        <v>Rank</v>
      </c>
      <c r="AB52" s="204" t="str">
        <f t="shared" si="32"/>
        <v>Rank</v>
      </c>
      <c r="AC52" s="204" t="str">
        <f t="shared" si="32"/>
        <v>Rank</v>
      </c>
      <c r="AD52" s="204" t="str">
        <f t="shared" si="32"/>
        <v>Rank</v>
      </c>
      <c r="AE52" s="204" t="str">
        <f t="shared" si="32"/>
        <v>Rank</v>
      </c>
      <c r="AF52" s="204" t="str">
        <f t="shared" si="32"/>
        <v>Rank</v>
      </c>
      <c r="AG52" s="204" t="str">
        <f t="shared" si="32"/>
        <v>Rank</v>
      </c>
      <c r="AH52" s="204" t="str">
        <f t="shared" si="32"/>
        <v>Rank</v>
      </c>
      <c r="AI52" s="204" t="str">
        <f t="shared" si="32"/>
        <v>Rank</v>
      </c>
      <c r="AJ52" s="204" t="str">
        <f t="shared" si="32"/>
        <v>Rank</v>
      </c>
      <c r="AK52" s="204" t="str">
        <f t="shared" si="32"/>
        <v>Rank</v>
      </c>
      <c r="AL52" s="204" t="str">
        <f t="shared" si="32"/>
        <v>Rank</v>
      </c>
      <c r="AM52" s="204" t="str">
        <f t="shared" si="32"/>
        <v>Rank</v>
      </c>
      <c r="AN52" s="204" t="str">
        <f t="shared" si="32"/>
        <v>Rank</v>
      </c>
    </row>
    <row r="53">
      <c r="A53" s="140" t="s">
        <v>260</v>
      </c>
      <c r="B53" s="173" t="str">
        <f>B51</f>
        <v>#N/A</v>
      </c>
      <c r="C53" s="644" t="str">
        <f t="shared" ref="C53:AN53" si="33">IF(NOT(ISERROR(C51)),C51,INDEX(OFFSET($B50,0,B53,1,COUNTA($B$7:$K$7)-B53),1,MATCH(C52,OFFSET($B23,0,B53,1,COUNTA($B$7:$K$7)-B53),0)))</f>
        <v>#N/A</v>
      </c>
      <c r="D53" s="644" t="str">
        <f t="shared" si="33"/>
        <v>#N/A</v>
      </c>
      <c r="E53" s="645" t="str">
        <f t="shared" si="33"/>
        <v>#N/A</v>
      </c>
      <c r="F53" s="645" t="str">
        <f t="shared" si="33"/>
        <v>#N/A</v>
      </c>
      <c r="G53" s="645" t="str">
        <f t="shared" si="33"/>
        <v>#N/A</v>
      </c>
      <c r="H53" s="645" t="str">
        <f t="shared" si="33"/>
        <v>#N/A</v>
      </c>
      <c r="I53" s="645" t="str">
        <f t="shared" si="33"/>
        <v>#N/A</v>
      </c>
      <c r="J53" s="645" t="str">
        <f t="shared" si="33"/>
        <v>#N/A</v>
      </c>
      <c r="K53" s="645" t="str">
        <f t="shared" si="33"/>
        <v>#N/A</v>
      </c>
      <c r="L53" s="645" t="str">
        <f t="shared" si="33"/>
        <v>#N/A</v>
      </c>
      <c r="M53" s="645" t="str">
        <f t="shared" si="33"/>
        <v>#N/A</v>
      </c>
      <c r="N53" s="645" t="str">
        <f t="shared" si="33"/>
        <v>#N/A</v>
      </c>
      <c r="O53" s="645" t="str">
        <f t="shared" si="33"/>
        <v>#N/A</v>
      </c>
      <c r="P53" s="644" t="str">
        <f t="shared" si="33"/>
        <v>#N/A</v>
      </c>
      <c r="Q53" s="644" t="str">
        <f t="shared" si="33"/>
        <v>#N/A</v>
      </c>
      <c r="R53" s="644" t="str">
        <f t="shared" si="33"/>
        <v>#N/A</v>
      </c>
      <c r="S53" s="644" t="str">
        <f t="shared" si="33"/>
        <v>#N/A</v>
      </c>
      <c r="T53" s="644" t="str">
        <f t="shared" si="33"/>
        <v>#N/A</v>
      </c>
      <c r="U53" s="645" t="str">
        <f t="shared" si="33"/>
        <v>#N/A</v>
      </c>
      <c r="V53" s="645" t="str">
        <f t="shared" si="33"/>
        <v>#N/A</v>
      </c>
      <c r="W53" s="645" t="str">
        <f t="shared" si="33"/>
        <v>#N/A</v>
      </c>
      <c r="X53" s="645" t="str">
        <f t="shared" si="33"/>
        <v>#N/A</v>
      </c>
      <c r="Y53" s="645" t="str">
        <f t="shared" si="33"/>
        <v>#N/A</v>
      </c>
      <c r="Z53" s="645" t="str">
        <f t="shared" si="33"/>
        <v>#N/A</v>
      </c>
      <c r="AA53" s="645" t="str">
        <f t="shared" si="33"/>
        <v>#N/A</v>
      </c>
      <c r="AB53" s="645" t="str">
        <f t="shared" si="33"/>
        <v>#N/A</v>
      </c>
      <c r="AC53" s="645" t="str">
        <f t="shared" si="33"/>
        <v>#N/A</v>
      </c>
      <c r="AD53" s="645" t="str">
        <f t="shared" si="33"/>
        <v>#N/A</v>
      </c>
      <c r="AE53" s="645" t="str">
        <f t="shared" si="33"/>
        <v>#N/A</v>
      </c>
      <c r="AF53" s="645" t="str">
        <f t="shared" si="33"/>
        <v>#N/A</v>
      </c>
      <c r="AG53" s="645" t="str">
        <f t="shared" si="33"/>
        <v>#N/A</v>
      </c>
      <c r="AH53" s="645" t="str">
        <f t="shared" si="33"/>
        <v>#N/A</v>
      </c>
      <c r="AI53" s="645" t="str">
        <f t="shared" si="33"/>
        <v>#N/A</v>
      </c>
      <c r="AJ53" s="645" t="str">
        <f t="shared" si="33"/>
        <v>#N/A</v>
      </c>
      <c r="AK53" s="645" t="str">
        <f t="shared" si="33"/>
        <v>#N/A</v>
      </c>
      <c r="AL53" s="645" t="str">
        <f t="shared" si="33"/>
        <v>#N/A</v>
      </c>
      <c r="AM53" s="645" t="str">
        <f t="shared" si="33"/>
        <v>#N/A</v>
      </c>
      <c r="AN53" s="645" t="str">
        <f t="shared" si="33"/>
        <v>#N/A</v>
      </c>
    </row>
    <row r="54">
      <c r="A54" s="140" t="s">
        <v>261</v>
      </c>
      <c r="B54" s="128" t="str">
        <f t="shared" ref="B54:AN54" si="34">INDEX($B$6:$K$6,1,INDEX($B$15:$K$15,1,B53))</f>
        <v>#N/A</v>
      </c>
      <c r="C54" s="128" t="str">
        <f t="shared" si="34"/>
        <v>#N/A</v>
      </c>
      <c r="D54" s="128" t="str">
        <f t="shared" si="34"/>
        <v>#N/A</v>
      </c>
      <c r="E54" s="651" t="str">
        <f t="shared" si="34"/>
        <v>#N/A</v>
      </c>
      <c r="F54" s="651" t="str">
        <f t="shared" si="34"/>
        <v>#N/A</v>
      </c>
      <c r="G54" s="651" t="str">
        <f t="shared" si="34"/>
        <v>#N/A</v>
      </c>
      <c r="H54" s="651" t="str">
        <f t="shared" si="34"/>
        <v>#N/A</v>
      </c>
      <c r="I54" s="651" t="str">
        <f t="shared" si="34"/>
        <v>#N/A</v>
      </c>
      <c r="J54" s="651" t="str">
        <f t="shared" si="34"/>
        <v>#N/A</v>
      </c>
      <c r="K54" s="651" t="str">
        <f t="shared" si="34"/>
        <v>#N/A</v>
      </c>
      <c r="L54" s="651" t="str">
        <f t="shared" si="34"/>
        <v>#N/A</v>
      </c>
      <c r="M54" s="651" t="str">
        <f t="shared" si="34"/>
        <v>#N/A</v>
      </c>
      <c r="N54" s="651" t="str">
        <f t="shared" si="34"/>
        <v>#N/A</v>
      </c>
      <c r="O54" s="651" t="str">
        <f t="shared" si="34"/>
        <v>#N/A</v>
      </c>
      <c r="P54" s="128" t="str">
        <f t="shared" si="34"/>
        <v>#N/A</v>
      </c>
      <c r="Q54" s="128" t="str">
        <f t="shared" si="34"/>
        <v>#N/A</v>
      </c>
      <c r="R54" s="128" t="str">
        <f t="shared" si="34"/>
        <v>#N/A</v>
      </c>
      <c r="S54" s="128" t="str">
        <f t="shared" si="34"/>
        <v>#N/A</v>
      </c>
      <c r="T54" s="128" t="str">
        <f t="shared" si="34"/>
        <v>#N/A</v>
      </c>
      <c r="U54" s="651" t="str">
        <f t="shared" si="34"/>
        <v>#N/A</v>
      </c>
      <c r="V54" s="651" t="str">
        <f t="shared" si="34"/>
        <v>#N/A</v>
      </c>
      <c r="W54" s="651" t="str">
        <f t="shared" si="34"/>
        <v>#N/A</v>
      </c>
      <c r="X54" s="651" t="str">
        <f t="shared" si="34"/>
        <v>#N/A</v>
      </c>
      <c r="Y54" s="651" t="str">
        <f t="shared" si="34"/>
        <v>#N/A</v>
      </c>
      <c r="Z54" s="651" t="str">
        <f t="shared" si="34"/>
        <v>#N/A</v>
      </c>
      <c r="AA54" s="651" t="str">
        <f t="shared" si="34"/>
        <v>#N/A</v>
      </c>
      <c r="AB54" s="651" t="str">
        <f t="shared" si="34"/>
        <v>#N/A</v>
      </c>
      <c r="AC54" s="651" t="str">
        <f t="shared" si="34"/>
        <v>#N/A</v>
      </c>
      <c r="AD54" s="651" t="str">
        <f t="shared" si="34"/>
        <v>#N/A</v>
      </c>
      <c r="AE54" s="651" t="str">
        <f t="shared" si="34"/>
        <v>#N/A</v>
      </c>
      <c r="AF54" s="651" t="str">
        <f t="shared" si="34"/>
        <v>#N/A</v>
      </c>
      <c r="AG54" s="651" t="str">
        <f t="shared" si="34"/>
        <v>#N/A</v>
      </c>
      <c r="AH54" s="651" t="str">
        <f t="shared" si="34"/>
        <v>#N/A</v>
      </c>
      <c r="AI54" s="651" t="str">
        <f t="shared" si="34"/>
        <v>#N/A</v>
      </c>
      <c r="AJ54" s="651" t="str">
        <f t="shared" si="34"/>
        <v>#N/A</v>
      </c>
      <c r="AK54" s="651" t="str">
        <f t="shared" si="34"/>
        <v>#N/A</v>
      </c>
      <c r="AL54" s="651" t="str">
        <f t="shared" si="34"/>
        <v>#N/A</v>
      </c>
      <c r="AM54" s="651" t="str">
        <f t="shared" si="34"/>
        <v>#N/A</v>
      </c>
      <c r="AN54" s="651" t="str">
        <f t="shared" si="34"/>
        <v>#N/A</v>
      </c>
    </row>
    <row r="55">
      <c r="A55" s="126"/>
      <c r="B55" s="126"/>
      <c r="C55" s="126"/>
      <c r="D55" s="126"/>
      <c r="E55" s="124"/>
      <c r="F55" s="124"/>
      <c r="G55" s="124"/>
      <c r="H55" s="124"/>
      <c r="I55" s="124"/>
      <c r="J55" s="124"/>
      <c r="K55" s="124"/>
      <c r="L55" s="124"/>
      <c r="M55" s="124"/>
      <c r="N55" s="124"/>
      <c r="O55" s="124"/>
      <c r="P55" s="126"/>
      <c r="Q55" s="126"/>
      <c r="R55" s="126"/>
      <c r="S55" s="126"/>
      <c r="T55" s="126"/>
      <c r="U55" s="124"/>
      <c r="V55" s="124"/>
      <c r="W55" s="124"/>
      <c r="X55" s="124"/>
      <c r="Y55" s="124"/>
      <c r="Z55" s="124"/>
      <c r="AA55" s="124"/>
      <c r="AB55" s="124"/>
      <c r="AC55" s="124"/>
      <c r="AD55" s="124"/>
      <c r="AE55" s="124"/>
      <c r="AF55" s="124"/>
      <c r="AG55" s="124"/>
      <c r="AH55" s="124"/>
      <c r="AI55" s="124"/>
      <c r="AJ55" s="124"/>
      <c r="AK55" s="124"/>
      <c r="AL55" s="124"/>
      <c r="AM55" s="124"/>
      <c r="AN55" s="124"/>
    </row>
    <row r="56">
      <c r="A56" s="620" t="s">
        <v>79</v>
      </c>
      <c r="B56" s="126"/>
      <c r="C56" s="126"/>
      <c r="D56" s="126"/>
      <c r="E56" s="124"/>
      <c r="F56" s="124"/>
      <c r="G56" s="124"/>
      <c r="H56" s="124"/>
      <c r="I56" s="124"/>
      <c r="J56" s="124"/>
      <c r="K56" s="124"/>
      <c r="L56" s="124"/>
      <c r="M56" s="124"/>
      <c r="N56" s="124"/>
      <c r="O56" s="124"/>
      <c r="P56" s="126"/>
      <c r="Q56" s="126"/>
      <c r="R56" s="126"/>
      <c r="S56" s="126"/>
      <c r="T56" s="126"/>
      <c r="U56" s="124"/>
      <c r="V56" s="124"/>
      <c r="W56" s="124"/>
      <c r="X56" s="124"/>
      <c r="Y56" s="124"/>
      <c r="Z56" s="124"/>
      <c r="AA56" s="124"/>
      <c r="AB56" s="124"/>
      <c r="AC56" s="124"/>
      <c r="AD56" s="124"/>
      <c r="AE56" s="124"/>
      <c r="AF56" s="124"/>
      <c r="AG56" s="124"/>
      <c r="AH56" s="124"/>
      <c r="AI56" s="124"/>
      <c r="AJ56" s="124"/>
      <c r="AK56" s="124"/>
      <c r="AL56" s="124"/>
      <c r="AM56" s="124"/>
      <c r="AN56" s="124"/>
    </row>
    <row r="57">
      <c r="A57" s="140" t="s">
        <v>258</v>
      </c>
      <c r="B57" s="621">
        <v>1.0</v>
      </c>
      <c r="C57" s="128">
        <f t="shared" ref="C57:AN57" si="35">B57+1</f>
        <v>2</v>
      </c>
      <c r="D57" s="128">
        <f t="shared" si="35"/>
        <v>3</v>
      </c>
      <c r="E57" s="204">
        <f t="shared" si="35"/>
        <v>4</v>
      </c>
      <c r="F57" s="204">
        <f t="shared" si="35"/>
        <v>5</v>
      </c>
      <c r="G57" s="204">
        <f t="shared" si="35"/>
        <v>6</v>
      </c>
      <c r="H57" s="204">
        <f t="shared" si="35"/>
        <v>7</v>
      </c>
      <c r="I57" s="204">
        <f t="shared" si="35"/>
        <v>8</v>
      </c>
      <c r="J57" s="204">
        <f t="shared" si="35"/>
        <v>9</v>
      </c>
      <c r="K57" s="204">
        <f t="shared" si="35"/>
        <v>10</v>
      </c>
      <c r="L57" s="204">
        <f t="shared" si="35"/>
        <v>11</v>
      </c>
      <c r="M57" s="204">
        <f t="shared" si="35"/>
        <v>12</v>
      </c>
      <c r="N57" s="204">
        <f t="shared" si="35"/>
        <v>13</v>
      </c>
      <c r="O57" s="204">
        <f t="shared" si="35"/>
        <v>14</v>
      </c>
      <c r="P57" s="128">
        <f t="shared" si="35"/>
        <v>15</v>
      </c>
      <c r="Q57" s="128">
        <f t="shared" si="35"/>
        <v>16</v>
      </c>
      <c r="R57" s="128">
        <f t="shared" si="35"/>
        <v>17</v>
      </c>
      <c r="S57" s="128">
        <f t="shared" si="35"/>
        <v>18</v>
      </c>
      <c r="T57" s="128">
        <f t="shared" si="35"/>
        <v>19</v>
      </c>
      <c r="U57" s="204">
        <f t="shared" si="35"/>
        <v>20</v>
      </c>
      <c r="V57" s="204">
        <f t="shared" si="35"/>
        <v>21</v>
      </c>
      <c r="W57" s="204">
        <f t="shared" si="35"/>
        <v>22</v>
      </c>
      <c r="X57" s="204">
        <f t="shared" si="35"/>
        <v>23</v>
      </c>
      <c r="Y57" s="204">
        <f t="shared" si="35"/>
        <v>24</v>
      </c>
      <c r="Z57" s="204">
        <f t="shared" si="35"/>
        <v>25</v>
      </c>
      <c r="AA57" s="204">
        <f t="shared" si="35"/>
        <v>26</v>
      </c>
      <c r="AB57" s="204">
        <f t="shared" si="35"/>
        <v>27</v>
      </c>
      <c r="AC57" s="204">
        <f t="shared" si="35"/>
        <v>28</v>
      </c>
      <c r="AD57" s="204">
        <f t="shared" si="35"/>
        <v>29</v>
      </c>
      <c r="AE57" s="204">
        <f t="shared" si="35"/>
        <v>30</v>
      </c>
      <c r="AF57" s="204">
        <f t="shared" si="35"/>
        <v>31</v>
      </c>
      <c r="AG57" s="204">
        <f t="shared" si="35"/>
        <v>32</v>
      </c>
      <c r="AH57" s="204">
        <f t="shared" si="35"/>
        <v>33</v>
      </c>
      <c r="AI57" s="204">
        <f t="shared" si="35"/>
        <v>34</v>
      </c>
      <c r="AJ57" s="204">
        <f t="shared" si="35"/>
        <v>35</v>
      </c>
      <c r="AK57" s="204">
        <f t="shared" si="35"/>
        <v>36</v>
      </c>
      <c r="AL57" s="204">
        <f t="shared" si="35"/>
        <v>37</v>
      </c>
      <c r="AM57" s="204">
        <f t="shared" si="35"/>
        <v>38</v>
      </c>
      <c r="AN57" s="204">
        <f t="shared" si="35"/>
        <v>39</v>
      </c>
    </row>
    <row r="58">
      <c r="A58" s="140" t="s">
        <v>269</v>
      </c>
      <c r="B58" s="128" t="str">
        <f t="shared" ref="B58:AN58" si="36">MATCH(B57,$B$24:$K$24,0)</f>
        <v>#N/A</v>
      </c>
      <c r="C58" s="128" t="str">
        <f t="shared" si="36"/>
        <v>#N/A</v>
      </c>
      <c r="D58" s="128" t="str">
        <f t="shared" si="36"/>
        <v>#N/A</v>
      </c>
      <c r="E58" s="204" t="str">
        <f t="shared" si="36"/>
        <v>#N/A</v>
      </c>
      <c r="F58" s="204" t="str">
        <f t="shared" si="36"/>
        <v>#N/A</v>
      </c>
      <c r="G58" s="204" t="str">
        <f t="shared" si="36"/>
        <v>#N/A</v>
      </c>
      <c r="H58" s="204" t="str">
        <f t="shared" si="36"/>
        <v>#N/A</v>
      </c>
      <c r="I58" s="204" t="str">
        <f t="shared" si="36"/>
        <v>#N/A</v>
      </c>
      <c r="J58" s="204" t="str">
        <f t="shared" si="36"/>
        <v>#N/A</v>
      </c>
      <c r="K58" s="204" t="str">
        <f t="shared" si="36"/>
        <v>#N/A</v>
      </c>
      <c r="L58" s="204" t="str">
        <f t="shared" si="36"/>
        <v>#N/A</v>
      </c>
      <c r="M58" s="204" t="str">
        <f t="shared" si="36"/>
        <v>#N/A</v>
      </c>
      <c r="N58" s="204" t="str">
        <f t="shared" si="36"/>
        <v>#N/A</v>
      </c>
      <c r="O58" s="204" t="str">
        <f t="shared" si="36"/>
        <v>#N/A</v>
      </c>
      <c r="P58" s="128" t="str">
        <f t="shared" si="36"/>
        <v>#N/A</v>
      </c>
      <c r="Q58" s="128" t="str">
        <f t="shared" si="36"/>
        <v>#N/A</v>
      </c>
      <c r="R58" s="128" t="str">
        <f t="shared" si="36"/>
        <v>#N/A</v>
      </c>
      <c r="S58" s="128" t="str">
        <f t="shared" si="36"/>
        <v>#N/A</v>
      </c>
      <c r="T58" s="128" t="str">
        <f t="shared" si="36"/>
        <v>#N/A</v>
      </c>
      <c r="U58" s="204" t="str">
        <f t="shared" si="36"/>
        <v>#N/A</v>
      </c>
      <c r="V58" s="204" t="str">
        <f t="shared" si="36"/>
        <v>#N/A</v>
      </c>
      <c r="W58" s="204" t="str">
        <f t="shared" si="36"/>
        <v>#N/A</v>
      </c>
      <c r="X58" s="204" t="str">
        <f t="shared" si="36"/>
        <v>#N/A</v>
      </c>
      <c r="Y58" s="204" t="str">
        <f t="shared" si="36"/>
        <v>#N/A</v>
      </c>
      <c r="Z58" s="204" t="str">
        <f t="shared" si="36"/>
        <v>#N/A</v>
      </c>
      <c r="AA58" s="204" t="str">
        <f t="shared" si="36"/>
        <v>#N/A</v>
      </c>
      <c r="AB58" s="204" t="str">
        <f t="shared" si="36"/>
        <v>#N/A</v>
      </c>
      <c r="AC58" s="204" t="str">
        <f t="shared" si="36"/>
        <v>#N/A</v>
      </c>
      <c r="AD58" s="204" t="str">
        <f t="shared" si="36"/>
        <v>#N/A</v>
      </c>
      <c r="AE58" s="204" t="str">
        <f t="shared" si="36"/>
        <v>#N/A</v>
      </c>
      <c r="AF58" s="204" t="str">
        <f t="shared" si="36"/>
        <v>#N/A</v>
      </c>
      <c r="AG58" s="204" t="str">
        <f t="shared" si="36"/>
        <v>#N/A</v>
      </c>
      <c r="AH58" s="204" t="str">
        <f t="shared" si="36"/>
        <v>#N/A</v>
      </c>
      <c r="AI58" s="204" t="str">
        <f t="shared" si="36"/>
        <v>#N/A</v>
      </c>
      <c r="AJ58" s="204" t="str">
        <f t="shared" si="36"/>
        <v>#N/A</v>
      </c>
      <c r="AK58" s="204" t="str">
        <f t="shared" si="36"/>
        <v>#N/A</v>
      </c>
      <c r="AL58" s="204" t="str">
        <f t="shared" si="36"/>
        <v>#N/A</v>
      </c>
      <c r="AM58" s="204" t="str">
        <f t="shared" si="36"/>
        <v>#N/A</v>
      </c>
      <c r="AN58" s="204" t="str">
        <f t="shared" si="36"/>
        <v>#N/A</v>
      </c>
    </row>
    <row r="59">
      <c r="A59" s="140" t="s">
        <v>259</v>
      </c>
      <c r="B59" s="128" t="str">
        <f t="shared" ref="B59:AN59" si="37">IF(ISERROR(B$16),$B$12+1,IF(NOT(ISERROR(B58)),B57,A59))</f>
        <v>Rank</v>
      </c>
      <c r="C59" s="128" t="str">
        <f t="shared" si="37"/>
        <v>Rank</v>
      </c>
      <c r="D59" s="128" t="str">
        <f t="shared" si="37"/>
        <v>Rank</v>
      </c>
      <c r="E59" s="204" t="str">
        <f t="shared" si="37"/>
        <v>Rank</v>
      </c>
      <c r="F59" s="204" t="str">
        <f t="shared" si="37"/>
        <v>Rank</v>
      </c>
      <c r="G59" s="204" t="str">
        <f t="shared" si="37"/>
        <v>Rank</v>
      </c>
      <c r="H59" s="204" t="str">
        <f t="shared" si="37"/>
        <v>Rank</v>
      </c>
      <c r="I59" s="204" t="str">
        <f t="shared" si="37"/>
        <v>Rank</v>
      </c>
      <c r="J59" s="204" t="str">
        <f t="shared" si="37"/>
        <v>Rank</v>
      </c>
      <c r="K59" s="204" t="str">
        <f t="shared" si="37"/>
        <v>Rank</v>
      </c>
      <c r="L59" s="204" t="str">
        <f t="shared" si="37"/>
        <v>Rank</v>
      </c>
      <c r="M59" s="204" t="str">
        <f t="shared" si="37"/>
        <v>Rank</v>
      </c>
      <c r="N59" s="204" t="str">
        <f t="shared" si="37"/>
        <v>Rank</v>
      </c>
      <c r="O59" s="204" t="str">
        <f t="shared" si="37"/>
        <v>Rank</v>
      </c>
      <c r="P59" s="128" t="str">
        <f t="shared" si="37"/>
        <v>Rank</v>
      </c>
      <c r="Q59" s="128" t="str">
        <f t="shared" si="37"/>
        <v>Rank</v>
      </c>
      <c r="R59" s="128" t="str">
        <f t="shared" si="37"/>
        <v>Rank</v>
      </c>
      <c r="S59" s="128" t="str">
        <f t="shared" si="37"/>
        <v>Rank</v>
      </c>
      <c r="T59" s="128" t="str">
        <f t="shared" si="37"/>
        <v>Rank</v>
      </c>
      <c r="U59" s="204" t="str">
        <f t="shared" si="37"/>
        <v>Rank</v>
      </c>
      <c r="V59" s="204" t="str">
        <f t="shared" si="37"/>
        <v>Rank</v>
      </c>
      <c r="W59" s="204" t="str">
        <f t="shared" si="37"/>
        <v>Rank</v>
      </c>
      <c r="X59" s="204" t="str">
        <f t="shared" si="37"/>
        <v>Rank</v>
      </c>
      <c r="Y59" s="204" t="str">
        <f t="shared" si="37"/>
        <v>Rank</v>
      </c>
      <c r="Z59" s="204" t="str">
        <f t="shared" si="37"/>
        <v>Rank</v>
      </c>
      <c r="AA59" s="204" t="str">
        <f t="shared" si="37"/>
        <v>Rank</v>
      </c>
      <c r="AB59" s="204" t="str">
        <f t="shared" si="37"/>
        <v>Rank</v>
      </c>
      <c r="AC59" s="204" t="str">
        <f t="shared" si="37"/>
        <v>Rank</v>
      </c>
      <c r="AD59" s="204" t="str">
        <f t="shared" si="37"/>
        <v>Rank</v>
      </c>
      <c r="AE59" s="204" t="str">
        <f t="shared" si="37"/>
        <v>Rank</v>
      </c>
      <c r="AF59" s="204" t="str">
        <f t="shared" si="37"/>
        <v>Rank</v>
      </c>
      <c r="AG59" s="204" t="str">
        <f t="shared" si="37"/>
        <v>Rank</v>
      </c>
      <c r="AH59" s="204" t="str">
        <f t="shared" si="37"/>
        <v>Rank</v>
      </c>
      <c r="AI59" s="204" t="str">
        <f t="shared" si="37"/>
        <v>Rank</v>
      </c>
      <c r="AJ59" s="204" t="str">
        <f t="shared" si="37"/>
        <v>Rank</v>
      </c>
      <c r="AK59" s="204" t="str">
        <f t="shared" si="37"/>
        <v>Rank</v>
      </c>
      <c r="AL59" s="204" t="str">
        <f t="shared" si="37"/>
        <v>Rank</v>
      </c>
      <c r="AM59" s="204" t="str">
        <f t="shared" si="37"/>
        <v>Rank</v>
      </c>
      <c r="AN59" s="204" t="str">
        <f t="shared" si="37"/>
        <v>Rank</v>
      </c>
    </row>
    <row r="60">
      <c r="A60" s="140" t="s">
        <v>260</v>
      </c>
      <c r="B60" s="173" t="str">
        <f>B58</f>
        <v>#N/A</v>
      </c>
      <c r="C60" s="644" t="str">
        <f t="shared" ref="C60:AN60" si="38">IF(NOT(ISERROR(C58)),C58,INDEX(OFFSET($B57,0,B60,1,COUNTA($B$7:$K$7)-B60),1,MATCH(C59,OFFSET($B24,0,B60,1,COUNTA($B$7:$K$7)-B60),0)))</f>
        <v>#N/A</v>
      </c>
      <c r="D60" s="644" t="str">
        <f t="shared" si="38"/>
        <v>#N/A</v>
      </c>
      <c r="E60" s="645" t="str">
        <f t="shared" si="38"/>
        <v>#N/A</v>
      </c>
      <c r="F60" s="645" t="str">
        <f t="shared" si="38"/>
        <v>#N/A</v>
      </c>
      <c r="G60" s="645" t="str">
        <f t="shared" si="38"/>
        <v>#N/A</v>
      </c>
      <c r="H60" s="645" t="str">
        <f t="shared" si="38"/>
        <v>#N/A</v>
      </c>
      <c r="I60" s="645" t="str">
        <f t="shared" si="38"/>
        <v>#N/A</v>
      </c>
      <c r="J60" s="645" t="str">
        <f t="shared" si="38"/>
        <v>#N/A</v>
      </c>
      <c r="K60" s="645" t="str">
        <f t="shared" si="38"/>
        <v>#N/A</v>
      </c>
      <c r="L60" s="645" t="str">
        <f t="shared" si="38"/>
        <v>#N/A</v>
      </c>
      <c r="M60" s="645" t="str">
        <f t="shared" si="38"/>
        <v>#N/A</v>
      </c>
      <c r="N60" s="645" t="str">
        <f t="shared" si="38"/>
        <v>#N/A</v>
      </c>
      <c r="O60" s="645" t="str">
        <f t="shared" si="38"/>
        <v>#N/A</v>
      </c>
      <c r="P60" s="644" t="str">
        <f t="shared" si="38"/>
        <v>#N/A</v>
      </c>
      <c r="Q60" s="644" t="str">
        <f t="shared" si="38"/>
        <v>#N/A</v>
      </c>
      <c r="R60" s="644" t="str">
        <f t="shared" si="38"/>
        <v>#N/A</v>
      </c>
      <c r="S60" s="644" t="str">
        <f t="shared" si="38"/>
        <v>#N/A</v>
      </c>
      <c r="T60" s="644" t="str">
        <f t="shared" si="38"/>
        <v>#N/A</v>
      </c>
      <c r="U60" s="645" t="str">
        <f t="shared" si="38"/>
        <v>#N/A</v>
      </c>
      <c r="V60" s="645" t="str">
        <f t="shared" si="38"/>
        <v>#N/A</v>
      </c>
      <c r="W60" s="645" t="str">
        <f t="shared" si="38"/>
        <v>#N/A</v>
      </c>
      <c r="X60" s="645" t="str">
        <f t="shared" si="38"/>
        <v>#N/A</v>
      </c>
      <c r="Y60" s="645" t="str">
        <f t="shared" si="38"/>
        <v>#N/A</v>
      </c>
      <c r="Z60" s="645" t="str">
        <f t="shared" si="38"/>
        <v>#N/A</v>
      </c>
      <c r="AA60" s="645" t="str">
        <f t="shared" si="38"/>
        <v>#N/A</v>
      </c>
      <c r="AB60" s="645" t="str">
        <f t="shared" si="38"/>
        <v>#N/A</v>
      </c>
      <c r="AC60" s="645" t="str">
        <f t="shared" si="38"/>
        <v>#N/A</v>
      </c>
      <c r="AD60" s="645" t="str">
        <f t="shared" si="38"/>
        <v>#N/A</v>
      </c>
      <c r="AE60" s="645" t="str">
        <f t="shared" si="38"/>
        <v>#N/A</v>
      </c>
      <c r="AF60" s="645" t="str">
        <f t="shared" si="38"/>
        <v>#N/A</v>
      </c>
      <c r="AG60" s="645" t="str">
        <f t="shared" si="38"/>
        <v>#N/A</v>
      </c>
      <c r="AH60" s="645" t="str">
        <f t="shared" si="38"/>
        <v>#N/A</v>
      </c>
      <c r="AI60" s="645" t="str">
        <f t="shared" si="38"/>
        <v>#N/A</v>
      </c>
      <c r="AJ60" s="645" t="str">
        <f t="shared" si="38"/>
        <v>#N/A</v>
      </c>
      <c r="AK60" s="645" t="str">
        <f t="shared" si="38"/>
        <v>#N/A</v>
      </c>
      <c r="AL60" s="645" t="str">
        <f t="shared" si="38"/>
        <v>#N/A</v>
      </c>
      <c r="AM60" s="645" t="str">
        <f t="shared" si="38"/>
        <v>#N/A</v>
      </c>
      <c r="AN60" s="645" t="str">
        <f t="shared" si="38"/>
        <v>#N/A</v>
      </c>
    </row>
    <row r="61">
      <c r="A61" s="140" t="s">
        <v>261</v>
      </c>
      <c r="B61" s="128" t="str">
        <f t="shared" ref="B61:AN61" si="39">INDEX($B$6:$K$6,1,INDEX($B$15:$K$15,1,B60))</f>
        <v>#N/A</v>
      </c>
      <c r="C61" s="128" t="str">
        <f t="shared" si="39"/>
        <v>#N/A</v>
      </c>
      <c r="D61" s="128" t="str">
        <f t="shared" si="39"/>
        <v>#N/A</v>
      </c>
      <c r="E61" s="651" t="str">
        <f t="shared" si="39"/>
        <v>#N/A</v>
      </c>
      <c r="F61" s="651" t="str">
        <f t="shared" si="39"/>
        <v>#N/A</v>
      </c>
      <c r="G61" s="651" t="str">
        <f t="shared" si="39"/>
        <v>#N/A</v>
      </c>
      <c r="H61" s="651" t="str">
        <f t="shared" si="39"/>
        <v>#N/A</v>
      </c>
      <c r="I61" s="651" t="str">
        <f t="shared" si="39"/>
        <v>#N/A</v>
      </c>
      <c r="J61" s="651" t="str">
        <f t="shared" si="39"/>
        <v>#N/A</v>
      </c>
      <c r="K61" s="651" t="str">
        <f t="shared" si="39"/>
        <v>#N/A</v>
      </c>
      <c r="L61" s="651" t="str">
        <f t="shared" si="39"/>
        <v>#N/A</v>
      </c>
      <c r="M61" s="651" t="str">
        <f t="shared" si="39"/>
        <v>#N/A</v>
      </c>
      <c r="N61" s="651" t="str">
        <f t="shared" si="39"/>
        <v>#N/A</v>
      </c>
      <c r="O61" s="651" t="str">
        <f t="shared" si="39"/>
        <v>#N/A</v>
      </c>
      <c r="P61" s="128" t="str">
        <f t="shared" si="39"/>
        <v>#N/A</v>
      </c>
      <c r="Q61" s="128" t="str">
        <f t="shared" si="39"/>
        <v>#N/A</v>
      </c>
      <c r="R61" s="128" t="str">
        <f t="shared" si="39"/>
        <v>#N/A</v>
      </c>
      <c r="S61" s="128" t="str">
        <f t="shared" si="39"/>
        <v>#N/A</v>
      </c>
      <c r="T61" s="128" t="str">
        <f t="shared" si="39"/>
        <v>#N/A</v>
      </c>
      <c r="U61" s="651" t="str">
        <f t="shared" si="39"/>
        <v>#N/A</v>
      </c>
      <c r="V61" s="651" t="str">
        <f t="shared" si="39"/>
        <v>#N/A</v>
      </c>
      <c r="W61" s="651" t="str">
        <f t="shared" si="39"/>
        <v>#N/A</v>
      </c>
      <c r="X61" s="651" t="str">
        <f t="shared" si="39"/>
        <v>#N/A</v>
      </c>
      <c r="Y61" s="651" t="str">
        <f t="shared" si="39"/>
        <v>#N/A</v>
      </c>
      <c r="Z61" s="651" t="str">
        <f t="shared" si="39"/>
        <v>#N/A</v>
      </c>
      <c r="AA61" s="651" t="str">
        <f t="shared" si="39"/>
        <v>#N/A</v>
      </c>
      <c r="AB61" s="651" t="str">
        <f t="shared" si="39"/>
        <v>#N/A</v>
      </c>
      <c r="AC61" s="651" t="str">
        <f t="shared" si="39"/>
        <v>#N/A</v>
      </c>
      <c r="AD61" s="651" t="str">
        <f t="shared" si="39"/>
        <v>#N/A</v>
      </c>
      <c r="AE61" s="651" t="str">
        <f t="shared" si="39"/>
        <v>#N/A</v>
      </c>
      <c r="AF61" s="651" t="str">
        <f t="shared" si="39"/>
        <v>#N/A</v>
      </c>
      <c r="AG61" s="651" t="str">
        <f t="shared" si="39"/>
        <v>#N/A</v>
      </c>
      <c r="AH61" s="651" t="str">
        <f t="shared" si="39"/>
        <v>#N/A</v>
      </c>
      <c r="AI61" s="651" t="str">
        <f t="shared" si="39"/>
        <v>#N/A</v>
      </c>
      <c r="AJ61" s="651" t="str">
        <f t="shared" si="39"/>
        <v>#N/A</v>
      </c>
      <c r="AK61" s="651" t="str">
        <f t="shared" si="39"/>
        <v>#N/A</v>
      </c>
      <c r="AL61" s="651" t="str">
        <f t="shared" si="39"/>
        <v>#N/A</v>
      </c>
      <c r="AM61" s="651" t="str">
        <f t="shared" si="39"/>
        <v>#N/A</v>
      </c>
      <c r="AN61" s="651" t="str">
        <f t="shared" si="39"/>
        <v>#N/A</v>
      </c>
    </row>
    <row r="62">
      <c r="A62" s="126"/>
      <c r="B62" s="126"/>
      <c r="C62" s="126"/>
      <c r="D62" s="126"/>
      <c r="E62" s="124"/>
      <c r="F62" s="124"/>
      <c r="G62" s="124"/>
      <c r="H62" s="124"/>
      <c r="I62" s="124"/>
      <c r="J62" s="124"/>
      <c r="K62" s="124"/>
      <c r="L62" s="124"/>
      <c r="M62" s="124"/>
      <c r="N62" s="124"/>
      <c r="O62" s="124"/>
      <c r="P62" s="126"/>
      <c r="Q62" s="126"/>
      <c r="R62" s="126"/>
      <c r="S62" s="126"/>
      <c r="T62" s="126"/>
      <c r="U62" s="124"/>
      <c r="V62" s="124"/>
      <c r="W62" s="124"/>
      <c r="X62" s="124"/>
      <c r="Y62" s="124"/>
      <c r="Z62" s="124"/>
      <c r="AA62" s="124"/>
      <c r="AB62" s="124"/>
      <c r="AC62" s="124"/>
      <c r="AD62" s="124"/>
      <c r="AE62" s="124"/>
      <c r="AF62" s="124"/>
      <c r="AG62" s="124"/>
      <c r="AH62" s="124"/>
      <c r="AI62" s="124"/>
      <c r="AJ62" s="124"/>
      <c r="AK62" s="124"/>
      <c r="AL62" s="124"/>
      <c r="AM62" s="124"/>
      <c r="AN62" s="124"/>
    </row>
    <row r="63">
      <c r="A63" s="620" t="s">
        <v>66</v>
      </c>
      <c r="B63" s="652"/>
      <c r="C63" s="652"/>
      <c r="D63" s="652"/>
      <c r="E63" s="653"/>
      <c r="F63" s="653"/>
      <c r="G63" s="653"/>
      <c r="H63" s="653"/>
      <c r="I63" s="653"/>
      <c r="J63" s="653"/>
      <c r="K63" s="653"/>
      <c r="L63" s="653"/>
      <c r="M63" s="653"/>
      <c r="N63" s="653"/>
      <c r="O63" s="653"/>
      <c r="P63" s="652"/>
      <c r="Q63" s="652"/>
      <c r="R63" s="652"/>
      <c r="S63" s="652"/>
      <c r="T63" s="652"/>
      <c r="U63" s="653"/>
      <c r="V63" s="653"/>
      <c r="W63" s="653"/>
      <c r="X63" s="653"/>
      <c r="Y63" s="653"/>
      <c r="Z63" s="653"/>
      <c r="AA63" s="653"/>
      <c r="AB63" s="653"/>
      <c r="AC63" s="653"/>
      <c r="AD63" s="653"/>
      <c r="AE63" s="653"/>
      <c r="AF63" s="653"/>
      <c r="AG63" s="653"/>
      <c r="AH63" s="653"/>
      <c r="AI63" s="653"/>
      <c r="AJ63" s="653"/>
      <c r="AK63" s="653"/>
      <c r="AL63" s="653"/>
      <c r="AM63" s="653"/>
      <c r="AN63" s="653"/>
    </row>
    <row r="64">
      <c r="A64" s="654" t="s">
        <v>270</v>
      </c>
      <c r="B64" s="654" t="str">
        <f t="shared" ref="B64:AN64" si="40">MATCH(B17,#REF!,1)</f>
        <v>#REF!</v>
      </c>
      <c r="C64" s="654" t="str">
        <f t="shared" si="40"/>
        <v>#REF!</v>
      </c>
      <c r="D64" s="654" t="str">
        <f t="shared" si="40"/>
        <v>#REF!</v>
      </c>
      <c r="E64" s="655" t="str">
        <f t="shared" si="40"/>
        <v>#REF!</v>
      </c>
      <c r="F64" s="655" t="str">
        <f t="shared" si="40"/>
        <v>#REF!</v>
      </c>
      <c r="G64" s="655" t="str">
        <f t="shared" si="40"/>
        <v>#REF!</v>
      </c>
      <c r="H64" s="655" t="str">
        <f t="shared" si="40"/>
        <v>#REF!</v>
      </c>
      <c r="I64" s="655" t="str">
        <f t="shared" si="40"/>
        <v>#REF!</v>
      </c>
      <c r="J64" s="655" t="str">
        <f t="shared" si="40"/>
        <v>#REF!</v>
      </c>
      <c r="K64" s="655" t="str">
        <f t="shared" si="40"/>
        <v>#REF!</v>
      </c>
      <c r="L64" s="655" t="str">
        <f t="shared" si="40"/>
        <v>#REF!</v>
      </c>
      <c r="M64" s="655" t="str">
        <f t="shared" si="40"/>
        <v>#REF!</v>
      </c>
      <c r="N64" s="655" t="str">
        <f t="shared" si="40"/>
        <v>#REF!</v>
      </c>
      <c r="O64" s="655" t="str">
        <f t="shared" si="40"/>
        <v>#REF!</v>
      </c>
      <c r="P64" s="654" t="str">
        <f t="shared" si="40"/>
        <v>#REF!</v>
      </c>
      <c r="Q64" s="654" t="str">
        <f t="shared" si="40"/>
        <v>#REF!</v>
      </c>
      <c r="R64" s="654" t="str">
        <f t="shared" si="40"/>
        <v>#REF!</v>
      </c>
      <c r="S64" s="654" t="str">
        <f t="shared" si="40"/>
        <v>#REF!</v>
      </c>
      <c r="T64" s="654" t="str">
        <f t="shared" si="40"/>
        <v>#REF!</v>
      </c>
      <c r="U64" s="655" t="str">
        <f t="shared" si="40"/>
        <v>#REF!</v>
      </c>
      <c r="V64" s="655" t="str">
        <f t="shared" si="40"/>
        <v>#REF!</v>
      </c>
      <c r="W64" s="655" t="str">
        <f t="shared" si="40"/>
        <v>#REF!</v>
      </c>
      <c r="X64" s="655" t="str">
        <f t="shared" si="40"/>
        <v>#REF!</v>
      </c>
      <c r="Y64" s="655" t="str">
        <f t="shared" si="40"/>
        <v>#REF!</v>
      </c>
      <c r="Z64" s="655" t="str">
        <f t="shared" si="40"/>
        <v>#REF!</v>
      </c>
      <c r="AA64" s="655" t="str">
        <f t="shared" si="40"/>
        <v>#REF!</v>
      </c>
      <c r="AB64" s="655" t="str">
        <f t="shared" si="40"/>
        <v>#REF!</v>
      </c>
      <c r="AC64" s="655" t="str">
        <f t="shared" si="40"/>
        <v>#REF!</v>
      </c>
      <c r="AD64" s="655" t="str">
        <f t="shared" si="40"/>
        <v>#REF!</v>
      </c>
      <c r="AE64" s="655" t="str">
        <f t="shared" si="40"/>
        <v>#REF!</v>
      </c>
      <c r="AF64" s="655" t="str">
        <f t="shared" si="40"/>
        <v>#REF!</v>
      </c>
      <c r="AG64" s="655" t="str">
        <f t="shared" si="40"/>
        <v>#REF!</v>
      </c>
      <c r="AH64" s="655" t="str">
        <f t="shared" si="40"/>
        <v>#REF!</v>
      </c>
      <c r="AI64" s="655" t="str">
        <f t="shared" si="40"/>
        <v>#REF!</v>
      </c>
      <c r="AJ64" s="655" t="str">
        <f t="shared" si="40"/>
        <v>#REF!</v>
      </c>
      <c r="AK64" s="655" t="str">
        <f t="shared" si="40"/>
        <v>#REF!</v>
      </c>
      <c r="AL64" s="655" t="str">
        <f t="shared" si="40"/>
        <v>#REF!</v>
      </c>
      <c r="AM64" s="655" t="str">
        <f t="shared" si="40"/>
        <v>#REF!</v>
      </c>
      <c r="AN64" s="655" t="str">
        <f t="shared" si="40"/>
        <v>#REF!</v>
      </c>
    </row>
    <row r="65">
      <c r="A65" s="654" t="s">
        <v>271</v>
      </c>
      <c r="B65" s="654">
        <f t="shared" ref="B65:AN65" si="41">IFERROR(1+SUMPRODUCT((OFFSET($B$64,0,0,1,$B$20)=B64)*(OFFSET($B$18,0,0,1,$B$20)&gt;B18))+B64*$B$12,1E+42)</f>
        <v>1E+42</v>
      </c>
      <c r="C65" s="654">
        <f t="shared" si="41"/>
        <v>1E+42</v>
      </c>
      <c r="D65" s="654">
        <f t="shared" si="41"/>
        <v>1E+42</v>
      </c>
      <c r="E65" s="655">
        <f t="shared" si="41"/>
        <v>1E+42</v>
      </c>
      <c r="F65" s="655">
        <f t="shared" si="41"/>
        <v>1E+42</v>
      </c>
      <c r="G65" s="655">
        <f t="shared" si="41"/>
        <v>1E+42</v>
      </c>
      <c r="H65" s="655">
        <f t="shared" si="41"/>
        <v>1E+42</v>
      </c>
      <c r="I65" s="655">
        <f t="shared" si="41"/>
        <v>1E+42</v>
      </c>
      <c r="J65" s="655">
        <f t="shared" si="41"/>
        <v>1E+42</v>
      </c>
      <c r="K65" s="655">
        <f t="shared" si="41"/>
        <v>1E+42</v>
      </c>
      <c r="L65" s="655">
        <f t="shared" si="41"/>
        <v>1E+42</v>
      </c>
      <c r="M65" s="655">
        <f t="shared" si="41"/>
        <v>1E+42</v>
      </c>
      <c r="N65" s="655">
        <f t="shared" si="41"/>
        <v>1E+42</v>
      </c>
      <c r="O65" s="655">
        <f t="shared" si="41"/>
        <v>1E+42</v>
      </c>
      <c r="P65" s="654">
        <f t="shared" si="41"/>
        <v>1E+42</v>
      </c>
      <c r="Q65" s="654">
        <f t="shared" si="41"/>
        <v>1E+42</v>
      </c>
      <c r="R65" s="654">
        <f t="shared" si="41"/>
        <v>1E+42</v>
      </c>
      <c r="S65" s="654">
        <f t="shared" si="41"/>
        <v>1E+42</v>
      </c>
      <c r="T65" s="654">
        <f t="shared" si="41"/>
        <v>1E+42</v>
      </c>
      <c r="U65" s="655">
        <f t="shared" si="41"/>
        <v>1E+42</v>
      </c>
      <c r="V65" s="655">
        <f t="shared" si="41"/>
        <v>1E+42</v>
      </c>
      <c r="W65" s="655">
        <f t="shared" si="41"/>
        <v>1E+42</v>
      </c>
      <c r="X65" s="655">
        <f t="shared" si="41"/>
        <v>1E+42</v>
      </c>
      <c r="Y65" s="655">
        <f t="shared" si="41"/>
        <v>1E+42</v>
      </c>
      <c r="Z65" s="655">
        <f t="shared" si="41"/>
        <v>1E+42</v>
      </c>
      <c r="AA65" s="655">
        <f t="shared" si="41"/>
        <v>1E+42</v>
      </c>
      <c r="AB65" s="655">
        <f t="shared" si="41"/>
        <v>1E+42</v>
      </c>
      <c r="AC65" s="655">
        <f t="shared" si="41"/>
        <v>1E+42</v>
      </c>
      <c r="AD65" s="655">
        <f t="shared" si="41"/>
        <v>1E+42</v>
      </c>
      <c r="AE65" s="655">
        <f t="shared" si="41"/>
        <v>1E+42</v>
      </c>
      <c r="AF65" s="655">
        <f t="shared" si="41"/>
        <v>1E+42</v>
      </c>
      <c r="AG65" s="655">
        <f t="shared" si="41"/>
        <v>1E+42</v>
      </c>
      <c r="AH65" s="655">
        <f t="shared" si="41"/>
        <v>1E+42</v>
      </c>
      <c r="AI65" s="655">
        <f t="shared" si="41"/>
        <v>1E+42</v>
      </c>
      <c r="AJ65" s="655">
        <f t="shared" si="41"/>
        <v>1E+42</v>
      </c>
      <c r="AK65" s="655">
        <f t="shared" si="41"/>
        <v>1E+42</v>
      </c>
      <c r="AL65" s="655">
        <f t="shared" si="41"/>
        <v>1E+42</v>
      </c>
      <c r="AM65" s="655">
        <f t="shared" si="41"/>
        <v>1E+42</v>
      </c>
      <c r="AN65" s="655">
        <f t="shared" si="41"/>
        <v>1E+42</v>
      </c>
    </row>
    <row r="66">
      <c r="A66" s="654" t="s">
        <v>272</v>
      </c>
      <c r="B66" s="654">
        <f t="shared" ref="B66:AN66" si="42">RANK(B65,$B$65:$K$65,1)+0.0001*COLUMN()</f>
        <v>1.0002</v>
      </c>
      <c r="C66" s="654">
        <f t="shared" si="42"/>
        <v>1.0003</v>
      </c>
      <c r="D66" s="654">
        <f t="shared" si="42"/>
        <v>1.0004</v>
      </c>
      <c r="E66" s="655">
        <f t="shared" si="42"/>
        <v>1.0005</v>
      </c>
      <c r="F66" s="655">
        <f t="shared" si="42"/>
        <v>1.0006</v>
      </c>
      <c r="G66" s="655">
        <f t="shared" si="42"/>
        <v>1.0007</v>
      </c>
      <c r="H66" s="655">
        <f t="shared" si="42"/>
        <v>1.0008</v>
      </c>
      <c r="I66" s="655">
        <f t="shared" si="42"/>
        <v>1.0009</v>
      </c>
      <c r="J66" s="655">
        <f t="shared" si="42"/>
        <v>1.001</v>
      </c>
      <c r="K66" s="655">
        <f t="shared" si="42"/>
        <v>1.0011</v>
      </c>
      <c r="L66" s="655">
        <f t="shared" si="42"/>
        <v>1.0012</v>
      </c>
      <c r="M66" s="655">
        <f t="shared" si="42"/>
        <v>1.0013</v>
      </c>
      <c r="N66" s="655">
        <f t="shared" si="42"/>
        <v>1.0014</v>
      </c>
      <c r="O66" s="655">
        <f t="shared" si="42"/>
        <v>1.0015</v>
      </c>
      <c r="P66" s="654">
        <f t="shared" si="42"/>
        <v>1.0016</v>
      </c>
      <c r="Q66" s="654">
        <f t="shared" si="42"/>
        <v>1.0017</v>
      </c>
      <c r="R66" s="654">
        <f t="shared" si="42"/>
        <v>1.0018</v>
      </c>
      <c r="S66" s="654">
        <f t="shared" si="42"/>
        <v>1.0019</v>
      </c>
      <c r="T66" s="654">
        <f t="shared" si="42"/>
        <v>1.002</v>
      </c>
      <c r="U66" s="655">
        <f t="shared" si="42"/>
        <v>1.0021</v>
      </c>
      <c r="V66" s="655">
        <f t="shared" si="42"/>
        <v>1.0022</v>
      </c>
      <c r="W66" s="655">
        <f t="shared" si="42"/>
        <v>1.0023</v>
      </c>
      <c r="X66" s="655">
        <f t="shared" si="42"/>
        <v>1.0024</v>
      </c>
      <c r="Y66" s="655">
        <f t="shared" si="42"/>
        <v>1.0025</v>
      </c>
      <c r="Z66" s="655">
        <f t="shared" si="42"/>
        <v>1.0026</v>
      </c>
      <c r="AA66" s="655">
        <f t="shared" si="42"/>
        <v>1.0027</v>
      </c>
      <c r="AB66" s="655">
        <f t="shared" si="42"/>
        <v>1.0028</v>
      </c>
      <c r="AC66" s="655">
        <f t="shared" si="42"/>
        <v>1.0029</v>
      </c>
      <c r="AD66" s="655">
        <f t="shared" si="42"/>
        <v>1.003</v>
      </c>
      <c r="AE66" s="655">
        <f t="shared" si="42"/>
        <v>1.0031</v>
      </c>
      <c r="AF66" s="655">
        <f t="shared" si="42"/>
        <v>1.0032</v>
      </c>
      <c r="AG66" s="655">
        <f t="shared" si="42"/>
        <v>1.0033</v>
      </c>
      <c r="AH66" s="655">
        <f t="shared" si="42"/>
        <v>1.0034</v>
      </c>
      <c r="AI66" s="655">
        <f t="shared" si="42"/>
        <v>1.0035</v>
      </c>
      <c r="AJ66" s="655">
        <f t="shared" si="42"/>
        <v>1.0036</v>
      </c>
      <c r="AK66" s="655">
        <f t="shared" si="42"/>
        <v>1.0037</v>
      </c>
      <c r="AL66" s="655">
        <f t="shared" si="42"/>
        <v>1.0038</v>
      </c>
      <c r="AM66" s="655">
        <f t="shared" si="42"/>
        <v>1.0039</v>
      </c>
      <c r="AN66" s="655">
        <f t="shared" si="42"/>
        <v>1.004</v>
      </c>
    </row>
    <row r="67">
      <c r="A67" s="654" t="s">
        <v>273</v>
      </c>
      <c r="B67" s="654">
        <f t="shared" ref="B67:AN67" si="43">RANK(B66,$B$66:$K$66,1)</f>
        <v>1</v>
      </c>
      <c r="C67" s="654">
        <f t="shared" si="43"/>
        <v>2</v>
      </c>
      <c r="D67" s="654">
        <f t="shared" si="43"/>
        <v>3</v>
      </c>
      <c r="E67" s="655">
        <f t="shared" si="43"/>
        <v>4</v>
      </c>
      <c r="F67" s="655">
        <f t="shared" si="43"/>
        <v>5</v>
      </c>
      <c r="G67" s="655">
        <f t="shared" si="43"/>
        <v>6</v>
      </c>
      <c r="H67" s="655">
        <f t="shared" si="43"/>
        <v>7</v>
      </c>
      <c r="I67" s="655">
        <f t="shared" si="43"/>
        <v>8</v>
      </c>
      <c r="J67" s="655">
        <f t="shared" si="43"/>
        <v>9</v>
      </c>
      <c r="K67" s="655">
        <f t="shared" si="43"/>
        <v>10</v>
      </c>
      <c r="L67" s="655" t="str">
        <f t="shared" si="43"/>
        <v>#N/A</v>
      </c>
      <c r="M67" s="655" t="str">
        <f t="shared" si="43"/>
        <v>#N/A</v>
      </c>
      <c r="N67" s="655" t="str">
        <f t="shared" si="43"/>
        <v>#N/A</v>
      </c>
      <c r="O67" s="655" t="str">
        <f t="shared" si="43"/>
        <v>#N/A</v>
      </c>
      <c r="P67" s="654" t="str">
        <f t="shared" si="43"/>
        <v>#N/A</v>
      </c>
      <c r="Q67" s="654" t="str">
        <f t="shared" si="43"/>
        <v>#N/A</v>
      </c>
      <c r="R67" s="654" t="str">
        <f t="shared" si="43"/>
        <v>#N/A</v>
      </c>
      <c r="S67" s="654" t="str">
        <f t="shared" si="43"/>
        <v>#N/A</v>
      </c>
      <c r="T67" s="654" t="str">
        <f t="shared" si="43"/>
        <v>#N/A</v>
      </c>
      <c r="U67" s="655" t="str">
        <f t="shared" si="43"/>
        <v>#N/A</v>
      </c>
      <c r="V67" s="655" t="str">
        <f t="shared" si="43"/>
        <v>#N/A</v>
      </c>
      <c r="W67" s="655" t="str">
        <f t="shared" si="43"/>
        <v>#N/A</v>
      </c>
      <c r="X67" s="655" t="str">
        <f t="shared" si="43"/>
        <v>#N/A</v>
      </c>
      <c r="Y67" s="655" t="str">
        <f t="shared" si="43"/>
        <v>#N/A</v>
      </c>
      <c r="Z67" s="655" t="str">
        <f t="shared" si="43"/>
        <v>#N/A</v>
      </c>
      <c r="AA67" s="655" t="str">
        <f t="shared" si="43"/>
        <v>#N/A</v>
      </c>
      <c r="AB67" s="655" t="str">
        <f t="shared" si="43"/>
        <v>#N/A</v>
      </c>
      <c r="AC67" s="655" t="str">
        <f t="shared" si="43"/>
        <v>#N/A</v>
      </c>
      <c r="AD67" s="655" t="str">
        <f t="shared" si="43"/>
        <v>#N/A</v>
      </c>
      <c r="AE67" s="655" t="str">
        <f t="shared" si="43"/>
        <v>#N/A</v>
      </c>
      <c r="AF67" s="655" t="str">
        <f t="shared" si="43"/>
        <v>#N/A</v>
      </c>
      <c r="AG67" s="655" t="str">
        <f t="shared" si="43"/>
        <v>#N/A</v>
      </c>
      <c r="AH67" s="655" t="str">
        <f t="shared" si="43"/>
        <v>#N/A</v>
      </c>
      <c r="AI67" s="655" t="str">
        <f t="shared" si="43"/>
        <v>#N/A</v>
      </c>
      <c r="AJ67" s="655" t="str">
        <f t="shared" si="43"/>
        <v>#N/A</v>
      </c>
      <c r="AK67" s="655" t="str">
        <f t="shared" si="43"/>
        <v>#N/A</v>
      </c>
      <c r="AL67" s="655" t="str">
        <f t="shared" si="43"/>
        <v>#N/A</v>
      </c>
      <c r="AM67" s="655" t="str">
        <f t="shared" si="43"/>
        <v>#N/A</v>
      </c>
      <c r="AN67" s="655" t="str">
        <f t="shared" si="43"/>
        <v>#N/A</v>
      </c>
    </row>
    <row r="68">
      <c r="A68" s="654" t="s">
        <v>258</v>
      </c>
      <c r="B68" s="654">
        <v>1.0</v>
      </c>
      <c r="C68" s="654">
        <f t="shared" ref="C68:AN68" si="44">B68+1</f>
        <v>2</v>
      </c>
      <c r="D68" s="654">
        <f t="shared" si="44"/>
        <v>3</v>
      </c>
      <c r="E68" s="655">
        <f t="shared" si="44"/>
        <v>4</v>
      </c>
      <c r="F68" s="655">
        <f t="shared" si="44"/>
        <v>5</v>
      </c>
      <c r="G68" s="655">
        <f t="shared" si="44"/>
        <v>6</v>
      </c>
      <c r="H68" s="655">
        <f t="shared" si="44"/>
        <v>7</v>
      </c>
      <c r="I68" s="655">
        <f t="shared" si="44"/>
        <v>8</v>
      </c>
      <c r="J68" s="655">
        <f t="shared" si="44"/>
        <v>9</v>
      </c>
      <c r="K68" s="655">
        <f t="shared" si="44"/>
        <v>10</v>
      </c>
      <c r="L68" s="655">
        <f t="shared" si="44"/>
        <v>11</v>
      </c>
      <c r="M68" s="655">
        <f t="shared" si="44"/>
        <v>12</v>
      </c>
      <c r="N68" s="655">
        <f t="shared" si="44"/>
        <v>13</v>
      </c>
      <c r="O68" s="655">
        <f t="shared" si="44"/>
        <v>14</v>
      </c>
      <c r="P68" s="654">
        <f t="shared" si="44"/>
        <v>15</v>
      </c>
      <c r="Q68" s="654">
        <f t="shared" si="44"/>
        <v>16</v>
      </c>
      <c r="R68" s="654">
        <f t="shared" si="44"/>
        <v>17</v>
      </c>
      <c r="S68" s="654">
        <f t="shared" si="44"/>
        <v>18</v>
      </c>
      <c r="T68" s="654">
        <f t="shared" si="44"/>
        <v>19</v>
      </c>
      <c r="U68" s="655">
        <f t="shared" si="44"/>
        <v>20</v>
      </c>
      <c r="V68" s="655">
        <f t="shared" si="44"/>
        <v>21</v>
      </c>
      <c r="W68" s="655">
        <f t="shared" si="44"/>
        <v>22</v>
      </c>
      <c r="X68" s="655">
        <f t="shared" si="44"/>
        <v>23</v>
      </c>
      <c r="Y68" s="655">
        <f t="shared" si="44"/>
        <v>24</v>
      </c>
      <c r="Z68" s="655">
        <f t="shared" si="44"/>
        <v>25</v>
      </c>
      <c r="AA68" s="655">
        <f t="shared" si="44"/>
        <v>26</v>
      </c>
      <c r="AB68" s="655">
        <f t="shared" si="44"/>
        <v>27</v>
      </c>
      <c r="AC68" s="655">
        <f t="shared" si="44"/>
        <v>28</v>
      </c>
      <c r="AD68" s="655">
        <f t="shared" si="44"/>
        <v>29</v>
      </c>
      <c r="AE68" s="655">
        <f t="shared" si="44"/>
        <v>30</v>
      </c>
      <c r="AF68" s="655">
        <f t="shared" si="44"/>
        <v>31</v>
      </c>
      <c r="AG68" s="655">
        <f t="shared" si="44"/>
        <v>32</v>
      </c>
      <c r="AH68" s="655">
        <f t="shared" si="44"/>
        <v>33</v>
      </c>
      <c r="AI68" s="655">
        <f t="shared" si="44"/>
        <v>34</v>
      </c>
      <c r="AJ68" s="655">
        <f t="shared" si="44"/>
        <v>35</v>
      </c>
      <c r="AK68" s="655">
        <f t="shared" si="44"/>
        <v>36</v>
      </c>
      <c r="AL68" s="655">
        <f t="shared" si="44"/>
        <v>37</v>
      </c>
      <c r="AM68" s="655">
        <f t="shared" si="44"/>
        <v>38</v>
      </c>
      <c r="AN68" s="655">
        <f t="shared" si="44"/>
        <v>39</v>
      </c>
    </row>
    <row r="69">
      <c r="A69" s="654" t="s">
        <v>269</v>
      </c>
      <c r="B69" s="654">
        <f t="shared" ref="B69:AN69" si="45">MATCH(B68,$B$67:$K$67,0)</f>
        <v>1</v>
      </c>
      <c r="C69" s="654">
        <f t="shared" si="45"/>
        <v>2</v>
      </c>
      <c r="D69" s="654">
        <f t="shared" si="45"/>
        <v>3</v>
      </c>
      <c r="E69" s="655">
        <f t="shared" si="45"/>
        <v>4</v>
      </c>
      <c r="F69" s="655">
        <f t="shared" si="45"/>
        <v>5</v>
      </c>
      <c r="G69" s="655">
        <f t="shared" si="45"/>
        <v>6</v>
      </c>
      <c r="H69" s="655">
        <f t="shared" si="45"/>
        <v>7</v>
      </c>
      <c r="I69" s="655">
        <f t="shared" si="45"/>
        <v>8</v>
      </c>
      <c r="J69" s="655">
        <f t="shared" si="45"/>
        <v>9</v>
      </c>
      <c r="K69" s="655">
        <f t="shared" si="45"/>
        <v>10</v>
      </c>
      <c r="L69" s="655" t="str">
        <f t="shared" si="45"/>
        <v>#N/A</v>
      </c>
      <c r="M69" s="655" t="str">
        <f t="shared" si="45"/>
        <v>#N/A</v>
      </c>
      <c r="N69" s="655" t="str">
        <f t="shared" si="45"/>
        <v>#N/A</v>
      </c>
      <c r="O69" s="655" t="str">
        <f t="shared" si="45"/>
        <v>#N/A</v>
      </c>
      <c r="P69" s="654" t="str">
        <f t="shared" si="45"/>
        <v>#N/A</v>
      </c>
      <c r="Q69" s="654" t="str">
        <f t="shared" si="45"/>
        <v>#N/A</v>
      </c>
      <c r="R69" s="654" t="str">
        <f t="shared" si="45"/>
        <v>#N/A</v>
      </c>
      <c r="S69" s="654" t="str">
        <f t="shared" si="45"/>
        <v>#N/A</v>
      </c>
      <c r="T69" s="654" t="str">
        <f t="shared" si="45"/>
        <v>#N/A</v>
      </c>
      <c r="U69" s="655" t="str">
        <f t="shared" si="45"/>
        <v>#N/A</v>
      </c>
      <c r="V69" s="655" t="str">
        <f t="shared" si="45"/>
        <v>#N/A</v>
      </c>
      <c r="W69" s="655" t="str">
        <f t="shared" si="45"/>
        <v>#N/A</v>
      </c>
      <c r="X69" s="655" t="str">
        <f t="shared" si="45"/>
        <v>#N/A</v>
      </c>
      <c r="Y69" s="655" t="str">
        <f t="shared" si="45"/>
        <v>#N/A</v>
      </c>
      <c r="Z69" s="655" t="str">
        <f t="shared" si="45"/>
        <v>#N/A</v>
      </c>
      <c r="AA69" s="655" t="str">
        <f t="shared" si="45"/>
        <v>#N/A</v>
      </c>
      <c r="AB69" s="655" t="str">
        <f t="shared" si="45"/>
        <v>#N/A</v>
      </c>
      <c r="AC69" s="655" t="str">
        <f t="shared" si="45"/>
        <v>#N/A</v>
      </c>
      <c r="AD69" s="655" t="str">
        <f t="shared" si="45"/>
        <v>#N/A</v>
      </c>
      <c r="AE69" s="655" t="str">
        <f t="shared" si="45"/>
        <v>#N/A</v>
      </c>
      <c r="AF69" s="655" t="str">
        <f t="shared" si="45"/>
        <v>#N/A</v>
      </c>
      <c r="AG69" s="655" t="str">
        <f t="shared" si="45"/>
        <v>#N/A</v>
      </c>
      <c r="AH69" s="655" t="str">
        <f t="shared" si="45"/>
        <v>#N/A</v>
      </c>
      <c r="AI69" s="655" t="str">
        <f t="shared" si="45"/>
        <v>#N/A</v>
      </c>
      <c r="AJ69" s="655" t="str">
        <f t="shared" si="45"/>
        <v>#N/A</v>
      </c>
      <c r="AK69" s="655" t="str">
        <f t="shared" si="45"/>
        <v>#N/A</v>
      </c>
      <c r="AL69" s="655" t="str">
        <f t="shared" si="45"/>
        <v>#N/A</v>
      </c>
      <c r="AM69" s="655" t="str">
        <f t="shared" si="45"/>
        <v>#N/A</v>
      </c>
      <c r="AN69" s="655" t="str">
        <f t="shared" si="45"/>
        <v>#N/A</v>
      </c>
    </row>
    <row r="70">
      <c r="A70" s="656" t="s">
        <v>261</v>
      </c>
      <c r="B70" s="654">
        <f t="shared" ref="B70:AN70" si="46">INDEX($B$6:$K$6,1,INDEX($B$15:$K$15,1,B69))</f>
        <v>2</v>
      </c>
      <c r="C70" s="654">
        <f t="shared" si="46"/>
        <v>3</v>
      </c>
      <c r="D70" s="654">
        <f t="shared" si="46"/>
        <v>4</v>
      </c>
      <c r="E70" s="657">
        <f t="shared" si="46"/>
        <v>5</v>
      </c>
      <c r="F70" s="657">
        <f t="shared" si="46"/>
        <v>6</v>
      </c>
      <c r="G70" s="657">
        <f t="shared" si="46"/>
        <v>7</v>
      </c>
      <c r="H70" s="657">
        <f t="shared" si="46"/>
        <v>8</v>
      </c>
      <c r="I70" s="657">
        <f t="shared" si="46"/>
        <v>9</v>
      </c>
      <c r="J70" s="657">
        <f t="shared" si="46"/>
        <v>10</v>
      </c>
      <c r="K70" s="657" t="str">
        <f t="shared" si="46"/>
        <v>#NUM!</v>
      </c>
      <c r="L70" s="657" t="str">
        <f t="shared" si="46"/>
        <v>#N/A</v>
      </c>
      <c r="M70" s="657" t="str">
        <f t="shared" si="46"/>
        <v>#N/A</v>
      </c>
      <c r="N70" s="657" t="str">
        <f t="shared" si="46"/>
        <v>#N/A</v>
      </c>
      <c r="O70" s="657" t="str">
        <f t="shared" si="46"/>
        <v>#N/A</v>
      </c>
      <c r="P70" s="654" t="str">
        <f t="shared" si="46"/>
        <v>#N/A</v>
      </c>
      <c r="Q70" s="654" t="str">
        <f t="shared" si="46"/>
        <v>#N/A</v>
      </c>
      <c r="R70" s="654" t="str">
        <f t="shared" si="46"/>
        <v>#N/A</v>
      </c>
      <c r="S70" s="654" t="str">
        <f t="shared" si="46"/>
        <v>#N/A</v>
      </c>
      <c r="T70" s="654" t="str">
        <f t="shared" si="46"/>
        <v>#N/A</v>
      </c>
      <c r="U70" s="657" t="str">
        <f t="shared" si="46"/>
        <v>#N/A</v>
      </c>
      <c r="V70" s="657" t="str">
        <f t="shared" si="46"/>
        <v>#N/A</v>
      </c>
      <c r="W70" s="657" t="str">
        <f t="shared" si="46"/>
        <v>#N/A</v>
      </c>
      <c r="X70" s="657" t="str">
        <f t="shared" si="46"/>
        <v>#N/A</v>
      </c>
      <c r="Y70" s="657" t="str">
        <f t="shared" si="46"/>
        <v>#N/A</v>
      </c>
      <c r="Z70" s="657" t="str">
        <f t="shared" si="46"/>
        <v>#N/A</v>
      </c>
      <c r="AA70" s="657" t="str">
        <f t="shared" si="46"/>
        <v>#N/A</v>
      </c>
      <c r="AB70" s="657" t="str">
        <f t="shared" si="46"/>
        <v>#N/A</v>
      </c>
      <c r="AC70" s="657" t="str">
        <f t="shared" si="46"/>
        <v>#N/A</v>
      </c>
      <c r="AD70" s="657" t="str">
        <f t="shared" si="46"/>
        <v>#N/A</v>
      </c>
      <c r="AE70" s="657" t="str">
        <f t="shared" si="46"/>
        <v>#N/A</v>
      </c>
      <c r="AF70" s="657" t="str">
        <f t="shared" si="46"/>
        <v>#N/A</v>
      </c>
      <c r="AG70" s="657" t="str">
        <f t="shared" si="46"/>
        <v>#N/A</v>
      </c>
      <c r="AH70" s="657" t="str">
        <f t="shared" si="46"/>
        <v>#N/A</v>
      </c>
      <c r="AI70" s="657" t="str">
        <f t="shared" si="46"/>
        <v>#N/A</v>
      </c>
      <c r="AJ70" s="657" t="str">
        <f t="shared" si="46"/>
        <v>#N/A</v>
      </c>
      <c r="AK70" s="657" t="str">
        <f t="shared" si="46"/>
        <v>#N/A</v>
      </c>
      <c r="AL70" s="657" t="str">
        <f t="shared" si="46"/>
        <v>#N/A</v>
      </c>
      <c r="AM70" s="657" t="str">
        <f t="shared" si="46"/>
        <v>#N/A</v>
      </c>
      <c r="AN70" s="657" t="str">
        <f t="shared" si="46"/>
        <v>#N/A</v>
      </c>
    </row>
    <row r="71">
      <c r="A71" s="126"/>
      <c r="B71" s="126"/>
      <c r="C71" s="126"/>
      <c r="D71" s="126"/>
      <c r="E71" s="124"/>
      <c r="F71" s="124"/>
      <c r="G71" s="124"/>
      <c r="H71" s="124"/>
      <c r="I71" s="124"/>
      <c r="J71" s="124"/>
      <c r="K71" s="124"/>
      <c r="L71" s="124"/>
      <c r="M71" s="124"/>
      <c r="N71" s="124"/>
      <c r="O71" s="124"/>
      <c r="P71" s="126"/>
      <c r="Q71" s="126"/>
      <c r="R71" s="126"/>
      <c r="S71" s="126"/>
      <c r="T71" s="126"/>
      <c r="U71" s="124"/>
      <c r="V71" s="124"/>
      <c r="W71" s="124"/>
      <c r="X71" s="124"/>
      <c r="Y71" s="124"/>
      <c r="Z71" s="124"/>
      <c r="AA71" s="124"/>
      <c r="AB71" s="124"/>
      <c r="AC71" s="124"/>
      <c r="AD71" s="124"/>
      <c r="AE71" s="124"/>
      <c r="AF71" s="124"/>
      <c r="AG71" s="124"/>
      <c r="AH71" s="124"/>
      <c r="AI71" s="124"/>
      <c r="AJ71" s="124"/>
      <c r="AK71" s="124"/>
      <c r="AL71" s="124"/>
      <c r="AM71" s="124"/>
      <c r="AN71" s="124"/>
    </row>
    <row r="72">
      <c r="A72" s="126"/>
      <c r="B72" s="126"/>
      <c r="C72" s="126"/>
      <c r="D72" s="126"/>
      <c r="E72" s="124"/>
      <c r="F72" s="124"/>
      <c r="G72" s="124"/>
      <c r="H72" s="124"/>
      <c r="I72" s="124"/>
      <c r="J72" s="124"/>
      <c r="K72" s="124"/>
      <c r="L72" s="124"/>
      <c r="M72" s="124"/>
      <c r="N72" s="124"/>
      <c r="O72" s="124"/>
      <c r="P72" s="126"/>
      <c r="Q72" s="126"/>
      <c r="R72" s="126"/>
      <c r="S72" s="126"/>
      <c r="T72" s="126"/>
      <c r="U72" s="124"/>
      <c r="V72" s="124"/>
      <c r="W72" s="124"/>
      <c r="X72" s="124"/>
      <c r="Y72" s="124"/>
      <c r="Z72" s="124"/>
      <c r="AA72" s="124"/>
      <c r="AB72" s="124"/>
      <c r="AC72" s="124"/>
      <c r="AD72" s="124"/>
      <c r="AE72" s="124"/>
      <c r="AF72" s="124"/>
      <c r="AG72" s="124"/>
      <c r="AH72" s="124"/>
      <c r="AI72" s="124"/>
      <c r="AJ72" s="124"/>
      <c r="AK72" s="124"/>
      <c r="AL72" s="124"/>
      <c r="AM72" s="124"/>
      <c r="AN72" s="124"/>
    </row>
    <row r="73">
      <c r="A73" s="658" t="s">
        <v>274</v>
      </c>
      <c r="B73" s="128">
        <f>IF(Calculator!strategy=1,B31,IF(Calculator!strategy=2,B46,IF(Calculator!strategy=3,B70,IF(Calculator!strategy=6,B54,IF(Calculator!strategy=7,B61,B15)))))</f>
        <v>4</v>
      </c>
      <c r="C73" s="128">
        <f>IF(Calculator!strategy=1,C31,IF(Calculator!strategy=2,C46,IF(Calculator!strategy=3,C70,IF(Calculator!strategy=6,C54,IF(Calculator!strategy=7,C61,C15)))))</f>
        <v>2</v>
      </c>
      <c r="D73" s="128">
        <f>IF(Calculator!strategy=1,D31,IF(Calculator!strategy=2,D46,IF(Calculator!strategy=3,D70,IF(Calculator!strategy=6,D54,IF(Calculator!strategy=7,D61,D15)))))</f>
        <v>3</v>
      </c>
      <c r="E73" s="659">
        <f>IF(Calculator!strategy=1,E31,IF(Calculator!strategy=2,E46,IF(Calculator!strategy=3,E70,IF(Calculator!strategy=6,E54,IF(Calculator!strategy=7,E61,E15)))))</f>
        <v>5</v>
      </c>
      <c r="F73" s="659">
        <f>IF(Calculator!strategy=1,F31,IF(Calculator!strategy=2,F46,IF(Calculator!strategy=3,F70,IF(Calculator!strategy=6,F54,IF(Calculator!strategy=7,F61,F15)))))</f>
        <v>6</v>
      </c>
      <c r="G73" s="659">
        <f>IF(Calculator!strategy=1,G31,IF(Calculator!strategy=2,G46,IF(Calculator!strategy=3,G70,IF(Calculator!strategy=6,G54,IF(Calculator!strategy=7,G61,G15)))))</f>
        <v>13</v>
      </c>
      <c r="H73" s="659">
        <f>IF(Calculator!strategy=1,H31,IF(Calculator!strategy=2,H46,IF(Calculator!strategy=3,H70,IF(Calculator!strategy=6,H54,IF(Calculator!strategy=7,H61,H15)))))</f>
        <v>14</v>
      </c>
      <c r="I73" s="659">
        <f>IF(Calculator!strategy=1,I31,IF(Calculator!strategy=2,I46,IF(Calculator!strategy=3,I70,IF(Calculator!strategy=6,I54,IF(Calculator!strategy=7,I61,I15)))))</f>
        <v>7</v>
      </c>
      <c r="J73" s="659">
        <f>IF(Calculator!strategy=1,J31,IF(Calculator!strategy=2,J46,IF(Calculator!strategy=3,J70,IF(Calculator!strategy=6,J54,IF(Calculator!strategy=7,J61,J15)))))</f>
        <v>8</v>
      </c>
      <c r="K73" s="659">
        <f>IF(Calculator!strategy=1,K31,IF(Calculator!strategy=2,K46,IF(Calculator!strategy=3,K70,IF(Calculator!strategy=6,K54,IF(Calculator!strategy=7,K61,K15)))))</f>
        <v>12</v>
      </c>
      <c r="L73" s="659">
        <f>IF(Calculator!strategy=1,L31,IF(Calculator!strategy=2,L46,IF(Calculator!strategy=3,L70,IF(Calculator!strategy=6,L54,IF(Calculator!strategy=7,L61,L15)))))</f>
        <v>10</v>
      </c>
      <c r="M73" s="659">
        <f>IF(Calculator!strategy=1,M31,IF(Calculator!strategy=2,M46,IF(Calculator!strategy=3,M70,IF(Calculator!strategy=6,M54,IF(Calculator!strategy=7,M61,M15)))))</f>
        <v>9</v>
      </c>
      <c r="N73" s="659">
        <f>IF(Calculator!strategy=1,N31,IF(Calculator!strategy=2,N46,IF(Calculator!strategy=3,N70,IF(Calculator!strategy=6,N54,IF(Calculator!strategy=7,N61,N15)))))</f>
        <v>11</v>
      </c>
      <c r="O73" s="659" t="str">
        <f>IF(Calculator!strategy=1,O31,IF(Calculator!strategy=2,O46,IF(Calculator!strategy=3,O70,IF(Calculator!strategy=6,O54,IF(Calculator!strategy=7,O61,O15)))))</f>
        <v>#VALUE!</v>
      </c>
      <c r="P73" s="128" t="str">
        <f>IF(Calculator!strategy=1,P31,IF(Calculator!strategy=2,P46,IF(Calculator!strategy=3,P70,IF(Calculator!strategy=6,P54,IF(Calculator!strategy=7,P61,P15)))))</f>
        <v>#VALUE!</v>
      </c>
      <c r="Q73" s="128" t="str">
        <f>IF(Calculator!strategy=1,Q31,IF(Calculator!strategy=2,Q46,IF(Calculator!strategy=3,Q70,IF(Calculator!strategy=6,Q54,IF(Calculator!strategy=7,Q61,Q15)))))</f>
        <v>#VALUE!</v>
      </c>
      <c r="R73" s="128" t="str">
        <f>IF(Calculator!strategy=1,R31,IF(Calculator!strategy=2,R46,IF(Calculator!strategy=3,R70,IF(Calculator!strategy=6,R54,IF(Calculator!strategy=7,R61,R15)))))</f>
        <v>#VALUE!</v>
      </c>
      <c r="S73" s="128" t="str">
        <f>IF(Calculator!strategy=1,S31,IF(Calculator!strategy=2,S46,IF(Calculator!strategy=3,S70,IF(Calculator!strategy=6,S54,IF(Calculator!strategy=7,S61,S15)))))</f>
        <v>#VALUE!</v>
      </c>
      <c r="T73" s="128" t="str">
        <f>IF(Calculator!strategy=1,T31,IF(Calculator!strategy=2,T46,IF(Calculator!strategy=3,T70,IF(Calculator!strategy=6,T54,IF(Calculator!strategy=7,T61,T15)))))</f>
        <v>#VALUE!</v>
      </c>
      <c r="U73" s="659" t="str">
        <f>IF(Calculator!strategy=1,U31,IF(Calculator!strategy=2,U46,IF(Calculator!strategy=3,U70,IF(Calculator!strategy=6,U54,IF(Calculator!strategy=7,U61,U15)))))</f>
        <v>#VALUE!</v>
      </c>
      <c r="V73" s="659" t="str">
        <f>IF(Calculator!strategy=1,V31,IF(Calculator!strategy=2,V46,IF(Calculator!strategy=3,V70,IF(Calculator!strategy=6,V54,IF(Calculator!strategy=7,V61,V15)))))</f>
        <v>#VALUE!</v>
      </c>
      <c r="W73" s="659" t="str">
        <f>IF(Calculator!strategy=1,W31,IF(Calculator!strategy=2,W46,IF(Calculator!strategy=3,W70,IF(Calculator!strategy=6,W54,IF(Calculator!strategy=7,W61,W15)))))</f>
        <v>#VALUE!</v>
      </c>
      <c r="X73" s="659" t="str">
        <f>IF(Calculator!strategy=1,X31,IF(Calculator!strategy=2,X46,IF(Calculator!strategy=3,X70,IF(Calculator!strategy=6,X54,IF(Calculator!strategy=7,X61,X15)))))</f>
        <v>#VALUE!</v>
      </c>
      <c r="Y73" s="659" t="str">
        <f>IF(Calculator!strategy=1,Y31,IF(Calculator!strategy=2,Y46,IF(Calculator!strategy=3,Y70,IF(Calculator!strategy=6,Y54,IF(Calculator!strategy=7,Y61,Y15)))))</f>
        <v>#VALUE!</v>
      </c>
      <c r="Z73" s="659" t="str">
        <f>IF(Calculator!strategy=1,Z31,IF(Calculator!strategy=2,Z46,IF(Calculator!strategy=3,Z70,IF(Calculator!strategy=6,Z54,IF(Calculator!strategy=7,Z61,Z15)))))</f>
        <v>#VALUE!</v>
      </c>
      <c r="AA73" s="659" t="str">
        <f>IF(Calculator!strategy=1,AA31,IF(Calculator!strategy=2,AA46,IF(Calculator!strategy=3,AA70,IF(Calculator!strategy=6,AA54,IF(Calculator!strategy=7,AA61,AA15)))))</f>
        <v>#VALUE!</v>
      </c>
      <c r="AB73" s="659" t="str">
        <f>IF(Calculator!strategy=1,AB31,IF(Calculator!strategy=2,AB46,IF(Calculator!strategy=3,AB70,IF(Calculator!strategy=6,AB54,IF(Calculator!strategy=7,AB61,AB15)))))</f>
        <v>#VALUE!</v>
      </c>
      <c r="AC73" s="659" t="str">
        <f>IF(Calculator!strategy=1,AC31,IF(Calculator!strategy=2,AC46,IF(Calculator!strategy=3,AC70,IF(Calculator!strategy=6,AC54,IF(Calculator!strategy=7,AC61,AC15)))))</f>
        <v>#VALUE!</v>
      </c>
      <c r="AD73" s="659" t="str">
        <f>IF(Calculator!strategy=1,AD31,IF(Calculator!strategy=2,AD46,IF(Calculator!strategy=3,AD70,IF(Calculator!strategy=6,AD54,IF(Calculator!strategy=7,AD61,AD15)))))</f>
        <v>#VALUE!</v>
      </c>
      <c r="AE73" s="659" t="str">
        <f>IF(Calculator!strategy=1,AE31,IF(Calculator!strategy=2,AE46,IF(Calculator!strategy=3,AE70,IF(Calculator!strategy=6,AE54,IF(Calculator!strategy=7,AE61,AE15)))))</f>
        <v>#VALUE!</v>
      </c>
      <c r="AF73" s="659" t="str">
        <f>IF(Calculator!strategy=1,AF31,IF(Calculator!strategy=2,AF46,IF(Calculator!strategy=3,AF70,IF(Calculator!strategy=6,AF54,IF(Calculator!strategy=7,AF61,AF15)))))</f>
        <v>#VALUE!</v>
      </c>
      <c r="AG73" s="659" t="str">
        <f>IF(Calculator!strategy=1,AG31,IF(Calculator!strategy=2,AG46,IF(Calculator!strategy=3,AG70,IF(Calculator!strategy=6,AG54,IF(Calculator!strategy=7,AG61,AG15)))))</f>
        <v>#VALUE!</v>
      </c>
      <c r="AH73" s="659" t="str">
        <f>IF(Calculator!strategy=1,AH31,IF(Calculator!strategy=2,AH46,IF(Calculator!strategy=3,AH70,IF(Calculator!strategy=6,AH54,IF(Calculator!strategy=7,AH61,AH15)))))</f>
        <v>#VALUE!</v>
      </c>
      <c r="AI73" s="659" t="str">
        <f>IF(Calculator!strategy=1,AI31,IF(Calculator!strategy=2,AI46,IF(Calculator!strategy=3,AI70,IF(Calculator!strategy=6,AI54,IF(Calculator!strategy=7,AI61,AI15)))))</f>
        <v>#VALUE!</v>
      </c>
      <c r="AJ73" s="659" t="str">
        <f>IF(Calculator!strategy=1,AJ31,IF(Calculator!strategy=2,AJ46,IF(Calculator!strategy=3,AJ70,IF(Calculator!strategy=6,AJ54,IF(Calculator!strategy=7,AJ61,AJ15)))))</f>
        <v>#VALUE!</v>
      </c>
      <c r="AK73" s="659" t="str">
        <f>IF(Calculator!strategy=1,AK31,IF(Calculator!strategy=2,AK46,IF(Calculator!strategy=3,AK70,IF(Calculator!strategy=6,AK54,IF(Calculator!strategy=7,AK61,AK15)))))</f>
        <v>#VALUE!</v>
      </c>
      <c r="AL73" s="659" t="str">
        <f>IF(Calculator!strategy=1,AL31,IF(Calculator!strategy=2,AL46,IF(Calculator!strategy=3,AL70,IF(Calculator!strategy=6,AL54,IF(Calculator!strategy=7,AL61,AL15)))))</f>
        <v>#VALUE!</v>
      </c>
      <c r="AM73" s="659" t="str">
        <f>IF(Calculator!strategy=1,AM31,IF(Calculator!strategy=2,AM46,IF(Calculator!strategy=3,AM70,IF(Calculator!strategy=6,AM54,IF(Calculator!strategy=7,AM61,AM15)))))</f>
        <v>#VALUE!</v>
      </c>
      <c r="AN73" s="659" t="str">
        <f>IF(Calculator!strategy=1,AN31,IF(Calculator!strategy=2,AN46,IF(Calculator!strategy=3,AN70,IF(Calculator!strategy=6,AN54,IF(Calculator!strategy=7,AN61,AN15)))))</f>
        <v>#VALUE!</v>
      </c>
    </row>
  </sheetData>
  <drawing r:id="rId1"/>
</worksheet>
</file>